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530" yWindow="2070" windowWidth="14805" windowHeight="8010"/>
  </bookViews>
  <sheets>
    <sheet name="Data" sheetId="1" r:id="rId1"/>
  </sheets>
  <calcPr calcId="125725"/>
</workbook>
</file>

<file path=xl/calcChain.xml><?xml version="1.0" encoding="utf-8"?>
<calcChain xmlns="http://schemas.openxmlformats.org/spreadsheetml/2006/main">
  <c r="F33" i="1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K1275" s="1"/>
  <c r="F1276"/>
  <c r="F1277"/>
  <c r="F1278"/>
  <c r="F1279"/>
  <c r="F1280"/>
  <c r="F1281"/>
  <c r="F1282"/>
  <c r="F1283"/>
  <c r="F1284"/>
  <c r="F1285"/>
  <c r="F1286"/>
  <c r="K1286" s="1"/>
  <c r="F1287"/>
  <c r="F1288"/>
  <c r="F1289"/>
  <c r="F1290"/>
  <c r="F1291"/>
  <c r="K1291" s="1"/>
  <c r="F1292"/>
  <c r="F1293"/>
  <c r="F1294"/>
  <c r="F1295"/>
  <c r="F1296"/>
  <c r="F1297"/>
  <c r="F1298"/>
  <c r="F1299"/>
  <c r="F1300"/>
  <c r="F1301"/>
  <c r="F1302"/>
  <c r="K1302" s="1"/>
  <c r="F1303"/>
  <c r="F1304"/>
  <c r="F1305"/>
  <c r="F1306"/>
  <c r="F1307"/>
  <c r="K1307" s="1"/>
  <c r="F1308"/>
  <c r="F1309"/>
  <c r="F1310"/>
  <c r="F1311"/>
  <c r="F1312"/>
  <c r="F1313"/>
  <c r="F1314"/>
  <c r="F1315"/>
  <c r="F1316"/>
  <c r="F1317"/>
  <c r="F1318"/>
  <c r="F1319"/>
  <c r="F1320"/>
  <c r="K1320" s="1"/>
  <c r="F1321"/>
  <c r="F1322"/>
  <c r="F1323"/>
  <c r="F1324"/>
  <c r="F1325"/>
  <c r="F1326"/>
  <c r="F1327"/>
  <c r="F1328"/>
  <c r="F1329"/>
  <c r="F1330"/>
  <c r="F1331"/>
  <c r="F1332"/>
  <c r="K1332" s="1"/>
  <c r="F1333"/>
  <c r="F1334"/>
  <c r="F1335"/>
  <c r="F1336"/>
  <c r="F1337"/>
  <c r="F1338"/>
  <c r="K1338" s="1"/>
  <c r="F1339"/>
  <c r="F1340"/>
  <c r="F1341"/>
  <c r="F1342"/>
  <c r="F1343"/>
  <c r="F1344"/>
  <c r="F1345"/>
  <c r="F1346"/>
  <c r="F1347"/>
  <c r="F1348"/>
  <c r="F1349"/>
  <c r="F1350"/>
  <c r="F1351"/>
  <c r="F1352"/>
  <c r="K1352" s="1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K1388" s="1"/>
  <c r="F1389"/>
  <c r="F1390"/>
  <c r="F1391"/>
  <c r="F1392"/>
  <c r="F1393"/>
  <c r="F1394"/>
  <c r="F1395"/>
  <c r="F1396"/>
  <c r="F1397"/>
  <c r="F1398"/>
  <c r="F1399"/>
  <c r="K1399" s="1"/>
  <c r="F1400"/>
  <c r="F1401"/>
  <c r="F1402"/>
  <c r="F1403"/>
  <c r="F1404"/>
  <c r="K1404" s="1"/>
  <c r="F1405"/>
  <c r="F1406"/>
  <c r="F1407"/>
  <c r="F1408"/>
  <c r="F1409"/>
  <c r="F1410"/>
  <c r="F1411"/>
  <c r="F1412"/>
  <c r="F1413"/>
  <c r="F1414"/>
  <c r="F1415"/>
  <c r="K1415" s="1"/>
  <c r="F1416"/>
  <c r="F1417"/>
  <c r="F1418"/>
  <c r="F1419"/>
  <c r="F1420"/>
  <c r="K1420" s="1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K1438" s="1"/>
  <c r="F1439"/>
  <c r="F1440"/>
  <c r="F1441"/>
  <c r="F1442"/>
  <c r="F1443"/>
  <c r="F1444"/>
  <c r="F1445"/>
  <c r="F1446"/>
  <c r="K1446" s="1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K1362" s="1"/>
  <c r="E1363"/>
  <c r="E1364"/>
  <c r="E1365"/>
  <c r="E1366"/>
  <c r="K1366" s="1"/>
  <c r="E1367"/>
  <c r="E1368"/>
  <c r="E1369"/>
  <c r="E1370"/>
  <c r="K1370" s="1"/>
  <c r="E1371"/>
  <c r="E1372"/>
  <c r="E1373"/>
  <c r="E1374"/>
  <c r="K1374" s="1"/>
  <c r="E1375"/>
  <c r="E1376"/>
  <c r="E1377"/>
  <c r="E1378"/>
  <c r="K1378" s="1"/>
  <c r="E1379"/>
  <c r="E1380"/>
  <c r="E1381"/>
  <c r="E1382"/>
  <c r="K1382" s="1"/>
  <c r="E1383"/>
  <c r="E1384"/>
  <c r="E1385"/>
  <c r="E1386"/>
  <c r="K1386" s="1"/>
  <c r="E1387"/>
  <c r="E1388"/>
  <c r="E1389"/>
  <c r="E1390"/>
  <c r="K1390" s="1"/>
  <c r="E1391"/>
  <c r="E1392"/>
  <c r="E1393"/>
  <c r="E1394"/>
  <c r="K1394" s="1"/>
  <c r="E1395"/>
  <c r="E1396"/>
  <c r="E1397"/>
  <c r="E1398"/>
  <c r="K1398" s="1"/>
  <c r="E1399"/>
  <c r="E1400"/>
  <c r="E1401"/>
  <c r="E1402"/>
  <c r="K1402" s="1"/>
  <c r="E1403"/>
  <c r="E1404"/>
  <c r="E1405"/>
  <c r="E1406"/>
  <c r="K1406" s="1"/>
  <c r="E1407"/>
  <c r="E1408"/>
  <c r="E1409"/>
  <c r="E1410"/>
  <c r="K1410" s="1"/>
  <c r="E1411"/>
  <c r="E1412"/>
  <c r="E1413"/>
  <c r="E1414"/>
  <c r="K1414" s="1"/>
  <c r="E1415"/>
  <c r="E1416"/>
  <c r="E1417"/>
  <c r="E1418"/>
  <c r="K1418" s="1"/>
  <c r="E1419"/>
  <c r="E1420"/>
  <c r="E1421"/>
  <c r="E1422"/>
  <c r="K1422" s="1"/>
  <c r="E1423"/>
  <c r="E1424"/>
  <c r="E1425"/>
  <c r="E1426"/>
  <c r="K1426" s="1"/>
  <c r="E1427"/>
  <c r="E1428"/>
  <c r="E1429"/>
  <c r="E1430"/>
  <c r="E1431"/>
  <c r="K1431" s="1"/>
  <c r="E1432"/>
  <c r="E1433"/>
  <c r="E1434"/>
  <c r="E1435"/>
  <c r="E1436"/>
  <c r="E1437"/>
  <c r="E1438"/>
  <c r="E1439"/>
  <c r="E1440"/>
  <c r="E1441"/>
  <c r="E1442"/>
  <c r="E1443"/>
  <c r="K1443" s="1"/>
  <c r="E1444"/>
  <c r="E1445"/>
  <c r="E1446"/>
  <c r="E1447"/>
  <c r="E1448"/>
  <c r="E1449"/>
  <c r="E1450"/>
  <c r="K1450" s="1"/>
  <c r="E1451"/>
  <c r="E1452"/>
  <c r="E1453"/>
  <c r="E1454"/>
  <c r="E1455"/>
  <c r="E1456"/>
  <c r="E1457"/>
  <c r="E1458"/>
  <c r="E1459"/>
  <c r="E1460"/>
  <c r="E1461"/>
  <c r="E1462"/>
  <c r="K1462" s="1"/>
  <c r="E1463"/>
  <c r="E1464"/>
  <c r="E1465"/>
  <c r="E1466"/>
  <c r="K1466" s="1"/>
  <c r="E1467"/>
  <c r="E1468"/>
  <c r="E1469"/>
  <c r="E1470"/>
  <c r="E1471"/>
  <c r="E1472"/>
  <c r="E1473"/>
  <c r="E1474"/>
  <c r="E1475"/>
  <c r="E1476"/>
  <c r="E32"/>
  <c r="G14"/>
  <c r="B14" s="1"/>
  <c r="G10"/>
  <c r="B10" s="1"/>
  <c r="G9"/>
  <c r="B9" s="1"/>
  <c r="G8"/>
  <c r="B8" s="1"/>
  <c r="K1273"/>
  <c r="K1274"/>
  <c r="K1277"/>
  <c r="K1278"/>
  <c r="K1279"/>
  <c r="K1281"/>
  <c r="K1282"/>
  <c r="K1283"/>
  <c r="K1285"/>
  <c r="K1287"/>
  <c r="K1289"/>
  <c r="K1290"/>
  <c r="K1293"/>
  <c r="K1294"/>
  <c r="K1295"/>
  <c r="K1297"/>
  <c r="K1298"/>
  <c r="K1299"/>
  <c r="K1301"/>
  <c r="K1303"/>
  <c r="K1305"/>
  <c r="K1306"/>
  <c r="K1309"/>
  <c r="K1310"/>
  <c r="K1311"/>
  <c r="K1313"/>
  <c r="K1314"/>
  <c r="K1316"/>
  <c r="K1317"/>
  <c r="K1321"/>
  <c r="K1322"/>
  <c r="K1324"/>
  <c r="K1325"/>
  <c r="K1328"/>
  <c r="K1329"/>
  <c r="K1330"/>
  <c r="K1333"/>
  <c r="K1336"/>
  <c r="K1337"/>
  <c r="K1340"/>
  <c r="K1341"/>
  <c r="K1344"/>
  <c r="K1345"/>
  <c r="K1346"/>
  <c r="K1348"/>
  <c r="K1349"/>
  <c r="K1353"/>
  <c r="K1354"/>
  <c r="K1356"/>
  <c r="K1357"/>
  <c r="K1359"/>
  <c r="K1361"/>
  <c r="K1363"/>
  <c r="K1365"/>
  <c r="K1367"/>
  <c r="K1369"/>
  <c r="K1371"/>
  <c r="K1373"/>
  <c r="K1375"/>
  <c r="K1377"/>
  <c r="K1379"/>
  <c r="K1381"/>
  <c r="K1383"/>
  <c r="K1385"/>
  <c r="K1387"/>
  <c r="K1389"/>
  <c r="K1391"/>
  <c r="K1392"/>
  <c r="K1393"/>
  <c r="K1395"/>
  <c r="K1396"/>
  <c r="K1397"/>
  <c r="K1400"/>
  <c r="K1401"/>
  <c r="K1403"/>
  <c r="K1405"/>
  <c r="K1407"/>
  <c r="K1408"/>
  <c r="K1409"/>
  <c r="K1411"/>
  <c r="K1412"/>
  <c r="K1413"/>
  <c r="K1416"/>
  <c r="K1417"/>
  <c r="K1419"/>
  <c r="K1421"/>
  <c r="K1423"/>
  <c r="K1424"/>
  <c r="K1425"/>
  <c r="K1427"/>
  <c r="K1429"/>
  <c r="K1430"/>
  <c r="K1433"/>
  <c r="K1434"/>
  <c r="K1435"/>
  <c r="K1437"/>
  <c r="K1439"/>
  <c r="K1442"/>
  <c r="K1445"/>
  <c r="K1447"/>
  <c r="K1451"/>
  <c r="K1460"/>
  <c r="K1461"/>
  <c r="K1463"/>
  <c r="K1464"/>
  <c r="K1465"/>
  <c r="AI4"/>
  <c r="AI5"/>
  <c r="AI6"/>
  <c r="AI7"/>
  <c r="AI8"/>
  <c r="G16"/>
  <c r="B16" s="1"/>
  <c r="AM4"/>
  <c r="AM8"/>
  <c r="AM7"/>
  <c r="AM6"/>
  <c r="AM5"/>
  <c r="AM3"/>
  <c r="AI3"/>
  <c r="K476"/>
  <c r="K478"/>
  <c r="K480"/>
  <c r="K482"/>
  <c r="K484"/>
  <c r="K488"/>
  <c r="K490"/>
  <c r="K492"/>
  <c r="K494"/>
  <c r="K496"/>
  <c r="K498"/>
  <c r="K500"/>
  <c r="K502"/>
  <c r="K504"/>
  <c r="K506"/>
  <c r="K508"/>
  <c r="K510"/>
  <c r="K512"/>
  <c r="K514"/>
  <c r="K516"/>
  <c r="K520"/>
  <c r="K522"/>
  <c r="K524"/>
  <c r="K526"/>
  <c r="K528"/>
  <c r="K530"/>
  <c r="K532"/>
  <c r="K534"/>
  <c r="K536"/>
  <c r="K538"/>
  <c r="K540"/>
  <c r="K542"/>
  <c r="K544"/>
  <c r="K546"/>
  <c r="K548"/>
  <c r="K554"/>
  <c r="K556"/>
  <c r="K558"/>
  <c r="K562"/>
  <c r="K566"/>
  <c r="K570"/>
  <c r="K572"/>
  <c r="K574"/>
  <c r="K578"/>
  <c r="K580"/>
  <c r="K582"/>
  <c r="K586"/>
  <c r="K588"/>
  <c r="K590"/>
  <c r="K594"/>
  <c r="K596"/>
  <c r="K598"/>
  <c r="K602"/>
  <c r="K604"/>
  <c r="K606"/>
  <c r="K612"/>
  <c r="K614"/>
  <c r="K618"/>
  <c r="K620"/>
  <c r="K622"/>
  <c r="K626"/>
  <c r="K628"/>
  <c r="K630"/>
  <c r="K636"/>
  <c r="K642"/>
  <c r="K646"/>
  <c r="K652"/>
  <c r="K658"/>
  <c r="K662"/>
  <c r="K668"/>
  <c r="K674"/>
  <c r="K678"/>
  <c r="K686"/>
  <c r="K690"/>
  <c r="K692"/>
  <c r="K694"/>
  <c r="K700"/>
  <c r="K702"/>
  <c r="K706"/>
  <c r="K708"/>
  <c r="K710"/>
  <c r="K714"/>
  <c r="K716"/>
  <c r="K722"/>
  <c r="K724"/>
  <c r="K726"/>
  <c r="K732"/>
  <c r="K738"/>
  <c r="K742"/>
  <c r="K748"/>
  <c r="K754"/>
  <c r="K758"/>
  <c r="K764"/>
  <c r="K772"/>
  <c r="K774"/>
  <c r="K778"/>
  <c r="K780"/>
  <c r="K786"/>
  <c r="K788"/>
  <c r="K790"/>
  <c r="K796"/>
  <c r="K802"/>
  <c r="K806"/>
  <c r="K812"/>
  <c r="K818"/>
  <c r="K822"/>
  <c r="K828"/>
  <c r="K836"/>
  <c r="K838"/>
  <c r="K846"/>
  <c r="K850"/>
  <c r="K852"/>
  <c r="K858"/>
  <c r="K860"/>
  <c r="K868"/>
  <c r="K870"/>
  <c r="K882"/>
  <c r="K884"/>
  <c r="K894"/>
  <c r="K900"/>
  <c r="K902"/>
  <c r="K906"/>
  <c r="K914"/>
  <c r="K916"/>
  <c r="K924"/>
  <c r="K934"/>
  <c r="K938"/>
  <c r="K946"/>
  <c r="K956"/>
  <c r="K966"/>
  <c r="K978"/>
  <c r="K980"/>
  <c r="K986"/>
  <c r="K988"/>
  <c r="K1012"/>
  <c r="K1013"/>
  <c r="K1017"/>
  <c r="K1018"/>
  <c r="K1021"/>
  <c r="K1026"/>
  <c r="K1028"/>
  <c r="K1040"/>
  <c r="K1048"/>
  <c r="K1053"/>
  <c r="K1054"/>
  <c r="K1061"/>
  <c r="K1072"/>
  <c r="K1076"/>
  <c r="K1090"/>
  <c r="K1093"/>
  <c r="K1097"/>
  <c r="K1098"/>
  <c r="K1101"/>
  <c r="K1102"/>
  <c r="K1104"/>
  <c r="K1118"/>
  <c r="K1129"/>
  <c r="K1133"/>
  <c r="K1140"/>
  <c r="K1150"/>
  <c r="K1154"/>
  <c r="K1156"/>
  <c r="K1166"/>
  <c r="K1168"/>
  <c r="K1178"/>
  <c r="K1182"/>
  <c r="K1186"/>
  <c r="K1192"/>
  <c r="K1200"/>
  <c r="K1204"/>
  <c r="K1218"/>
  <c r="K1220"/>
  <c r="K1226"/>
  <c r="K1229"/>
  <c r="K1234"/>
  <c r="K1248"/>
  <c r="K1256"/>
  <c r="K1258"/>
  <c r="K1260"/>
  <c r="K1264"/>
  <c r="K1005"/>
  <c r="K1065"/>
  <c r="K996"/>
  <c r="N4"/>
  <c r="O4"/>
  <c r="N5"/>
  <c r="O5"/>
  <c r="N6"/>
  <c r="O6"/>
  <c r="N7"/>
  <c r="O7"/>
  <c r="N8"/>
  <c r="O8"/>
  <c r="O3"/>
  <c r="N3"/>
  <c r="S4"/>
  <c r="S5"/>
  <c r="S6"/>
  <c r="S7"/>
  <c r="S8"/>
  <c r="S3"/>
  <c r="K682"/>
  <c r="K876"/>
  <c r="K262"/>
  <c r="K294"/>
  <c r="K326"/>
  <c r="K358"/>
  <c r="K390"/>
  <c r="K422"/>
  <c r="K454"/>
  <c r="K486"/>
  <c r="K518"/>
  <c r="K550"/>
  <c r="K610"/>
  <c r="K684"/>
  <c r="K770"/>
  <c r="K892"/>
  <c r="K1165"/>
  <c r="F22"/>
  <c r="K1384" l="1"/>
  <c r="K1380"/>
  <c r="K1376"/>
  <c r="K1372"/>
  <c r="K1368"/>
  <c r="K1364"/>
  <c r="K1360"/>
  <c r="K1358"/>
  <c r="K1350"/>
  <c r="K1342"/>
  <c r="K1334"/>
  <c r="K1326"/>
  <c r="K1318"/>
  <c r="K1312"/>
  <c r="K1308"/>
  <c r="K1304"/>
  <c r="K1300"/>
  <c r="K1296"/>
  <c r="K1292"/>
  <c r="K1288"/>
  <c r="K1284"/>
  <c r="K1280"/>
  <c r="K1276"/>
  <c r="F21"/>
  <c r="F24" s="1"/>
  <c r="J1389" s="1"/>
  <c r="V22"/>
  <c r="AB35" s="1"/>
  <c r="K1459"/>
  <c r="K1458"/>
  <c r="K1457"/>
  <c r="K1456"/>
  <c r="K1455"/>
  <c r="K1454"/>
  <c r="K1453"/>
  <c r="K1452"/>
  <c r="K1444"/>
  <c r="K1436"/>
  <c r="K1428"/>
  <c r="K1432"/>
  <c r="K1476"/>
  <c r="K1475"/>
  <c r="K1474"/>
  <c r="K1473"/>
  <c r="K1472"/>
  <c r="K1471"/>
  <c r="K1470"/>
  <c r="K1469"/>
  <c r="K1468"/>
  <c r="K1467"/>
  <c r="K1448"/>
  <c r="K1440"/>
  <c r="K1449"/>
  <c r="K1441"/>
  <c r="K1351"/>
  <c r="K1355"/>
  <c r="K1347"/>
  <c r="K1343"/>
  <c r="K1339"/>
  <c r="K1335"/>
  <c r="K1331"/>
  <c r="K1327"/>
  <c r="K1323"/>
  <c r="K1319"/>
  <c r="K1315"/>
  <c r="K474"/>
  <c r="K472"/>
  <c r="K470"/>
  <c r="K468"/>
  <c r="K466"/>
  <c r="K464"/>
  <c r="K462"/>
  <c r="K460"/>
  <c r="K458"/>
  <c r="K456"/>
  <c r="K452"/>
  <c r="K450"/>
  <c r="K448"/>
  <c r="K446"/>
  <c r="K444"/>
  <c r="K442"/>
  <c r="K440"/>
  <c r="K438"/>
  <c r="K436"/>
  <c r="K434"/>
  <c r="K432"/>
  <c r="K430"/>
  <c r="K428"/>
  <c r="K426"/>
  <c r="K424"/>
  <c r="K420"/>
  <c r="K418"/>
  <c r="K416"/>
  <c r="K414"/>
  <c r="K412"/>
  <c r="K410"/>
  <c r="K408"/>
  <c r="K406"/>
  <c r="K404"/>
  <c r="K402"/>
  <c r="K400"/>
  <c r="K398"/>
  <c r="K396"/>
  <c r="K394"/>
  <c r="K392"/>
  <c r="K388"/>
  <c r="K386"/>
  <c r="K384"/>
  <c r="K382"/>
  <c r="K380"/>
  <c r="K378"/>
  <c r="K376"/>
  <c r="K374"/>
  <c r="K372"/>
  <c r="K370"/>
  <c r="K368"/>
  <c r="K366"/>
  <c r="K364"/>
  <c r="K362"/>
  <c r="K360"/>
  <c r="K356"/>
  <c r="K354"/>
  <c r="K352"/>
  <c r="K350"/>
  <c r="K348"/>
  <c r="K346"/>
  <c r="K344"/>
  <c r="K342"/>
  <c r="K340"/>
  <c r="K338"/>
  <c r="K336"/>
  <c r="K334"/>
  <c r="K332"/>
  <c r="K330"/>
  <c r="K328"/>
  <c r="K324"/>
  <c r="K322"/>
  <c r="K320"/>
  <c r="K318"/>
  <c r="K316"/>
  <c r="K314"/>
  <c r="K312"/>
  <c r="K310"/>
  <c r="K308"/>
  <c r="K306"/>
  <c r="K304"/>
  <c r="K302"/>
  <c r="K300"/>
  <c r="K298"/>
  <c r="K296"/>
  <c r="K292"/>
  <c r="K290"/>
  <c r="K288"/>
  <c r="K286"/>
  <c r="K284"/>
  <c r="K282"/>
  <c r="K280"/>
  <c r="K278"/>
  <c r="K276"/>
  <c r="K274"/>
  <c r="K272"/>
  <c r="K270"/>
  <c r="K268"/>
  <c r="K266"/>
  <c r="K264"/>
  <c r="K260"/>
  <c r="K258"/>
  <c r="K256"/>
  <c r="K254"/>
  <c r="K252"/>
  <c r="K250"/>
  <c r="K248"/>
  <c r="K246"/>
  <c r="K244"/>
  <c r="K242"/>
  <c r="K1038"/>
  <c r="K1000"/>
  <c r="K926"/>
  <c r="K1189"/>
  <c r="Q6"/>
  <c r="K1237"/>
  <c r="K1173"/>
  <c r="K1125"/>
  <c r="K1109"/>
  <c r="K1069"/>
  <c r="K1045"/>
  <c r="K1037"/>
  <c r="K1033"/>
  <c r="K1106"/>
  <c r="K1092"/>
  <c r="K1064"/>
  <c r="K1058"/>
  <c r="K1042"/>
  <c r="K1008"/>
  <c r="K990"/>
  <c r="K970"/>
  <c r="K932"/>
  <c r="Q8"/>
  <c r="K1269"/>
  <c r="K1261"/>
  <c r="K1241"/>
  <c r="K1221"/>
  <c r="K1197"/>
  <c r="K1161"/>
  <c r="K1117"/>
  <c r="K1170"/>
  <c r="K1245"/>
  <c r="K1225"/>
  <c r="K1001"/>
  <c r="K997"/>
  <c r="K1244"/>
  <c r="K1181"/>
  <c r="K1081"/>
  <c r="K1029"/>
  <c r="K1198"/>
  <c r="K1134"/>
  <c r="K1122"/>
  <c r="K1080"/>
  <c r="K1268"/>
  <c r="K1242"/>
  <c r="K1240"/>
  <c r="K1232"/>
  <c r="K1210"/>
  <c r="K1184"/>
  <c r="K1176"/>
  <c r="K1162"/>
  <c r="K1257"/>
  <c r="K1253"/>
  <c r="K1209"/>
  <c r="K1193"/>
  <c r="K1157"/>
  <c r="K1145"/>
  <c r="K1146"/>
  <c r="K1112"/>
  <c r="K1086"/>
  <c r="K1082"/>
  <c r="K1070"/>
  <c r="K1056"/>
  <c r="K1016"/>
  <c r="K1006"/>
  <c r="K948"/>
  <c r="K910"/>
  <c r="K890"/>
  <c r="K862"/>
  <c r="K842"/>
  <c r="K782"/>
  <c r="K718"/>
  <c r="K698"/>
  <c r="Q4"/>
  <c r="Q5"/>
  <c r="Q7"/>
  <c r="Q3"/>
  <c r="K1265"/>
  <c r="K1249"/>
  <c r="K1233"/>
  <c r="K1213"/>
  <c r="K1205"/>
  <c r="K1177"/>
  <c r="K1149"/>
  <c r="K1141"/>
  <c r="K1113"/>
  <c r="K1085"/>
  <c r="K1077"/>
  <c r="K1049"/>
  <c r="K1228"/>
  <c r="K1222"/>
  <c r="K1190"/>
  <c r="K1174"/>
  <c r="K1164"/>
  <c r="K1116"/>
  <c r="K1110"/>
  <c r="K1100"/>
  <c r="K1062"/>
  <c r="K1030"/>
  <c r="K992"/>
  <c r="K952"/>
  <c r="K936"/>
  <c r="K928"/>
  <c r="K912"/>
  <c r="K896"/>
  <c r="K864"/>
  <c r="K848"/>
  <c r="K824"/>
  <c r="K808"/>
  <c r="K784"/>
  <c r="K760"/>
  <c r="K744"/>
  <c r="K720"/>
  <c r="K704"/>
  <c r="K688"/>
  <c r="K672"/>
  <c r="K664"/>
  <c r="K648"/>
  <c r="K624"/>
  <c r="K608"/>
  <c r="K592"/>
  <c r="K576"/>
  <c r="K552"/>
  <c r="K1270"/>
  <c r="K1254"/>
  <c r="K1238"/>
  <c r="K1128"/>
  <c r="K1120"/>
  <c r="K1034"/>
  <c r="K958"/>
  <c r="K874"/>
  <c r="K830"/>
  <c r="K820"/>
  <c r="K810"/>
  <c r="K798"/>
  <c r="K766"/>
  <c r="K756"/>
  <c r="K746"/>
  <c r="K734"/>
  <c r="K670"/>
  <c r="K660"/>
  <c r="K650"/>
  <c r="K638"/>
  <c r="K564"/>
  <c r="K1180"/>
  <c r="K1158"/>
  <c r="K1148"/>
  <c r="K1132"/>
  <c r="K1084"/>
  <c r="K1052"/>
  <c r="K1020"/>
  <c r="K998"/>
  <c r="K984"/>
  <c r="K1271"/>
  <c r="K1267"/>
  <c r="K1263"/>
  <c r="K1259"/>
  <c r="K1255"/>
  <c r="K1251"/>
  <c r="K1247"/>
  <c r="K1243"/>
  <c r="K1239"/>
  <c r="K1235"/>
  <c r="K1231"/>
  <c r="K1227"/>
  <c r="K1223"/>
  <c r="K1219"/>
  <c r="K1217"/>
  <c r="K1215"/>
  <c r="K1211"/>
  <c r="K1207"/>
  <c r="K1203"/>
  <c r="K1201"/>
  <c r="K1199"/>
  <c r="K1195"/>
  <c r="K1191"/>
  <c r="K1187"/>
  <c r="K1185"/>
  <c r="K1183"/>
  <c r="K1179"/>
  <c r="K1175"/>
  <c r="K1171"/>
  <c r="K1169"/>
  <c r="K1167"/>
  <c r="K1163"/>
  <c r="K1159"/>
  <c r="K1155"/>
  <c r="K1153"/>
  <c r="K1151"/>
  <c r="K1147"/>
  <c r="K1143"/>
  <c r="K1139"/>
  <c r="K1137"/>
  <c r="K1135"/>
  <c r="K1131"/>
  <c r="K1127"/>
  <c r="K1123"/>
  <c r="K1121"/>
  <c r="K1119"/>
  <c r="K1115"/>
  <c r="K1111"/>
  <c r="K1107"/>
  <c r="K1105"/>
  <c r="K1103"/>
  <c r="K1099"/>
  <c r="K1095"/>
  <c r="K1091"/>
  <c r="K1089"/>
  <c r="K1087"/>
  <c r="K1083"/>
  <c r="K1079"/>
  <c r="K1075"/>
  <c r="K1073"/>
  <c r="K1071"/>
  <c r="K1067"/>
  <c r="K1063"/>
  <c r="K1059"/>
  <c r="K1057"/>
  <c r="K1055"/>
  <c r="K1051"/>
  <c r="K1047"/>
  <c r="K1043"/>
  <c r="K1041"/>
  <c r="K1039"/>
  <c r="K1035"/>
  <c r="K1031"/>
  <c r="K1027"/>
  <c r="K1025"/>
  <c r="K1023"/>
  <c r="K1019"/>
  <c r="K1015"/>
  <c r="K1011"/>
  <c r="K1009"/>
  <c r="K1007"/>
  <c r="K1003"/>
  <c r="K999"/>
  <c r="K995"/>
  <c r="K993"/>
  <c r="K991"/>
  <c r="K989"/>
  <c r="K987"/>
  <c r="K985"/>
  <c r="K983"/>
  <c r="K981"/>
  <c r="K979"/>
  <c r="K977"/>
  <c r="K975"/>
  <c r="K973"/>
  <c r="K971"/>
  <c r="K969"/>
  <c r="K967"/>
  <c r="K965"/>
  <c r="K963"/>
  <c r="K961"/>
  <c r="K959"/>
  <c r="K957"/>
  <c r="K955"/>
  <c r="K953"/>
  <c r="K951"/>
  <c r="K949"/>
  <c r="K947"/>
  <c r="K945"/>
  <c r="K943"/>
  <c r="K941"/>
  <c r="K939"/>
  <c r="K937"/>
  <c r="K935"/>
  <c r="K933"/>
  <c r="K931"/>
  <c r="K929"/>
  <c r="K927"/>
  <c r="K925"/>
  <c r="K923"/>
  <c r="K921"/>
  <c r="K919"/>
  <c r="K917"/>
  <c r="K915"/>
  <c r="K913"/>
  <c r="K911"/>
  <c r="K909"/>
  <c r="K907"/>
  <c r="K905"/>
  <c r="K903"/>
  <c r="K901"/>
  <c r="K899"/>
  <c r="K897"/>
  <c r="K895"/>
  <c r="K893"/>
  <c r="K891"/>
  <c r="K889"/>
  <c r="K887"/>
  <c r="K885"/>
  <c r="K883"/>
  <c r="K881"/>
  <c r="K879"/>
  <c r="K877"/>
  <c r="K875"/>
  <c r="K873"/>
  <c r="K871"/>
  <c r="K869"/>
  <c r="K867"/>
  <c r="K865"/>
  <c r="K863"/>
  <c r="K861"/>
  <c r="K859"/>
  <c r="K857"/>
  <c r="K855"/>
  <c r="K853"/>
  <c r="K851"/>
  <c r="K849"/>
  <c r="K847"/>
  <c r="K845"/>
  <c r="K843"/>
  <c r="K841"/>
  <c r="K839"/>
  <c r="K837"/>
  <c r="K835"/>
  <c r="K833"/>
  <c r="K831"/>
  <c r="K829"/>
  <c r="K827"/>
  <c r="K825"/>
  <c r="K823"/>
  <c r="K821"/>
  <c r="K819"/>
  <c r="K817"/>
  <c r="K815"/>
  <c r="K813"/>
  <c r="K811"/>
  <c r="K809"/>
  <c r="K807"/>
  <c r="K805"/>
  <c r="K803"/>
  <c r="K801"/>
  <c r="K799"/>
  <c r="K797"/>
  <c r="K795"/>
  <c r="K1114"/>
  <c r="K1022"/>
  <c r="K994"/>
  <c r="K962"/>
  <c r="K940"/>
  <c r="K918"/>
  <c r="K898"/>
  <c r="K866"/>
  <c r="K844"/>
  <c r="K1212"/>
  <c r="K1126"/>
  <c r="K1094"/>
  <c r="K1078"/>
  <c r="K1036"/>
  <c r="K1014"/>
  <c r="K1004"/>
  <c r="K968"/>
  <c r="K960"/>
  <c r="K880"/>
  <c r="K1272"/>
  <c r="K1266"/>
  <c r="K1250"/>
  <c r="K1214"/>
  <c r="K1208"/>
  <c r="K1172"/>
  <c r="K1144"/>
  <c r="K1136"/>
  <c r="K1108"/>
  <c r="K1050"/>
  <c r="K1044"/>
  <c r="K982"/>
  <c r="K972"/>
  <c r="K950"/>
  <c r="K930"/>
  <c r="K908"/>
  <c r="K886"/>
  <c r="K854"/>
  <c r="K834"/>
  <c r="K1262"/>
  <c r="K1252"/>
  <c r="K1246"/>
  <c r="K1236"/>
  <c r="K1230"/>
  <c r="K1224"/>
  <c r="K1216"/>
  <c r="K1202"/>
  <c r="K1194"/>
  <c r="K1188"/>
  <c r="K1160"/>
  <c r="K1152"/>
  <c r="K1138"/>
  <c r="K1130"/>
  <c r="K1124"/>
  <c r="K1096"/>
  <c r="K1088"/>
  <c r="K1074"/>
  <c r="K1066"/>
  <c r="K1060"/>
  <c r="K1032"/>
  <c r="K1024"/>
  <c r="K1010"/>
  <c r="K1002"/>
  <c r="K974"/>
  <c r="K964"/>
  <c r="K954"/>
  <c r="K942"/>
  <c r="K922"/>
  <c r="K878"/>
  <c r="K826"/>
  <c r="K814"/>
  <c r="K804"/>
  <c r="K794"/>
  <c r="K762"/>
  <c r="K750"/>
  <c r="K740"/>
  <c r="K730"/>
  <c r="K676"/>
  <c r="K666"/>
  <c r="K654"/>
  <c r="K644"/>
  <c r="K634"/>
  <c r="K1206"/>
  <c r="K1196"/>
  <c r="K1142"/>
  <c r="K1068"/>
  <c r="K1046"/>
  <c r="K976"/>
  <c r="K944"/>
  <c r="K920"/>
  <c r="K904"/>
  <c r="K888"/>
  <c r="K872"/>
  <c r="K856"/>
  <c r="K840"/>
  <c r="K832"/>
  <c r="K816"/>
  <c r="K800"/>
  <c r="K792"/>
  <c r="K776"/>
  <c r="K768"/>
  <c r="K752"/>
  <c r="K736"/>
  <c r="K728"/>
  <c r="K712"/>
  <c r="K696"/>
  <c r="K680"/>
  <c r="K656"/>
  <c r="K640"/>
  <c r="K632"/>
  <c r="K616"/>
  <c r="K600"/>
  <c r="K584"/>
  <c r="K568"/>
  <c r="K560"/>
  <c r="K793"/>
  <c r="K791"/>
  <c r="K789"/>
  <c r="K787"/>
  <c r="K785"/>
  <c r="K783"/>
  <c r="K781"/>
  <c r="K779"/>
  <c r="K777"/>
  <c r="K775"/>
  <c r="K773"/>
  <c r="K771"/>
  <c r="K769"/>
  <c r="K767"/>
  <c r="K765"/>
  <c r="K763"/>
  <c r="K761"/>
  <c r="K759"/>
  <c r="K757"/>
  <c r="K755"/>
  <c r="K753"/>
  <c r="K751"/>
  <c r="K749"/>
  <c r="K747"/>
  <c r="K745"/>
  <c r="K743"/>
  <c r="K741"/>
  <c r="K739"/>
  <c r="K737"/>
  <c r="K735"/>
  <c r="K733"/>
  <c r="K731"/>
  <c r="K729"/>
  <c r="K727"/>
  <c r="K725"/>
  <c r="K723"/>
  <c r="K721"/>
  <c r="K719"/>
  <c r="K717"/>
  <c r="K715"/>
  <c r="K713"/>
  <c r="K711"/>
  <c r="K709"/>
  <c r="K707"/>
  <c r="K705"/>
  <c r="K703"/>
  <c r="K701"/>
  <c r="K699"/>
  <c r="K697"/>
  <c r="K695"/>
  <c r="K693"/>
  <c r="K691"/>
  <c r="K689"/>
  <c r="K687"/>
  <c r="K685"/>
  <c r="K683"/>
  <c r="K681"/>
  <c r="K679"/>
  <c r="K677"/>
  <c r="K675"/>
  <c r="K673"/>
  <c r="K671"/>
  <c r="K669"/>
  <c r="K667"/>
  <c r="K665"/>
  <c r="K663"/>
  <c r="K661"/>
  <c r="K659"/>
  <c r="K657"/>
  <c r="K655"/>
  <c r="K653"/>
  <c r="K651"/>
  <c r="K649"/>
  <c r="K647"/>
  <c r="K645"/>
  <c r="K643"/>
  <c r="K641"/>
  <c r="K639"/>
  <c r="K637"/>
  <c r="K635"/>
  <c r="K633"/>
  <c r="K631"/>
  <c r="K629"/>
  <c r="K627"/>
  <c r="K625"/>
  <c r="K623"/>
  <c r="K621"/>
  <c r="K619"/>
  <c r="K617"/>
  <c r="K615"/>
  <c r="K613"/>
  <c r="K611"/>
  <c r="K609"/>
  <c r="K607"/>
  <c r="K605"/>
  <c r="K603"/>
  <c r="K601"/>
  <c r="K599"/>
  <c r="K597"/>
  <c r="K595"/>
  <c r="K593"/>
  <c r="K591"/>
  <c r="K589"/>
  <c r="K587"/>
  <c r="K585"/>
  <c r="K583"/>
  <c r="K581"/>
  <c r="K579"/>
  <c r="K577"/>
  <c r="K575"/>
  <c r="K573"/>
  <c r="K571"/>
  <c r="K569"/>
  <c r="K567"/>
  <c r="K565"/>
  <c r="K563"/>
  <c r="K561"/>
  <c r="K559"/>
  <c r="K557"/>
  <c r="K555"/>
  <c r="K553"/>
  <c r="K551"/>
  <c r="K549"/>
  <c r="K547"/>
  <c r="K545"/>
  <c r="K543"/>
  <c r="K541"/>
  <c r="K539"/>
  <c r="K537"/>
  <c r="K535"/>
  <c r="K533"/>
  <c r="K531"/>
  <c r="K529"/>
  <c r="K527"/>
  <c r="K525"/>
  <c r="K523"/>
  <c r="K521"/>
  <c r="K519"/>
  <c r="K517"/>
  <c r="K515"/>
  <c r="K513"/>
  <c r="K511"/>
  <c r="K509"/>
  <c r="K507"/>
  <c r="K505"/>
  <c r="K503"/>
  <c r="K501"/>
  <c r="K499"/>
  <c r="K497"/>
  <c r="K495"/>
  <c r="K493"/>
  <c r="K491"/>
  <c r="K489"/>
  <c r="K487"/>
  <c r="K485"/>
  <c r="K483"/>
  <c r="K481"/>
  <c r="K479"/>
  <c r="K477"/>
  <c r="K475"/>
  <c r="K473"/>
  <c r="K471"/>
  <c r="K469"/>
  <c r="K467"/>
  <c r="K465"/>
  <c r="K463"/>
  <c r="K461"/>
  <c r="K459"/>
  <c r="K457"/>
  <c r="K455"/>
  <c r="K453"/>
  <c r="K451"/>
  <c r="K449"/>
  <c r="K447"/>
  <c r="K445"/>
  <c r="K443"/>
  <c r="K441"/>
  <c r="K439"/>
  <c r="K437"/>
  <c r="K435"/>
  <c r="K433"/>
  <c r="K431"/>
  <c r="K429"/>
  <c r="K427"/>
  <c r="K425"/>
  <c r="K423"/>
  <c r="K421"/>
  <c r="K419"/>
  <c r="K417"/>
  <c r="K415"/>
  <c r="K413"/>
  <c r="K411"/>
  <c r="K409"/>
  <c r="K407"/>
  <c r="K405"/>
  <c r="K403"/>
  <c r="K401"/>
  <c r="K399"/>
  <c r="K397"/>
  <c r="K395"/>
  <c r="K393"/>
  <c r="K391"/>
  <c r="K389"/>
  <c r="K387"/>
  <c r="K385"/>
  <c r="K383"/>
  <c r="K381"/>
  <c r="K379"/>
  <c r="K377"/>
  <c r="K375"/>
  <c r="K373"/>
  <c r="K371"/>
  <c r="K369"/>
  <c r="K367"/>
  <c r="K365"/>
  <c r="K363"/>
  <c r="K361"/>
  <c r="K359"/>
  <c r="K357"/>
  <c r="K355"/>
  <c r="K353"/>
  <c r="K351"/>
  <c r="K349"/>
  <c r="K347"/>
  <c r="K345"/>
  <c r="K343"/>
  <c r="K341"/>
  <c r="K339"/>
  <c r="K337"/>
  <c r="K335"/>
  <c r="K333"/>
  <c r="K331"/>
  <c r="K329"/>
  <c r="K327"/>
  <c r="K325"/>
  <c r="K323"/>
  <c r="K321"/>
  <c r="K319"/>
  <c r="K317"/>
  <c r="K315"/>
  <c r="K313"/>
  <c r="K311"/>
  <c r="K309"/>
  <c r="K307"/>
  <c r="K305"/>
  <c r="K303"/>
  <c r="K301"/>
  <c r="K299"/>
  <c r="K297"/>
  <c r="K295"/>
  <c r="K293"/>
  <c r="K291"/>
  <c r="K289"/>
  <c r="K287"/>
  <c r="K285"/>
  <c r="K283"/>
  <c r="K240"/>
  <c r="K281"/>
  <c r="K279"/>
  <c r="K277"/>
  <c r="K275"/>
  <c r="K273"/>
  <c r="K271"/>
  <c r="K269"/>
  <c r="K267"/>
  <c r="K265"/>
  <c r="K263"/>
  <c r="K261"/>
  <c r="K259"/>
  <c r="K257"/>
  <c r="K255"/>
  <c r="K253"/>
  <c r="K251"/>
  <c r="K249"/>
  <c r="K247"/>
  <c r="K245"/>
  <c r="K243"/>
  <c r="K241"/>
  <c r="K239"/>
  <c r="K237"/>
  <c r="K235"/>
  <c r="K233"/>
  <c r="K231"/>
  <c r="K229"/>
  <c r="K227"/>
  <c r="K225"/>
  <c r="K223"/>
  <c r="K221"/>
  <c r="K219"/>
  <c r="K217"/>
  <c r="K215"/>
  <c r="K213"/>
  <c r="K211"/>
  <c r="K209"/>
  <c r="K207"/>
  <c r="K205"/>
  <c r="K203"/>
  <c r="K201"/>
  <c r="K199"/>
  <c r="K197"/>
  <c r="K195"/>
  <c r="K193"/>
  <c r="K191"/>
  <c r="K189"/>
  <c r="K187"/>
  <c r="K185"/>
  <c r="K183"/>
  <c r="K181"/>
  <c r="K179"/>
  <c r="K177"/>
  <c r="K175"/>
  <c r="K173"/>
  <c r="K171"/>
  <c r="K169"/>
  <c r="K167"/>
  <c r="K165"/>
  <c r="K163"/>
  <c r="K161"/>
  <c r="K159"/>
  <c r="K157"/>
  <c r="K155"/>
  <c r="K153"/>
  <c r="K151"/>
  <c r="K149"/>
  <c r="K147"/>
  <c r="K145"/>
  <c r="K143"/>
  <c r="K141"/>
  <c r="K139"/>
  <c r="K137"/>
  <c r="K135"/>
  <c r="K133"/>
  <c r="K131"/>
  <c r="K129"/>
  <c r="K127"/>
  <c r="K125"/>
  <c r="K123"/>
  <c r="K121"/>
  <c r="K119"/>
  <c r="K117"/>
  <c r="K115"/>
  <c r="K113"/>
  <c r="K111"/>
  <c r="K109"/>
  <c r="K107"/>
  <c r="K105"/>
  <c r="K103"/>
  <c r="K101"/>
  <c r="K99"/>
  <c r="K97"/>
  <c r="K95"/>
  <c r="K93"/>
  <c r="K91"/>
  <c r="K89"/>
  <c r="K87"/>
  <c r="K85"/>
  <c r="K83"/>
  <c r="K81"/>
  <c r="K79"/>
  <c r="K77"/>
  <c r="K75"/>
  <c r="K73"/>
  <c r="K71"/>
  <c r="K69"/>
  <c r="K67"/>
  <c r="K65"/>
  <c r="K63"/>
  <c r="K61"/>
  <c r="K59"/>
  <c r="K57"/>
  <c r="K55"/>
  <c r="K53"/>
  <c r="K51"/>
  <c r="K49"/>
  <c r="K47"/>
  <c r="K45"/>
  <c r="K43"/>
  <c r="K41"/>
  <c r="K39"/>
  <c r="K37"/>
  <c r="K35"/>
  <c r="K33"/>
  <c r="K238"/>
  <c r="K236"/>
  <c r="K234"/>
  <c r="K232"/>
  <c r="K230"/>
  <c r="K228"/>
  <c r="K226"/>
  <c r="K224"/>
  <c r="K222"/>
  <c r="K220"/>
  <c r="K218"/>
  <c r="K216"/>
  <c r="K214"/>
  <c r="K212"/>
  <c r="K210"/>
  <c r="K208"/>
  <c r="K206"/>
  <c r="K204"/>
  <c r="K202"/>
  <c r="K200"/>
  <c r="K198"/>
  <c r="K196"/>
  <c r="K194"/>
  <c r="K192"/>
  <c r="K190"/>
  <c r="K188"/>
  <c r="K186"/>
  <c r="K184"/>
  <c r="K182"/>
  <c r="K180"/>
  <c r="K178"/>
  <c r="K176"/>
  <c r="K174"/>
  <c r="K172"/>
  <c r="K170"/>
  <c r="K168"/>
  <c r="K166"/>
  <c r="K164"/>
  <c r="K162"/>
  <c r="K160"/>
  <c r="K158"/>
  <c r="K156"/>
  <c r="K154"/>
  <c r="K152"/>
  <c r="K150"/>
  <c r="K148"/>
  <c r="K146"/>
  <c r="K144"/>
  <c r="K142"/>
  <c r="K140"/>
  <c r="K138"/>
  <c r="K136"/>
  <c r="K134"/>
  <c r="K132"/>
  <c r="K130"/>
  <c r="K128"/>
  <c r="K126"/>
  <c r="K124"/>
  <c r="K122"/>
  <c r="K120"/>
  <c r="K118"/>
  <c r="K116"/>
  <c r="K114"/>
  <c r="K112"/>
  <c r="K110"/>
  <c r="K108"/>
  <c r="K106"/>
  <c r="K104"/>
  <c r="K102"/>
  <c r="K100"/>
  <c r="K98"/>
  <c r="K96"/>
  <c r="K94"/>
  <c r="K92"/>
  <c r="K90"/>
  <c r="K88"/>
  <c r="K86"/>
  <c r="K84"/>
  <c r="K82"/>
  <c r="K80"/>
  <c r="K78"/>
  <c r="K76"/>
  <c r="K74"/>
  <c r="K72"/>
  <c r="K70"/>
  <c r="K68"/>
  <c r="K66"/>
  <c r="K64"/>
  <c r="K62"/>
  <c r="K60"/>
  <c r="K58"/>
  <c r="K56"/>
  <c r="K54"/>
  <c r="K52"/>
  <c r="K50"/>
  <c r="K48"/>
  <c r="K46"/>
  <c r="K44"/>
  <c r="K42"/>
  <c r="K40"/>
  <c r="K38"/>
  <c r="K36"/>
  <c r="K34"/>
  <c r="K32"/>
  <c r="T22"/>
  <c r="U22"/>
  <c r="AA35" s="1"/>
  <c r="J1412" l="1"/>
  <c r="Q1412" s="1"/>
  <c r="J1448"/>
  <c r="Q1448" s="1"/>
  <c r="J1432"/>
  <c r="Q1432" s="1"/>
  <c r="J1436"/>
  <c r="Q1436" s="1"/>
  <c r="J1452"/>
  <c r="Q1452" s="1"/>
  <c r="J1454"/>
  <c r="Q1454" s="1"/>
  <c r="J1456"/>
  <c r="Q1456" s="1"/>
  <c r="J1458"/>
  <c r="Q1458" s="1"/>
  <c r="J1340"/>
  <c r="J1460"/>
  <c r="O1460" s="1"/>
  <c r="J1476"/>
  <c r="Q1476" s="1"/>
  <c r="J1323"/>
  <c r="Q1323" s="1"/>
  <c r="J1475"/>
  <c r="Q1475" s="1"/>
  <c r="J1306"/>
  <c r="Q1306" s="1"/>
  <c r="J1404"/>
  <c r="Q1404" s="1"/>
  <c r="J1332"/>
  <c r="J1467"/>
  <c r="Q1467" s="1"/>
  <c r="J1472"/>
  <c r="Q1472" s="1"/>
  <c r="J1315"/>
  <c r="Q1315" s="1"/>
  <c r="J1421"/>
  <c r="Q1421" s="1"/>
  <c r="J1311"/>
  <c r="Q1311" s="1"/>
  <c r="J1396"/>
  <c r="Q1396" s="1"/>
  <c r="J1440"/>
  <c r="Q1440" s="1"/>
  <c r="J1428"/>
  <c r="Q1428" s="1"/>
  <c r="J1444"/>
  <c r="Q1444" s="1"/>
  <c r="J1453"/>
  <c r="Q1453" s="1"/>
  <c r="J1455"/>
  <c r="Q1455" s="1"/>
  <c r="J1457"/>
  <c r="Q1457" s="1"/>
  <c r="J1459"/>
  <c r="Q1459" s="1"/>
  <c r="J1324"/>
  <c r="J1463"/>
  <c r="P1463" s="1"/>
  <c r="J1468"/>
  <c r="Q1468" s="1"/>
  <c r="J1471"/>
  <c r="Q1471" s="1"/>
  <c r="J1339"/>
  <c r="Q1339" s="1"/>
  <c r="J1307"/>
  <c r="O1307" s="1"/>
  <c r="J1388"/>
  <c r="Q1388" s="1"/>
  <c r="J1420"/>
  <c r="Q1420" s="1"/>
  <c r="J1316"/>
  <c r="J1348"/>
  <c r="P1348" s="1"/>
  <c r="J1464"/>
  <c r="Q1464" s="1"/>
  <c r="J1331"/>
  <c r="Q1331" s="1"/>
  <c r="Q1389"/>
  <c r="P1389"/>
  <c r="O1389"/>
  <c r="J1310"/>
  <c r="Q1310" s="1"/>
  <c r="J1392"/>
  <c r="P1392" s="1"/>
  <c r="J1408"/>
  <c r="J1424"/>
  <c r="J1320"/>
  <c r="J1336"/>
  <c r="J1352"/>
  <c r="J1417"/>
  <c r="J1473"/>
  <c r="Q1473" s="1"/>
  <c r="J1413"/>
  <c r="J1441"/>
  <c r="Q1441" s="1"/>
  <c r="J1474"/>
  <c r="Q1474" s="1"/>
  <c r="J1466"/>
  <c r="J1319"/>
  <c r="Q1319" s="1"/>
  <c r="J1335"/>
  <c r="Q1335" s="1"/>
  <c r="J1393"/>
  <c r="J1425"/>
  <c r="J1461"/>
  <c r="J1405"/>
  <c r="J1469"/>
  <c r="Q1469" s="1"/>
  <c r="J1347"/>
  <c r="Q1347" s="1"/>
  <c r="J1449"/>
  <c r="Q1449" s="1"/>
  <c r="J1246"/>
  <c r="Q1246" s="1"/>
  <c r="J1285"/>
  <c r="J1286"/>
  <c r="J1293"/>
  <c r="J1294"/>
  <c r="J1301"/>
  <c r="J1302"/>
  <c r="J1304"/>
  <c r="J1305"/>
  <c r="J1317"/>
  <c r="J1318"/>
  <c r="J1321"/>
  <c r="J1322"/>
  <c r="J1325"/>
  <c r="J1326"/>
  <c r="J1329"/>
  <c r="J1330"/>
  <c r="J1333"/>
  <c r="J1334"/>
  <c r="J1337"/>
  <c r="J1338"/>
  <c r="J1341"/>
  <c r="J1342"/>
  <c r="J1345"/>
  <c r="J1346"/>
  <c r="J1349"/>
  <c r="J1350"/>
  <c r="J1362"/>
  <c r="J1369"/>
  <c r="J1370"/>
  <c r="J1377"/>
  <c r="J1378"/>
  <c r="J1385"/>
  <c r="J1386"/>
  <c r="J1398"/>
  <c r="J1399"/>
  <c r="J1414"/>
  <c r="J1415"/>
  <c r="J1430"/>
  <c r="J1431"/>
  <c r="J1283"/>
  <c r="J1284"/>
  <c r="J1292"/>
  <c r="J1300"/>
  <c r="J1354"/>
  <c r="J1359"/>
  <c r="J1364"/>
  <c r="J1372"/>
  <c r="J1387"/>
  <c r="J1403"/>
  <c r="J1418"/>
  <c r="J1434"/>
  <c r="J1273"/>
  <c r="J1274"/>
  <c r="J1275"/>
  <c r="J1276"/>
  <c r="J1277"/>
  <c r="J1278"/>
  <c r="J1279"/>
  <c r="J1280"/>
  <c r="J1287"/>
  <c r="J1288"/>
  <c r="J1295"/>
  <c r="J1296"/>
  <c r="J1303"/>
  <c r="J1308"/>
  <c r="J1309"/>
  <c r="J1361"/>
  <c r="J1367"/>
  <c r="J1368"/>
  <c r="J1375"/>
  <c r="J1376"/>
  <c r="J1383"/>
  <c r="J1384"/>
  <c r="J1394"/>
  <c r="J1395"/>
  <c r="J1410"/>
  <c r="J1411"/>
  <c r="J1426"/>
  <c r="J1427"/>
  <c r="J1438"/>
  <c r="J1439"/>
  <c r="J1442"/>
  <c r="J1443"/>
  <c r="J1446"/>
  <c r="J1447"/>
  <c r="J1353"/>
  <c r="J1371"/>
  <c r="J1380"/>
  <c r="J1402"/>
  <c r="J1419"/>
  <c r="J1435"/>
  <c r="J1281"/>
  <c r="J1282"/>
  <c r="J1289"/>
  <c r="J1290"/>
  <c r="J1297"/>
  <c r="J1298"/>
  <c r="J1312"/>
  <c r="J1313"/>
  <c r="J1357"/>
  <c r="J1358"/>
  <c r="J1360"/>
  <c r="J1365"/>
  <c r="J1366"/>
  <c r="J1373"/>
  <c r="J1374"/>
  <c r="J1381"/>
  <c r="J1382"/>
  <c r="J1390"/>
  <c r="J1391"/>
  <c r="J1406"/>
  <c r="J1407"/>
  <c r="J1422"/>
  <c r="J1423"/>
  <c r="J1450"/>
  <c r="J1451"/>
  <c r="J1291"/>
  <c r="J1299"/>
  <c r="J1363"/>
  <c r="J1379"/>
  <c r="J1314"/>
  <c r="P1314" s="1"/>
  <c r="J1355"/>
  <c r="Q1355" s="1"/>
  <c r="J1400"/>
  <c r="P1400" s="1"/>
  <c r="J1416"/>
  <c r="P1416" s="1"/>
  <c r="J1351"/>
  <c r="Q1351" s="1"/>
  <c r="J1328"/>
  <c r="J1344"/>
  <c r="J1401"/>
  <c r="J1433"/>
  <c r="J1462"/>
  <c r="J1397"/>
  <c r="J1429"/>
  <c r="J1470"/>
  <c r="Q1470" s="1"/>
  <c r="J1327"/>
  <c r="Q1327" s="1"/>
  <c r="J1343"/>
  <c r="Q1343" s="1"/>
  <c r="J1409"/>
  <c r="J1445"/>
  <c r="J1465"/>
  <c r="J1356"/>
  <c r="J1437"/>
  <c r="P7"/>
  <c r="Y7" s="1"/>
  <c r="J43"/>
  <c r="Q43" s="1"/>
  <c r="J59"/>
  <c r="Q59" s="1"/>
  <c r="J75"/>
  <c r="Q75" s="1"/>
  <c r="J91"/>
  <c r="Q91" s="1"/>
  <c r="J107"/>
  <c r="Q107" s="1"/>
  <c r="J123"/>
  <c r="Q123" s="1"/>
  <c r="J139"/>
  <c r="Q139" s="1"/>
  <c r="J147"/>
  <c r="O147" s="1"/>
  <c r="J155"/>
  <c r="Q155" s="1"/>
  <c r="J163"/>
  <c r="O163" s="1"/>
  <c r="J171"/>
  <c r="Q171" s="1"/>
  <c r="J179"/>
  <c r="O179" s="1"/>
  <c r="J187"/>
  <c r="Q187" s="1"/>
  <c r="J195"/>
  <c r="Q195" s="1"/>
  <c r="J213"/>
  <c r="O213" s="1"/>
  <c r="J221"/>
  <c r="Q221" s="1"/>
  <c r="J229"/>
  <c r="O229" s="1"/>
  <c r="J237"/>
  <c r="Q237" s="1"/>
  <c r="J245"/>
  <c r="P245" s="1"/>
  <c r="J38"/>
  <c r="P38" s="1"/>
  <c r="J46"/>
  <c r="Q46" s="1"/>
  <c r="J54"/>
  <c r="P54" s="1"/>
  <c r="J62"/>
  <c r="O62" s="1"/>
  <c r="J70"/>
  <c r="Q70" s="1"/>
  <c r="J78"/>
  <c r="Q78" s="1"/>
  <c r="J86"/>
  <c r="Q86" s="1"/>
  <c r="J94"/>
  <c r="P94" s="1"/>
  <c r="J102"/>
  <c r="Q102" s="1"/>
  <c r="J110"/>
  <c r="P110" s="1"/>
  <c r="J118"/>
  <c r="P118" s="1"/>
  <c r="J126"/>
  <c r="O126" s="1"/>
  <c r="J134"/>
  <c r="P134" s="1"/>
  <c r="J142"/>
  <c r="P142" s="1"/>
  <c r="J150"/>
  <c r="Q150" s="1"/>
  <c r="J158"/>
  <c r="P158" s="1"/>
  <c r="J166"/>
  <c r="O166" s="1"/>
  <c r="J174"/>
  <c r="P174" s="1"/>
  <c r="J182"/>
  <c r="P182" s="1"/>
  <c r="J190"/>
  <c r="O190" s="1"/>
  <c r="J198"/>
  <c r="P198" s="1"/>
  <c r="J206"/>
  <c r="P206" s="1"/>
  <c r="J214"/>
  <c r="O214" s="1"/>
  <c r="J222"/>
  <c r="P222" s="1"/>
  <c r="J230"/>
  <c r="P230" s="1"/>
  <c r="J238"/>
  <c r="O238" s="1"/>
  <c r="J246"/>
  <c r="P246" s="1"/>
  <c r="J254"/>
  <c r="O254" s="1"/>
  <c r="J262"/>
  <c r="O262" s="1"/>
  <c r="J270"/>
  <c r="O270" s="1"/>
  <c r="J278"/>
  <c r="Q278" s="1"/>
  <c r="J286"/>
  <c r="P286" s="1"/>
  <c r="J294"/>
  <c r="Q294" s="1"/>
  <c r="J302"/>
  <c r="Q302" s="1"/>
  <c r="J310"/>
  <c r="P310" s="1"/>
  <c r="J318"/>
  <c r="O318" s="1"/>
  <c r="J326"/>
  <c r="P326" s="1"/>
  <c r="J334"/>
  <c r="Q334" s="1"/>
  <c r="J342"/>
  <c r="Q342" s="1"/>
  <c r="J350"/>
  <c r="P350" s="1"/>
  <c r="J358"/>
  <c r="O358" s="1"/>
  <c r="J366"/>
  <c r="P366" s="1"/>
  <c r="J374"/>
  <c r="P374" s="1"/>
  <c r="J382"/>
  <c r="O382" s="1"/>
  <c r="J390"/>
  <c r="Q390" s="1"/>
  <c r="J398"/>
  <c r="P398" s="1"/>
  <c r="J406"/>
  <c r="O406" s="1"/>
  <c r="J414"/>
  <c r="P414" s="1"/>
  <c r="J422"/>
  <c r="Q422" s="1"/>
  <c r="J430"/>
  <c r="P430" s="1"/>
  <c r="J438"/>
  <c r="P438" s="1"/>
  <c r="J446"/>
  <c r="O446" s="1"/>
  <c r="J454"/>
  <c r="O454" s="1"/>
  <c r="J462"/>
  <c r="P462" s="1"/>
  <c r="J470"/>
  <c r="Q470" s="1"/>
  <c r="J478"/>
  <c r="O478" s="1"/>
  <c r="J486"/>
  <c r="P486" s="1"/>
  <c r="J494"/>
  <c r="P494" s="1"/>
  <c r="J502"/>
  <c r="O502" s="1"/>
  <c r="J510"/>
  <c r="P510" s="1"/>
  <c r="J518"/>
  <c r="Q518" s="1"/>
  <c r="J526"/>
  <c r="Q526" s="1"/>
  <c r="J534"/>
  <c r="Q534" s="1"/>
  <c r="J542"/>
  <c r="P542" s="1"/>
  <c r="J207"/>
  <c r="Q207" s="1"/>
  <c r="J257"/>
  <c r="Q257" s="1"/>
  <c r="J265"/>
  <c r="Q265" s="1"/>
  <c r="J273"/>
  <c r="Q273" s="1"/>
  <c r="J281"/>
  <c r="Q281" s="1"/>
  <c r="J285"/>
  <c r="Q285" s="1"/>
  <c r="J289"/>
  <c r="Q289" s="1"/>
  <c r="J293"/>
  <c r="Q293" s="1"/>
  <c r="J297"/>
  <c r="Q297" s="1"/>
  <c r="J301"/>
  <c r="Q301" s="1"/>
  <c r="J305"/>
  <c r="Q305" s="1"/>
  <c r="J309"/>
  <c r="P309" s="1"/>
  <c r="J313"/>
  <c r="Q313" s="1"/>
  <c r="J317"/>
  <c r="Q317" s="1"/>
  <c r="J321"/>
  <c r="Q321" s="1"/>
  <c r="J325"/>
  <c r="Q325" s="1"/>
  <c r="J329"/>
  <c r="Q329" s="1"/>
  <c r="J333"/>
  <c r="Q333" s="1"/>
  <c r="J337"/>
  <c r="Q337" s="1"/>
  <c r="J341"/>
  <c r="O341" s="1"/>
  <c r="J345"/>
  <c r="Q345" s="1"/>
  <c r="J349"/>
  <c r="Q349" s="1"/>
  <c r="J353"/>
  <c r="Q353" s="1"/>
  <c r="J357"/>
  <c r="P357" s="1"/>
  <c r="J361"/>
  <c r="Q361" s="1"/>
  <c r="J365"/>
  <c r="Q365" s="1"/>
  <c r="J369"/>
  <c r="Q369" s="1"/>
  <c r="J373"/>
  <c r="P373" s="1"/>
  <c r="J377"/>
  <c r="Q377" s="1"/>
  <c r="J381"/>
  <c r="Q381" s="1"/>
  <c r="J385"/>
  <c r="Q385" s="1"/>
  <c r="J389"/>
  <c r="O389" s="1"/>
  <c r="J393"/>
  <c r="Q393" s="1"/>
  <c r="J397"/>
  <c r="Q397" s="1"/>
  <c r="J401"/>
  <c r="Q401" s="1"/>
  <c r="J405"/>
  <c r="Q405" s="1"/>
  <c r="J409"/>
  <c r="Q409" s="1"/>
  <c r="J413"/>
  <c r="P413" s="1"/>
  <c r="J417"/>
  <c r="Q417" s="1"/>
  <c r="J421"/>
  <c r="P421" s="1"/>
  <c r="J425"/>
  <c r="Q425" s="1"/>
  <c r="J429"/>
  <c r="O429" s="1"/>
  <c r="J433"/>
  <c r="Q433" s="1"/>
  <c r="J437"/>
  <c r="P437" s="1"/>
  <c r="J441"/>
  <c r="Q441" s="1"/>
  <c r="J445"/>
  <c r="P445" s="1"/>
  <c r="J449"/>
  <c r="Q449" s="1"/>
  <c r="J453"/>
  <c r="O453" s="1"/>
  <c r="J457"/>
  <c r="Q457" s="1"/>
  <c r="J461"/>
  <c r="O461" s="1"/>
  <c r="J465"/>
  <c r="Q465" s="1"/>
  <c r="J469"/>
  <c r="Q469" s="1"/>
  <c r="J473"/>
  <c r="Q473" s="1"/>
  <c r="J477"/>
  <c r="O477" s="1"/>
  <c r="J481"/>
  <c r="Q481" s="1"/>
  <c r="J485"/>
  <c r="Q485" s="1"/>
  <c r="J489"/>
  <c r="P489" s="1"/>
  <c r="J493"/>
  <c r="P493" s="1"/>
  <c r="J497"/>
  <c r="Q497" s="1"/>
  <c r="J501"/>
  <c r="O501" s="1"/>
  <c r="J505"/>
  <c r="P505" s="1"/>
  <c r="J509"/>
  <c r="O509" s="1"/>
  <c r="J513"/>
  <c r="Q513" s="1"/>
  <c r="J517"/>
  <c r="P517" s="1"/>
  <c r="J521"/>
  <c r="P521" s="1"/>
  <c r="J525"/>
  <c r="O525" s="1"/>
  <c r="J529"/>
  <c r="Q529" s="1"/>
  <c r="J533"/>
  <c r="O533" s="1"/>
  <c r="J537"/>
  <c r="Q537" s="1"/>
  <c r="J541"/>
  <c r="P541" s="1"/>
  <c r="J545"/>
  <c r="Q545" s="1"/>
  <c r="J549"/>
  <c r="P549" s="1"/>
  <c r="J553"/>
  <c r="P553" s="1"/>
  <c r="J557"/>
  <c r="P557" s="1"/>
  <c r="J561"/>
  <c r="Q561" s="1"/>
  <c r="J565"/>
  <c r="O565" s="1"/>
  <c r="J569"/>
  <c r="P569" s="1"/>
  <c r="J573"/>
  <c r="O573" s="1"/>
  <c r="J577"/>
  <c r="Q577" s="1"/>
  <c r="J581"/>
  <c r="O581" s="1"/>
  <c r="J585"/>
  <c r="P585" s="1"/>
  <c r="J589"/>
  <c r="Q589" s="1"/>
  <c r="J593"/>
  <c r="Q593" s="1"/>
  <c r="J597"/>
  <c r="O597" s="1"/>
  <c r="J601"/>
  <c r="Q601" s="1"/>
  <c r="J605"/>
  <c r="P605" s="1"/>
  <c r="J609"/>
  <c r="Q609" s="1"/>
  <c r="J613"/>
  <c r="Q613" s="1"/>
  <c r="J617"/>
  <c r="P617" s="1"/>
  <c r="J621"/>
  <c r="P621" s="1"/>
  <c r="J625"/>
  <c r="Q625" s="1"/>
  <c r="J629"/>
  <c r="O629" s="1"/>
  <c r="J633"/>
  <c r="P633" s="1"/>
  <c r="J637"/>
  <c r="P637" s="1"/>
  <c r="J641"/>
  <c r="Q641" s="1"/>
  <c r="J645"/>
  <c r="O645" s="1"/>
  <c r="J649"/>
  <c r="P649" s="1"/>
  <c r="J653"/>
  <c r="Q653" s="1"/>
  <c r="J657"/>
  <c r="Q657" s="1"/>
  <c r="J661"/>
  <c r="Q661" s="1"/>
  <c r="J665"/>
  <c r="Q665" s="1"/>
  <c r="J669"/>
  <c r="P669" s="1"/>
  <c r="J673"/>
  <c r="Q673" s="1"/>
  <c r="J677"/>
  <c r="Q677" s="1"/>
  <c r="J681"/>
  <c r="P681" s="1"/>
  <c r="J685"/>
  <c r="P685" s="1"/>
  <c r="J689"/>
  <c r="Q689" s="1"/>
  <c r="J693"/>
  <c r="Q693" s="1"/>
  <c r="J697"/>
  <c r="P697" s="1"/>
  <c r="J701"/>
  <c r="O701" s="1"/>
  <c r="J705"/>
  <c r="Q705" s="1"/>
  <c r="J709"/>
  <c r="P709" s="1"/>
  <c r="J713"/>
  <c r="P713" s="1"/>
  <c r="J717"/>
  <c r="Q717" s="1"/>
  <c r="J721"/>
  <c r="Q721" s="1"/>
  <c r="J725"/>
  <c r="P725" s="1"/>
  <c r="J729"/>
  <c r="Q729" s="1"/>
  <c r="J733"/>
  <c r="P733" s="1"/>
  <c r="J737"/>
  <c r="Q737" s="1"/>
  <c r="J741"/>
  <c r="P741" s="1"/>
  <c r="J745"/>
  <c r="P745" s="1"/>
  <c r="J749"/>
  <c r="P749" s="1"/>
  <c r="J753"/>
  <c r="Q753" s="1"/>
  <c r="J757"/>
  <c r="P757" s="1"/>
  <c r="J761"/>
  <c r="P761" s="1"/>
  <c r="J765"/>
  <c r="O765" s="1"/>
  <c r="J769"/>
  <c r="Q769" s="1"/>
  <c r="J773"/>
  <c r="O773" s="1"/>
  <c r="J777"/>
  <c r="P777" s="1"/>
  <c r="J781"/>
  <c r="Q781" s="1"/>
  <c r="J785"/>
  <c r="Q785" s="1"/>
  <c r="J789"/>
  <c r="P789" s="1"/>
  <c r="J793"/>
  <c r="Q793" s="1"/>
  <c r="J556"/>
  <c r="Q556" s="1"/>
  <c r="J570"/>
  <c r="O570" s="1"/>
  <c r="J590"/>
  <c r="Q590" s="1"/>
  <c r="J612"/>
  <c r="P612" s="1"/>
  <c r="J636"/>
  <c r="P636" s="1"/>
  <c r="J658"/>
  <c r="P658" s="1"/>
  <c r="J682"/>
  <c r="O682" s="1"/>
  <c r="J702"/>
  <c r="O702" s="1"/>
  <c r="J724"/>
  <c r="Q724" s="1"/>
  <c r="J748"/>
  <c r="O748" s="1"/>
  <c r="J772"/>
  <c r="P772" s="1"/>
  <c r="J796"/>
  <c r="O796" s="1"/>
  <c r="J818"/>
  <c r="O818" s="1"/>
  <c r="J842"/>
  <c r="P842" s="1"/>
  <c r="J862"/>
  <c r="Q862" s="1"/>
  <c r="J890"/>
  <c r="O890" s="1"/>
  <c r="J910"/>
  <c r="Q910" s="1"/>
  <c r="J938"/>
  <c r="O938" s="1"/>
  <c r="J978"/>
  <c r="P978" s="1"/>
  <c r="J1016"/>
  <c r="P1016" s="1"/>
  <c r="J1058"/>
  <c r="Q1058" s="1"/>
  <c r="J1102"/>
  <c r="Q1102" s="1"/>
  <c r="J1146"/>
  <c r="P1146" s="1"/>
  <c r="J1186"/>
  <c r="Q1186" s="1"/>
  <c r="J1232"/>
  <c r="Q1232" s="1"/>
  <c r="J1268"/>
  <c r="O1268" s="1"/>
  <c r="J568"/>
  <c r="O568" s="1"/>
  <c r="J600"/>
  <c r="P600" s="1"/>
  <c r="J632"/>
  <c r="O632" s="1"/>
  <c r="J656"/>
  <c r="P656" s="1"/>
  <c r="J696"/>
  <c r="O696" s="1"/>
  <c r="J728"/>
  <c r="P728" s="1"/>
  <c r="J752"/>
  <c r="O752" s="1"/>
  <c r="J776"/>
  <c r="O776" s="1"/>
  <c r="J800"/>
  <c r="Q800" s="1"/>
  <c r="J832"/>
  <c r="Q832" s="1"/>
  <c r="J856"/>
  <c r="P856" s="1"/>
  <c r="J888"/>
  <c r="P888" s="1"/>
  <c r="J920"/>
  <c r="P920" s="1"/>
  <c r="J976"/>
  <c r="O976" s="1"/>
  <c r="J1068"/>
  <c r="Q1068" s="1"/>
  <c r="J1196"/>
  <c r="O1196" s="1"/>
  <c r="J1018"/>
  <c r="P1018" s="1"/>
  <c r="J1060"/>
  <c r="P1060" s="1"/>
  <c r="J1108"/>
  <c r="O1108" s="1"/>
  <c r="J1150"/>
  <c r="O1150" s="1"/>
  <c r="J1188"/>
  <c r="O1188" s="1"/>
  <c r="J1224"/>
  <c r="P1224" s="1"/>
  <c r="J1260"/>
  <c r="O1260" s="1"/>
  <c r="J1005"/>
  <c r="P1005" s="1"/>
  <c r="J1029"/>
  <c r="Q1029" s="1"/>
  <c r="J1049"/>
  <c r="Q1049" s="1"/>
  <c r="J1069"/>
  <c r="O1069" s="1"/>
  <c r="J1093"/>
  <c r="P1093" s="1"/>
  <c r="J1113"/>
  <c r="Q1113" s="1"/>
  <c r="J1133"/>
  <c r="O1133" s="1"/>
  <c r="J1157"/>
  <c r="Q1157" s="1"/>
  <c r="J1177"/>
  <c r="P1177" s="1"/>
  <c r="J1197"/>
  <c r="Q1197" s="1"/>
  <c r="J1221"/>
  <c r="P1221" s="1"/>
  <c r="J1237"/>
  <c r="Q1237" s="1"/>
  <c r="J1253"/>
  <c r="O1253" s="1"/>
  <c r="J1269"/>
  <c r="Q1269" s="1"/>
  <c r="J934"/>
  <c r="P934" s="1"/>
  <c r="J962"/>
  <c r="P962" s="1"/>
  <c r="J1000"/>
  <c r="P1000" s="1"/>
  <c r="J1042"/>
  <c r="P1042" s="1"/>
  <c r="J1088"/>
  <c r="Q1088" s="1"/>
  <c r="J1124"/>
  <c r="P1124" s="1"/>
  <c r="J1172"/>
  <c r="Q1172" s="1"/>
  <c r="J1208"/>
  <c r="P1208" s="1"/>
  <c r="J1244"/>
  <c r="P1244" s="1"/>
  <c r="J1272"/>
  <c r="Q1272" s="1"/>
  <c r="J797"/>
  <c r="P797" s="1"/>
  <c r="J801"/>
  <c r="Q801" s="1"/>
  <c r="J805"/>
  <c r="O805" s="1"/>
  <c r="J809"/>
  <c r="Q809" s="1"/>
  <c r="J813"/>
  <c r="O813" s="1"/>
  <c r="J817"/>
  <c r="Q817" s="1"/>
  <c r="J821"/>
  <c r="P821" s="1"/>
  <c r="J825"/>
  <c r="Q825" s="1"/>
  <c r="J829"/>
  <c r="P829" s="1"/>
  <c r="J833"/>
  <c r="Q833" s="1"/>
  <c r="J837"/>
  <c r="P837" s="1"/>
  <c r="J841"/>
  <c r="Q841" s="1"/>
  <c r="J845"/>
  <c r="O845" s="1"/>
  <c r="J849"/>
  <c r="Q849" s="1"/>
  <c r="J853"/>
  <c r="P853" s="1"/>
  <c r="J857"/>
  <c r="Q857" s="1"/>
  <c r="J861"/>
  <c r="P861" s="1"/>
  <c r="J865"/>
  <c r="Q865" s="1"/>
  <c r="J869"/>
  <c r="P869" s="1"/>
  <c r="J873"/>
  <c r="Q873" s="1"/>
  <c r="J877"/>
  <c r="P877" s="1"/>
  <c r="J881"/>
  <c r="Q881" s="1"/>
  <c r="J885"/>
  <c r="P885" s="1"/>
  <c r="J889"/>
  <c r="Q889" s="1"/>
  <c r="J893"/>
  <c r="P893" s="1"/>
  <c r="J897"/>
  <c r="Q897" s="1"/>
  <c r="J901"/>
  <c r="P901" s="1"/>
  <c r="J905"/>
  <c r="Q905" s="1"/>
  <c r="J909"/>
  <c r="P909" s="1"/>
  <c r="J913"/>
  <c r="Q913" s="1"/>
  <c r="J917"/>
  <c r="Q917" s="1"/>
  <c r="J921"/>
  <c r="Q921" s="1"/>
  <c r="J925"/>
  <c r="P925" s="1"/>
  <c r="J929"/>
  <c r="Q929" s="1"/>
  <c r="J933"/>
  <c r="Q933" s="1"/>
  <c r="J937"/>
  <c r="Q937" s="1"/>
  <c r="J941"/>
  <c r="P941" s="1"/>
  <c r="J945"/>
  <c r="Q945" s="1"/>
  <c r="J949"/>
  <c r="Q949" s="1"/>
  <c r="J953"/>
  <c r="Q953" s="1"/>
  <c r="J957"/>
  <c r="P957" s="1"/>
  <c r="J961"/>
  <c r="Q961" s="1"/>
  <c r="J965"/>
  <c r="O965" s="1"/>
  <c r="J969"/>
  <c r="Q969" s="1"/>
  <c r="J973"/>
  <c r="O973" s="1"/>
  <c r="J977"/>
  <c r="Q977" s="1"/>
  <c r="J981"/>
  <c r="O981" s="1"/>
  <c r="J985"/>
  <c r="Q985" s="1"/>
  <c r="J989"/>
  <c r="P989" s="1"/>
  <c r="J993"/>
  <c r="Q993" s="1"/>
  <c r="J999"/>
  <c r="P999" s="1"/>
  <c r="J1007"/>
  <c r="P1007" s="1"/>
  <c r="J1011"/>
  <c r="O1011" s="1"/>
  <c r="J1019"/>
  <c r="P1019" s="1"/>
  <c r="J1025"/>
  <c r="Q1025" s="1"/>
  <c r="J1031"/>
  <c r="P1031" s="1"/>
  <c r="J1039"/>
  <c r="Q1039" s="1"/>
  <c r="J1043"/>
  <c r="Q1043" s="1"/>
  <c r="J1051"/>
  <c r="P1051" s="1"/>
  <c r="J1057"/>
  <c r="Q1057" s="1"/>
  <c r="J1063"/>
  <c r="Q1063" s="1"/>
  <c r="J1071"/>
  <c r="O1071" s="1"/>
  <c r="J1075"/>
  <c r="P1075" s="1"/>
  <c r="J1083"/>
  <c r="P1083" s="1"/>
  <c r="J1089"/>
  <c r="Q1089" s="1"/>
  <c r="J1095"/>
  <c r="O1095" s="1"/>
  <c r="J1103"/>
  <c r="Q1103" s="1"/>
  <c r="J1107"/>
  <c r="P1107" s="1"/>
  <c r="J1115"/>
  <c r="P1115" s="1"/>
  <c r="J1121"/>
  <c r="Q1121" s="1"/>
  <c r="J1127"/>
  <c r="Q1127" s="1"/>
  <c r="J1135"/>
  <c r="P1135" s="1"/>
  <c r="J1139"/>
  <c r="O1139" s="1"/>
  <c r="J1147"/>
  <c r="P1147" s="1"/>
  <c r="J1153"/>
  <c r="Q1153" s="1"/>
  <c r="J1159"/>
  <c r="O1159" s="1"/>
  <c r="J1167"/>
  <c r="O1167" s="1"/>
  <c r="J1171"/>
  <c r="P1171" s="1"/>
  <c r="J1179"/>
  <c r="P1179" s="1"/>
  <c r="J1185"/>
  <c r="P1185" s="1"/>
  <c r="J1191"/>
  <c r="P1191" s="1"/>
  <c r="J1199"/>
  <c r="P1199" s="1"/>
  <c r="J1203"/>
  <c r="O1203" s="1"/>
  <c r="J1211"/>
  <c r="P1211" s="1"/>
  <c r="J1217"/>
  <c r="O1217" s="1"/>
  <c r="J1223"/>
  <c r="O1223" s="1"/>
  <c r="J1231"/>
  <c r="O1231" s="1"/>
  <c r="J1239"/>
  <c r="P1239" s="1"/>
  <c r="J1247"/>
  <c r="O1247" s="1"/>
  <c r="J1255"/>
  <c r="Q1255" s="1"/>
  <c r="J1263"/>
  <c r="O1263" s="1"/>
  <c r="J1271"/>
  <c r="Q1271" s="1"/>
  <c r="J998"/>
  <c r="O998" s="1"/>
  <c r="J1052"/>
  <c r="O1052" s="1"/>
  <c r="J1132"/>
  <c r="P1132" s="1"/>
  <c r="J1158"/>
  <c r="O1158" s="1"/>
  <c r="J564"/>
  <c r="P564" s="1"/>
  <c r="J588"/>
  <c r="Q588" s="1"/>
  <c r="J610"/>
  <c r="P610" s="1"/>
  <c r="J630"/>
  <c r="O630" s="1"/>
  <c r="J650"/>
  <c r="O650" s="1"/>
  <c r="J670"/>
  <c r="P670" s="1"/>
  <c r="J690"/>
  <c r="O690" s="1"/>
  <c r="J710"/>
  <c r="O710" s="1"/>
  <c r="J730"/>
  <c r="P730" s="1"/>
  <c r="J750"/>
  <c r="Q750" s="1"/>
  <c r="J770"/>
  <c r="Q770" s="1"/>
  <c r="J790"/>
  <c r="O790" s="1"/>
  <c r="J810"/>
  <c r="P810" s="1"/>
  <c r="J830"/>
  <c r="P830" s="1"/>
  <c r="J850"/>
  <c r="P850" s="1"/>
  <c r="J870"/>
  <c r="P870" s="1"/>
  <c r="J892"/>
  <c r="Q892" s="1"/>
  <c r="J914"/>
  <c r="O914" s="1"/>
  <c r="J940"/>
  <c r="P940" s="1"/>
  <c r="J974"/>
  <c r="Q974" s="1"/>
  <c r="J1012"/>
  <c r="P1012" s="1"/>
  <c r="J1054"/>
  <c r="P1054" s="1"/>
  <c r="J1090"/>
  <c r="Q1090" s="1"/>
  <c r="J1136"/>
  <c r="O1136" s="1"/>
  <c r="J1182"/>
  <c r="O1182" s="1"/>
  <c r="J1238"/>
  <c r="Q1238" s="1"/>
  <c r="J1270"/>
  <c r="O1270" s="1"/>
  <c r="J576"/>
  <c r="O576" s="1"/>
  <c r="J608"/>
  <c r="O608" s="1"/>
  <c r="J648"/>
  <c r="P648" s="1"/>
  <c r="J672"/>
  <c r="Q672" s="1"/>
  <c r="J704"/>
  <c r="P704" s="1"/>
  <c r="J744"/>
  <c r="P744" s="1"/>
  <c r="J784"/>
  <c r="P784" s="1"/>
  <c r="J824"/>
  <c r="P824" s="1"/>
  <c r="J864"/>
  <c r="O864" s="1"/>
  <c r="J912"/>
  <c r="Q912" s="1"/>
  <c r="J936"/>
  <c r="P936" s="1"/>
  <c r="J992"/>
  <c r="O992" s="1"/>
  <c r="J1062"/>
  <c r="O1062" s="1"/>
  <c r="J1110"/>
  <c r="O1110" s="1"/>
  <c r="J1164"/>
  <c r="Q1164" s="1"/>
  <c r="J1190"/>
  <c r="P1190" s="1"/>
  <c r="J1228"/>
  <c r="O1228" s="1"/>
  <c r="P3"/>
  <c r="X3" s="1"/>
  <c r="J35"/>
  <c r="O35" s="1"/>
  <c r="J51"/>
  <c r="O51" s="1"/>
  <c r="J67"/>
  <c r="Q67" s="1"/>
  <c r="J83"/>
  <c r="P83" s="1"/>
  <c r="J99"/>
  <c r="O99" s="1"/>
  <c r="J115"/>
  <c r="O115" s="1"/>
  <c r="J131"/>
  <c r="P131" s="1"/>
  <c r="J203"/>
  <c r="Q203" s="1"/>
  <c r="P8"/>
  <c r="Y8" s="1"/>
  <c r="P4"/>
  <c r="Z4" s="1"/>
  <c r="J33"/>
  <c r="Q33" s="1"/>
  <c r="J41"/>
  <c r="O41" s="1"/>
  <c r="J49"/>
  <c r="Q49" s="1"/>
  <c r="J57"/>
  <c r="Q57" s="1"/>
  <c r="J65"/>
  <c r="Q65" s="1"/>
  <c r="J73"/>
  <c r="Q73" s="1"/>
  <c r="J81"/>
  <c r="Q81" s="1"/>
  <c r="J89"/>
  <c r="Q89" s="1"/>
  <c r="J97"/>
  <c r="Q97" s="1"/>
  <c r="J105"/>
  <c r="Q105" s="1"/>
  <c r="J113"/>
  <c r="Q113" s="1"/>
  <c r="J121"/>
  <c r="Q121" s="1"/>
  <c r="J129"/>
  <c r="Q129" s="1"/>
  <c r="J137"/>
  <c r="Q137" s="1"/>
  <c r="J145"/>
  <c r="Q145" s="1"/>
  <c r="J153"/>
  <c r="Q153" s="1"/>
  <c r="J161"/>
  <c r="Q161" s="1"/>
  <c r="J169"/>
  <c r="Q169" s="1"/>
  <c r="J177"/>
  <c r="Q177" s="1"/>
  <c r="J185"/>
  <c r="Q185" s="1"/>
  <c r="J193"/>
  <c r="Q193" s="1"/>
  <c r="J201"/>
  <c r="Q201" s="1"/>
  <c r="J211"/>
  <c r="O211" s="1"/>
  <c r="J219"/>
  <c r="Q219" s="1"/>
  <c r="J227"/>
  <c r="O227" s="1"/>
  <c r="J235"/>
  <c r="Q235" s="1"/>
  <c r="J243"/>
  <c r="O243" s="1"/>
  <c r="J36"/>
  <c r="P36" s="1"/>
  <c r="J44"/>
  <c r="P44" s="1"/>
  <c r="J52"/>
  <c r="O52" s="1"/>
  <c r="J60"/>
  <c r="P60" s="1"/>
  <c r="J68"/>
  <c r="O68" s="1"/>
  <c r="J76"/>
  <c r="Q76" s="1"/>
  <c r="J84"/>
  <c r="Q84" s="1"/>
  <c r="J92"/>
  <c r="P92" s="1"/>
  <c r="J100"/>
  <c r="Q100" s="1"/>
  <c r="J108"/>
  <c r="P108" s="1"/>
  <c r="J116"/>
  <c r="P116" s="1"/>
  <c r="J124"/>
  <c r="P124" s="1"/>
  <c r="J132"/>
  <c r="O132" s="1"/>
  <c r="J140"/>
  <c r="Q140" s="1"/>
  <c r="J148"/>
  <c r="O148" s="1"/>
  <c r="J156"/>
  <c r="P156" s="1"/>
  <c r="J164"/>
  <c r="P164" s="1"/>
  <c r="J172"/>
  <c r="P172" s="1"/>
  <c r="J180"/>
  <c r="P180" s="1"/>
  <c r="J188"/>
  <c r="Q188" s="1"/>
  <c r="J196"/>
  <c r="O196" s="1"/>
  <c r="J204"/>
  <c r="Q204" s="1"/>
  <c r="J212"/>
  <c r="P212" s="1"/>
  <c r="J220"/>
  <c r="Q220" s="1"/>
  <c r="J228"/>
  <c r="P228" s="1"/>
  <c r="J236"/>
  <c r="P236" s="1"/>
  <c r="J244"/>
  <c r="P244" s="1"/>
  <c r="J252"/>
  <c r="O252" s="1"/>
  <c r="J260"/>
  <c r="O260" s="1"/>
  <c r="J268"/>
  <c r="Q268" s="1"/>
  <c r="J276"/>
  <c r="O276" s="1"/>
  <c r="J284"/>
  <c r="O284" s="1"/>
  <c r="J292"/>
  <c r="P292" s="1"/>
  <c r="J300"/>
  <c r="Q300" s="1"/>
  <c r="J308"/>
  <c r="P308" s="1"/>
  <c r="J316"/>
  <c r="P316" s="1"/>
  <c r="J324"/>
  <c r="P324" s="1"/>
  <c r="J332"/>
  <c r="P332" s="1"/>
  <c r="J340"/>
  <c r="Q340" s="1"/>
  <c r="J348"/>
  <c r="Q348" s="1"/>
  <c r="J356"/>
  <c r="O356" s="1"/>
  <c r="J364"/>
  <c r="Q364" s="1"/>
  <c r="J372"/>
  <c r="P372" s="1"/>
  <c r="J380"/>
  <c r="Q380" s="1"/>
  <c r="J388"/>
  <c r="Q388" s="1"/>
  <c r="J396"/>
  <c r="P396" s="1"/>
  <c r="J404"/>
  <c r="P404" s="1"/>
  <c r="J412"/>
  <c r="O412" s="1"/>
  <c r="J420"/>
  <c r="Q420" s="1"/>
  <c r="J428"/>
  <c r="Q428" s="1"/>
  <c r="J436"/>
  <c r="O436" s="1"/>
  <c r="J444"/>
  <c r="O444" s="1"/>
  <c r="J452"/>
  <c r="P452" s="1"/>
  <c r="J460"/>
  <c r="P460" s="1"/>
  <c r="J468"/>
  <c r="Q468" s="1"/>
  <c r="J476"/>
  <c r="P476" s="1"/>
  <c r="J484"/>
  <c r="P484" s="1"/>
  <c r="J492"/>
  <c r="O492" s="1"/>
  <c r="J500"/>
  <c r="Q500" s="1"/>
  <c r="J508"/>
  <c r="O508" s="1"/>
  <c r="J516"/>
  <c r="P516" s="1"/>
  <c r="J524"/>
  <c r="O524" s="1"/>
  <c r="J532"/>
  <c r="P532" s="1"/>
  <c r="J540"/>
  <c r="P540" s="1"/>
  <c r="J255"/>
  <c r="P255" s="1"/>
  <c r="J263"/>
  <c r="Q263" s="1"/>
  <c r="J271"/>
  <c r="P271" s="1"/>
  <c r="J279"/>
  <c r="O279" s="1"/>
  <c r="J554"/>
  <c r="Q554" s="1"/>
  <c r="J566"/>
  <c r="O566" s="1"/>
  <c r="J586"/>
  <c r="O586" s="1"/>
  <c r="J606"/>
  <c r="P606" s="1"/>
  <c r="J628"/>
  <c r="P628" s="1"/>
  <c r="J652"/>
  <c r="O652" s="1"/>
  <c r="J674"/>
  <c r="O674" s="1"/>
  <c r="J698"/>
  <c r="Q698" s="1"/>
  <c r="J718"/>
  <c r="O718" s="1"/>
  <c r="J742"/>
  <c r="P742" s="1"/>
  <c r="J764"/>
  <c r="O764" s="1"/>
  <c r="J788"/>
  <c r="Q788" s="1"/>
  <c r="J812"/>
  <c r="P812" s="1"/>
  <c r="J836"/>
  <c r="Q836" s="1"/>
  <c r="J858"/>
  <c r="P858" s="1"/>
  <c r="J884"/>
  <c r="P884" s="1"/>
  <c r="J906"/>
  <c r="P906" s="1"/>
  <c r="J932"/>
  <c r="O932" s="1"/>
  <c r="J966"/>
  <c r="Q966" s="1"/>
  <c r="J1008"/>
  <c r="Q1008" s="1"/>
  <c r="J1048"/>
  <c r="P1048" s="1"/>
  <c r="J1092"/>
  <c r="Q1092" s="1"/>
  <c r="J1134"/>
  <c r="Q1134" s="1"/>
  <c r="J1176"/>
  <c r="P1176" s="1"/>
  <c r="J1220"/>
  <c r="O1220" s="1"/>
  <c r="J1256"/>
  <c r="P1256" s="1"/>
  <c r="J1006"/>
  <c r="P1006" s="1"/>
  <c r="J1050"/>
  <c r="P1050" s="1"/>
  <c r="J1098"/>
  <c r="O1098" s="1"/>
  <c r="J1140"/>
  <c r="P1140" s="1"/>
  <c r="J1178"/>
  <c r="O1178" s="1"/>
  <c r="J1216"/>
  <c r="P1216" s="1"/>
  <c r="J1250"/>
  <c r="P1250" s="1"/>
  <c r="J880"/>
  <c r="O880" s="1"/>
  <c r="J968"/>
  <c r="P968" s="1"/>
  <c r="J1014"/>
  <c r="P1014" s="1"/>
  <c r="J1078"/>
  <c r="O1078" s="1"/>
  <c r="J1126"/>
  <c r="Q1126" s="1"/>
  <c r="J1001"/>
  <c r="Q1001" s="1"/>
  <c r="J1021"/>
  <c r="P1021" s="1"/>
  <c r="J1045"/>
  <c r="P1045" s="1"/>
  <c r="J1065"/>
  <c r="Q1065" s="1"/>
  <c r="J1085"/>
  <c r="P1085" s="1"/>
  <c r="J1109"/>
  <c r="P1109" s="1"/>
  <c r="J1129"/>
  <c r="Q1129" s="1"/>
  <c r="J1149"/>
  <c r="P1149" s="1"/>
  <c r="J1173"/>
  <c r="O1173" s="1"/>
  <c r="J1193"/>
  <c r="P1193" s="1"/>
  <c r="J1213"/>
  <c r="P1213" s="1"/>
  <c r="J1233"/>
  <c r="O1233" s="1"/>
  <c r="J1249"/>
  <c r="O1249" s="1"/>
  <c r="J1265"/>
  <c r="P1265" s="1"/>
  <c r="J926"/>
  <c r="O926" s="1"/>
  <c r="J954"/>
  <c r="P954" s="1"/>
  <c r="J990"/>
  <c r="O990" s="1"/>
  <c r="J1032"/>
  <c r="P1032" s="1"/>
  <c r="J1074"/>
  <c r="O1074" s="1"/>
  <c r="J1114"/>
  <c r="P1114" s="1"/>
  <c r="J1162"/>
  <c r="Q1162" s="1"/>
  <c r="J1202"/>
  <c r="O1202" s="1"/>
  <c r="J1236"/>
  <c r="Q1236" s="1"/>
  <c r="J1264"/>
  <c r="O1264" s="1"/>
  <c r="J582"/>
  <c r="O582" s="1"/>
  <c r="J604"/>
  <c r="O604" s="1"/>
  <c r="J626"/>
  <c r="O626" s="1"/>
  <c r="J644"/>
  <c r="P644" s="1"/>
  <c r="J666"/>
  <c r="Q666" s="1"/>
  <c r="J684"/>
  <c r="Q684" s="1"/>
  <c r="J706"/>
  <c r="Q706" s="1"/>
  <c r="J726"/>
  <c r="Q726" s="1"/>
  <c r="J746"/>
  <c r="O746" s="1"/>
  <c r="J766"/>
  <c r="O766" s="1"/>
  <c r="J786"/>
  <c r="P786" s="1"/>
  <c r="J804"/>
  <c r="P804" s="1"/>
  <c r="J826"/>
  <c r="P826" s="1"/>
  <c r="J844"/>
  <c r="Q844" s="1"/>
  <c r="J866"/>
  <c r="O866" s="1"/>
  <c r="J886"/>
  <c r="P886" s="1"/>
  <c r="J908"/>
  <c r="P908" s="1"/>
  <c r="J930"/>
  <c r="P930" s="1"/>
  <c r="J964"/>
  <c r="O964" s="1"/>
  <c r="J1002"/>
  <c r="Q1002" s="1"/>
  <c r="J1044"/>
  <c r="O1044" s="1"/>
  <c r="J1082"/>
  <c r="Q1082" s="1"/>
  <c r="J1128"/>
  <c r="P1128" s="1"/>
  <c r="J1168"/>
  <c r="P1168" s="1"/>
  <c r="J1230"/>
  <c r="Q1230" s="1"/>
  <c r="J1262"/>
  <c r="P1262" s="1"/>
  <c r="J39"/>
  <c r="O39" s="1"/>
  <c r="J55"/>
  <c r="P55" s="1"/>
  <c r="J71"/>
  <c r="Q71" s="1"/>
  <c r="J87"/>
  <c r="P87" s="1"/>
  <c r="J103"/>
  <c r="O103" s="1"/>
  <c r="J119"/>
  <c r="O119" s="1"/>
  <c r="J135"/>
  <c r="O135" s="1"/>
  <c r="J151"/>
  <c r="O151" s="1"/>
  <c r="J167"/>
  <c r="Q167" s="1"/>
  <c r="J183"/>
  <c r="O183" s="1"/>
  <c r="J199"/>
  <c r="Q199" s="1"/>
  <c r="J217"/>
  <c r="Q217" s="1"/>
  <c r="J233"/>
  <c r="Q233" s="1"/>
  <c r="J249"/>
  <c r="Q249" s="1"/>
  <c r="J50"/>
  <c r="Q50" s="1"/>
  <c r="J66"/>
  <c r="O66" s="1"/>
  <c r="J82"/>
  <c r="P82" s="1"/>
  <c r="J98"/>
  <c r="O98" s="1"/>
  <c r="J114"/>
  <c r="Q114" s="1"/>
  <c r="J130"/>
  <c r="P130" s="1"/>
  <c r="J138"/>
  <c r="P138" s="1"/>
  <c r="J146"/>
  <c r="Q146" s="1"/>
  <c r="J154"/>
  <c r="O154" s="1"/>
  <c r="J162"/>
  <c r="P162" s="1"/>
  <c r="J170"/>
  <c r="P170" s="1"/>
  <c r="J178"/>
  <c r="O178" s="1"/>
  <c r="J186"/>
  <c r="O186" s="1"/>
  <c r="J194"/>
  <c r="P194" s="1"/>
  <c r="J202"/>
  <c r="O202" s="1"/>
  <c r="J210"/>
  <c r="Q210" s="1"/>
  <c r="J226"/>
  <c r="P226" s="1"/>
  <c r="J234"/>
  <c r="Q234" s="1"/>
  <c r="J242"/>
  <c r="O242" s="1"/>
  <c r="J250"/>
  <c r="O250" s="1"/>
  <c r="J258"/>
  <c r="P258" s="1"/>
  <c r="J266"/>
  <c r="Q266" s="1"/>
  <c r="J274"/>
  <c r="O274" s="1"/>
  <c r="J282"/>
  <c r="O282" s="1"/>
  <c r="J290"/>
  <c r="P290" s="1"/>
  <c r="J298"/>
  <c r="Q298" s="1"/>
  <c r="J306"/>
  <c r="O306" s="1"/>
  <c r="J314"/>
  <c r="O314" s="1"/>
  <c r="J322"/>
  <c r="P322" s="1"/>
  <c r="J330"/>
  <c r="Q330" s="1"/>
  <c r="J338"/>
  <c r="O338" s="1"/>
  <c r="J346"/>
  <c r="O346" s="1"/>
  <c r="J354"/>
  <c r="P354" s="1"/>
  <c r="J362"/>
  <c r="Q362" s="1"/>
  <c r="J370"/>
  <c r="O370" s="1"/>
  <c r="J378"/>
  <c r="O378" s="1"/>
  <c r="J386"/>
  <c r="O386" s="1"/>
  <c r="J394"/>
  <c r="Q394" s="1"/>
  <c r="J402"/>
  <c r="P402" s="1"/>
  <c r="J410"/>
  <c r="O410" s="1"/>
  <c r="J418"/>
  <c r="O418" s="1"/>
  <c r="J426"/>
  <c r="Q426" s="1"/>
  <c r="J434"/>
  <c r="P434" s="1"/>
  <c r="J442"/>
  <c r="O442" s="1"/>
  <c r="J450"/>
  <c r="O450" s="1"/>
  <c r="J458"/>
  <c r="Q458" s="1"/>
  <c r="J466"/>
  <c r="P466" s="1"/>
  <c r="J474"/>
  <c r="O474" s="1"/>
  <c r="J482"/>
  <c r="P482" s="1"/>
  <c r="J490"/>
  <c r="Q490" s="1"/>
  <c r="J498"/>
  <c r="O498" s="1"/>
  <c r="J506"/>
  <c r="P506" s="1"/>
  <c r="J514"/>
  <c r="P514" s="1"/>
  <c r="J522"/>
  <c r="O522" s="1"/>
  <c r="J530"/>
  <c r="O530" s="1"/>
  <c r="J538"/>
  <c r="P538" s="1"/>
  <c r="J546"/>
  <c r="P546" s="1"/>
  <c r="J253"/>
  <c r="Q253" s="1"/>
  <c r="J261"/>
  <c r="P261" s="1"/>
  <c r="J269"/>
  <c r="Q269" s="1"/>
  <c r="J277"/>
  <c r="O277" s="1"/>
  <c r="J283"/>
  <c r="Q283" s="1"/>
  <c r="J287"/>
  <c r="P287" s="1"/>
  <c r="J291"/>
  <c r="O291" s="1"/>
  <c r="J295"/>
  <c r="Q295" s="1"/>
  <c r="J299"/>
  <c r="Q299" s="1"/>
  <c r="J303"/>
  <c r="P303" s="1"/>
  <c r="J307"/>
  <c r="O307" s="1"/>
  <c r="J311"/>
  <c r="Q311" s="1"/>
  <c r="J315"/>
  <c r="Q315" s="1"/>
  <c r="J319"/>
  <c r="O319" s="1"/>
  <c r="J323"/>
  <c r="Q323" s="1"/>
  <c r="J327"/>
  <c r="P327" s="1"/>
  <c r="J331"/>
  <c r="Q331" s="1"/>
  <c r="J335"/>
  <c r="P335" s="1"/>
  <c r="J339"/>
  <c r="O339" s="1"/>
  <c r="J343"/>
  <c r="O343" s="1"/>
  <c r="J347"/>
  <c r="Q347" s="1"/>
  <c r="J351"/>
  <c r="P351" s="1"/>
  <c r="J355"/>
  <c r="O355" s="1"/>
  <c r="J359"/>
  <c r="O359" s="1"/>
  <c r="J363"/>
  <c r="Q363" s="1"/>
  <c r="J367"/>
  <c r="O367" s="1"/>
  <c r="J371"/>
  <c r="O371" s="1"/>
  <c r="J375"/>
  <c r="O375" s="1"/>
  <c r="J379"/>
  <c r="Q379" s="1"/>
  <c r="J383"/>
  <c r="P383" s="1"/>
  <c r="J387"/>
  <c r="P387" s="1"/>
  <c r="J391"/>
  <c r="Q391" s="1"/>
  <c r="J395"/>
  <c r="Q395" s="1"/>
  <c r="J399"/>
  <c r="P399" s="1"/>
  <c r="J403"/>
  <c r="O403" s="1"/>
  <c r="J407"/>
  <c r="O407" s="1"/>
  <c r="J411"/>
  <c r="Q411" s="1"/>
  <c r="J415"/>
  <c r="P415" s="1"/>
  <c r="J419"/>
  <c r="O419" s="1"/>
  <c r="J423"/>
  <c r="O423" s="1"/>
  <c r="J427"/>
  <c r="Q427" s="1"/>
  <c r="J431"/>
  <c r="Q431" s="1"/>
  <c r="J435"/>
  <c r="O435" s="1"/>
  <c r="J439"/>
  <c r="O439" s="1"/>
  <c r="J443"/>
  <c r="Q443" s="1"/>
  <c r="J447"/>
  <c r="O447" s="1"/>
  <c r="J451"/>
  <c r="O451" s="1"/>
  <c r="J455"/>
  <c r="O455" s="1"/>
  <c r="J459"/>
  <c r="Q459" s="1"/>
  <c r="J463"/>
  <c r="P463" s="1"/>
  <c r="J467"/>
  <c r="O467" s="1"/>
  <c r="J471"/>
  <c r="Q471" s="1"/>
  <c r="J475"/>
  <c r="Q475" s="1"/>
  <c r="J479"/>
  <c r="O479" s="1"/>
  <c r="J483"/>
  <c r="P483" s="1"/>
  <c r="J487"/>
  <c r="P487" s="1"/>
  <c r="J491"/>
  <c r="Q491" s="1"/>
  <c r="J495"/>
  <c r="O495" s="1"/>
  <c r="J499"/>
  <c r="P499" s="1"/>
  <c r="J503"/>
  <c r="O503" s="1"/>
  <c r="J507"/>
  <c r="Q507" s="1"/>
  <c r="J511"/>
  <c r="O511" s="1"/>
  <c r="J515"/>
  <c r="P515" s="1"/>
  <c r="J519"/>
  <c r="O519" s="1"/>
  <c r="J523"/>
  <c r="P523" s="1"/>
  <c r="J527"/>
  <c r="O527" s="1"/>
  <c r="J531"/>
  <c r="Q531" s="1"/>
  <c r="J535"/>
  <c r="Q535" s="1"/>
  <c r="J539"/>
  <c r="P539" s="1"/>
  <c r="J543"/>
  <c r="P543" s="1"/>
  <c r="J547"/>
  <c r="Q547" s="1"/>
  <c r="J551"/>
  <c r="O551" s="1"/>
  <c r="J555"/>
  <c r="O555" s="1"/>
  <c r="J559"/>
  <c r="O559" s="1"/>
  <c r="J563"/>
  <c r="Q563" s="1"/>
  <c r="J567"/>
  <c r="Q567" s="1"/>
  <c r="J571"/>
  <c r="O571" s="1"/>
  <c r="J575"/>
  <c r="P575" s="1"/>
  <c r="J579"/>
  <c r="O579" s="1"/>
  <c r="J583"/>
  <c r="O583" s="1"/>
  <c r="J587"/>
  <c r="Q587" s="1"/>
  <c r="J591"/>
  <c r="P591" s="1"/>
  <c r="J595"/>
  <c r="O595" s="1"/>
  <c r="J599"/>
  <c r="Q599" s="1"/>
  <c r="J603"/>
  <c r="O603" s="1"/>
  <c r="J607"/>
  <c r="Q607" s="1"/>
  <c r="J611"/>
  <c r="O611" s="1"/>
  <c r="J615"/>
  <c r="P615" s="1"/>
  <c r="J619"/>
  <c r="P619" s="1"/>
  <c r="J623"/>
  <c r="P623" s="1"/>
  <c r="J627"/>
  <c r="P627" s="1"/>
  <c r="J631"/>
  <c r="Q631" s="1"/>
  <c r="J635"/>
  <c r="P635" s="1"/>
  <c r="J639"/>
  <c r="O639" s="1"/>
  <c r="J643"/>
  <c r="P643" s="1"/>
  <c r="J647"/>
  <c r="P647" s="1"/>
  <c r="J651"/>
  <c r="O651" s="1"/>
  <c r="J655"/>
  <c r="O655" s="1"/>
  <c r="J659"/>
  <c r="P659" s="1"/>
  <c r="J663"/>
  <c r="P663" s="1"/>
  <c r="J667"/>
  <c r="P667" s="1"/>
  <c r="J671"/>
  <c r="P671" s="1"/>
  <c r="J675"/>
  <c r="P675" s="1"/>
  <c r="J679"/>
  <c r="O679" s="1"/>
  <c r="J683"/>
  <c r="Q683" s="1"/>
  <c r="J687"/>
  <c r="P687" s="1"/>
  <c r="J691"/>
  <c r="P691" s="1"/>
  <c r="J695"/>
  <c r="P695" s="1"/>
  <c r="J699"/>
  <c r="O699" s="1"/>
  <c r="J703"/>
  <c r="P703" s="1"/>
  <c r="J707"/>
  <c r="P707" s="1"/>
  <c r="J711"/>
  <c r="O711" s="1"/>
  <c r="J715"/>
  <c r="P715" s="1"/>
  <c r="J719"/>
  <c r="P719" s="1"/>
  <c r="J723"/>
  <c r="Q723" s="1"/>
  <c r="J727"/>
  <c r="P727" s="1"/>
  <c r="J731"/>
  <c r="Q731" s="1"/>
  <c r="J735"/>
  <c r="Q735" s="1"/>
  <c r="J739"/>
  <c r="Q739" s="1"/>
  <c r="J743"/>
  <c r="O743" s="1"/>
  <c r="J747"/>
  <c r="P747" s="1"/>
  <c r="J751"/>
  <c r="O751" s="1"/>
  <c r="J755"/>
  <c r="Q755" s="1"/>
  <c r="J759"/>
  <c r="O759" s="1"/>
  <c r="J763"/>
  <c r="P763" s="1"/>
  <c r="J767"/>
  <c r="O767" s="1"/>
  <c r="J771"/>
  <c r="O771" s="1"/>
  <c r="J775"/>
  <c r="P775" s="1"/>
  <c r="J779"/>
  <c r="O779" s="1"/>
  <c r="J783"/>
  <c r="Q783" s="1"/>
  <c r="J787"/>
  <c r="O787" s="1"/>
  <c r="J791"/>
  <c r="O791" s="1"/>
  <c r="J550"/>
  <c r="P550" s="1"/>
  <c r="J562"/>
  <c r="Q562" s="1"/>
  <c r="J580"/>
  <c r="P580" s="1"/>
  <c r="J602"/>
  <c r="O602" s="1"/>
  <c r="J622"/>
  <c r="O622" s="1"/>
  <c r="J646"/>
  <c r="O646" s="1"/>
  <c r="J668"/>
  <c r="P668" s="1"/>
  <c r="J692"/>
  <c r="Q692" s="1"/>
  <c r="J714"/>
  <c r="O714" s="1"/>
  <c r="J738"/>
  <c r="Q738" s="1"/>
  <c r="J758"/>
  <c r="O758" s="1"/>
  <c r="J782"/>
  <c r="Q782" s="1"/>
  <c r="J806"/>
  <c r="P806" s="1"/>
  <c r="J828"/>
  <c r="Q828" s="1"/>
  <c r="J852"/>
  <c r="P852" s="1"/>
  <c r="J876"/>
  <c r="P876" s="1"/>
  <c r="J900"/>
  <c r="O900" s="1"/>
  <c r="J924"/>
  <c r="P924" s="1"/>
  <c r="J956"/>
  <c r="P956" s="1"/>
  <c r="J996"/>
  <c r="O996" s="1"/>
  <c r="J1038"/>
  <c r="Q1038" s="1"/>
  <c r="J1080"/>
  <c r="P1080" s="1"/>
  <c r="J1122"/>
  <c r="O1122" s="1"/>
  <c r="J1166"/>
  <c r="P1166" s="1"/>
  <c r="J1210"/>
  <c r="Q1210" s="1"/>
  <c r="J1248"/>
  <c r="O1248" s="1"/>
  <c r="J560"/>
  <c r="P560" s="1"/>
  <c r="J584"/>
  <c r="O584" s="1"/>
  <c r="J616"/>
  <c r="P616" s="1"/>
  <c r="J640"/>
  <c r="Q640" s="1"/>
  <c r="J680"/>
  <c r="Q680" s="1"/>
  <c r="J712"/>
  <c r="P712" s="1"/>
  <c r="J736"/>
  <c r="P736" s="1"/>
  <c r="J768"/>
  <c r="P768" s="1"/>
  <c r="J792"/>
  <c r="P792" s="1"/>
  <c r="J816"/>
  <c r="O816" s="1"/>
  <c r="J840"/>
  <c r="P840" s="1"/>
  <c r="J872"/>
  <c r="P872" s="1"/>
  <c r="J904"/>
  <c r="P904" s="1"/>
  <c r="J944"/>
  <c r="O944" s="1"/>
  <c r="J1046"/>
  <c r="P1046" s="1"/>
  <c r="J1142"/>
  <c r="P1142" s="1"/>
  <c r="J1206"/>
  <c r="O1206" s="1"/>
  <c r="J988"/>
  <c r="P988" s="1"/>
  <c r="J1040"/>
  <c r="O1040" s="1"/>
  <c r="J1086"/>
  <c r="P1086" s="1"/>
  <c r="J1130"/>
  <c r="O1130" s="1"/>
  <c r="J1170"/>
  <c r="P1170" s="1"/>
  <c r="J1204"/>
  <c r="P1204" s="1"/>
  <c r="J1242"/>
  <c r="P1242" s="1"/>
  <c r="J997"/>
  <c r="Q997" s="1"/>
  <c r="J1017"/>
  <c r="Q1017" s="1"/>
  <c r="J1037"/>
  <c r="O1037" s="1"/>
  <c r="J1061"/>
  <c r="O1061" s="1"/>
  <c r="J1081"/>
  <c r="Q1081" s="1"/>
  <c r="J1101"/>
  <c r="O1101" s="1"/>
  <c r="J1125"/>
  <c r="P1125" s="1"/>
  <c r="J1145"/>
  <c r="Q1145" s="1"/>
  <c r="J1165"/>
  <c r="O1165" s="1"/>
  <c r="J1189"/>
  <c r="P1189" s="1"/>
  <c r="J1209"/>
  <c r="O1209" s="1"/>
  <c r="J1229"/>
  <c r="Q1229" s="1"/>
  <c r="J1245"/>
  <c r="O1245" s="1"/>
  <c r="J1261"/>
  <c r="P1261" s="1"/>
  <c r="J878"/>
  <c r="Q878" s="1"/>
  <c r="J950"/>
  <c r="O950" s="1"/>
  <c r="J980"/>
  <c r="P980" s="1"/>
  <c r="J1024"/>
  <c r="O1024" s="1"/>
  <c r="J1064"/>
  <c r="P1064" s="1"/>
  <c r="J1106"/>
  <c r="P1106" s="1"/>
  <c r="J1152"/>
  <c r="Q1152" s="1"/>
  <c r="J1192"/>
  <c r="P1192" s="1"/>
  <c r="J1226"/>
  <c r="O1226" s="1"/>
  <c r="J1258"/>
  <c r="P1258" s="1"/>
  <c r="J795"/>
  <c r="O795" s="1"/>
  <c r="J799"/>
  <c r="P799" s="1"/>
  <c r="J803"/>
  <c r="O803" s="1"/>
  <c r="J807"/>
  <c r="O807" s="1"/>
  <c r="J811"/>
  <c r="P811" s="1"/>
  <c r="J815"/>
  <c r="Q815" s="1"/>
  <c r="J819"/>
  <c r="O819" s="1"/>
  <c r="J823"/>
  <c r="O823" s="1"/>
  <c r="J827"/>
  <c r="P827" s="1"/>
  <c r="J831"/>
  <c r="O831" s="1"/>
  <c r="J835"/>
  <c r="P835" s="1"/>
  <c r="J839"/>
  <c r="Q839" s="1"/>
  <c r="J843"/>
  <c r="Q843" s="1"/>
  <c r="J847"/>
  <c r="Q847" s="1"/>
  <c r="J851"/>
  <c r="P851" s="1"/>
  <c r="J855"/>
  <c r="P855" s="1"/>
  <c r="J859"/>
  <c r="O859" s="1"/>
  <c r="J863"/>
  <c r="O863" s="1"/>
  <c r="J867"/>
  <c r="P867" s="1"/>
  <c r="J871"/>
  <c r="O871" s="1"/>
  <c r="J875"/>
  <c r="P875" s="1"/>
  <c r="J879"/>
  <c r="Q879" s="1"/>
  <c r="J883"/>
  <c r="P883" s="1"/>
  <c r="J887"/>
  <c r="O887" s="1"/>
  <c r="J891"/>
  <c r="P891" s="1"/>
  <c r="J895"/>
  <c r="P895" s="1"/>
  <c r="J899"/>
  <c r="Q899" s="1"/>
  <c r="J903"/>
  <c r="Q903" s="1"/>
  <c r="J907"/>
  <c r="Q907" s="1"/>
  <c r="J911"/>
  <c r="Q911" s="1"/>
  <c r="J915"/>
  <c r="P915" s="1"/>
  <c r="J919"/>
  <c r="P919" s="1"/>
  <c r="J923"/>
  <c r="O923" s="1"/>
  <c r="J927"/>
  <c r="P927" s="1"/>
  <c r="J931"/>
  <c r="P931" s="1"/>
  <c r="J935"/>
  <c r="Q935" s="1"/>
  <c r="J939"/>
  <c r="P939" s="1"/>
  <c r="J943"/>
  <c r="O943" s="1"/>
  <c r="J947"/>
  <c r="P947" s="1"/>
  <c r="J951"/>
  <c r="P951" s="1"/>
  <c r="J955"/>
  <c r="P955" s="1"/>
  <c r="J959"/>
  <c r="O959" s="1"/>
  <c r="J963"/>
  <c r="O963" s="1"/>
  <c r="J967"/>
  <c r="O967" s="1"/>
  <c r="J971"/>
  <c r="O971" s="1"/>
  <c r="J975"/>
  <c r="Q975" s="1"/>
  <c r="J979"/>
  <c r="P979" s="1"/>
  <c r="J983"/>
  <c r="O983" s="1"/>
  <c r="J987"/>
  <c r="P987" s="1"/>
  <c r="J991"/>
  <c r="O991" s="1"/>
  <c r="J995"/>
  <c r="P995" s="1"/>
  <c r="J1003"/>
  <c r="P1003" s="1"/>
  <c r="J1009"/>
  <c r="Q1009" s="1"/>
  <c r="J1015"/>
  <c r="Q1015" s="1"/>
  <c r="J1023"/>
  <c r="O1023" s="1"/>
  <c r="J1027"/>
  <c r="P1027" s="1"/>
  <c r="J1035"/>
  <c r="O1035" s="1"/>
  <c r="J1041"/>
  <c r="Q1041" s="1"/>
  <c r="J1047"/>
  <c r="Q1047" s="1"/>
  <c r="J1055"/>
  <c r="P1055" s="1"/>
  <c r="J1059"/>
  <c r="P1059" s="1"/>
  <c r="J1067"/>
  <c r="P1067" s="1"/>
  <c r="J1073"/>
  <c r="Q1073" s="1"/>
  <c r="J1079"/>
  <c r="P1079" s="1"/>
  <c r="J1087"/>
  <c r="O1087" s="1"/>
  <c r="J1091"/>
  <c r="P1091" s="1"/>
  <c r="J1099"/>
  <c r="O1099" s="1"/>
  <c r="J1105"/>
  <c r="Q1105" s="1"/>
  <c r="J1111"/>
  <c r="O1111" s="1"/>
  <c r="J1119"/>
  <c r="O1119" s="1"/>
  <c r="J1123"/>
  <c r="Q1123" s="1"/>
  <c r="J1131"/>
  <c r="P1131" s="1"/>
  <c r="J1137"/>
  <c r="Q1137" s="1"/>
  <c r="J1143"/>
  <c r="P1143" s="1"/>
  <c r="J1151"/>
  <c r="P1151" s="1"/>
  <c r="J1155"/>
  <c r="P1155" s="1"/>
  <c r="J1163"/>
  <c r="P1163" s="1"/>
  <c r="J1169"/>
  <c r="Q1169" s="1"/>
  <c r="J1175"/>
  <c r="P1175" s="1"/>
  <c r="J1183"/>
  <c r="P1183" s="1"/>
  <c r="J1187"/>
  <c r="O1187" s="1"/>
  <c r="J1195"/>
  <c r="P1195" s="1"/>
  <c r="J1201"/>
  <c r="P1201" s="1"/>
  <c r="J1207"/>
  <c r="O1207" s="1"/>
  <c r="J1215"/>
  <c r="Q1215" s="1"/>
  <c r="J1219"/>
  <c r="Q1219" s="1"/>
  <c r="J1227"/>
  <c r="P1227" s="1"/>
  <c r="J1235"/>
  <c r="O1235" s="1"/>
  <c r="J1243"/>
  <c r="P1243" s="1"/>
  <c r="J1251"/>
  <c r="Q1251" s="1"/>
  <c r="J1259"/>
  <c r="P1259" s="1"/>
  <c r="J1267"/>
  <c r="Q1267" s="1"/>
  <c r="J984"/>
  <c r="P984" s="1"/>
  <c r="J1020"/>
  <c r="P1020" s="1"/>
  <c r="J1084"/>
  <c r="P1084" s="1"/>
  <c r="J1148"/>
  <c r="P1148" s="1"/>
  <c r="J1180"/>
  <c r="Q1180" s="1"/>
  <c r="J578"/>
  <c r="P578" s="1"/>
  <c r="J598"/>
  <c r="O598" s="1"/>
  <c r="J620"/>
  <c r="O620" s="1"/>
  <c r="J638"/>
  <c r="Q638" s="1"/>
  <c r="J660"/>
  <c r="Q660" s="1"/>
  <c r="J678"/>
  <c r="Q678" s="1"/>
  <c r="J700"/>
  <c r="P700" s="1"/>
  <c r="J722"/>
  <c r="P722" s="1"/>
  <c r="J740"/>
  <c r="P740" s="1"/>
  <c r="J762"/>
  <c r="O762" s="1"/>
  <c r="J780"/>
  <c r="O780" s="1"/>
  <c r="J798"/>
  <c r="Q798" s="1"/>
  <c r="J820"/>
  <c r="P820" s="1"/>
  <c r="J838"/>
  <c r="P838" s="1"/>
  <c r="J860"/>
  <c r="P860" s="1"/>
  <c r="J882"/>
  <c r="Q882" s="1"/>
  <c r="J902"/>
  <c r="O902" s="1"/>
  <c r="J922"/>
  <c r="P922" s="1"/>
  <c r="J958"/>
  <c r="O958" s="1"/>
  <c r="J994"/>
  <c r="O994" s="1"/>
  <c r="J1034"/>
  <c r="P1034" s="1"/>
  <c r="J1076"/>
  <c r="P1076" s="1"/>
  <c r="J1120"/>
  <c r="O1120" s="1"/>
  <c r="J1154"/>
  <c r="Q1154" s="1"/>
  <c r="J1214"/>
  <c r="Q1214" s="1"/>
  <c r="J1254"/>
  <c r="O1254" s="1"/>
  <c r="J552"/>
  <c r="P552" s="1"/>
  <c r="J592"/>
  <c r="P592" s="1"/>
  <c r="J624"/>
  <c r="P624" s="1"/>
  <c r="J664"/>
  <c r="P664" s="1"/>
  <c r="J688"/>
  <c r="Q688" s="1"/>
  <c r="J720"/>
  <c r="Q720" s="1"/>
  <c r="J760"/>
  <c r="P760" s="1"/>
  <c r="J808"/>
  <c r="P808" s="1"/>
  <c r="J848"/>
  <c r="Q848" s="1"/>
  <c r="J896"/>
  <c r="O896" s="1"/>
  <c r="J928"/>
  <c r="O928" s="1"/>
  <c r="J952"/>
  <c r="P952" s="1"/>
  <c r="J1030"/>
  <c r="Q1030" s="1"/>
  <c r="J1100"/>
  <c r="O1100" s="1"/>
  <c r="J1116"/>
  <c r="P1116" s="1"/>
  <c r="J1174"/>
  <c r="P1174" s="1"/>
  <c r="J1222"/>
  <c r="O1222" s="1"/>
  <c r="P5"/>
  <c r="R5" s="1"/>
  <c r="W5" s="1"/>
  <c r="J47"/>
  <c r="O47" s="1"/>
  <c r="J63"/>
  <c r="O63" s="1"/>
  <c r="J79"/>
  <c r="Q79" s="1"/>
  <c r="J95"/>
  <c r="Q95" s="1"/>
  <c r="J111"/>
  <c r="O111" s="1"/>
  <c r="J127"/>
  <c r="O127" s="1"/>
  <c r="J143"/>
  <c r="Q143" s="1"/>
  <c r="J159"/>
  <c r="P159" s="1"/>
  <c r="J175"/>
  <c r="Q175" s="1"/>
  <c r="J191"/>
  <c r="Q191" s="1"/>
  <c r="J209"/>
  <c r="Q209" s="1"/>
  <c r="J225"/>
  <c r="Q225" s="1"/>
  <c r="J241"/>
  <c r="Q241" s="1"/>
  <c r="J34"/>
  <c r="O34" s="1"/>
  <c r="J42"/>
  <c r="P42" s="1"/>
  <c r="J58"/>
  <c r="O58" s="1"/>
  <c r="J74"/>
  <c r="P74" s="1"/>
  <c r="J90"/>
  <c r="O90" s="1"/>
  <c r="J106"/>
  <c r="P106" s="1"/>
  <c r="J122"/>
  <c r="O122" s="1"/>
  <c r="J218"/>
  <c r="O218" s="1"/>
  <c r="P6"/>
  <c r="X6" s="1"/>
  <c r="J37"/>
  <c r="Q37" s="1"/>
  <c r="J45"/>
  <c r="Q45" s="1"/>
  <c r="J53"/>
  <c r="Q53" s="1"/>
  <c r="J61"/>
  <c r="Q61" s="1"/>
  <c r="J69"/>
  <c r="Q69" s="1"/>
  <c r="J77"/>
  <c r="Q77" s="1"/>
  <c r="J85"/>
  <c r="P85" s="1"/>
  <c r="J93"/>
  <c r="Q93" s="1"/>
  <c r="J101"/>
  <c r="Q101" s="1"/>
  <c r="J109"/>
  <c r="Q109" s="1"/>
  <c r="J117"/>
  <c r="Q117" s="1"/>
  <c r="J125"/>
  <c r="Q125" s="1"/>
  <c r="J133"/>
  <c r="P133" s="1"/>
  <c r="J141"/>
  <c r="Q141" s="1"/>
  <c r="J149"/>
  <c r="O149" s="1"/>
  <c r="J157"/>
  <c r="Q157" s="1"/>
  <c r="J165"/>
  <c r="O165" s="1"/>
  <c r="J173"/>
  <c r="Q173" s="1"/>
  <c r="J181"/>
  <c r="P181" s="1"/>
  <c r="J189"/>
  <c r="Q189" s="1"/>
  <c r="J197"/>
  <c r="Q197" s="1"/>
  <c r="J205"/>
  <c r="Q205" s="1"/>
  <c r="J215"/>
  <c r="P215" s="1"/>
  <c r="J223"/>
  <c r="O223" s="1"/>
  <c r="J231"/>
  <c r="Q231" s="1"/>
  <c r="J239"/>
  <c r="P239" s="1"/>
  <c r="J247"/>
  <c r="Q247" s="1"/>
  <c r="J32"/>
  <c r="P32" s="1"/>
  <c r="J40"/>
  <c r="Q40" s="1"/>
  <c r="J48"/>
  <c r="O48" s="1"/>
  <c r="J56"/>
  <c r="P56" s="1"/>
  <c r="J64"/>
  <c r="P64" s="1"/>
  <c r="J72"/>
  <c r="O72" s="1"/>
  <c r="J80"/>
  <c r="O80" s="1"/>
  <c r="J88"/>
  <c r="Q88" s="1"/>
  <c r="J96"/>
  <c r="P96" s="1"/>
  <c r="J104"/>
  <c r="P104" s="1"/>
  <c r="J112"/>
  <c r="O112" s="1"/>
  <c r="J120"/>
  <c r="P120" s="1"/>
  <c r="J128"/>
  <c r="P128" s="1"/>
  <c r="J136"/>
  <c r="P136" s="1"/>
  <c r="J144"/>
  <c r="O144" s="1"/>
  <c r="J152"/>
  <c r="O152" s="1"/>
  <c r="J160"/>
  <c r="P160" s="1"/>
  <c r="J168"/>
  <c r="P168" s="1"/>
  <c r="J176"/>
  <c r="O176" s="1"/>
  <c r="J184"/>
  <c r="P184" s="1"/>
  <c r="J192"/>
  <c r="P192" s="1"/>
  <c r="J200"/>
  <c r="Q200" s="1"/>
  <c r="J208"/>
  <c r="O208" s="1"/>
  <c r="J216"/>
  <c r="O216" s="1"/>
  <c r="J224"/>
  <c r="P224" s="1"/>
  <c r="J232"/>
  <c r="O232" s="1"/>
  <c r="J240"/>
  <c r="O240" s="1"/>
  <c r="J248"/>
  <c r="Q248" s="1"/>
  <c r="J256"/>
  <c r="P256" s="1"/>
  <c r="J264"/>
  <c r="P264" s="1"/>
  <c r="J272"/>
  <c r="O272" s="1"/>
  <c r="J280"/>
  <c r="P280" s="1"/>
  <c r="J288"/>
  <c r="P288" s="1"/>
  <c r="J296"/>
  <c r="O296" s="1"/>
  <c r="J304"/>
  <c r="O304" s="1"/>
  <c r="J312"/>
  <c r="P312" s="1"/>
  <c r="J320"/>
  <c r="P320" s="1"/>
  <c r="J328"/>
  <c r="P328" s="1"/>
  <c r="J336"/>
  <c r="O336" s="1"/>
  <c r="J344"/>
  <c r="P344" s="1"/>
  <c r="J352"/>
  <c r="P352" s="1"/>
  <c r="J360"/>
  <c r="O360" s="1"/>
  <c r="J368"/>
  <c r="O368" s="1"/>
  <c r="J376"/>
  <c r="P376" s="1"/>
  <c r="J384"/>
  <c r="P384" s="1"/>
  <c r="J392"/>
  <c r="O392" s="1"/>
  <c r="J400"/>
  <c r="O400" s="1"/>
  <c r="J408"/>
  <c r="P408" s="1"/>
  <c r="J416"/>
  <c r="P416" s="1"/>
  <c r="J424"/>
  <c r="O424" s="1"/>
  <c r="J432"/>
  <c r="O432" s="1"/>
  <c r="J440"/>
  <c r="P440" s="1"/>
  <c r="J448"/>
  <c r="P448" s="1"/>
  <c r="J456"/>
  <c r="P456" s="1"/>
  <c r="J464"/>
  <c r="O464" s="1"/>
  <c r="J472"/>
  <c r="P472" s="1"/>
  <c r="J480"/>
  <c r="P480" s="1"/>
  <c r="J488"/>
  <c r="O488" s="1"/>
  <c r="J496"/>
  <c r="O496" s="1"/>
  <c r="J504"/>
  <c r="Q504" s="1"/>
  <c r="J512"/>
  <c r="P512" s="1"/>
  <c r="J520"/>
  <c r="O520" s="1"/>
  <c r="J528"/>
  <c r="O528" s="1"/>
  <c r="J536"/>
  <c r="P536" s="1"/>
  <c r="J544"/>
  <c r="O544" s="1"/>
  <c r="J251"/>
  <c r="Q251" s="1"/>
  <c r="J259"/>
  <c r="P259" s="1"/>
  <c r="J267"/>
  <c r="Q267" s="1"/>
  <c r="J275"/>
  <c r="O275" s="1"/>
  <c r="J548"/>
  <c r="O548" s="1"/>
  <c r="J558"/>
  <c r="O558" s="1"/>
  <c r="J574"/>
  <c r="O574" s="1"/>
  <c r="J596"/>
  <c r="P596" s="1"/>
  <c r="J618"/>
  <c r="O618" s="1"/>
  <c r="J642"/>
  <c r="O642" s="1"/>
  <c r="J662"/>
  <c r="Q662" s="1"/>
  <c r="J686"/>
  <c r="P686" s="1"/>
  <c r="J708"/>
  <c r="Q708" s="1"/>
  <c r="J732"/>
  <c r="P732" s="1"/>
  <c r="J754"/>
  <c r="P754" s="1"/>
  <c r="J778"/>
  <c r="O778" s="1"/>
  <c r="J802"/>
  <c r="P802" s="1"/>
  <c r="J822"/>
  <c r="P822" s="1"/>
  <c r="J846"/>
  <c r="O846" s="1"/>
  <c r="J868"/>
  <c r="P868" s="1"/>
  <c r="J894"/>
  <c r="P894" s="1"/>
  <c r="J916"/>
  <c r="Q916" s="1"/>
  <c r="J948"/>
  <c r="Q948" s="1"/>
  <c r="J986"/>
  <c r="O986" s="1"/>
  <c r="J1026"/>
  <c r="O1026" s="1"/>
  <c r="J1072"/>
  <c r="P1072" s="1"/>
  <c r="J1112"/>
  <c r="P1112" s="1"/>
  <c r="J1156"/>
  <c r="O1156" s="1"/>
  <c r="J1200"/>
  <c r="Q1200" s="1"/>
  <c r="J1240"/>
  <c r="P1240" s="1"/>
  <c r="J970"/>
  <c r="Q970" s="1"/>
  <c r="J1028"/>
  <c r="P1028" s="1"/>
  <c r="J1070"/>
  <c r="Q1070" s="1"/>
  <c r="J1118"/>
  <c r="P1118" s="1"/>
  <c r="J1160"/>
  <c r="P1160" s="1"/>
  <c r="J1198"/>
  <c r="O1198" s="1"/>
  <c r="J1234"/>
  <c r="P1234" s="1"/>
  <c r="J1266"/>
  <c r="O1266" s="1"/>
  <c r="J960"/>
  <c r="P960" s="1"/>
  <c r="J1004"/>
  <c r="P1004" s="1"/>
  <c r="J1036"/>
  <c r="O1036" s="1"/>
  <c r="J1094"/>
  <c r="P1094" s="1"/>
  <c r="J1212"/>
  <c r="O1212" s="1"/>
  <c r="J1013"/>
  <c r="O1013" s="1"/>
  <c r="J1033"/>
  <c r="Q1033" s="1"/>
  <c r="J1053"/>
  <c r="P1053" s="1"/>
  <c r="J1077"/>
  <c r="Q1077" s="1"/>
  <c r="J1097"/>
  <c r="Q1097" s="1"/>
  <c r="J1117"/>
  <c r="P1117" s="1"/>
  <c r="J1141"/>
  <c r="P1141" s="1"/>
  <c r="J1161"/>
  <c r="Q1161" s="1"/>
  <c r="J1181"/>
  <c r="P1181" s="1"/>
  <c r="J1205"/>
  <c r="O1205" s="1"/>
  <c r="J1225"/>
  <c r="Q1225" s="1"/>
  <c r="J1241"/>
  <c r="O1241" s="1"/>
  <c r="J1257"/>
  <c r="O1257" s="1"/>
  <c r="J942"/>
  <c r="O942" s="1"/>
  <c r="J972"/>
  <c r="Q972" s="1"/>
  <c r="J1010"/>
  <c r="O1010" s="1"/>
  <c r="J1056"/>
  <c r="O1056" s="1"/>
  <c r="J1096"/>
  <c r="P1096" s="1"/>
  <c r="J1138"/>
  <c r="P1138" s="1"/>
  <c r="J1184"/>
  <c r="P1184" s="1"/>
  <c r="J1218"/>
  <c r="P1218" s="1"/>
  <c r="J1252"/>
  <c r="Q1252" s="1"/>
  <c r="J572"/>
  <c r="O572" s="1"/>
  <c r="J594"/>
  <c r="P594" s="1"/>
  <c r="J614"/>
  <c r="Q614" s="1"/>
  <c r="J634"/>
  <c r="P634" s="1"/>
  <c r="J654"/>
  <c r="P654" s="1"/>
  <c r="J676"/>
  <c r="Q676" s="1"/>
  <c r="J694"/>
  <c r="O694" s="1"/>
  <c r="J716"/>
  <c r="Q716" s="1"/>
  <c r="J734"/>
  <c r="O734" s="1"/>
  <c r="J756"/>
  <c r="P756" s="1"/>
  <c r="J774"/>
  <c r="O774" s="1"/>
  <c r="J794"/>
  <c r="O794" s="1"/>
  <c r="J814"/>
  <c r="O814" s="1"/>
  <c r="J834"/>
  <c r="O834" s="1"/>
  <c r="J854"/>
  <c r="P854" s="1"/>
  <c r="J874"/>
  <c r="P874" s="1"/>
  <c r="J898"/>
  <c r="O898" s="1"/>
  <c r="J918"/>
  <c r="P918" s="1"/>
  <c r="J946"/>
  <c r="Q946" s="1"/>
  <c r="J982"/>
  <c r="O982" s="1"/>
  <c r="J1022"/>
  <c r="O1022" s="1"/>
  <c r="J1066"/>
  <c r="P1066" s="1"/>
  <c r="J1104"/>
  <c r="P1104" s="1"/>
  <c r="J1144"/>
  <c r="P1144" s="1"/>
  <c r="J1194"/>
  <c r="P1194" s="1"/>
  <c r="AA22"/>
  <c r="Z35"/>
  <c r="W22"/>
  <c r="P1404" l="1"/>
  <c r="O1404"/>
  <c r="O1456"/>
  <c r="O1432"/>
  <c r="P1315"/>
  <c r="P1454"/>
  <c r="O1455"/>
  <c r="O1306"/>
  <c r="P1246"/>
  <c r="P1396"/>
  <c r="O1436"/>
  <c r="O1440"/>
  <c r="O1476"/>
  <c r="Q222"/>
  <c r="P389"/>
  <c r="O421"/>
  <c r="O124"/>
  <c r="O1246"/>
  <c r="P1458"/>
  <c r="P1456"/>
  <c r="P1432"/>
  <c r="P1457"/>
  <c r="P1468"/>
  <c r="O286"/>
  <c r="O800"/>
  <c r="Q414"/>
  <c r="P1255"/>
  <c r="P213"/>
  <c r="P897"/>
  <c r="O510"/>
  <c r="P126"/>
  <c r="Q597"/>
  <c r="P485"/>
  <c r="O1448"/>
  <c r="O1464"/>
  <c r="P1307"/>
  <c r="O1421"/>
  <c r="P1323"/>
  <c r="P1421"/>
  <c r="P1436"/>
  <c r="O1315"/>
  <c r="P1440"/>
  <c r="O1428"/>
  <c r="P1476"/>
  <c r="P1388"/>
  <c r="Q1307"/>
  <c r="P1428"/>
  <c r="P513"/>
  <c r="P1448"/>
  <c r="O1454"/>
  <c r="P1306"/>
  <c r="O1453"/>
  <c r="O1396"/>
  <c r="P1455"/>
  <c r="O1472"/>
  <c r="P1121"/>
  <c r="O414"/>
  <c r="Q158"/>
  <c r="Q629"/>
  <c r="P565"/>
  <c r="P914"/>
  <c r="P318"/>
  <c r="P62"/>
  <c r="P693"/>
  <c r="O772"/>
  <c r="Q309"/>
  <c r="Q1042"/>
  <c r="Q1071"/>
  <c r="P446"/>
  <c r="Q350"/>
  <c r="P254"/>
  <c r="O158"/>
  <c r="Q94"/>
  <c r="O113"/>
  <c r="O725"/>
  <c r="O1269"/>
  <c r="P293"/>
  <c r="O357"/>
  <c r="P171"/>
  <c r="P1197"/>
  <c r="O222"/>
  <c r="Q1146"/>
  <c r="Q1176"/>
  <c r="O977"/>
  <c r="P478"/>
  <c r="O350"/>
  <c r="R350" s="1"/>
  <c r="Q286"/>
  <c r="P190"/>
  <c r="O94"/>
  <c r="R94" s="1"/>
  <c r="P849"/>
  <c r="Q1188"/>
  <c r="O325"/>
  <c r="Q373"/>
  <c r="P405"/>
  <c r="O1335"/>
  <c r="Q404"/>
  <c r="O481"/>
  <c r="O199"/>
  <c r="O482"/>
  <c r="P123"/>
  <c r="O966"/>
  <c r="Q1253"/>
  <c r="Q532"/>
  <c r="O737"/>
  <c r="O968"/>
  <c r="Q775"/>
  <c r="P52"/>
  <c r="P1247"/>
  <c r="Q877"/>
  <c r="Q582"/>
  <c r="O1134"/>
  <c r="P214"/>
  <c r="O1006"/>
  <c r="P195"/>
  <c r="O1089"/>
  <c r="P186"/>
  <c r="Q276"/>
  <c r="P545"/>
  <c r="Q1005"/>
  <c r="O212"/>
  <c r="O353"/>
  <c r="O84"/>
  <c r="O278"/>
  <c r="P641"/>
  <c r="Q1115"/>
  <c r="O721"/>
  <c r="O892"/>
  <c r="O641"/>
  <c r="R641" s="1"/>
  <c r="Q810"/>
  <c r="O114"/>
  <c r="O342"/>
  <c r="P1001"/>
  <c r="P1347"/>
  <c r="P1319"/>
  <c r="P188"/>
  <c r="O606"/>
  <c r="P508"/>
  <c r="O1193"/>
  <c r="P284"/>
  <c r="O316"/>
  <c r="O1255"/>
  <c r="Q648"/>
  <c r="P211"/>
  <c r="O684"/>
  <c r="P961"/>
  <c r="O1208"/>
  <c r="Q936"/>
  <c r="Q1202"/>
  <c r="O930"/>
  <c r="O648"/>
  <c r="R648" s="1"/>
  <c r="P750"/>
  <c r="O542"/>
  <c r="O220"/>
  <c r="Q156"/>
  <c r="Q60"/>
  <c r="P1113"/>
  <c r="P1071"/>
  <c r="P1052"/>
  <c r="Q444"/>
  <c r="Q478"/>
  <c r="P382"/>
  <c r="P913"/>
  <c r="O273"/>
  <c r="O1146"/>
  <c r="P1188"/>
  <c r="Q773"/>
  <c r="P629"/>
  <c r="Q437"/>
  <c r="O741"/>
  <c r="Q645"/>
  <c r="O469"/>
  <c r="P341"/>
  <c r="Q682"/>
  <c r="P613"/>
  <c r="O405"/>
  <c r="O929"/>
  <c r="P273"/>
  <c r="P993"/>
  <c r="Q978"/>
  <c r="O750"/>
  <c r="P220"/>
  <c r="Q92"/>
  <c r="O849"/>
  <c r="O1164"/>
  <c r="Q1223"/>
  <c r="P533"/>
  <c r="Q501"/>
  <c r="Q789"/>
  <c r="P469"/>
  <c r="Q709"/>
  <c r="O266"/>
  <c r="P1202"/>
  <c r="R1202" s="1"/>
  <c r="P696"/>
  <c r="P590"/>
  <c r="Q243"/>
  <c r="O156"/>
  <c r="O1199"/>
  <c r="O1021"/>
  <c r="O1238"/>
  <c r="Q540"/>
  <c r="P977"/>
  <c r="O1171"/>
  <c r="Q1018"/>
  <c r="P1029"/>
  <c r="P677"/>
  <c r="P645"/>
  <c r="R645" s="1"/>
  <c r="P682"/>
  <c r="P862"/>
  <c r="O298"/>
  <c r="O1113"/>
  <c r="P833"/>
  <c r="Q1147"/>
  <c r="O1032"/>
  <c r="Q1193"/>
  <c r="O978"/>
  <c r="R978" s="1"/>
  <c r="Q914"/>
  <c r="P568"/>
  <c r="O590"/>
  <c r="R590" s="1"/>
  <c r="P252"/>
  <c r="O188"/>
  <c r="Q124"/>
  <c r="R124" s="1"/>
  <c r="O913"/>
  <c r="R913" s="1"/>
  <c r="P1164"/>
  <c r="O1197"/>
  <c r="R1197" s="1"/>
  <c r="P1238"/>
  <c r="P588"/>
  <c r="P49"/>
  <c r="O1018"/>
  <c r="P1223"/>
  <c r="R1223" s="1"/>
  <c r="O677"/>
  <c r="Q581"/>
  <c r="P501"/>
  <c r="P325"/>
  <c r="P1269"/>
  <c r="O693"/>
  <c r="O549"/>
  <c r="O517"/>
  <c r="Q421"/>
  <c r="O293"/>
  <c r="O709"/>
  <c r="P453"/>
  <c r="Q357"/>
  <c r="R8"/>
  <c r="W8" s="1"/>
  <c r="O1458"/>
  <c r="O1457"/>
  <c r="O1323"/>
  <c r="P1412"/>
  <c r="O1388"/>
  <c r="O1468"/>
  <c r="P1215"/>
  <c r="P579"/>
  <c r="P790"/>
  <c r="O798"/>
  <c r="Q515"/>
  <c r="Q1107"/>
  <c r="O836"/>
  <c r="O882"/>
  <c r="P1130"/>
  <c r="O638"/>
  <c r="O317"/>
  <c r="O1272"/>
  <c r="P400"/>
  <c r="O972"/>
  <c r="O557"/>
  <c r="Q413"/>
  <c r="O1002"/>
  <c r="Q528"/>
  <c r="O755"/>
  <c r="P1154"/>
  <c r="O680"/>
  <c r="O140"/>
  <c r="O76"/>
  <c r="P205"/>
  <c r="Q1149"/>
  <c r="O685"/>
  <c r="O1126"/>
  <c r="O300"/>
  <c r="Q398"/>
  <c r="P238"/>
  <c r="P227"/>
  <c r="O1271"/>
  <c r="P752"/>
  <c r="O547"/>
  <c r="O131"/>
  <c r="P896"/>
  <c r="O1225"/>
  <c r="P346"/>
  <c r="Q110"/>
  <c r="O843"/>
  <c r="Q1072"/>
  <c r="O1157"/>
  <c r="P787"/>
  <c r="P1237"/>
  <c r="P161"/>
  <c r="P781"/>
  <c r="O381"/>
  <c r="P907"/>
  <c r="Q955"/>
  <c r="P1266"/>
  <c r="Q1138"/>
  <c r="Q962"/>
  <c r="P898"/>
  <c r="P632"/>
  <c r="Q734"/>
  <c r="P410"/>
  <c r="Q58"/>
  <c r="P263"/>
  <c r="P95"/>
  <c r="O1135"/>
  <c r="P556"/>
  <c r="P921"/>
  <c r="P701"/>
  <c r="P317"/>
  <c r="O717"/>
  <c r="O589"/>
  <c r="Q1206"/>
  <c r="Q886"/>
  <c r="P652"/>
  <c r="Q445"/>
  <c r="O302"/>
  <c r="O78"/>
  <c r="O875"/>
  <c r="P355"/>
  <c r="Q467"/>
  <c r="Q1159"/>
  <c r="O969"/>
  <c r="O129"/>
  <c r="O1152"/>
  <c r="Q576"/>
  <c r="Q710"/>
  <c r="O146"/>
  <c r="P1271"/>
  <c r="P595"/>
  <c r="O538"/>
  <c r="Q675"/>
  <c r="P932"/>
  <c r="O563"/>
  <c r="P937"/>
  <c r="P1165"/>
  <c r="P77"/>
  <c r="Q1163"/>
  <c r="Q987"/>
  <c r="O1154"/>
  <c r="O792"/>
  <c r="P474"/>
  <c r="Q371"/>
  <c r="O159"/>
  <c r="P566"/>
  <c r="P144"/>
  <c r="P381"/>
  <c r="P795"/>
  <c r="Q1135"/>
  <c r="O1180"/>
  <c r="O1068"/>
  <c r="O749"/>
  <c r="O621"/>
  <c r="O732"/>
  <c r="Q477"/>
  <c r="O494"/>
  <c r="Q366"/>
  <c r="P270"/>
  <c r="Q142"/>
  <c r="O907"/>
  <c r="O483"/>
  <c r="O55"/>
  <c r="P249"/>
  <c r="Q1187"/>
  <c r="O1232"/>
  <c r="Q880"/>
  <c r="O592"/>
  <c r="P726"/>
  <c r="O210"/>
  <c r="O1031"/>
  <c r="O1092"/>
  <c r="O997"/>
  <c r="Q644"/>
  <c r="P229"/>
  <c r="Q691"/>
  <c r="Q852"/>
  <c r="O723"/>
  <c r="Q1140"/>
  <c r="O910"/>
  <c r="P611"/>
  <c r="P323"/>
  <c r="P107"/>
  <c r="P526"/>
  <c r="P1069"/>
  <c r="O889"/>
  <c r="P589"/>
  <c r="O205"/>
  <c r="Q1243"/>
  <c r="Q1083"/>
  <c r="Q1256"/>
  <c r="Q984"/>
  <c r="O904"/>
  <c r="O526"/>
  <c r="P282"/>
  <c r="Q499"/>
  <c r="O954"/>
  <c r="P272"/>
  <c r="O1009"/>
  <c r="P509"/>
  <c r="O77"/>
  <c r="Q1260"/>
  <c r="P1100"/>
  <c r="P1245"/>
  <c r="Q1053"/>
  <c r="O781"/>
  <c r="O653"/>
  <c r="Q1062"/>
  <c r="Q509"/>
  <c r="O334"/>
  <c r="O46"/>
  <c r="O811"/>
  <c r="Q183"/>
  <c r="P1137"/>
  <c r="O873"/>
  <c r="P1264"/>
  <c r="Q1185"/>
  <c r="Q1114"/>
  <c r="P720"/>
  <c r="O742"/>
  <c r="Q98"/>
  <c r="P1108"/>
  <c r="O724"/>
  <c r="O739"/>
  <c r="P974"/>
  <c r="P771"/>
  <c r="O531"/>
  <c r="Q580"/>
  <c r="Q707"/>
  <c r="O387"/>
  <c r="P67"/>
  <c r="P187"/>
  <c r="O33"/>
  <c r="O249"/>
  <c r="P1473"/>
  <c r="O1339"/>
  <c r="P1469"/>
  <c r="P1467"/>
  <c r="P1311"/>
  <c r="P1452"/>
  <c r="O1412"/>
  <c r="R1412" s="1"/>
  <c r="O1311"/>
  <c r="P1475"/>
  <c r="O704"/>
  <c r="P558"/>
  <c r="P1152"/>
  <c r="O556"/>
  <c r="O1081"/>
  <c r="O985"/>
  <c r="O825"/>
  <c r="P653"/>
  <c r="O397"/>
  <c r="O333"/>
  <c r="O269"/>
  <c r="O109"/>
  <c r="P971"/>
  <c r="O1243"/>
  <c r="R1243" s="1"/>
  <c r="O1163"/>
  <c r="O1083"/>
  <c r="O987"/>
  <c r="R987" s="1"/>
  <c r="O955"/>
  <c r="P1272"/>
  <c r="O1256"/>
  <c r="R1256" s="1"/>
  <c r="Q1240"/>
  <c r="O984"/>
  <c r="P1225"/>
  <c r="O1138"/>
  <c r="Q1122"/>
  <c r="Q994"/>
  <c r="O962"/>
  <c r="P882"/>
  <c r="Q818"/>
  <c r="Q856"/>
  <c r="P680"/>
  <c r="P734"/>
  <c r="P638"/>
  <c r="Q506"/>
  <c r="Q442"/>
  <c r="Q378"/>
  <c r="Q314"/>
  <c r="Q250"/>
  <c r="P58"/>
  <c r="O499"/>
  <c r="P371"/>
  <c r="R371" s="1"/>
  <c r="O263"/>
  <c r="R263" s="1"/>
  <c r="O95"/>
  <c r="R95" s="1"/>
  <c r="O268"/>
  <c r="O204"/>
  <c r="Q1239"/>
  <c r="O870"/>
  <c r="P146"/>
  <c r="P432"/>
  <c r="P304"/>
  <c r="P176"/>
  <c r="P48"/>
  <c r="P1081"/>
  <c r="P953"/>
  <c r="P857"/>
  <c r="P397"/>
  <c r="P333"/>
  <c r="P269"/>
  <c r="P109"/>
  <c r="P859"/>
  <c r="O1215"/>
  <c r="R1215" s="1"/>
  <c r="P1260"/>
  <c r="P1180"/>
  <c r="P1068"/>
  <c r="P972"/>
  <c r="Q956"/>
  <c r="O1149"/>
  <c r="O1053"/>
  <c r="Q765"/>
  <c r="Q733"/>
  <c r="Q701"/>
  <c r="Q669"/>
  <c r="Q637"/>
  <c r="Q605"/>
  <c r="Q573"/>
  <c r="Q541"/>
  <c r="P1206"/>
  <c r="P1126"/>
  <c r="P1062"/>
  <c r="O886"/>
  <c r="R886" s="1"/>
  <c r="Q822"/>
  <c r="Q668"/>
  <c r="Q636"/>
  <c r="P492"/>
  <c r="P477"/>
  <c r="O445"/>
  <c r="O413"/>
  <c r="Q462"/>
  <c r="Q430"/>
  <c r="O398"/>
  <c r="O366"/>
  <c r="P334"/>
  <c r="P302"/>
  <c r="Q206"/>
  <c r="Q174"/>
  <c r="O142"/>
  <c r="O110"/>
  <c r="P78"/>
  <c r="P46"/>
  <c r="Q923"/>
  <c r="Q891"/>
  <c r="Q859"/>
  <c r="Q827"/>
  <c r="Q795"/>
  <c r="Q419"/>
  <c r="Q291"/>
  <c r="P183"/>
  <c r="Q119"/>
  <c r="P467"/>
  <c r="P1159"/>
  <c r="Q1111"/>
  <c r="P880"/>
  <c r="R880" s="1"/>
  <c r="O905"/>
  <c r="O809"/>
  <c r="O257"/>
  <c r="O161"/>
  <c r="P65"/>
  <c r="P1187"/>
  <c r="R1187" s="1"/>
  <c r="O1107"/>
  <c r="Q1059"/>
  <c r="P1232"/>
  <c r="Q1168"/>
  <c r="Q1136"/>
  <c r="O1185"/>
  <c r="O1114"/>
  <c r="P1002"/>
  <c r="Q954"/>
  <c r="O720"/>
  <c r="R720" s="1"/>
  <c r="Q704"/>
  <c r="P576"/>
  <c r="Q560"/>
  <c r="Q758"/>
  <c r="O726"/>
  <c r="P710"/>
  <c r="Q630"/>
  <c r="Q178"/>
  <c r="P98"/>
  <c r="Q1124"/>
  <c r="P1092"/>
  <c r="P1157"/>
  <c r="P997"/>
  <c r="P798"/>
  <c r="P724"/>
  <c r="O644"/>
  <c r="P739"/>
  <c r="R739" s="1"/>
  <c r="O691"/>
  <c r="Q643"/>
  <c r="P547"/>
  <c r="O974"/>
  <c r="O852"/>
  <c r="R852" s="1"/>
  <c r="Q804"/>
  <c r="P723"/>
  <c r="O675"/>
  <c r="Q627"/>
  <c r="P531"/>
  <c r="O1140"/>
  <c r="R1140" s="1"/>
  <c r="Q980"/>
  <c r="O1237"/>
  <c r="P910"/>
  <c r="P836"/>
  <c r="O580"/>
  <c r="R580" s="1"/>
  <c r="P755"/>
  <c r="O707"/>
  <c r="Q659"/>
  <c r="P563"/>
  <c r="O515"/>
  <c r="Q451"/>
  <c r="O323"/>
  <c r="O67"/>
  <c r="O1057"/>
  <c r="P193"/>
  <c r="O65"/>
  <c r="P841"/>
  <c r="P155"/>
  <c r="O1452"/>
  <c r="O1331"/>
  <c r="P1459"/>
  <c r="O1475"/>
  <c r="O1467"/>
  <c r="R1467" s="1"/>
  <c r="O921"/>
  <c r="P717"/>
  <c r="R717" s="1"/>
  <c r="O349"/>
  <c r="O285"/>
  <c r="O141"/>
  <c r="P1035"/>
  <c r="Q1211"/>
  <c r="Q1035"/>
  <c r="Q971"/>
  <c r="Q939"/>
  <c r="O1240"/>
  <c r="P1122"/>
  <c r="P994"/>
  <c r="Q898"/>
  <c r="R898" s="1"/>
  <c r="P818"/>
  <c r="O856"/>
  <c r="Q632"/>
  <c r="Q654"/>
  <c r="Q558"/>
  <c r="O506"/>
  <c r="P442"/>
  <c r="P378"/>
  <c r="P314"/>
  <c r="P250"/>
  <c r="Q122"/>
  <c r="Q435"/>
  <c r="Q307"/>
  <c r="Q159"/>
  <c r="O1239"/>
  <c r="P178"/>
  <c r="P464"/>
  <c r="P336"/>
  <c r="P208"/>
  <c r="P80"/>
  <c r="P889"/>
  <c r="P765"/>
  <c r="P573"/>
  <c r="P429"/>
  <c r="P349"/>
  <c r="P285"/>
  <c r="P141"/>
  <c r="P923"/>
  <c r="Q1087"/>
  <c r="Q1007"/>
  <c r="Q1228"/>
  <c r="Q1100"/>
  <c r="O956"/>
  <c r="R956" s="1"/>
  <c r="Q1245"/>
  <c r="Q1165"/>
  <c r="Q1069"/>
  <c r="O733"/>
  <c r="O669"/>
  <c r="O637"/>
  <c r="O605"/>
  <c r="O541"/>
  <c r="Q1158"/>
  <c r="Q1094"/>
  <c r="Q870"/>
  <c r="Q790"/>
  <c r="O668"/>
  <c r="O636"/>
  <c r="P524"/>
  <c r="O364"/>
  <c r="Q525"/>
  <c r="Q493"/>
  <c r="Q461"/>
  <c r="Q429"/>
  <c r="Q722"/>
  <c r="Q494"/>
  <c r="O462"/>
  <c r="O430"/>
  <c r="Q270"/>
  <c r="Q238"/>
  <c r="O206"/>
  <c r="O174"/>
  <c r="O891"/>
  <c r="O827"/>
  <c r="P419"/>
  <c r="R419" s="1"/>
  <c r="P291"/>
  <c r="R291" s="1"/>
  <c r="P119"/>
  <c r="Q55"/>
  <c r="Q339"/>
  <c r="P1111"/>
  <c r="P1136"/>
  <c r="R1136" s="1"/>
  <c r="P1009"/>
  <c r="O841"/>
  <c r="R841" s="1"/>
  <c r="O193"/>
  <c r="P97"/>
  <c r="O1059"/>
  <c r="R1059" s="1"/>
  <c r="Q1264"/>
  <c r="O1168"/>
  <c r="R1168" s="1"/>
  <c r="Q1233"/>
  <c r="Q1130"/>
  <c r="Q896"/>
  <c r="Q864"/>
  <c r="Q752"/>
  <c r="Q592"/>
  <c r="O560"/>
  <c r="P758"/>
  <c r="Q742"/>
  <c r="P630"/>
  <c r="Q566"/>
  <c r="Q403"/>
  <c r="Q1031"/>
  <c r="O1124"/>
  <c r="Q1108"/>
  <c r="O916"/>
  <c r="Q229"/>
  <c r="Q787"/>
  <c r="O643"/>
  <c r="Q595"/>
  <c r="Q1022"/>
  <c r="O804"/>
  <c r="Q538"/>
  <c r="R538" s="1"/>
  <c r="Q771"/>
  <c r="O627"/>
  <c r="Q579"/>
  <c r="O980"/>
  <c r="R980" s="1"/>
  <c r="Q932"/>
  <c r="O659"/>
  <c r="Q611"/>
  <c r="P451"/>
  <c r="Q387"/>
  <c r="O259"/>
  <c r="Q131"/>
  <c r="P225"/>
  <c r="O97"/>
  <c r="P1065"/>
  <c r="P809"/>
  <c r="O187"/>
  <c r="R187" s="1"/>
  <c r="P905"/>
  <c r="O43"/>
  <c r="P1420"/>
  <c r="P1444"/>
  <c r="P1331"/>
  <c r="O1459"/>
  <c r="P1471"/>
  <c r="O1420"/>
  <c r="P1233"/>
  <c r="P864"/>
  <c r="P1057"/>
  <c r="O953"/>
  <c r="O857"/>
  <c r="P525"/>
  <c r="R525" s="1"/>
  <c r="O365"/>
  <c r="O301"/>
  <c r="O173"/>
  <c r="P45"/>
  <c r="P843"/>
  <c r="O1211"/>
  <c r="O939"/>
  <c r="Q1266"/>
  <c r="Q904"/>
  <c r="Q792"/>
  <c r="O654"/>
  <c r="Q474"/>
  <c r="Q410"/>
  <c r="Q346"/>
  <c r="Q282"/>
  <c r="P122"/>
  <c r="P435"/>
  <c r="P307"/>
  <c r="O1058"/>
  <c r="P210"/>
  <c r="O1007"/>
  <c r="P368"/>
  <c r="P240"/>
  <c r="P112"/>
  <c r="O1137"/>
  <c r="P985"/>
  <c r="P825"/>
  <c r="P461"/>
  <c r="P365"/>
  <c r="P301"/>
  <c r="P173"/>
  <c r="O45"/>
  <c r="P572"/>
  <c r="P1087"/>
  <c r="P1228"/>
  <c r="Q749"/>
  <c r="Q685"/>
  <c r="Q621"/>
  <c r="Q557"/>
  <c r="P1158"/>
  <c r="R1158" s="1"/>
  <c r="Q652"/>
  <c r="O428"/>
  <c r="O493"/>
  <c r="O722"/>
  <c r="R722" s="1"/>
  <c r="Q875"/>
  <c r="Q811"/>
  <c r="Q483"/>
  <c r="Q355"/>
  <c r="Q227"/>
  <c r="P339"/>
  <c r="R339" s="1"/>
  <c r="O1065"/>
  <c r="O937"/>
  <c r="O225"/>
  <c r="P33"/>
  <c r="Q1194"/>
  <c r="P403"/>
  <c r="P257"/>
  <c r="P129"/>
  <c r="P43"/>
  <c r="P873"/>
  <c r="P1058"/>
  <c r="P969"/>
  <c r="R969" s="1"/>
  <c r="O155"/>
  <c r="R155" s="1"/>
  <c r="O107"/>
  <c r="O1444"/>
  <c r="O1474"/>
  <c r="O1471"/>
  <c r="O1473"/>
  <c r="O1347"/>
  <c r="R1347" s="1"/>
  <c r="P1453"/>
  <c r="P1449"/>
  <c r="P1327"/>
  <c r="P490"/>
  <c r="P1351"/>
  <c r="P1339"/>
  <c r="P1472"/>
  <c r="O1449"/>
  <c r="O1319"/>
  <c r="R1319" s="1"/>
  <c r="O1327"/>
  <c r="O1470"/>
  <c r="P1340"/>
  <c r="Q1340"/>
  <c r="O1340"/>
  <c r="P1316"/>
  <c r="Q1316"/>
  <c r="O1316"/>
  <c r="P1324"/>
  <c r="Q1324"/>
  <c r="O1324"/>
  <c r="Q1460"/>
  <c r="P1460"/>
  <c r="P1470"/>
  <c r="P1355"/>
  <c r="P1464"/>
  <c r="R1389"/>
  <c r="Q1348"/>
  <c r="O1348"/>
  <c r="Q1463"/>
  <c r="O1463"/>
  <c r="P1332"/>
  <c r="Q1332"/>
  <c r="O1332"/>
  <c r="O689"/>
  <c r="Q1356"/>
  <c r="P1356"/>
  <c r="O1356"/>
  <c r="Q1397"/>
  <c r="O1397"/>
  <c r="P1397"/>
  <c r="P1344"/>
  <c r="Q1344"/>
  <c r="O1344"/>
  <c r="Q1450"/>
  <c r="O1450"/>
  <c r="P1450"/>
  <c r="Q1381"/>
  <c r="P1381"/>
  <c r="O1381"/>
  <c r="Q1313"/>
  <c r="O1313"/>
  <c r="P1313"/>
  <c r="Q1435"/>
  <c r="O1435"/>
  <c r="P1435"/>
  <c r="Q1443"/>
  <c r="P1443"/>
  <c r="O1443"/>
  <c r="Q1395"/>
  <c r="P1395"/>
  <c r="O1395"/>
  <c r="Q1361"/>
  <c r="P1361"/>
  <c r="O1361"/>
  <c r="Q1280"/>
  <c r="O1280"/>
  <c r="P1280"/>
  <c r="Q1434"/>
  <c r="P1434"/>
  <c r="O1434"/>
  <c r="Q1300"/>
  <c r="O1300"/>
  <c r="P1300"/>
  <c r="Q1399"/>
  <c r="O1399"/>
  <c r="P1399"/>
  <c r="Q1362"/>
  <c r="O1362"/>
  <c r="P1362"/>
  <c r="Q1337"/>
  <c r="O1337"/>
  <c r="P1337"/>
  <c r="Q1321"/>
  <c r="O1321"/>
  <c r="P1321"/>
  <c r="Q1293"/>
  <c r="P1293"/>
  <c r="O1293"/>
  <c r="Q1352"/>
  <c r="P1352"/>
  <c r="O1352"/>
  <c r="Q1437"/>
  <c r="O1437"/>
  <c r="P1437"/>
  <c r="Q1409"/>
  <c r="P1409"/>
  <c r="O1409"/>
  <c r="Q1429"/>
  <c r="O1429"/>
  <c r="P1429"/>
  <c r="Q1401"/>
  <c r="O1401"/>
  <c r="P1401"/>
  <c r="Q1379"/>
  <c r="P1379"/>
  <c r="O1379"/>
  <c r="Q1407"/>
  <c r="P1407"/>
  <c r="O1407"/>
  <c r="Q1382"/>
  <c r="O1382"/>
  <c r="P1382"/>
  <c r="Q1357"/>
  <c r="P1357"/>
  <c r="O1357"/>
  <c r="Q1297"/>
  <c r="P1297"/>
  <c r="O1297"/>
  <c r="Q1281"/>
  <c r="P1281"/>
  <c r="O1281"/>
  <c r="Q1380"/>
  <c r="P1380"/>
  <c r="O1380"/>
  <c r="Q1446"/>
  <c r="P1446"/>
  <c r="O1446"/>
  <c r="Q1438"/>
  <c r="P1438"/>
  <c r="O1438"/>
  <c r="Q1410"/>
  <c r="O1410"/>
  <c r="P1410"/>
  <c r="Q1383"/>
  <c r="P1383"/>
  <c r="O1383"/>
  <c r="Q1367"/>
  <c r="P1367"/>
  <c r="O1367"/>
  <c r="P1303"/>
  <c r="Q1303"/>
  <c r="O1303"/>
  <c r="Q1287"/>
  <c r="O1287"/>
  <c r="P1287"/>
  <c r="Q1277"/>
  <c r="O1277"/>
  <c r="P1277"/>
  <c r="Q1273"/>
  <c r="O1273"/>
  <c r="P1273"/>
  <c r="Q1387"/>
  <c r="P1387"/>
  <c r="O1387"/>
  <c r="Q1354"/>
  <c r="O1354"/>
  <c r="P1354"/>
  <c r="Q1283"/>
  <c r="O1283"/>
  <c r="P1283"/>
  <c r="Q1414"/>
  <c r="O1414"/>
  <c r="P1414"/>
  <c r="Q1385"/>
  <c r="P1385"/>
  <c r="O1385"/>
  <c r="Q1369"/>
  <c r="P1369"/>
  <c r="O1369"/>
  <c r="Q1346"/>
  <c r="P1346"/>
  <c r="O1346"/>
  <c r="Q1338"/>
  <c r="P1338"/>
  <c r="O1338"/>
  <c r="Q1330"/>
  <c r="P1330"/>
  <c r="O1330"/>
  <c r="Q1322"/>
  <c r="P1322"/>
  <c r="O1322"/>
  <c r="Q1305"/>
  <c r="O1305"/>
  <c r="P1305"/>
  <c r="Q1294"/>
  <c r="O1294"/>
  <c r="P1294"/>
  <c r="Q1393"/>
  <c r="P1393"/>
  <c r="O1393"/>
  <c r="Q1417"/>
  <c r="O1417"/>
  <c r="P1417"/>
  <c r="Q1424"/>
  <c r="O1424"/>
  <c r="Q1445"/>
  <c r="P1445"/>
  <c r="O1445"/>
  <c r="Q1433"/>
  <c r="O1433"/>
  <c r="P1433"/>
  <c r="Q1400"/>
  <c r="O1400"/>
  <c r="Q1314"/>
  <c r="O1314"/>
  <c r="Q1291"/>
  <c r="O1291"/>
  <c r="P1291"/>
  <c r="Q1422"/>
  <c r="P1422"/>
  <c r="O1422"/>
  <c r="Q1390"/>
  <c r="P1390"/>
  <c r="O1390"/>
  <c r="Q1373"/>
  <c r="P1373"/>
  <c r="O1373"/>
  <c r="Q1358"/>
  <c r="O1358"/>
  <c r="P1358"/>
  <c r="Q1298"/>
  <c r="O1298"/>
  <c r="P1298"/>
  <c r="Q1282"/>
  <c r="O1282"/>
  <c r="P1282"/>
  <c r="Q1402"/>
  <c r="O1402"/>
  <c r="P1402"/>
  <c r="Q1447"/>
  <c r="O1447"/>
  <c r="P1447"/>
  <c r="Q1439"/>
  <c r="P1439"/>
  <c r="O1439"/>
  <c r="Q1411"/>
  <c r="O1411"/>
  <c r="P1411"/>
  <c r="Q1384"/>
  <c r="P1384"/>
  <c r="O1384"/>
  <c r="Q1368"/>
  <c r="P1368"/>
  <c r="O1368"/>
  <c r="Q1308"/>
  <c r="P1308"/>
  <c r="O1308"/>
  <c r="Q1288"/>
  <c r="O1288"/>
  <c r="P1288"/>
  <c r="Q1278"/>
  <c r="O1278"/>
  <c r="P1278"/>
  <c r="Q1274"/>
  <c r="O1274"/>
  <c r="P1274"/>
  <c r="Q1403"/>
  <c r="O1403"/>
  <c r="P1403"/>
  <c r="Q1359"/>
  <c r="P1359"/>
  <c r="O1359"/>
  <c r="Q1284"/>
  <c r="O1284"/>
  <c r="P1284"/>
  <c r="Q1415"/>
  <c r="O1415"/>
  <c r="P1415"/>
  <c r="Q1386"/>
  <c r="O1386"/>
  <c r="P1386"/>
  <c r="Q1370"/>
  <c r="O1370"/>
  <c r="P1370"/>
  <c r="Q1349"/>
  <c r="P1349"/>
  <c r="O1349"/>
  <c r="Q1341"/>
  <c r="O1341"/>
  <c r="P1341"/>
  <c r="Q1333"/>
  <c r="O1333"/>
  <c r="P1333"/>
  <c r="Q1325"/>
  <c r="O1325"/>
  <c r="P1325"/>
  <c r="Q1317"/>
  <c r="P1317"/>
  <c r="O1317"/>
  <c r="Q1301"/>
  <c r="P1301"/>
  <c r="O1301"/>
  <c r="Q1285"/>
  <c r="P1285"/>
  <c r="O1285"/>
  <c r="Q1425"/>
  <c r="P1425"/>
  <c r="O1425"/>
  <c r="Q1466"/>
  <c r="P1466"/>
  <c r="O1466"/>
  <c r="P1320"/>
  <c r="O1320"/>
  <c r="Q1320"/>
  <c r="P625"/>
  <c r="P71"/>
  <c r="P966"/>
  <c r="P748"/>
  <c r="O534"/>
  <c r="P148"/>
  <c r="Q1012"/>
  <c r="P500"/>
  <c r="P385"/>
  <c r="P1310"/>
  <c r="P1335"/>
  <c r="O330"/>
  <c r="P1011"/>
  <c r="P800"/>
  <c r="P973"/>
  <c r="P801"/>
  <c r="O545"/>
  <c r="P764"/>
  <c r="O1147"/>
  <c r="Q1019"/>
  <c r="O1176"/>
  <c r="O936"/>
  <c r="O1042"/>
  <c r="Q930"/>
  <c r="Q920"/>
  <c r="Q744"/>
  <c r="Q696"/>
  <c r="Q568"/>
  <c r="Q670"/>
  <c r="Q606"/>
  <c r="P426"/>
  <c r="P154"/>
  <c r="P243"/>
  <c r="Q135"/>
  <c r="O71"/>
  <c r="Q284"/>
  <c r="Q252"/>
  <c r="O92"/>
  <c r="O60"/>
  <c r="P276"/>
  <c r="O180"/>
  <c r="Q52"/>
  <c r="O945"/>
  <c r="O881"/>
  <c r="O817"/>
  <c r="Q1199"/>
  <c r="Q1052"/>
  <c r="O1085"/>
  <c r="Q941"/>
  <c r="Q813"/>
  <c r="P1110"/>
  <c r="P998"/>
  <c r="Q764"/>
  <c r="O540"/>
  <c r="Q476"/>
  <c r="P380"/>
  <c r="Q674"/>
  <c r="Q510"/>
  <c r="Q446"/>
  <c r="Q382"/>
  <c r="Q318"/>
  <c r="Q254"/>
  <c r="Q190"/>
  <c r="Q126"/>
  <c r="Q163"/>
  <c r="Q99"/>
  <c r="Q116"/>
  <c r="P912"/>
  <c r="O433"/>
  <c r="O289"/>
  <c r="Q1139"/>
  <c r="P938"/>
  <c r="Q784"/>
  <c r="Q244"/>
  <c r="P1063"/>
  <c r="Q1268"/>
  <c r="P773"/>
  <c r="Q725"/>
  <c r="P581"/>
  <c r="Q533"/>
  <c r="O437"/>
  <c r="Q389"/>
  <c r="R389" s="1"/>
  <c r="P406"/>
  <c r="O789"/>
  <c r="Q741"/>
  <c r="P597"/>
  <c r="Q549"/>
  <c r="Q564"/>
  <c r="Q517"/>
  <c r="O373"/>
  <c r="Q341"/>
  <c r="Q245"/>
  <c r="Q118"/>
  <c r="Q757"/>
  <c r="O613"/>
  <c r="P1150"/>
  <c r="O485"/>
  <c r="Q453"/>
  <c r="O309"/>
  <c r="P666"/>
  <c r="Q54"/>
  <c r="O1121"/>
  <c r="P705"/>
  <c r="O833"/>
  <c r="O1469"/>
  <c r="O1441"/>
  <c r="P1424"/>
  <c r="O1310"/>
  <c r="O1343"/>
  <c r="Q1363"/>
  <c r="P1363"/>
  <c r="O1363"/>
  <c r="Q1406"/>
  <c r="O1406"/>
  <c r="P1406"/>
  <c r="Q1365"/>
  <c r="P1365"/>
  <c r="O1365"/>
  <c r="Q1290"/>
  <c r="O1290"/>
  <c r="P1290"/>
  <c r="Q1371"/>
  <c r="P1371"/>
  <c r="O1371"/>
  <c r="Q1427"/>
  <c r="P1427"/>
  <c r="O1427"/>
  <c r="Q1376"/>
  <c r="P1376"/>
  <c r="O1376"/>
  <c r="Q1296"/>
  <c r="O1296"/>
  <c r="P1296"/>
  <c r="Q1276"/>
  <c r="O1276"/>
  <c r="P1276"/>
  <c r="Q1372"/>
  <c r="P1372"/>
  <c r="O1372"/>
  <c r="Q1431"/>
  <c r="P1431"/>
  <c r="O1431"/>
  <c r="Q1378"/>
  <c r="O1378"/>
  <c r="P1378"/>
  <c r="Q1345"/>
  <c r="P1345"/>
  <c r="O1345"/>
  <c r="Q1329"/>
  <c r="P1329"/>
  <c r="O1329"/>
  <c r="Q1304"/>
  <c r="P1304"/>
  <c r="O1304"/>
  <c r="Q1405"/>
  <c r="P1405"/>
  <c r="O1405"/>
  <c r="Q1408"/>
  <c r="O1408"/>
  <c r="Q1451"/>
  <c r="O1451"/>
  <c r="P1451"/>
  <c r="Q1366"/>
  <c r="O1366"/>
  <c r="P1366"/>
  <c r="Q1465"/>
  <c r="P1465"/>
  <c r="O1465"/>
  <c r="Q1462"/>
  <c r="P1462"/>
  <c r="O1462"/>
  <c r="P1328"/>
  <c r="Q1328"/>
  <c r="O1328"/>
  <c r="Q1416"/>
  <c r="O1416"/>
  <c r="Q1299"/>
  <c r="O1299"/>
  <c r="P1299"/>
  <c r="Q1423"/>
  <c r="O1423"/>
  <c r="P1423"/>
  <c r="Q1391"/>
  <c r="O1391"/>
  <c r="P1391"/>
  <c r="Q1374"/>
  <c r="O1374"/>
  <c r="P1374"/>
  <c r="Q1360"/>
  <c r="O1360"/>
  <c r="P1360"/>
  <c r="Q1312"/>
  <c r="P1312"/>
  <c r="O1312"/>
  <c r="Q1289"/>
  <c r="P1289"/>
  <c r="O1289"/>
  <c r="Q1419"/>
  <c r="O1419"/>
  <c r="P1419"/>
  <c r="Q1353"/>
  <c r="P1353"/>
  <c r="O1353"/>
  <c r="Q1442"/>
  <c r="O1442"/>
  <c r="P1442"/>
  <c r="Q1426"/>
  <c r="O1426"/>
  <c r="P1426"/>
  <c r="Q1394"/>
  <c r="O1394"/>
  <c r="P1394"/>
  <c r="Q1375"/>
  <c r="P1375"/>
  <c r="O1375"/>
  <c r="Q1309"/>
  <c r="O1309"/>
  <c r="P1309"/>
  <c r="Q1295"/>
  <c r="O1295"/>
  <c r="P1295"/>
  <c r="Q1279"/>
  <c r="O1279"/>
  <c r="P1279"/>
  <c r="Q1275"/>
  <c r="O1275"/>
  <c r="P1275"/>
  <c r="Q1418"/>
  <c r="O1418"/>
  <c r="P1418"/>
  <c r="Q1364"/>
  <c r="P1364"/>
  <c r="O1364"/>
  <c r="Q1292"/>
  <c r="O1292"/>
  <c r="P1292"/>
  <c r="Q1430"/>
  <c r="P1430"/>
  <c r="O1430"/>
  <c r="Q1398"/>
  <c r="P1398"/>
  <c r="O1398"/>
  <c r="Q1377"/>
  <c r="P1377"/>
  <c r="O1377"/>
  <c r="Q1350"/>
  <c r="P1350"/>
  <c r="O1350"/>
  <c r="Q1342"/>
  <c r="P1342"/>
  <c r="O1342"/>
  <c r="Q1334"/>
  <c r="P1334"/>
  <c r="O1334"/>
  <c r="Q1326"/>
  <c r="P1326"/>
  <c r="O1326"/>
  <c r="Q1318"/>
  <c r="P1318"/>
  <c r="O1318"/>
  <c r="Q1302"/>
  <c r="O1302"/>
  <c r="P1302"/>
  <c r="Q1286"/>
  <c r="O1286"/>
  <c r="P1286"/>
  <c r="Q1461"/>
  <c r="O1461"/>
  <c r="P1461"/>
  <c r="Q1413"/>
  <c r="O1413"/>
  <c r="P1413"/>
  <c r="P1336"/>
  <c r="O1336"/>
  <c r="Q1336"/>
  <c r="Q1392"/>
  <c r="O1392"/>
  <c r="P845"/>
  <c r="O237"/>
  <c r="O712"/>
  <c r="Q154"/>
  <c r="Q180"/>
  <c r="P114"/>
  <c r="P1196"/>
  <c r="Q909"/>
  <c r="Q908"/>
  <c r="O658"/>
  <c r="P295"/>
  <c r="O769"/>
  <c r="O385"/>
  <c r="Q826"/>
  <c r="O656"/>
  <c r="Q863"/>
  <c r="Q1182"/>
  <c r="Q310"/>
  <c r="P468"/>
  <c r="P1102"/>
  <c r="O470"/>
  <c r="O195"/>
  <c r="O235"/>
  <c r="P401"/>
  <c r="P59"/>
  <c r="P1441"/>
  <c r="P1408"/>
  <c r="Q62"/>
  <c r="P35"/>
  <c r="O858"/>
  <c r="O458"/>
  <c r="P599"/>
  <c r="O535"/>
  <c r="P929"/>
  <c r="P865"/>
  <c r="P561"/>
  <c r="O417"/>
  <c r="O1019"/>
  <c r="Q1208"/>
  <c r="Q1032"/>
  <c r="Q968"/>
  <c r="O920"/>
  <c r="P776"/>
  <c r="O670"/>
  <c r="R670" s="1"/>
  <c r="Q542"/>
  <c r="P266"/>
  <c r="Q186"/>
  <c r="Q551"/>
  <c r="P199"/>
  <c r="P135"/>
  <c r="Q211"/>
  <c r="P1249"/>
  <c r="O588"/>
  <c r="P237"/>
  <c r="Q973"/>
  <c r="Q845"/>
  <c r="P412"/>
  <c r="Q316"/>
  <c r="P674"/>
  <c r="P163"/>
  <c r="R163" s="1"/>
  <c r="Q212"/>
  <c r="P945"/>
  <c r="P881"/>
  <c r="P817"/>
  <c r="O513"/>
  <c r="O321"/>
  <c r="O145"/>
  <c r="P81"/>
  <c r="Q1171"/>
  <c r="P1043"/>
  <c r="Q1217"/>
  <c r="Q1178"/>
  <c r="O912"/>
  <c r="Q290"/>
  <c r="Q1095"/>
  <c r="O1172"/>
  <c r="O1029"/>
  <c r="Q308"/>
  <c r="Q502"/>
  <c r="Q772"/>
  <c r="O150"/>
  <c r="O471"/>
  <c r="P661"/>
  <c r="Q565"/>
  <c r="O862"/>
  <c r="P436"/>
  <c r="O666"/>
  <c r="R666" s="1"/>
  <c r="O86"/>
  <c r="O59"/>
  <c r="R59" s="1"/>
  <c r="O865"/>
  <c r="O123"/>
  <c r="O897"/>
  <c r="O81"/>
  <c r="P75"/>
  <c r="O203"/>
  <c r="O1351"/>
  <c r="P1474"/>
  <c r="O1355"/>
  <c r="P1343"/>
  <c r="Z7"/>
  <c r="Z5"/>
  <c r="P602"/>
  <c r="P679"/>
  <c r="O362"/>
  <c r="O234"/>
  <c r="P298"/>
  <c r="Q508"/>
  <c r="P348"/>
  <c r="Q35"/>
  <c r="O1043"/>
  <c r="P1095"/>
  <c r="O757"/>
  <c r="O661"/>
  <c r="Q616"/>
  <c r="Q1265"/>
  <c r="P1082"/>
  <c r="Q664"/>
  <c r="P583"/>
  <c r="P1017"/>
  <c r="Q1119"/>
  <c r="O927"/>
  <c r="P1024"/>
  <c r="O615"/>
  <c r="Q663"/>
  <c r="O391"/>
  <c r="O1143"/>
  <c r="Q711"/>
  <c r="Q615"/>
  <c r="O815"/>
  <c r="P847"/>
  <c r="Q991"/>
  <c r="Q1116"/>
  <c r="Q876"/>
  <c r="Q439"/>
  <c r="Q799"/>
  <c r="O514"/>
  <c r="O1251"/>
  <c r="O1017"/>
  <c r="P928"/>
  <c r="P759"/>
  <c r="O631"/>
  <c r="P519"/>
  <c r="P455"/>
  <c r="Q375"/>
  <c r="Q423"/>
  <c r="P1169"/>
  <c r="O226"/>
  <c r="O844"/>
  <c r="Q604"/>
  <c r="O1082"/>
  <c r="P1008"/>
  <c r="P234"/>
  <c r="O1014"/>
  <c r="P444"/>
  <c r="Q412"/>
  <c r="O348"/>
  <c r="R348" s="1"/>
  <c r="P217"/>
  <c r="O443"/>
  <c r="P699"/>
  <c r="Q522"/>
  <c r="P844"/>
  <c r="Q539"/>
  <c r="Q830"/>
  <c r="O1054"/>
  <c r="O993"/>
  <c r="O961"/>
  <c r="P1210"/>
  <c r="P394"/>
  <c r="Q1021"/>
  <c r="O476"/>
  <c r="O380"/>
  <c r="P1041"/>
  <c r="O784"/>
  <c r="P879"/>
  <c r="O698"/>
  <c r="P279"/>
  <c r="O692"/>
  <c r="O801"/>
  <c r="O667"/>
  <c r="O1227"/>
  <c r="Q1216"/>
  <c r="O1008"/>
  <c r="Q151"/>
  <c r="O1064"/>
  <c r="Q1209"/>
  <c r="O616"/>
  <c r="P61"/>
  <c r="P555"/>
  <c r="Q66"/>
  <c r="P762"/>
  <c r="O125"/>
  <c r="O1259"/>
  <c r="Q622"/>
  <c r="O635"/>
  <c r="O1216"/>
  <c r="Q1050"/>
  <c r="O830"/>
  <c r="Q1109"/>
  <c r="Q1262"/>
  <c r="Q1054"/>
  <c r="Q766"/>
  <c r="P694"/>
  <c r="P1015"/>
  <c r="P311"/>
  <c r="P831"/>
  <c r="P423"/>
  <c r="O295"/>
  <c r="O895"/>
  <c r="O354"/>
  <c r="P1044"/>
  <c r="P1230"/>
  <c r="Q1166"/>
  <c r="Q343"/>
  <c r="O340"/>
  <c r="O760"/>
  <c r="Q218"/>
  <c r="P991"/>
  <c r="O74"/>
  <c r="O1067"/>
  <c r="P1241"/>
  <c r="Q712"/>
  <c r="P584"/>
  <c r="P711"/>
  <c r="R711" s="1"/>
  <c r="O647"/>
  <c r="O567"/>
  <c r="O327"/>
  <c r="Q988"/>
  <c r="Q1101"/>
  <c r="P503"/>
  <c r="O271"/>
  <c r="O826"/>
  <c r="Q816"/>
  <c r="Q418"/>
  <c r="P84"/>
  <c r="Q1189"/>
  <c r="O1230"/>
  <c r="P990"/>
  <c r="O404"/>
  <c r="P41"/>
  <c r="P782"/>
  <c r="O468"/>
  <c r="P471"/>
  <c r="P340"/>
  <c r="Q1112"/>
  <c r="O806"/>
  <c r="O394"/>
  <c r="P603"/>
  <c r="O253"/>
  <c r="O952"/>
  <c r="P1209"/>
  <c r="Q808"/>
  <c r="P622"/>
  <c r="O490"/>
  <c r="P362"/>
  <c r="P223"/>
  <c r="Q715"/>
  <c r="O587"/>
  <c r="O1161"/>
  <c r="P1047"/>
  <c r="P175"/>
  <c r="O922"/>
  <c r="O426"/>
  <c r="P731"/>
  <c r="P1037"/>
  <c r="O189"/>
  <c r="Q1259"/>
  <c r="Q1227"/>
  <c r="Q1099"/>
  <c r="O32"/>
  <c r="O808"/>
  <c r="P458"/>
  <c r="P330"/>
  <c r="P253"/>
  <c r="P157"/>
  <c r="O736"/>
  <c r="P1023"/>
  <c r="Q1046"/>
  <c r="Q747"/>
  <c r="Q619"/>
  <c r="P1040"/>
  <c r="Q779"/>
  <c r="Q74"/>
  <c r="Q791"/>
  <c r="Q743"/>
  <c r="O879"/>
  <c r="Q943"/>
  <c r="O1116"/>
  <c r="Q1020"/>
  <c r="O546"/>
  <c r="P375"/>
  <c r="O311"/>
  <c r="P816"/>
  <c r="R816" s="1"/>
  <c r="Q1091"/>
  <c r="P582"/>
  <c r="P418"/>
  <c r="O290"/>
  <c r="Q895"/>
  <c r="Q487"/>
  <c r="Q359"/>
  <c r="P1134"/>
  <c r="O1166"/>
  <c r="O782"/>
  <c r="Q372"/>
  <c r="P149"/>
  <c r="P586"/>
  <c r="Q407"/>
  <c r="P692"/>
  <c r="Q1067"/>
  <c r="O1192"/>
  <c r="Q760"/>
  <c r="P574"/>
  <c r="P791"/>
  <c r="P743"/>
  <c r="Q695"/>
  <c r="P631"/>
  <c r="P567"/>
  <c r="Q455"/>
  <c r="P391"/>
  <c r="P943"/>
  <c r="O1020"/>
  <c r="R1020" s="1"/>
  <c r="Q1261"/>
  <c r="Q578"/>
  <c r="Q947"/>
  <c r="Q1024"/>
  <c r="Q1249"/>
  <c r="P1162"/>
  <c r="Q482"/>
  <c r="Q354"/>
  <c r="Q226"/>
  <c r="P50"/>
  <c r="P815"/>
  <c r="P359"/>
  <c r="P996"/>
  <c r="Q990"/>
  <c r="O500"/>
  <c r="P277"/>
  <c r="P746"/>
  <c r="P1214"/>
  <c r="O660"/>
  <c r="O372"/>
  <c r="P407"/>
  <c r="P1173"/>
  <c r="Q928"/>
  <c r="Q756"/>
  <c r="O88"/>
  <c r="P1251"/>
  <c r="Q1034"/>
  <c r="O1015"/>
  <c r="O948"/>
  <c r="O85"/>
  <c r="P660"/>
  <c r="O1170"/>
  <c r="O799"/>
  <c r="P1101"/>
  <c r="Q1195"/>
  <c r="Q1170"/>
  <c r="Q584"/>
  <c r="O504"/>
  <c r="P218"/>
  <c r="O775"/>
  <c r="Q759"/>
  <c r="Q727"/>
  <c r="O695"/>
  <c r="O663"/>
  <c r="R663" s="1"/>
  <c r="Q647"/>
  <c r="Q583"/>
  <c r="P551"/>
  <c r="Q519"/>
  <c r="Q327"/>
  <c r="Q1143"/>
  <c r="O1169"/>
  <c r="O1041"/>
  <c r="R1041" s="1"/>
  <c r="P1119"/>
  <c r="Q959"/>
  <c r="Q927"/>
  <c r="O988"/>
  <c r="O1261"/>
  <c r="R1261" s="1"/>
  <c r="Q902"/>
  <c r="O908"/>
  <c r="O876"/>
  <c r="O578"/>
  <c r="Q546"/>
  <c r="Q503"/>
  <c r="P439"/>
  <c r="Q271"/>
  <c r="O116"/>
  <c r="O1162"/>
  <c r="O599"/>
  <c r="O487"/>
  <c r="O1219"/>
  <c r="O1091"/>
  <c r="Q944"/>
  <c r="P1178"/>
  <c r="O1034"/>
  <c r="Q858"/>
  <c r="Q762"/>
  <c r="O624"/>
  <c r="Q514"/>
  <c r="Q450"/>
  <c r="Q386"/>
  <c r="Q322"/>
  <c r="Q258"/>
  <c r="P863"/>
  <c r="O244"/>
  <c r="Q148"/>
  <c r="Q1044"/>
  <c r="Q996"/>
  <c r="O1189"/>
  <c r="O820"/>
  <c r="O308"/>
  <c r="Q277"/>
  <c r="Q181"/>
  <c r="Q746"/>
  <c r="Q602"/>
  <c r="R602" s="1"/>
  <c r="Q586"/>
  <c r="P343"/>
  <c r="Q111"/>
  <c r="Q1173"/>
  <c r="Q1006"/>
  <c r="Q740"/>
  <c r="O532"/>
  <c r="Q436"/>
  <c r="P714"/>
  <c r="P535"/>
  <c r="P247"/>
  <c r="Q624"/>
  <c r="Q820"/>
  <c r="P1219"/>
  <c r="O1195"/>
  <c r="Q1192"/>
  <c r="O727"/>
  <c r="Q679"/>
  <c r="O50"/>
  <c r="P959"/>
  <c r="R959" s="1"/>
  <c r="Q1085"/>
  <c r="O1174"/>
  <c r="P902"/>
  <c r="Q594"/>
  <c r="Q831"/>
  <c r="P944"/>
  <c r="R944" s="1"/>
  <c r="P911"/>
  <c r="O1001"/>
  <c r="O241"/>
  <c r="O662"/>
  <c r="Q598"/>
  <c r="P450"/>
  <c r="P386"/>
  <c r="O322"/>
  <c r="O258"/>
  <c r="O1214"/>
  <c r="R1214" s="1"/>
  <c r="P111"/>
  <c r="O740"/>
  <c r="R740" s="1"/>
  <c r="P235"/>
  <c r="O105"/>
  <c r="P241"/>
  <c r="O248"/>
  <c r="Q184"/>
  <c r="P975"/>
  <c r="P1156"/>
  <c r="O518"/>
  <c r="P93"/>
  <c r="P1099"/>
  <c r="O664"/>
  <c r="Q686"/>
  <c r="P90"/>
  <c r="O1046"/>
  <c r="P1226"/>
  <c r="O93"/>
  <c r="Q1151"/>
  <c r="Q1084"/>
  <c r="Q1037"/>
  <c r="Q838"/>
  <c r="P522"/>
  <c r="P604"/>
  <c r="P779"/>
  <c r="O747"/>
  <c r="O715"/>
  <c r="O683"/>
  <c r="Q651"/>
  <c r="O619"/>
  <c r="P587"/>
  <c r="Q571"/>
  <c r="O539"/>
  <c r="Q523"/>
  <c r="Q96"/>
  <c r="O177"/>
  <c r="P963"/>
  <c r="O1265"/>
  <c r="O1050"/>
  <c r="O678"/>
  <c r="Q194"/>
  <c r="Q162"/>
  <c r="Q130"/>
  <c r="P151"/>
  <c r="O1109"/>
  <c r="P766"/>
  <c r="P113"/>
  <c r="O363"/>
  <c r="O157"/>
  <c r="P1257"/>
  <c r="Q840"/>
  <c r="P1254"/>
  <c r="Q1064"/>
  <c r="Q952"/>
  <c r="Q32"/>
  <c r="O946"/>
  <c r="O840"/>
  <c r="P571"/>
  <c r="O1073"/>
  <c r="O1151"/>
  <c r="O1084"/>
  <c r="Q1014"/>
  <c r="O838"/>
  <c r="Q806"/>
  <c r="Q763"/>
  <c r="P683"/>
  <c r="P651"/>
  <c r="Q603"/>
  <c r="Q555"/>
  <c r="O523"/>
  <c r="R523" s="1"/>
  <c r="P99"/>
  <c r="Q160"/>
  <c r="Q995"/>
  <c r="Q1184"/>
  <c r="Q1201"/>
  <c r="O1210"/>
  <c r="O970"/>
  <c r="Q922"/>
  <c r="O194"/>
  <c r="O162"/>
  <c r="O130"/>
  <c r="Q1076"/>
  <c r="Q1028"/>
  <c r="O1038"/>
  <c r="O215"/>
  <c r="Q87"/>
  <c r="P878"/>
  <c r="P819"/>
  <c r="O175"/>
  <c r="P47"/>
  <c r="O788"/>
  <c r="P803"/>
  <c r="P379"/>
  <c r="O911"/>
  <c r="P145"/>
  <c r="O459"/>
  <c r="P459"/>
  <c r="Q223"/>
  <c r="Q275"/>
  <c r="Q1023"/>
  <c r="Q1254"/>
  <c r="Q1174"/>
  <c r="R1174" s="1"/>
  <c r="O763"/>
  <c r="O731"/>
  <c r="Q699"/>
  <c r="Q667"/>
  <c r="Q635"/>
  <c r="Q224"/>
  <c r="O1123"/>
  <c r="Q1104"/>
  <c r="Q1226"/>
  <c r="P698"/>
  <c r="Q883"/>
  <c r="Q279"/>
  <c r="R279" s="1"/>
  <c r="O87"/>
  <c r="P900"/>
  <c r="Q915"/>
  <c r="Q884"/>
  <c r="P788"/>
  <c r="O899"/>
  <c r="P491"/>
  <c r="P315"/>
  <c r="P283"/>
  <c r="X8"/>
  <c r="Z8"/>
  <c r="Q1218"/>
  <c r="O224"/>
  <c r="O160"/>
  <c r="R160" s="1"/>
  <c r="O96"/>
  <c r="P1123"/>
  <c r="O995"/>
  <c r="Q979"/>
  <c r="O947"/>
  <c r="R947" s="1"/>
  <c r="Q931"/>
  <c r="Q1040"/>
  <c r="O1201"/>
  <c r="Q320"/>
  <c r="P598"/>
  <c r="Q550"/>
  <c r="O1047"/>
  <c r="Q1204"/>
  <c r="O1076"/>
  <c r="R1076" s="1"/>
  <c r="Q1125"/>
  <c r="P1038"/>
  <c r="Q596"/>
  <c r="O883"/>
  <c r="Q835"/>
  <c r="O878"/>
  <c r="O915"/>
  <c r="R915" s="1"/>
  <c r="Q867"/>
  <c r="O1262"/>
  <c r="O884"/>
  <c r="P899"/>
  <c r="Q851"/>
  <c r="O427"/>
  <c r="P299"/>
  <c r="O507"/>
  <c r="O217"/>
  <c r="P507"/>
  <c r="O331"/>
  <c r="P347"/>
  <c r="O299"/>
  <c r="O395"/>
  <c r="P946"/>
  <c r="P189"/>
  <c r="P125"/>
  <c r="O61"/>
  <c r="Q854"/>
  <c r="Q256"/>
  <c r="Q192"/>
  <c r="Q128"/>
  <c r="Q64"/>
  <c r="O979"/>
  <c r="Q963"/>
  <c r="O931"/>
  <c r="P986"/>
  <c r="Q778"/>
  <c r="Q736"/>
  <c r="Q384"/>
  <c r="O550"/>
  <c r="P66"/>
  <c r="Q127"/>
  <c r="Q1175"/>
  <c r="O1204"/>
  <c r="O1125"/>
  <c r="O835"/>
  <c r="Q900"/>
  <c r="O867"/>
  <c r="Q819"/>
  <c r="O1077"/>
  <c r="Q714"/>
  <c r="O851"/>
  <c r="Q803"/>
  <c r="O491"/>
  <c r="O379"/>
  <c r="P177"/>
  <c r="O49"/>
  <c r="O411"/>
  <c r="P411"/>
  <c r="P331"/>
  <c r="O283"/>
  <c r="P363"/>
  <c r="O256"/>
  <c r="O192"/>
  <c r="O128"/>
  <c r="O64"/>
  <c r="O1175"/>
  <c r="R1175" s="1"/>
  <c r="P678"/>
  <c r="P1073"/>
  <c r="Q448"/>
  <c r="P191"/>
  <c r="O315"/>
  <c r="P443"/>
  <c r="P684"/>
  <c r="P475"/>
  <c r="O475"/>
  <c r="P395"/>
  <c r="P427"/>
  <c r="O347"/>
  <c r="Q694"/>
  <c r="P614"/>
  <c r="O1118"/>
  <c r="O239"/>
  <c r="P496"/>
  <c r="R6"/>
  <c r="W6" s="1"/>
  <c r="Y6"/>
  <c r="Z6"/>
  <c r="P1056"/>
  <c r="Q1257"/>
  <c r="O1218"/>
  <c r="R1218" s="1"/>
  <c r="O686"/>
  <c r="P275"/>
  <c r="Q1004"/>
  <c r="Q1181"/>
  <c r="O854"/>
  <c r="Q774"/>
  <c r="O1104"/>
  <c r="Q1056"/>
  <c r="P778"/>
  <c r="Q544"/>
  <c r="Q512"/>
  <c r="O448"/>
  <c r="R448" s="1"/>
  <c r="O384"/>
  <c r="R384" s="1"/>
  <c r="O320"/>
  <c r="O614"/>
  <c r="O1028"/>
  <c r="Q868"/>
  <c r="O596"/>
  <c r="P774"/>
  <c r="O480"/>
  <c r="O1004"/>
  <c r="O1181"/>
  <c r="O1097"/>
  <c r="Q986"/>
  <c r="P544"/>
  <c r="O512"/>
  <c r="Q480"/>
  <c r="Q416"/>
  <c r="Q352"/>
  <c r="Q288"/>
  <c r="Q1156"/>
  <c r="R1156" s="1"/>
  <c r="O868"/>
  <c r="Q1013"/>
  <c r="O416"/>
  <c r="O352"/>
  <c r="O288"/>
  <c r="P1198"/>
  <c r="O832"/>
  <c r="P1186"/>
  <c r="O999"/>
  <c r="P166"/>
  <c r="P361"/>
  <c r="P281"/>
  <c r="O649"/>
  <c r="O850"/>
  <c r="P520"/>
  <c r="O100"/>
  <c r="P498"/>
  <c r="O716"/>
  <c r="O441"/>
  <c r="Q869"/>
  <c r="P69"/>
  <c r="Q901"/>
  <c r="O1179"/>
  <c r="P770"/>
  <c r="Q115"/>
  <c r="O1155"/>
  <c r="P548"/>
  <c r="Q452"/>
  <c r="P356"/>
  <c r="P992"/>
  <c r="P832"/>
  <c r="Q392"/>
  <c r="Q1132"/>
  <c r="P1036"/>
  <c r="O1030"/>
  <c r="P982"/>
  <c r="P143"/>
  <c r="P196"/>
  <c r="P358"/>
  <c r="O697"/>
  <c r="P1090"/>
  <c r="O802"/>
  <c r="Q728"/>
  <c r="Q456"/>
  <c r="Q489"/>
  <c r="Q51"/>
  <c r="Q228"/>
  <c r="P132"/>
  <c r="Q924"/>
  <c r="P716"/>
  <c r="O601"/>
  <c r="Q1075"/>
  <c r="O1088"/>
  <c r="Q768"/>
  <c r="Q687"/>
  <c r="P1252"/>
  <c r="Q885"/>
  <c r="P942"/>
  <c r="O949"/>
  <c r="O708"/>
  <c r="O420"/>
  <c r="O390"/>
  <c r="O933"/>
  <c r="Q326"/>
  <c r="P40"/>
  <c r="O1025"/>
  <c r="O251"/>
  <c r="O457"/>
  <c r="O91"/>
  <c r="R4"/>
  <c r="W4" s="1"/>
  <c r="P392"/>
  <c r="P1025"/>
  <c r="O745"/>
  <c r="O569"/>
  <c r="P488"/>
  <c r="Q521"/>
  <c r="Q702"/>
  <c r="Q823"/>
  <c r="Q1244"/>
  <c r="Q1213"/>
  <c r="P796"/>
  <c r="Q690"/>
  <c r="P207"/>
  <c r="P79"/>
  <c r="P639"/>
  <c r="P260"/>
  <c r="Q164"/>
  <c r="P68"/>
  <c r="P751"/>
  <c r="P409"/>
  <c r="P153"/>
  <c r="P1098"/>
  <c r="P890"/>
  <c r="P672"/>
  <c r="P1127"/>
  <c r="O917"/>
  <c r="P454"/>
  <c r="P262"/>
  <c r="Q38"/>
  <c r="P72"/>
  <c r="O197"/>
  <c r="O486"/>
  <c r="Q198"/>
  <c r="P981"/>
  <c r="O422"/>
  <c r="O361"/>
  <c r="P601"/>
  <c r="P729"/>
  <c r="P1120"/>
  <c r="P457"/>
  <c r="O777"/>
  <c r="O617"/>
  <c r="Q1234"/>
  <c r="Q824"/>
  <c r="Q600"/>
  <c r="Q328"/>
  <c r="P903"/>
  <c r="Q179"/>
  <c r="O537"/>
  <c r="Q1133"/>
  <c r="Q1270"/>
  <c r="P231"/>
  <c r="P976"/>
  <c r="O1200"/>
  <c r="Q992"/>
  <c r="O951"/>
  <c r="P965"/>
  <c r="O102"/>
  <c r="Q264"/>
  <c r="P1070"/>
  <c r="O294"/>
  <c r="O70"/>
  <c r="O104"/>
  <c r="P805"/>
  <c r="O388"/>
  <c r="P165"/>
  <c r="Q230"/>
  <c r="P702"/>
  <c r="P626"/>
  <c r="O106"/>
  <c r="P424"/>
  <c r="P296"/>
  <c r="P1133"/>
  <c r="Q1051"/>
  <c r="Q1224"/>
  <c r="Q1144"/>
  <c r="Q1080"/>
  <c r="Q761"/>
  <c r="Q713"/>
  <c r="Q681"/>
  <c r="Q633"/>
  <c r="Q585"/>
  <c r="Q553"/>
  <c r="O1234"/>
  <c r="O1186"/>
  <c r="O770"/>
  <c r="R770" s="1"/>
  <c r="O824"/>
  <c r="O728"/>
  <c r="O600"/>
  <c r="R600" s="1"/>
  <c r="Q552"/>
  <c r="O456"/>
  <c r="O328"/>
  <c r="O521"/>
  <c r="O489"/>
  <c r="Q106"/>
  <c r="O919"/>
  <c r="P839"/>
  <c r="O415"/>
  <c r="O287"/>
  <c r="P179"/>
  <c r="R179" s="1"/>
  <c r="P115"/>
  <c r="P51"/>
  <c r="O228"/>
  <c r="P100"/>
  <c r="O1244"/>
  <c r="R1244" s="1"/>
  <c r="Q1263"/>
  <c r="Q1231"/>
  <c r="O1132"/>
  <c r="Q940"/>
  <c r="O1229"/>
  <c r="P1270"/>
  <c r="R1270" s="1"/>
  <c r="Q1190"/>
  <c r="P1078"/>
  <c r="Q934"/>
  <c r="Q812"/>
  <c r="P780"/>
  <c r="P690"/>
  <c r="Q610"/>
  <c r="P562"/>
  <c r="O463"/>
  <c r="O335"/>
  <c r="O207"/>
  <c r="O143"/>
  <c r="R143" s="1"/>
  <c r="O79"/>
  <c r="Q703"/>
  <c r="P511"/>
  <c r="O231"/>
  <c r="Q103"/>
  <c r="O164"/>
  <c r="R164" s="1"/>
  <c r="O1033"/>
  <c r="O377"/>
  <c r="P329"/>
  <c r="O209"/>
  <c r="P121"/>
  <c r="O1267"/>
  <c r="O1075"/>
  <c r="Q1027"/>
  <c r="Q874"/>
  <c r="O848"/>
  <c r="O688"/>
  <c r="O640"/>
  <c r="Q751"/>
  <c r="Q36"/>
  <c r="O1127"/>
  <c r="Q983"/>
  <c r="O1252"/>
  <c r="R1252" s="1"/>
  <c r="Q1060"/>
  <c r="Q1221"/>
  <c r="P917"/>
  <c r="O885"/>
  <c r="Q837"/>
  <c r="Q894"/>
  <c r="O452"/>
  <c r="Q133"/>
  <c r="P102"/>
  <c r="O38"/>
  <c r="Q367"/>
  <c r="O264"/>
  <c r="Q168"/>
  <c r="P949"/>
  <c r="O869"/>
  <c r="Q821"/>
  <c r="P708"/>
  <c r="Q612"/>
  <c r="Q516"/>
  <c r="P420"/>
  <c r="Q324"/>
  <c r="P197"/>
  <c r="O69"/>
  <c r="P390"/>
  <c r="P294"/>
  <c r="O198"/>
  <c r="P70"/>
  <c r="O200"/>
  <c r="P933"/>
  <c r="O901"/>
  <c r="R901" s="1"/>
  <c r="Q853"/>
  <c r="Q484"/>
  <c r="P388"/>
  <c r="Q292"/>
  <c r="P101"/>
  <c r="P518"/>
  <c r="P422"/>
  <c r="O326"/>
  <c r="O230"/>
  <c r="Q134"/>
  <c r="P232"/>
  <c r="P393"/>
  <c r="O233"/>
  <c r="P537"/>
  <c r="P251"/>
  <c r="O57"/>
  <c r="O89"/>
  <c r="P377"/>
  <c r="O281"/>
  <c r="O153"/>
  <c r="O219"/>
  <c r="R7"/>
  <c r="W7" s="1"/>
  <c r="P559"/>
  <c r="P783"/>
  <c r="O1145"/>
  <c r="O1049"/>
  <c r="O221"/>
  <c r="P37"/>
  <c r="O672"/>
  <c r="Q1179"/>
  <c r="O1051"/>
  <c r="O1224"/>
  <c r="O1144"/>
  <c r="Q1096"/>
  <c r="Q1048"/>
  <c r="Q1016"/>
  <c r="O761"/>
  <c r="O713"/>
  <c r="O681"/>
  <c r="O633"/>
  <c r="O585"/>
  <c r="O553"/>
  <c r="Q1026"/>
  <c r="Q802"/>
  <c r="R802" s="1"/>
  <c r="O872"/>
  <c r="Q520"/>
  <c r="Q488"/>
  <c r="Q424"/>
  <c r="Q360"/>
  <c r="Q296"/>
  <c r="Q505"/>
  <c r="Q42"/>
  <c r="O855"/>
  <c r="Q147"/>
  <c r="Q132"/>
  <c r="P738"/>
  <c r="P242"/>
  <c r="P1103"/>
  <c r="P1049"/>
  <c r="P793"/>
  <c r="O473"/>
  <c r="O409"/>
  <c r="P221"/>
  <c r="O37"/>
  <c r="R37" s="1"/>
  <c r="P1263"/>
  <c r="P1231"/>
  <c r="Q1183"/>
  <c r="Q1036"/>
  <c r="R1036" s="1"/>
  <c r="O940"/>
  <c r="Q1117"/>
  <c r="Q1222"/>
  <c r="O1190"/>
  <c r="R1190" s="1"/>
  <c r="O934"/>
  <c r="O828"/>
  <c r="Q796"/>
  <c r="O738"/>
  <c r="R738" s="1"/>
  <c r="O610"/>
  <c r="O735"/>
  <c r="Q575"/>
  <c r="P167"/>
  <c r="Q260"/>
  <c r="Q68"/>
  <c r="P1203"/>
  <c r="P1200"/>
  <c r="P441"/>
  <c r="P345"/>
  <c r="P297"/>
  <c r="P89"/>
  <c r="Q1203"/>
  <c r="Q976"/>
  <c r="O1242"/>
  <c r="O874"/>
  <c r="Q794"/>
  <c r="Q559"/>
  <c r="O255"/>
  <c r="Q196"/>
  <c r="R196" s="1"/>
  <c r="O36"/>
  <c r="Q999"/>
  <c r="Q1220"/>
  <c r="O1060"/>
  <c r="P964"/>
  <c r="O1221"/>
  <c r="Q965"/>
  <c r="O837"/>
  <c r="O894"/>
  <c r="Q548"/>
  <c r="Q356"/>
  <c r="O133"/>
  <c r="P554"/>
  <c r="Q454"/>
  <c r="Q358"/>
  <c r="Q262"/>
  <c r="R262" s="1"/>
  <c r="Q166"/>
  <c r="P431"/>
  <c r="O168"/>
  <c r="R168" s="1"/>
  <c r="Q72"/>
  <c r="O821"/>
  <c r="O612"/>
  <c r="O516"/>
  <c r="O324"/>
  <c r="Q486"/>
  <c r="O303"/>
  <c r="P200"/>
  <c r="P1205"/>
  <c r="Q1045"/>
  <c r="Q981"/>
  <c r="O853"/>
  <c r="Q805"/>
  <c r="R805" s="1"/>
  <c r="P958"/>
  <c r="Q628"/>
  <c r="O484"/>
  <c r="O292"/>
  <c r="R292" s="1"/>
  <c r="O101"/>
  <c r="R101" s="1"/>
  <c r="P618"/>
  <c r="O134"/>
  <c r="Q136"/>
  <c r="O665"/>
  <c r="O297"/>
  <c r="P665"/>
  <c r="O1153"/>
  <c r="O185"/>
  <c r="P91"/>
  <c r="X7"/>
  <c r="O1090"/>
  <c r="O42"/>
  <c r="P1088"/>
  <c r="P360"/>
  <c r="P1153"/>
  <c r="O793"/>
  <c r="P425"/>
  <c r="O729"/>
  <c r="O1096"/>
  <c r="O1016"/>
  <c r="Q777"/>
  <c r="Q745"/>
  <c r="Q697"/>
  <c r="Q649"/>
  <c r="Q617"/>
  <c r="Q569"/>
  <c r="P1026"/>
  <c r="Q850"/>
  <c r="O505"/>
  <c r="Q887"/>
  <c r="P479"/>
  <c r="O351"/>
  <c r="P147"/>
  <c r="R147" s="1"/>
  <c r="P370"/>
  <c r="P655"/>
  <c r="O1117"/>
  <c r="Q1142"/>
  <c r="Q982"/>
  <c r="P950"/>
  <c r="O706"/>
  <c r="Q626"/>
  <c r="O399"/>
  <c r="P767"/>
  <c r="O607"/>
  <c r="O383"/>
  <c r="P1235"/>
  <c r="P473"/>
  <c r="O393"/>
  <c r="P313"/>
  <c r="P185"/>
  <c r="P57"/>
  <c r="P1248"/>
  <c r="Q1120"/>
  <c r="Q890"/>
  <c r="P794"/>
  <c r="Q623"/>
  <c r="O1079"/>
  <c r="P935"/>
  <c r="P1236"/>
  <c r="P1061"/>
  <c r="O1086"/>
  <c r="P495"/>
  <c r="O1070"/>
  <c r="R1070" s="1"/>
  <c r="Q634"/>
  <c r="Q104"/>
  <c r="Q165"/>
  <c r="O136"/>
  <c r="R136" s="1"/>
  <c r="O40"/>
  <c r="O1103"/>
  <c r="R1103" s="1"/>
  <c r="O425"/>
  <c r="O329"/>
  <c r="R329" s="1"/>
  <c r="O313"/>
  <c r="O345"/>
  <c r="R345" s="1"/>
  <c r="O121"/>
  <c r="P219"/>
  <c r="P216"/>
  <c r="Q120"/>
  <c r="O117"/>
  <c r="Q47"/>
  <c r="P152"/>
  <c r="P1013"/>
  <c r="Q1198"/>
  <c r="P53"/>
  <c r="Q280"/>
  <c r="O847"/>
  <c r="O975"/>
  <c r="O676"/>
  <c r="O267"/>
  <c r="P662"/>
  <c r="O138"/>
  <c r="P813"/>
  <c r="O673"/>
  <c r="O1080"/>
  <c r="Q1250"/>
  <c r="Q1010"/>
  <c r="O744"/>
  <c r="O552"/>
  <c r="P504"/>
  <c r="Q138"/>
  <c r="O903"/>
  <c r="Q871"/>
  <c r="P823"/>
  <c r="P268"/>
  <c r="Q236"/>
  <c r="P204"/>
  <c r="Q172"/>
  <c r="P140"/>
  <c r="Q108"/>
  <c r="P76"/>
  <c r="Q44"/>
  <c r="Q83"/>
  <c r="Q1191"/>
  <c r="O1142"/>
  <c r="P534"/>
  <c r="O402"/>
  <c r="P274"/>
  <c r="P737"/>
  <c r="O657"/>
  <c r="P481"/>
  <c r="O1183"/>
  <c r="Q1167"/>
  <c r="Q1055"/>
  <c r="Q1212"/>
  <c r="Q1148"/>
  <c r="O924"/>
  <c r="P1229"/>
  <c r="O1213"/>
  <c r="O1005"/>
  <c r="O941"/>
  <c r="O909"/>
  <c r="O877"/>
  <c r="P1222"/>
  <c r="P1030"/>
  <c r="Q918"/>
  <c r="P892"/>
  <c r="Q860"/>
  <c r="P828"/>
  <c r="O812"/>
  <c r="Q620"/>
  <c r="Q460"/>
  <c r="P428"/>
  <c r="Q396"/>
  <c r="P364"/>
  <c r="Q332"/>
  <c r="P300"/>
  <c r="Q754"/>
  <c r="O594"/>
  <c r="O562"/>
  <c r="Q530"/>
  <c r="O247"/>
  <c r="Q34"/>
  <c r="P735"/>
  <c r="O703"/>
  <c r="Q671"/>
  <c r="P607"/>
  <c r="O575"/>
  <c r="Q543"/>
  <c r="O167"/>
  <c r="P103"/>
  <c r="Q63"/>
  <c r="Q1207"/>
  <c r="P646"/>
  <c r="P1139"/>
  <c r="P1105"/>
  <c r="P785"/>
  <c r="P657"/>
  <c r="P529"/>
  <c r="P265"/>
  <c r="P233"/>
  <c r="P201"/>
  <c r="P169"/>
  <c r="P137"/>
  <c r="P105"/>
  <c r="P73"/>
  <c r="P1267"/>
  <c r="O1027"/>
  <c r="O1184"/>
  <c r="Q960"/>
  <c r="P1217"/>
  <c r="Q1258"/>
  <c r="Q1066"/>
  <c r="P970"/>
  <c r="Q842"/>
  <c r="O810"/>
  <c r="O768"/>
  <c r="P688"/>
  <c r="P640"/>
  <c r="Q646"/>
  <c r="O687"/>
  <c r="O623"/>
  <c r="Q447"/>
  <c r="Q319"/>
  <c r="O191"/>
  <c r="P127"/>
  <c r="Q39"/>
  <c r="O1063"/>
  <c r="P983"/>
  <c r="Q967"/>
  <c r="O935"/>
  <c r="P1268"/>
  <c r="O1236"/>
  <c r="P1220"/>
  <c r="P1172"/>
  <c r="O1012"/>
  <c r="P948"/>
  <c r="P1253"/>
  <c r="Q1093"/>
  <c r="P1182"/>
  <c r="Q846"/>
  <c r="O756"/>
  <c r="O181"/>
  <c r="Q650"/>
  <c r="O554"/>
  <c r="P502"/>
  <c r="O310"/>
  <c r="O431"/>
  <c r="P367"/>
  <c r="O120"/>
  <c r="Q926"/>
  <c r="O564"/>
  <c r="O245"/>
  <c r="P117"/>
  <c r="Q730"/>
  <c r="Q438"/>
  <c r="P342"/>
  <c r="Q246"/>
  <c r="P150"/>
  <c r="O118"/>
  <c r="P248"/>
  <c r="Q56"/>
  <c r="P1077"/>
  <c r="O1045"/>
  <c r="O1102"/>
  <c r="P676"/>
  <c r="O628"/>
  <c r="Q261"/>
  <c r="O53"/>
  <c r="Q570"/>
  <c r="P470"/>
  <c r="Q374"/>
  <c r="P278"/>
  <c r="Q182"/>
  <c r="P86"/>
  <c r="O54"/>
  <c r="O280"/>
  <c r="O184"/>
  <c r="P88"/>
  <c r="P289"/>
  <c r="O265"/>
  <c r="O137"/>
  <c r="O497"/>
  <c r="P305"/>
  <c r="P769"/>
  <c r="P1161"/>
  <c r="O139"/>
  <c r="P203"/>
  <c r="O83"/>
  <c r="P1039"/>
  <c r="P753"/>
  <c r="P497"/>
  <c r="O1115"/>
  <c r="O1112"/>
  <c r="O1048"/>
  <c r="Q1106"/>
  <c r="Q1074"/>
  <c r="Q866"/>
  <c r="Q834"/>
  <c r="Q888"/>
  <c r="Q536"/>
  <c r="Q718"/>
  <c r="Q202"/>
  <c r="Q170"/>
  <c r="P887"/>
  <c r="O839"/>
  <c r="Q807"/>
  <c r="O906"/>
  <c r="O170"/>
  <c r="O1055"/>
  <c r="P689"/>
  <c r="O609"/>
  <c r="O449"/>
  <c r="Q1131"/>
  <c r="Q1003"/>
  <c r="Q1160"/>
  <c r="Q1128"/>
  <c r="Q1000"/>
  <c r="Q1177"/>
  <c r="O1250"/>
  <c r="O1106"/>
  <c r="P1074"/>
  <c r="P1010"/>
  <c r="P866"/>
  <c r="P834"/>
  <c r="Q786"/>
  <c r="O888"/>
  <c r="Q776"/>
  <c r="O536"/>
  <c r="R536" s="1"/>
  <c r="Q472"/>
  <c r="Q440"/>
  <c r="Q408"/>
  <c r="Q376"/>
  <c r="Q344"/>
  <c r="Q312"/>
  <c r="P718"/>
  <c r="P202"/>
  <c r="Q919"/>
  <c r="P871"/>
  <c r="Q855"/>
  <c r="P807"/>
  <c r="Q479"/>
  <c r="Q415"/>
  <c r="Q351"/>
  <c r="Q287"/>
  <c r="O236"/>
  <c r="O172"/>
  <c r="O108"/>
  <c r="O44"/>
  <c r="O1191"/>
  <c r="O434"/>
  <c r="P306"/>
  <c r="P527"/>
  <c r="P1145"/>
  <c r="P673"/>
  <c r="O593"/>
  <c r="P449"/>
  <c r="P1167"/>
  <c r="P1212"/>
  <c r="Q1196"/>
  <c r="O1148"/>
  <c r="Q989"/>
  <c r="Q957"/>
  <c r="Q925"/>
  <c r="Q893"/>
  <c r="Q861"/>
  <c r="Q829"/>
  <c r="Q797"/>
  <c r="Q1110"/>
  <c r="Q1078"/>
  <c r="Q998"/>
  <c r="Q950"/>
  <c r="O918"/>
  <c r="O860"/>
  <c r="Q700"/>
  <c r="P620"/>
  <c r="O460"/>
  <c r="O396"/>
  <c r="O332"/>
  <c r="O754"/>
  <c r="Q658"/>
  <c r="P530"/>
  <c r="Q463"/>
  <c r="Q399"/>
  <c r="Q335"/>
  <c r="P34"/>
  <c r="Q767"/>
  <c r="O671"/>
  <c r="Q639"/>
  <c r="O543"/>
  <c r="Q511"/>
  <c r="Q383"/>
  <c r="P63"/>
  <c r="P1207"/>
  <c r="P848"/>
  <c r="O1129"/>
  <c r="O705"/>
  <c r="O577"/>
  <c r="O465"/>
  <c r="O401"/>
  <c r="O369"/>
  <c r="O337"/>
  <c r="O305"/>
  <c r="Q1235"/>
  <c r="Q1155"/>
  <c r="Q1011"/>
  <c r="Q1248"/>
  <c r="O960"/>
  <c r="O1258"/>
  <c r="Q1242"/>
  <c r="Q1098"/>
  <c r="O1066"/>
  <c r="Q938"/>
  <c r="Q906"/>
  <c r="O842"/>
  <c r="Q656"/>
  <c r="Q608"/>
  <c r="Q498"/>
  <c r="Q466"/>
  <c r="Q434"/>
  <c r="Q402"/>
  <c r="Q370"/>
  <c r="Q338"/>
  <c r="Q306"/>
  <c r="Q274"/>
  <c r="Q242"/>
  <c r="Q82"/>
  <c r="Q719"/>
  <c r="Q655"/>
  <c r="Q591"/>
  <c r="Q527"/>
  <c r="P447"/>
  <c r="P319"/>
  <c r="Q255"/>
  <c r="P39"/>
  <c r="Q1079"/>
  <c r="P967"/>
  <c r="Q951"/>
  <c r="Q964"/>
  <c r="O1093"/>
  <c r="Q1061"/>
  <c r="Q1086"/>
  <c r="P846"/>
  <c r="Q85"/>
  <c r="P650"/>
  <c r="Q406"/>
  <c r="Q214"/>
  <c r="Q495"/>
  <c r="Q215"/>
  <c r="Q216"/>
  <c r="Q41"/>
  <c r="P926"/>
  <c r="Q149"/>
  <c r="O730"/>
  <c r="O438"/>
  <c r="O246"/>
  <c r="Q303"/>
  <c r="Q152"/>
  <c r="O56"/>
  <c r="Q1150"/>
  <c r="Q958"/>
  <c r="O261"/>
  <c r="Q213"/>
  <c r="P570"/>
  <c r="O374"/>
  <c r="O182"/>
  <c r="P465"/>
  <c r="P321"/>
  <c r="P1129"/>
  <c r="P433"/>
  <c r="O169"/>
  <c r="P577"/>
  <c r="P337"/>
  <c r="P209"/>
  <c r="O1039"/>
  <c r="O783"/>
  <c r="P267"/>
  <c r="P1089"/>
  <c r="O1131"/>
  <c r="O1003"/>
  <c r="O1160"/>
  <c r="O1128"/>
  <c r="O1000"/>
  <c r="Q1241"/>
  <c r="O1177"/>
  <c r="O786"/>
  <c r="Q872"/>
  <c r="O472"/>
  <c r="O440"/>
  <c r="O408"/>
  <c r="O376"/>
  <c r="O344"/>
  <c r="O312"/>
  <c r="Q574"/>
  <c r="Q90"/>
  <c r="P706"/>
  <c r="O466"/>
  <c r="P338"/>
  <c r="O82"/>
  <c r="R82" s="1"/>
  <c r="O1105"/>
  <c r="O785"/>
  <c r="P609"/>
  <c r="O529"/>
  <c r="P417"/>
  <c r="Q1247"/>
  <c r="O989"/>
  <c r="R989" s="1"/>
  <c r="O957"/>
  <c r="R957" s="1"/>
  <c r="O925"/>
  <c r="R925" s="1"/>
  <c r="O893"/>
  <c r="R893" s="1"/>
  <c r="O861"/>
  <c r="R861" s="1"/>
  <c r="O829"/>
  <c r="R829" s="1"/>
  <c r="O797"/>
  <c r="R797" s="1"/>
  <c r="Q780"/>
  <c r="Q748"/>
  <c r="O700"/>
  <c r="R700" s="1"/>
  <c r="Q524"/>
  <c r="Q492"/>
  <c r="P721"/>
  <c r="P593"/>
  <c r="P608"/>
  <c r="O719"/>
  <c r="O591"/>
  <c r="R591" s="1"/>
  <c r="O171"/>
  <c r="O625"/>
  <c r="P353"/>
  <c r="O561"/>
  <c r="O201"/>
  <c r="O73"/>
  <c r="O753"/>
  <c r="P369"/>
  <c r="O75"/>
  <c r="P139"/>
  <c r="Q942"/>
  <c r="O634"/>
  <c r="Q1205"/>
  <c r="Q618"/>
  <c r="Q232"/>
  <c r="P1033"/>
  <c r="P1097"/>
  <c r="Y3"/>
  <c r="Z3"/>
  <c r="R3"/>
  <c r="W3" s="1"/>
  <c r="Q642"/>
  <c r="O1072"/>
  <c r="O1194"/>
  <c r="P528"/>
  <c r="P916"/>
  <c r="P1022"/>
  <c r="Q1141"/>
  <c r="Q814"/>
  <c r="O1094"/>
  <c r="O822"/>
  <c r="Q732"/>
  <c r="Q572"/>
  <c r="P642"/>
  <c r="R642" s="1"/>
  <c r="Q272"/>
  <c r="Q240"/>
  <c r="Q208"/>
  <c r="Q176"/>
  <c r="Q144"/>
  <c r="Q112"/>
  <c r="Q80"/>
  <c r="Q48"/>
  <c r="Q496"/>
  <c r="Q464"/>
  <c r="Q432"/>
  <c r="Q400"/>
  <c r="Q368"/>
  <c r="Q336"/>
  <c r="Q304"/>
  <c r="Q1118"/>
  <c r="Q239"/>
  <c r="O1141"/>
  <c r="R1141" s="1"/>
  <c r="P814"/>
  <c r="R814" s="1"/>
  <c r="Q259"/>
  <c r="Y5"/>
  <c r="X5"/>
  <c r="Y4"/>
  <c r="X4"/>
  <c r="AA27"/>
  <c r="AB27"/>
  <c r="Z27"/>
  <c r="AC35"/>
  <c r="R940" l="1"/>
  <c r="R614"/>
  <c r="R1315"/>
  <c r="R1404"/>
  <c r="R811"/>
  <c r="R477"/>
  <c r="R1454"/>
  <c r="R1456"/>
  <c r="R366"/>
  <c r="R45"/>
  <c r="R1432"/>
  <c r="R1428"/>
  <c r="R1455"/>
  <c r="R213"/>
  <c r="R1306"/>
  <c r="R1396"/>
  <c r="R445"/>
  <c r="R897"/>
  <c r="R485"/>
  <c r="R1246"/>
  <c r="R800"/>
  <c r="R1476"/>
  <c r="R1436"/>
  <c r="R62"/>
  <c r="R1469"/>
  <c r="R252"/>
  <c r="R243"/>
  <c r="R1176"/>
  <c r="R1464"/>
  <c r="R421"/>
  <c r="R1440"/>
  <c r="R510"/>
  <c r="R1458"/>
  <c r="R1208"/>
  <c r="R533"/>
  <c r="R126"/>
  <c r="R1468"/>
  <c r="R1457"/>
  <c r="R1255"/>
  <c r="R222"/>
  <c r="R414"/>
  <c r="R1448"/>
  <c r="R597"/>
  <c r="R286"/>
  <c r="R1307"/>
  <c r="R862"/>
  <c r="R1029"/>
  <c r="R513"/>
  <c r="R212"/>
  <c r="R542"/>
  <c r="R1121"/>
  <c r="R540"/>
  <c r="R606"/>
  <c r="R966"/>
  <c r="R1421"/>
  <c r="R1323"/>
  <c r="R1355"/>
  <c r="R237"/>
  <c r="R290"/>
  <c r="R144"/>
  <c r="R321"/>
  <c r="R1063"/>
  <c r="R810"/>
  <c r="R1388"/>
  <c r="R945"/>
  <c r="R843"/>
  <c r="R1012"/>
  <c r="R365"/>
  <c r="R141"/>
  <c r="R653"/>
  <c r="R1009"/>
  <c r="R55"/>
  <c r="R410"/>
  <c r="R882"/>
  <c r="R696"/>
  <c r="R220"/>
  <c r="R446"/>
  <c r="R1115"/>
  <c r="R300"/>
  <c r="R490"/>
  <c r="R973"/>
  <c r="R382"/>
  <c r="R276"/>
  <c r="R568"/>
  <c r="R930"/>
  <c r="R896"/>
  <c r="R1100"/>
  <c r="R732"/>
  <c r="R492"/>
  <c r="R208"/>
  <c r="R572"/>
  <c r="R406"/>
  <c r="R436"/>
  <c r="R308"/>
  <c r="R116"/>
  <c r="R426"/>
  <c r="R471"/>
  <c r="R476"/>
  <c r="R961"/>
  <c r="R298"/>
  <c r="R772"/>
  <c r="R1032"/>
  <c r="R517"/>
  <c r="R741"/>
  <c r="R282"/>
  <c r="R595"/>
  <c r="R1237"/>
  <c r="R798"/>
  <c r="R353"/>
  <c r="R658"/>
  <c r="R1110"/>
  <c r="R48"/>
  <c r="R1094"/>
  <c r="R75"/>
  <c r="R310"/>
  <c r="R1139"/>
  <c r="R481"/>
  <c r="R268"/>
  <c r="R1006"/>
  <c r="R858"/>
  <c r="R826"/>
  <c r="R508"/>
  <c r="R968"/>
  <c r="R453"/>
  <c r="R373"/>
  <c r="R1199"/>
  <c r="R1473"/>
  <c r="R107"/>
  <c r="R873"/>
  <c r="R474"/>
  <c r="R229"/>
  <c r="R1031"/>
  <c r="R270"/>
  <c r="R413"/>
  <c r="R378"/>
  <c r="R1264"/>
  <c r="R400"/>
  <c r="R998"/>
  <c r="R1217"/>
  <c r="R928"/>
  <c r="R1420"/>
  <c r="R1165"/>
  <c r="R146"/>
  <c r="R547"/>
  <c r="R273"/>
  <c r="R1335"/>
  <c r="R1188"/>
  <c r="R1042"/>
  <c r="R914"/>
  <c r="R677"/>
  <c r="R478"/>
  <c r="R1071"/>
  <c r="R733"/>
  <c r="R629"/>
  <c r="R1089"/>
  <c r="R444"/>
  <c r="R171"/>
  <c r="R254"/>
  <c r="R725"/>
  <c r="R1472"/>
  <c r="R1453"/>
  <c r="R592"/>
  <c r="R1068"/>
  <c r="R613"/>
  <c r="R1052"/>
  <c r="R1193"/>
  <c r="R114"/>
  <c r="R195"/>
  <c r="R357"/>
  <c r="R309"/>
  <c r="R125"/>
  <c r="R775"/>
  <c r="R773"/>
  <c r="R318"/>
  <c r="R545"/>
  <c r="R1475"/>
  <c r="R293"/>
  <c r="R849"/>
  <c r="R405"/>
  <c r="R113"/>
  <c r="R1021"/>
  <c r="R993"/>
  <c r="R1171"/>
  <c r="R588"/>
  <c r="R199"/>
  <c r="R92"/>
  <c r="R1149"/>
  <c r="R156"/>
  <c r="R1146"/>
  <c r="R158"/>
  <c r="R721"/>
  <c r="R1253"/>
  <c r="R582"/>
  <c r="R84"/>
  <c r="R682"/>
  <c r="R131"/>
  <c r="R325"/>
  <c r="R190"/>
  <c r="R977"/>
  <c r="R1269"/>
  <c r="R311"/>
  <c r="R565"/>
  <c r="R693"/>
  <c r="R1238"/>
  <c r="R469"/>
  <c r="R630"/>
  <c r="R404"/>
  <c r="R74"/>
  <c r="R123"/>
  <c r="R181"/>
  <c r="R581"/>
  <c r="R266"/>
  <c r="R60"/>
  <c r="R892"/>
  <c r="R49"/>
  <c r="R482"/>
  <c r="R52"/>
  <c r="R936"/>
  <c r="R1470"/>
  <c r="R724"/>
  <c r="R636"/>
  <c r="R442"/>
  <c r="R1271"/>
  <c r="R709"/>
  <c r="R549"/>
  <c r="R501"/>
  <c r="R1018"/>
  <c r="R188"/>
  <c r="R1147"/>
  <c r="R750"/>
  <c r="R929"/>
  <c r="R316"/>
  <c r="R1005"/>
  <c r="R1134"/>
  <c r="R278"/>
  <c r="R342"/>
  <c r="R532"/>
  <c r="R1178"/>
  <c r="R211"/>
  <c r="R833"/>
  <c r="R284"/>
  <c r="R1247"/>
  <c r="R737"/>
  <c r="R76"/>
  <c r="R1001"/>
  <c r="R186"/>
  <c r="R563"/>
  <c r="R205"/>
  <c r="R214"/>
  <c r="R576"/>
  <c r="R78"/>
  <c r="R865"/>
  <c r="R1444"/>
  <c r="R462"/>
  <c r="R923"/>
  <c r="R178"/>
  <c r="R67"/>
  <c r="R1471"/>
  <c r="R493"/>
  <c r="R1228"/>
  <c r="R1331"/>
  <c r="R907"/>
  <c r="R1154"/>
  <c r="R317"/>
  <c r="R827"/>
  <c r="R323"/>
  <c r="R723"/>
  <c r="R734"/>
  <c r="R1138"/>
  <c r="R381"/>
  <c r="R787"/>
  <c r="R836"/>
  <c r="R1164"/>
  <c r="R341"/>
  <c r="R1113"/>
  <c r="R177"/>
  <c r="R684"/>
  <c r="R244"/>
  <c r="R789"/>
  <c r="R792"/>
  <c r="R272"/>
  <c r="R1022"/>
  <c r="R437"/>
  <c r="R790"/>
  <c r="R1057"/>
  <c r="R954"/>
  <c r="R494"/>
  <c r="R589"/>
  <c r="R921"/>
  <c r="R1157"/>
  <c r="R238"/>
  <c r="R685"/>
  <c r="R579"/>
  <c r="R225"/>
  <c r="R1107"/>
  <c r="R528"/>
  <c r="R140"/>
  <c r="R346"/>
  <c r="R974"/>
  <c r="R972"/>
  <c r="R638"/>
  <c r="R742"/>
  <c r="R1062"/>
  <c r="R122"/>
  <c r="R659"/>
  <c r="R119"/>
  <c r="R669"/>
  <c r="R707"/>
  <c r="R531"/>
  <c r="R183"/>
  <c r="R46"/>
  <c r="R1180"/>
  <c r="R109"/>
  <c r="R962"/>
  <c r="R1272"/>
  <c r="R1163"/>
  <c r="R1135"/>
  <c r="R1170"/>
  <c r="R435"/>
  <c r="R637"/>
  <c r="R397"/>
  <c r="R499"/>
  <c r="R142"/>
  <c r="R875"/>
  <c r="R652"/>
  <c r="R556"/>
  <c r="R161"/>
  <c r="R398"/>
  <c r="R1130"/>
  <c r="R1072"/>
  <c r="R743"/>
  <c r="R1339"/>
  <c r="R515"/>
  <c r="R691"/>
  <c r="R710"/>
  <c r="R1002"/>
  <c r="R912"/>
  <c r="R937"/>
  <c r="R752"/>
  <c r="R1245"/>
  <c r="R1452"/>
  <c r="R910"/>
  <c r="R1092"/>
  <c r="R58"/>
  <c r="R680"/>
  <c r="R1225"/>
  <c r="R368"/>
  <c r="R822"/>
  <c r="R500"/>
  <c r="R1007"/>
  <c r="R1311"/>
  <c r="R1233"/>
  <c r="R1035"/>
  <c r="R285"/>
  <c r="R804"/>
  <c r="R257"/>
  <c r="R573"/>
  <c r="R249"/>
  <c r="R1114"/>
  <c r="R1137"/>
  <c r="R334"/>
  <c r="R526"/>
  <c r="R1083"/>
  <c r="R644"/>
  <c r="R210"/>
  <c r="R483"/>
  <c r="R621"/>
  <c r="R566"/>
  <c r="R1152"/>
  <c r="R701"/>
  <c r="R227"/>
  <c r="R1037"/>
  <c r="R218"/>
  <c r="R1034"/>
  <c r="R660"/>
  <c r="R295"/>
  <c r="R699"/>
  <c r="R336"/>
  <c r="R112"/>
  <c r="R963"/>
  <c r="R1265"/>
  <c r="R679"/>
  <c r="R1189"/>
  <c r="R988"/>
  <c r="R1015"/>
  <c r="R372"/>
  <c r="R359"/>
  <c r="R791"/>
  <c r="R1067"/>
  <c r="R1097"/>
  <c r="R41"/>
  <c r="R689"/>
  <c r="R470"/>
  <c r="R150"/>
  <c r="R347"/>
  <c r="R379"/>
  <c r="R714"/>
  <c r="R61"/>
  <c r="R1262"/>
  <c r="R1195"/>
  <c r="R799"/>
  <c r="R418"/>
  <c r="R830"/>
  <c r="R1216"/>
  <c r="R692"/>
  <c r="R631"/>
  <c r="R815"/>
  <c r="R1095"/>
  <c r="R451"/>
  <c r="R643"/>
  <c r="R1108"/>
  <c r="R560"/>
  <c r="R870"/>
  <c r="R1232"/>
  <c r="R467"/>
  <c r="R110"/>
  <c r="R302"/>
  <c r="R1206"/>
  <c r="R259"/>
  <c r="R176"/>
  <c r="R417"/>
  <c r="R289"/>
  <c r="R1182"/>
  <c r="R744"/>
  <c r="R1047"/>
  <c r="R698"/>
  <c r="R731"/>
  <c r="R1210"/>
  <c r="R603"/>
  <c r="R151"/>
  <c r="R81"/>
  <c r="R764"/>
  <c r="R1327"/>
  <c r="R43"/>
  <c r="R1065"/>
  <c r="R557"/>
  <c r="R825"/>
  <c r="R857"/>
  <c r="R97"/>
  <c r="R387"/>
  <c r="R932"/>
  <c r="R771"/>
  <c r="R403"/>
  <c r="R864"/>
  <c r="R193"/>
  <c r="R1111"/>
  <c r="R174"/>
  <c r="R889"/>
  <c r="R755"/>
  <c r="R1126"/>
  <c r="R1260"/>
  <c r="R269"/>
  <c r="R77"/>
  <c r="R1449"/>
  <c r="R1058"/>
  <c r="R758"/>
  <c r="R541"/>
  <c r="R1159"/>
  <c r="R859"/>
  <c r="R984"/>
  <c r="R955"/>
  <c r="R509"/>
  <c r="R920"/>
  <c r="R349"/>
  <c r="R627"/>
  <c r="R558"/>
  <c r="R33"/>
  <c r="R1185"/>
  <c r="R1053"/>
  <c r="R904"/>
  <c r="R611"/>
  <c r="R749"/>
  <c r="R795"/>
  <c r="R159"/>
  <c r="R129"/>
  <c r="R355"/>
  <c r="R632"/>
  <c r="R1266"/>
  <c r="R781"/>
  <c r="R762"/>
  <c r="R277"/>
  <c r="R175"/>
  <c r="R1230"/>
  <c r="R555"/>
  <c r="R1064"/>
  <c r="R1227"/>
  <c r="R1116"/>
  <c r="R615"/>
  <c r="R461"/>
  <c r="R65"/>
  <c r="R304"/>
  <c r="R769"/>
  <c r="R1102"/>
  <c r="R941"/>
  <c r="R458"/>
  <c r="R1019"/>
  <c r="R1069"/>
  <c r="R675"/>
  <c r="R997"/>
  <c r="R98"/>
  <c r="R726"/>
  <c r="R551"/>
  <c r="R863"/>
  <c r="R817"/>
  <c r="R180"/>
  <c r="R385"/>
  <c r="R173"/>
  <c r="R1124"/>
  <c r="R809"/>
  <c r="R668"/>
  <c r="R1239"/>
  <c r="R250"/>
  <c r="R506"/>
  <c r="R856"/>
  <c r="R994"/>
  <c r="R916"/>
  <c r="R561"/>
  <c r="R433"/>
  <c r="R1011"/>
  <c r="R909"/>
  <c r="R534"/>
  <c r="R239"/>
  <c r="R90"/>
  <c r="R88"/>
  <c r="R86"/>
  <c r="R1172"/>
  <c r="R364"/>
  <c r="R464"/>
  <c r="R240"/>
  <c r="R1194"/>
  <c r="R401"/>
  <c r="R54"/>
  <c r="R118"/>
  <c r="R599"/>
  <c r="R715"/>
  <c r="R622"/>
  <c r="R895"/>
  <c r="R234"/>
  <c r="R661"/>
  <c r="R674"/>
  <c r="R1087"/>
  <c r="R985"/>
  <c r="R307"/>
  <c r="R1211"/>
  <c r="R953"/>
  <c r="R206"/>
  <c r="R605"/>
  <c r="R1040"/>
  <c r="R1054"/>
  <c r="R1119"/>
  <c r="R712"/>
  <c r="R380"/>
  <c r="R881"/>
  <c r="R154"/>
  <c r="R330"/>
  <c r="R301"/>
  <c r="R429"/>
  <c r="R654"/>
  <c r="R939"/>
  <c r="R1459"/>
  <c r="R905"/>
  <c r="R891"/>
  <c r="R430"/>
  <c r="R765"/>
  <c r="R333"/>
  <c r="R314"/>
  <c r="R818"/>
  <c r="R1122"/>
  <c r="R1240"/>
  <c r="R971"/>
  <c r="R1081"/>
  <c r="R704"/>
  <c r="R524"/>
  <c r="R1241"/>
  <c r="R1150"/>
  <c r="R656"/>
  <c r="R1196"/>
  <c r="R776"/>
  <c r="R203"/>
  <c r="R564"/>
  <c r="R1268"/>
  <c r="R145"/>
  <c r="R235"/>
  <c r="R468"/>
  <c r="R1351"/>
  <c r="R432"/>
  <c r="R80"/>
  <c r="R149"/>
  <c r="R938"/>
  <c r="R245"/>
  <c r="R428"/>
  <c r="R204"/>
  <c r="R801"/>
  <c r="R1043"/>
  <c r="R1474"/>
  <c r="R748"/>
  <c r="R502"/>
  <c r="R1085"/>
  <c r="R1050"/>
  <c r="R522"/>
  <c r="R759"/>
  <c r="R1249"/>
  <c r="R784"/>
  <c r="R248"/>
  <c r="R1184"/>
  <c r="R662"/>
  <c r="R884"/>
  <c r="R1023"/>
  <c r="R514"/>
  <c r="R1112"/>
  <c r="R756"/>
  <c r="R1343"/>
  <c r="R1400"/>
  <c r="R1348"/>
  <c r="R845"/>
  <c r="R1336"/>
  <c r="R1302"/>
  <c r="R1430"/>
  <c r="R1275"/>
  <c r="R1360"/>
  <c r="R1299"/>
  <c r="R1406"/>
  <c r="R450"/>
  <c r="R412"/>
  <c r="R1334"/>
  <c r="R1312"/>
  <c r="R1328"/>
  <c r="R1304"/>
  <c r="R1431"/>
  <c r="R1376"/>
  <c r="R1365"/>
  <c r="R1441"/>
  <c r="R1310"/>
  <c r="R71"/>
  <c r="R1392"/>
  <c r="R1314"/>
  <c r="R1332"/>
  <c r="R1460"/>
  <c r="R1340"/>
  <c r="R1324"/>
  <c r="R1316"/>
  <c r="R535"/>
  <c r="R35"/>
  <c r="R908"/>
  <c r="R757"/>
  <c r="R135"/>
  <c r="R148"/>
  <c r="R1425"/>
  <c r="R1333"/>
  <c r="R1386"/>
  <c r="R1359"/>
  <c r="R1403"/>
  <c r="R1298"/>
  <c r="R1390"/>
  <c r="R1445"/>
  <c r="R1393"/>
  <c r="R1294"/>
  <c r="R1330"/>
  <c r="R1385"/>
  <c r="R1387"/>
  <c r="R1273"/>
  <c r="R1303"/>
  <c r="R1438"/>
  <c r="R1297"/>
  <c r="R1379"/>
  <c r="R1401"/>
  <c r="R1362"/>
  <c r="R1434"/>
  <c r="R1280"/>
  <c r="R1443"/>
  <c r="R1435"/>
  <c r="R1463"/>
  <c r="R1413"/>
  <c r="R1342"/>
  <c r="R1292"/>
  <c r="R1279"/>
  <c r="R1375"/>
  <c r="R1394"/>
  <c r="R1353"/>
  <c r="R1419"/>
  <c r="R1374"/>
  <c r="R1462"/>
  <c r="R1408"/>
  <c r="R1329"/>
  <c r="R1372"/>
  <c r="R1276"/>
  <c r="R1427"/>
  <c r="R1320"/>
  <c r="R1285"/>
  <c r="R1341"/>
  <c r="R1415"/>
  <c r="R1274"/>
  <c r="R1308"/>
  <c r="R1439"/>
  <c r="R1447"/>
  <c r="R1358"/>
  <c r="R1422"/>
  <c r="R1291"/>
  <c r="R1424"/>
  <c r="R1305"/>
  <c r="R1338"/>
  <c r="R1414"/>
  <c r="R1283"/>
  <c r="R1277"/>
  <c r="R1367"/>
  <c r="R1446"/>
  <c r="R1357"/>
  <c r="R1382"/>
  <c r="R1429"/>
  <c r="R1352"/>
  <c r="R1399"/>
  <c r="R1313"/>
  <c r="R1344"/>
  <c r="R1397"/>
  <c r="R616"/>
  <c r="R1461"/>
  <c r="R1318"/>
  <c r="R1350"/>
  <c r="R1295"/>
  <c r="R1426"/>
  <c r="R1391"/>
  <c r="R1416"/>
  <c r="R1465"/>
  <c r="R1366"/>
  <c r="R1345"/>
  <c r="R1378"/>
  <c r="R1296"/>
  <c r="R1371"/>
  <c r="R1290"/>
  <c r="R1363"/>
  <c r="R1301"/>
  <c r="R1284"/>
  <c r="R1278"/>
  <c r="R1368"/>
  <c r="R1402"/>
  <c r="R1433"/>
  <c r="R1417"/>
  <c r="R1346"/>
  <c r="R1354"/>
  <c r="R1287"/>
  <c r="R1383"/>
  <c r="R1410"/>
  <c r="R1380"/>
  <c r="R1293"/>
  <c r="R1321"/>
  <c r="R1300"/>
  <c r="R1361"/>
  <c r="R813"/>
  <c r="R99"/>
  <c r="R1286"/>
  <c r="R1326"/>
  <c r="R1377"/>
  <c r="R1398"/>
  <c r="R1364"/>
  <c r="R1418"/>
  <c r="R1309"/>
  <c r="R1442"/>
  <c r="R1289"/>
  <c r="R1423"/>
  <c r="R1451"/>
  <c r="R1405"/>
  <c r="R1466"/>
  <c r="R1317"/>
  <c r="R1325"/>
  <c r="R1349"/>
  <c r="R1370"/>
  <c r="R1288"/>
  <c r="R1384"/>
  <c r="R1411"/>
  <c r="R1282"/>
  <c r="R1373"/>
  <c r="R1322"/>
  <c r="R1369"/>
  <c r="R1281"/>
  <c r="R1407"/>
  <c r="R1409"/>
  <c r="R1437"/>
  <c r="R1337"/>
  <c r="R1395"/>
  <c r="R1381"/>
  <c r="R1450"/>
  <c r="R1356"/>
  <c r="R550"/>
  <c r="R979"/>
  <c r="R899"/>
  <c r="R819"/>
  <c r="R1254"/>
  <c r="R258"/>
  <c r="R1219"/>
  <c r="R1101"/>
  <c r="R1044"/>
  <c r="R694"/>
  <c r="R1008"/>
  <c r="R1169"/>
  <c r="R1143"/>
  <c r="R362"/>
  <c r="R1099"/>
  <c r="R1204"/>
  <c r="R647"/>
  <c r="R375"/>
  <c r="R162"/>
  <c r="R1082"/>
  <c r="R44"/>
  <c r="R544"/>
  <c r="R1004"/>
  <c r="R256"/>
  <c r="R507"/>
  <c r="R1125"/>
  <c r="R995"/>
  <c r="R283"/>
  <c r="R1226"/>
  <c r="R763"/>
  <c r="R788"/>
  <c r="R194"/>
  <c r="R651"/>
  <c r="R840"/>
  <c r="R130"/>
  <c r="R96"/>
  <c r="R111"/>
  <c r="R820"/>
  <c r="R322"/>
  <c r="R948"/>
  <c r="R746"/>
  <c r="R996"/>
  <c r="R226"/>
  <c r="R455"/>
  <c r="R586"/>
  <c r="R1166"/>
  <c r="R1091"/>
  <c r="R779"/>
  <c r="R253"/>
  <c r="R32"/>
  <c r="R189"/>
  <c r="R587"/>
  <c r="R503"/>
  <c r="R567"/>
  <c r="R991"/>
  <c r="R343"/>
  <c r="R354"/>
  <c r="R831"/>
  <c r="R66"/>
  <c r="R844"/>
  <c r="R217"/>
  <c r="R876"/>
  <c r="R927"/>
  <c r="R664"/>
  <c r="R783"/>
  <c r="R275"/>
  <c r="R475"/>
  <c r="R854"/>
  <c r="R299"/>
  <c r="R878"/>
  <c r="R1201"/>
  <c r="R900"/>
  <c r="R224"/>
  <c r="R459"/>
  <c r="R806"/>
  <c r="R1151"/>
  <c r="R604"/>
  <c r="R1046"/>
  <c r="R1192"/>
  <c r="R624"/>
  <c r="R546"/>
  <c r="R1251"/>
  <c r="R990"/>
  <c r="R391"/>
  <c r="R760"/>
  <c r="R782"/>
  <c r="R1259"/>
  <c r="R1209"/>
  <c r="R394"/>
  <c r="R942"/>
  <c r="R191"/>
  <c r="R184"/>
  <c r="R247"/>
  <c r="R1014"/>
  <c r="R438"/>
  <c r="R683"/>
  <c r="R331"/>
  <c r="R803"/>
  <c r="R1038"/>
  <c r="R946"/>
  <c r="R678"/>
  <c r="R1084"/>
  <c r="R105"/>
  <c r="R902"/>
  <c r="R727"/>
  <c r="R1173"/>
  <c r="R50"/>
  <c r="R1162"/>
  <c r="R578"/>
  <c r="R695"/>
  <c r="R407"/>
  <c r="R487"/>
  <c r="R943"/>
  <c r="R808"/>
  <c r="R1161"/>
  <c r="R271"/>
  <c r="R327"/>
  <c r="R584"/>
  <c r="R340"/>
  <c r="R423"/>
  <c r="R1109"/>
  <c r="R635"/>
  <c r="R879"/>
  <c r="R539"/>
  <c r="R443"/>
  <c r="R519"/>
  <c r="R1017"/>
  <c r="R439"/>
  <c r="R1024"/>
  <c r="R583"/>
  <c r="R496"/>
  <c r="R85"/>
  <c r="R847"/>
  <c r="R504"/>
  <c r="R975"/>
  <c r="R594"/>
  <c r="R1013"/>
  <c r="R688"/>
  <c r="R823"/>
  <c r="R1198"/>
  <c r="R352"/>
  <c r="R774"/>
  <c r="R395"/>
  <c r="R128"/>
  <c r="R778"/>
  <c r="R157"/>
  <c r="R386"/>
  <c r="R241"/>
  <c r="R667"/>
  <c r="R215"/>
  <c r="R970"/>
  <c r="R574"/>
  <c r="R1073"/>
  <c r="R736"/>
  <c r="R569"/>
  <c r="R223"/>
  <c r="R922"/>
  <c r="R766"/>
  <c r="R952"/>
  <c r="R747"/>
  <c r="R399"/>
  <c r="R619"/>
  <c r="R167"/>
  <c r="R1028"/>
  <c r="R363"/>
  <c r="R598"/>
  <c r="R911"/>
  <c r="R596"/>
  <c r="R320"/>
  <c r="R796"/>
  <c r="R868"/>
  <c r="R986"/>
  <c r="R480"/>
  <c r="R427"/>
  <c r="R64"/>
  <c r="R411"/>
  <c r="R491"/>
  <c r="R835"/>
  <c r="R192"/>
  <c r="R851"/>
  <c r="R867"/>
  <c r="R883"/>
  <c r="R931"/>
  <c r="R1123"/>
  <c r="R315"/>
  <c r="R1104"/>
  <c r="R87"/>
  <c r="R571"/>
  <c r="R1257"/>
  <c r="R838"/>
  <c r="R93"/>
  <c r="R686"/>
  <c r="R127"/>
  <c r="R47"/>
  <c r="R255"/>
  <c r="R370"/>
  <c r="R1242"/>
  <c r="R1077"/>
  <c r="R1118"/>
  <c r="R846"/>
  <c r="R1048"/>
  <c r="R562"/>
  <c r="R903"/>
  <c r="R1088"/>
  <c r="R999"/>
  <c r="R518"/>
  <c r="R575"/>
  <c r="R1222"/>
  <c r="R303"/>
  <c r="R201"/>
  <c r="R960"/>
  <c r="R671"/>
  <c r="R754"/>
  <c r="R280"/>
  <c r="R351"/>
  <c r="R185"/>
  <c r="R855"/>
  <c r="R416"/>
  <c r="R288"/>
  <c r="R512"/>
  <c r="R1181"/>
  <c r="R1056"/>
  <c r="R628"/>
  <c r="R570"/>
  <c r="R246"/>
  <c r="R609"/>
  <c r="R261"/>
  <c r="R1183"/>
  <c r="R1234"/>
  <c r="R753"/>
  <c r="R860"/>
  <c r="R1207"/>
  <c r="R530"/>
  <c r="R1167"/>
  <c r="R409"/>
  <c r="R768"/>
  <c r="R716"/>
  <c r="R850"/>
  <c r="R166"/>
  <c r="R1155"/>
  <c r="R951"/>
  <c r="R1205"/>
  <c r="R313"/>
  <c r="R486"/>
  <c r="R260"/>
  <c r="R934"/>
  <c r="R1144"/>
  <c r="R672"/>
  <c r="R69"/>
  <c r="R452"/>
  <c r="R690"/>
  <c r="R392"/>
  <c r="R681"/>
  <c r="R554"/>
  <c r="R964"/>
  <c r="R36"/>
  <c r="R983"/>
  <c r="R1080"/>
  <c r="R965"/>
  <c r="R38"/>
  <c r="R488"/>
  <c r="R251"/>
  <c r="R687"/>
  <c r="R361"/>
  <c r="R601"/>
  <c r="R390"/>
  <c r="R441"/>
  <c r="R832"/>
  <c r="R706"/>
  <c r="R56"/>
  <c r="R623"/>
  <c r="R634"/>
  <c r="R267"/>
  <c r="R958"/>
  <c r="R1061"/>
  <c r="R335"/>
  <c r="R1145"/>
  <c r="R640"/>
  <c r="R607"/>
  <c r="R620"/>
  <c r="R626"/>
  <c r="R1142"/>
  <c r="R777"/>
  <c r="R425"/>
  <c r="R548"/>
  <c r="R1221"/>
  <c r="R976"/>
  <c r="R828"/>
  <c r="R1117"/>
  <c r="R520"/>
  <c r="R1179"/>
  <c r="R537"/>
  <c r="R821"/>
  <c r="R207"/>
  <c r="R51"/>
  <c r="R165"/>
  <c r="R1133"/>
  <c r="R328"/>
  <c r="R1098"/>
  <c r="R521"/>
  <c r="R1025"/>
  <c r="R457"/>
  <c r="R326"/>
  <c r="R869"/>
  <c r="R100"/>
  <c r="R1186"/>
  <c r="R209"/>
  <c r="R152"/>
  <c r="R216"/>
  <c r="R242"/>
  <c r="R1078"/>
  <c r="R1045"/>
  <c r="R1027"/>
  <c r="R360"/>
  <c r="R853"/>
  <c r="R516"/>
  <c r="R358"/>
  <c r="R388"/>
  <c r="R933"/>
  <c r="R294"/>
  <c r="R228"/>
  <c r="R872"/>
  <c r="R1248"/>
  <c r="R367"/>
  <c r="R233"/>
  <c r="R703"/>
  <c r="R1030"/>
  <c r="R219"/>
  <c r="R794"/>
  <c r="R473"/>
  <c r="R633"/>
  <c r="R153"/>
  <c r="R198"/>
  <c r="R949"/>
  <c r="R34"/>
  <c r="R1235"/>
  <c r="R982"/>
  <c r="R1203"/>
  <c r="R221"/>
  <c r="R281"/>
  <c r="R102"/>
  <c r="R837"/>
  <c r="R848"/>
  <c r="R231"/>
  <c r="R1231"/>
  <c r="R824"/>
  <c r="R230"/>
  <c r="R104"/>
  <c r="R992"/>
  <c r="R422"/>
  <c r="R890"/>
  <c r="R745"/>
  <c r="R40"/>
  <c r="R1132"/>
  <c r="R356"/>
  <c r="R115"/>
  <c r="R498"/>
  <c r="R649"/>
  <c r="R305"/>
  <c r="R332"/>
  <c r="R108"/>
  <c r="R265"/>
  <c r="R924"/>
  <c r="R676"/>
  <c r="R1026"/>
  <c r="R1090"/>
  <c r="R324"/>
  <c r="R1060"/>
  <c r="R89"/>
  <c r="R793"/>
  <c r="R42"/>
  <c r="R424"/>
  <c r="R1016"/>
  <c r="R1224"/>
  <c r="R197"/>
  <c r="R1127"/>
  <c r="R728"/>
  <c r="R702"/>
  <c r="R232"/>
  <c r="R1105"/>
  <c r="R495"/>
  <c r="R434"/>
  <c r="R287"/>
  <c r="R834"/>
  <c r="R887"/>
  <c r="R117"/>
  <c r="R1220"/>
  <c r="R646"/>
  <c r="R812"/>
  <c r="R274"/>
  <c r="R63"/>
  <c r="R639"/>
  <c r="R460"/>
  <c r="R236"/>
  <c r="R139"/>
  <c r="R935"/>
  <c r="R1267"/>
  <c r="R402"/>
  <c r="R120"/>
  <c r="R1086"/>
  <c r="R1120"/>
  <c r="R505"/>
  <c r="R91"/>
  <c r="R297"/>
  <c r="R431"/>
  <c r="R454"/>
  <c r="R559"/>
  <c r="R735"/>
  <c r="R553"/>
  <c r="R713"/>
  <c r="R1049"/>
  <c r="R377"/>
  <c r="R134"/>
  <c r="R484"/>
  <c r="R200"/>
  <c r="R420"/>
  <c r="R264"/>
  <c r="R885"/>
  <c r="R751"/>
  <c r="R121"/>
  <c r="R610"/>
  <c r="R1229"/>
  <c r="R1263"/>
  <c r="R415"/>
  <c r="R489"/>
  <c r="R585"/>
  <c r="R761"/>
  <c r="R1051"/>
  <c r="R106"/>
  <c r="R70"/>
  <c r="R617"/>
  <c r="R729"/>
  <c r="R981"/>
  <c r="R917"/>
  <c r="R68"/>
  <c r="R708"/>
  <c r="R132"/>
  <c r="R456"/>
  <c r="R1033"/>
  <c r="R1010"/>
  <c r="R665"/>
  <c r="R1131"/>
  <c r="R511"/>
  <c r="R1212"/>
  <c r="R718"/>
  <c r="R552"/>
  <c r="R1236"/>
  <c r="R767"/>
  <c r="R950"/>
  <c r="R697"/>
  <c r="R1096"/>
  <c r="R1153"/>
  <c r="R72"/>
  <c r="R133"/>
  <c r="R874"/>
  <c r="R1200"/>
  <c r="R57"/>
  <c r="R393"/>
  <c r="R612"/>
  <c r="R894"/>
  <c r="R1075"/>
  <c r="R79"/>
  <c r="R463"/>
  <c r="R919"/>
  <c r="R296"/>
  <c r="W12"/>
  <c r="R618"/>
  <c r="R344"/>
  <c r="R472"/>
  <c r="R1093"/>
  <c r="R1079"/>
  <c r="R306"/>
  <c r="R1066"/>
  <c r="R383"/>
  <c r="R396"/>
  <c r="R1055"/>
  <c r="R657"/>
  <c r="R172"/>
  <c r="R1250"/>
  <c r="R73"/>
  <c r="R719"/>
  <c r="R780"/>
  <c r="R967"/>
  <c r="R655"/>
  <c r="R479"/>
  <c r="R1074"/>
  <c r="R103"/>
  <c r="R1128"/>
  <c r="R182"/>
  <c r="R807"/>
  <c r="R202"/>
  <c r="R376"/>
  <c r="R527"/>
  <c r="R906"/>
  <c r="R170"/>
  <c r="R1106"/>
  <c r="R53"/>
  <c r="R926"/>
  <c r="R447"/>
  <c r="R138"/>
  <c r="R338"/>
  <c r="R408"/>
  <c r="R543"/>
  <c r="R871"/>
  <c r="R888"/>
  <c r="R1003"/>
  <c r="R137"/>
  <c r="R785"/>
  <c r="R312"/>
  <c r="R1177"/>
  <c r="R1160"/>
  <c r="R650"/>
  <c r="R319"/>
  <c r="R786"/>
  <c r="R1000"/>
  <c r="R866"/>
  <c r="R1039"/>
  <c r="R730"/>
  <c r="R39"/>
  <c r="R842"/>
  <c r="R169"/>
  <c r="R529"/>
  <c r="R83"/>
  <c r="R440"/>
  <c r="R625"/>
  <c r="R374"/>
  <c r="R1258"/>
  <c r="R705"/>
  <c r="R1213"/>
  <c r="R497"/>
  <c r="W11"/>
  <c r="R466"/>
  <c r="R918"/>
  <c r="R839"/>
  <c r="R1148"/>
  <c r="R1191"/>
  <c r="R877"/>
  <c r="R608"/>
  <c r="R369"/>
  <c r="R1129"/>
  <c r="R449"/>
  <c r="R337"/>
  <c r="R577"/>
  <c r="R673"/>
  <c r="R465"/>
  <c r="R593"/>
  <c r="Z31"/>
  <c r="AG1141" s="1"/>
  <c r="AB31"/>
  <c r="AI1467" s="1"/>
  <c r="AA31"/>
  <c r="AH944" s="1"/>
  <c r="AC27"/>
  <c r="AH1310" l="1"/>
  <c r="AH1470"/>
  <c r="AH1472"/>
  <c r="AH1343"/>
  <c r="AH1469"/>
  <c r="AH1351"/>
  <c r="AH1315"/>
  <c r="AG1318"/>
  <c r="AG1432"/>
  <c r="AG1457"/>
  <c r="AH1347"/>
  <c r="AG1456"/>
  <c r="AH1474"/>
  <c r="AG1306"/>
  <c r="AH1323"/>
  <c r="AG1463"/>
  <c r="AG1408"/>
  <c r="AG1409"/>
  <c r="AG1442"/>
  <c r="AG1460"/>
  <c r="AG1326"/>
  <c r="AG1379"/>
  <c r="AG1363"/>
  <c r="AG1320"/>
  <c r="AG1447"/>
  <c r="AG1397"/>
  <c r="AG1324"/>
  <c r="AG1277"/>
  <c r="AG1394"/>
  <c r="AG1398"/>
  <c r="AG1403"/>
  <c r="AG1321"/>
  <c r="AG1429"/>
  <c r="AG1309"/>
  <c r="AG1338"/>
  <c r="AG1381"/>
  <c r="AG1365"/>
  <c r="AG1386"/>
  <c r="AG1370"/>
  <c r="AG1358"/>
  <c r="AG1314"/>
  <c r="AG1287"/>
  <c r="AG1302"/>
  <c r="AG1286"/>
  <c r="AG1337"/>
  <c r="AG1376"/>
  <c r="AG1361"/>
  <c r="AG1297"/>
  <c r="AG1281"/>
  <c r="AG1411"/>
  <c r="AG1313"/>
  <c r="AG1276"/>
  <c r="AG1300"/>
  <c r="AG1284"/>
  <c r="AG1303"/>
  <c r="AI1470"/>
  <c r="AG1467"/>
  <c r="AI1315"/>
  <c r="AG1339"/>
  <c r="AH1456"/>
  <c r="AI1474"/>
  <c r="AH1455"/>
  <c r="AI1351"/>
  <c r="AI1323"/>
  <c r="AI1343"/>
  <c r="AI1341"/>
  <c r="AI1423"/>
  <c r="AI1443"/>
  <c r="AI1330"/>
  <c r="AI1292"/>
  <c r="AI1445"/>
  <c r="AI1374"/>
  <c r="AI1348"/>
  <c r="AI1276"/>
  <c r="AI1400"/>
  <c r="AI1372"/>
  <c r="AI1324"/>
  <c r="AI1411"/>
  <c r="AI1463"/>
  <c r="AI1460"/>
  <c r="AI1379"/>
  <c r="AI1363"/>
  <c r="AI1461"/>
  <c r="AI1277"/>
  <c r="AI1328"/>
  <c r="AI1408"/>
  <c r="AI1425"/>
  <c r="AI1393"/>
  <c r="AI1295"/>
  <c r="AI1279"/>
  <c r="AI1442"/>
  <c r="AI1342"/>
  <c r="AI1302"/>
  <c r="AI1286"/>
  <c r="AI1446"/>
  <c r="AI1361"/>
  <c r="AI1413"/>
  <c r="AI1356"/>
  <c r="AI1289"/>
  <c r="AI1321"/>
  <c r="AI1373"/>
  <c r="AI1312"/>
  <c r="AI1434"/>
  <c r="AI1410"/>
  <c r="AG1458"/>
  <c r="AI1457"/>
  <c r="AI1396"/>
  <c r="AI1404"/>
  <c r="AG1436"/>
  <c r="AH1459"/>
  <c r="AH1476"/>
  <c r="AI1388"/>
  <c r="AH1332"/>
  <c r="AH1359"/>
  <c r="AH1317"/>
  <c r="AH1295"/>
  <c r="AH1279"/>
  <c r="AH1342"/>
  <c r="AH1387"/>
  <c r="AH1371"/>
  <c r="AH1298"/>
  <c r="AH1282"/>
  <c r="AH1357"/>
  <c r="AH1293"/>
  <c r="AH1418"/>
  <c r="AH1341"/>
  <c r="AH1439"/>
  <c r="AH1425"/>
  <c r="AH1393"/>
  <c r="AH1451"/>
  <c r="AH1276"/>
  <c r="AH1446"/>
  <c r="AH1423"/>
  <c r="AH1413"/>
  <c r="AH1340"/>
  <c r="AH1346"/>
  <c r="AH1385"/>
  <c r="AH1369"/>
  <c r="AH1296"/>
  <c r="AH1280"/>
  <c r="AH1463"/>
  <c r="AH1374"/>
  <c r="AH1348"/>
  <c r="AH1460"/>
  <c r="AH1414"/>
  <c r="AH1461"/>
  <c r="AH1372"/>
  <c r="AH1402"/>
  <c r="AH1395"/>
  <c r="AH1273"/>
  <c r="AH1337"/>
  <c r="AI1306"/>
  <c r="AI1475"/>
  <c r="AG1315"/>
  <c r="AH1404"/>
  <c r="AI1473"/>
  <c r="AI1459"/>
  <c r="AI1468"/>
  <c r="AG1412"/>
  <c r="AH1388"/>
  <c r="AG1475"/>
  <c r="AI1458"/>
  <c r="AG1434"/>
  <c r="AG1444"/>
  <c r="AG1440"/>
  <c r="AI1307"/>
  <c r="AH1355"/>
  <c r="AG1441"/>
  <c r="AI1428"/>
  <c r="AH1335"/>
  <c r="AG1329"/>
  <c r="AG1424"/>
  <c r="AG1417"/>
  <c r="AG1450"/>
  <c r="AG1464"/>
  <c r="AG1334"/>
  <c r="AG1383"/>
  <c r="AG1367"/>
  <c r="AG1336"/>
  <c r="AG1461"/>
  <c r="AG1405"/>
  <c r="AG1340"/>
  <c r="AG1325"/>
  <c r="AG1426"/>
  <c r="AG1399"/>
  <c r="AG1419"/>
  <c r="AG1402"/>
  <c r="AG1438"/>
  <c r="AG1391"/>
  <c r="AG1346"/>
  <c r="AG1385"/>
  <c r="AG1369"/>
  <c r="AG1328"/>
  <c r="AG1374"/>
  <c r="AG1360"/>
  <c r="AG1316"/>
  <c r="AG1291"/>
  <c r="AG1333"/>
  <c r="AG1290"/>
  <c r="AG1418"/>
  <c r="AG1380"/>
  <c r="AG1364"/>
  <c r="AG1301"/>
  <c r="AG1285"/>
  <c r="AG1427"/>
  <c r="AG1304"/>
  <c r="AG1430"/>
  <c r="AG1353"/>
  <c r="AG1288"/>
  <c r="AG1466"/>
  <c r="AI1469"/>
  <c r="AH1453"/>
  <c r="AI1347"/>
  <c r="AG1319"/>
  <c r="AG1327"/>
  <c r="AI1441"/>
  <c r="AG1459"/>
  <c r="AG1468"/>
  <c r="AI1335"/>
  <c r="AI1310"/>
  <c r="AI1422"/>
  <c r="AI1416"/>
  <c r="AI1329"/>
  <c r="AI1338"/>
  <c r="AI1296"/>
  <c r="AI1280"/>
  <c r="AI1378"/>
  <c r="AI1362"/>
  <c r="AI1349"/>
  <c r="AI1320"/>
  <c r="AI1376"/>
  <c r="AI1340"/>
  <c r="AI1427"/>
  <c r="AI1402"/>
  <c r="AI1464"/>
  <c r="AI1383"/>
  <c r="AI1367"/>
  <c r="AI1465"/>
  <c r="AI1345"/>
  <c r="AI1344"/>
  <c r="AI1424"/>
  <c r="AI1358"/>
  <c r="AI1401"/>
  <c r="AI1299"/>
  <c r="AI1283"/>
  <c r="AI1450"/>
  <c r="AI1435"/>
  <c r="AI1318"/>
  <c r="AI1290"/>
  <c r="AI1352"/>
  <c r="AI1429"/>
  <c r="AI1421"/>
  <c r="AI1389"/>
  <c r="AI1293"/>
  <c r="AI1414"/>
  <c r="AI1377"/>
  <c r="AI1350"/>
  <c r="AI1418"/>
  <c r="AI1394"/>
  <c r="AH1307"/>
  <c r="AI1440"/>
  <c r="AH1467"/>
  <c r="AH1339"/>
  <c r="AI1452"/>
  <c r="AG1449"/>
  <c r="AH1471"/>
  <c r="AI1420"/>
  <c r="AH1358"/>
  <c r="AH1361"/>
  <c r="AH1313"/>
  <c r="AH1299"/>
  <c r="AH1283"/>
  <c r="AH1354"/>
  <c r="AH1318"/>
  <c r="AH1375"/>
  <c r="AH1302"/>
  <c r="AH1286"/>
  <c r="AH1398"/>
  <c r="AH1297"/>
  <c r="AH1281"/>
  <c r="AH1406"/>
  <c r="AH1445"/>
  <c r="AH1392"/>
  <c r="AH1401"/>
  <c r="AH1433"/>
  <c r="AH1403"/>
  <c r="AH1320"/>
  <c r="AH1429"/>
  <c r="AH1421"/>
  <c r="AH1389"/>
  <c r="AH1353"/>
  <c r="AH1322"/>
  <c r="AH1373"/>
  <c r="AH1300"/>
  <c r="AH1284"/>
  <c r="AH1321"/>
  <c r="AH1378"/>
  <c r="AH1362"/>
  <c r="AH1464"/>
  <c r="AH1305"/>
  <c r="AH1465"/>
  <c r="AH1376"/>
  <c r="AH1309"/>
  <c r="AH1411"/>
  <c r="AH1275"/>
  <c r="AH1345"/>
  <c r="AH1437"/>
  <c r="AG1470"/>
  <c r="AG1347"/>
  <c r="AI1339"/>
  <c r="AH1436"/>
  <c r="AI1449"/>
  <c r="AI1476"/>
  <c r="AI1331"/>
  <c r="AH1420"/>
  <c r="AH1458"/>
  <c r="AI1454"/>
  <c r="AI1311"/>
  <c r="AI1436"/>
  <c r="AG1455"/>
  <c r="AI1412"/>
  <c r="AG1439"/>
  <c r="AG1425"/>
  <c r="AG1393"/>
  <c r="AG1435"/>
  <c r="AG1342"/>
  <c r="AG1387"/>
  <c r="AG1371"/>
  <c r="AG1352"/>
  <c r="AG1465"/>
  <c r="AG1413"/>
  <c r="AG1356"/>
  <c r="AG1390"/>
  <c r="AG1273"/>
  <c r="AG1415"/>
  <c r="AG1433"/>
  <c r="AG1305"/>
  <c r="AG1446"/>
  <c r="AG1407"/>
  <c r="AG1443"/>
  <c r="AG1322"/>
  <c r="AG1373"/>
  <c r="AG1344"/>
  <c r="AG1378"/>
  <c r="AG1362"/>
  <c r="AG1332"/>
  <c r="AG1295"/>
  <c r="AG1279"/>
  <c r="AG1294"/>
  <c r="AG1278"/>
  <c r="AG1384"/>
  <c r="AG1368"/>
  <c r="AG1357"/>
  <c r="AG1289"/>
  <c r="AG1431"/>
  <c r="AG1312"/>
  <c r="AG1414"/>
  <c r="AG1462"/>
  <c r="AG1292"/>
  <c r="AG1437"/>
  <c r="AH1432"/>
  <c r="AH1457"/>
  <c r="AH1306"/>
  <c r="AH1311"/>
  <c r="AI1355"/>
  <c r="AG1473"/>
  <c r="AH1449"/>
  <c r="AG1476"/>
  <c r="AH1412"/>
  <c r="AG1388"/>
  <c r="AI1399"/>
  <c r="AI1403"/>
  <c r="AI1391"/>
  <c r="AI1346"/>
  <c r="AI1300"/>
  <c r="AI1284"/>
  <c r="AI1382"/>
  <c r="AI1366"/>
  <c r="AI1317"/>
  <c r="AI1336"/>
  <c r="AI1380"/>
  <c r="AI1364"/>
  <c r="AI1431"/>
  <c r="AI1462"/>
  <c r="AI1325"/>
  <c r="AI1387"/>
  <c r="AI1371"/>
  <c r="AI1305"/>
  <c r="AI1398"/>
  <c r="AI1273"/>
  <c r="AI1439"/>
  <c r="AI1360"/>
  <c r="AI1409"/>
  <c r="AI1316"/>
  <c r="AI1287"/>
  <c r="AI1333"/>
  <c r="AI1451"/>
  <c r="AI1326"/>
  <c r="AI1294"/>
  <c r="AI1278"/>
  <c r="AI1447"/>
  <c r="AI1357"/>
  <c r="AI1397"/>
  <c r="AI1297"/>
  <c r="AI1281"/>
  <c r="AI1381"/>
  <c r="AI1365"/>
  <c r="AI1313"/>
  <c r="AI1437"/>
  <c r="AI1466"/>
  <c r="AI1432"/>
  <c r="AH1475"/>
  <c r="AH1319"/>
  <c r="AI1456"/>
  <c r="AI1448"/>
  <c r="AG1428"/>
  <c r="AH1331"/>
  <c r="AH1360"/>
  <c r="AH1400"/>
  <c r="AH1304"/>
  <c r="AH1325"/>
  <c r="AH1287"/>
  <c r="AH1394"/>
  <c r="AH1326"/>
  <c r="AH1379"/>
  <c r="AH1363"/>
  <c r="AH1290"/>
  <c r="AH1352"/>
  <c r="AH1301"/>
  <c r="AH1285"/>
  <c r="AH1333"/>
  <c r="AH1399"/>
  <c r="AH1408"/>
  <c r="AH1409"/>
  <c r="AH1442"/>
  <c r="AH1419"/>
  <c r="AH1336"/>
  <c r="AH1447"/>
  <c r="AH1391"/>
  <c r="AH1397"/>
  <c r="AH1462"/>
  <c r="AH1330"/>
  <c r="AH1377"/>
  <c r="AH1350"/>
  <c r="AH1288"/>
  <c r="AH1422"/>
  <c r="AH1382"/>
  <c r="AH1366"/>
  <c r="AH1410"/>
  <c r="AH1308"/>
  <c r="AH1416"/>
  <c r="AH1380"/>
  <c r="AH1364"/>
  <c r="AH1427"/>
  <c r="AH1277"/>
  <c r="AH1328"/>
  <c r="AH1303"/>
  <c r="AG1469"/>
  <c r="AG1472"/>
  <c r="AI1319"/>
  <c r="AI1327"/>
  <c r="AG1474"/>
  <c r="AI1471"/>
  <c r="AG1351"/>
  <c r="AG1323"/>
  <c r="AI1444"/>
  <c r="AG1453"/>
  <c r="AG1452"/>
  <c r="AG1448"/>
  <c r="AG1445"/>
  <c r="AG1392"/>
  <c r="AG1401"/>
  <c r="AG1451"/>
  <c r="AG1354"/>
  <c r="AG1375"/>
  <c r="AG1349"/>
  <c r="AG1421"/>
  <c r="AG1389"/>
  <c r="AG1422"/>
  <c r="AG1275"/>
  <c r="AG1345"/>
  <c r="AG1317"/>
  <c r="AG1308"/>
  <c r="AG1416"/>
  <c r="AG1423"/>
  <c r="AG1341"/>
  <c r="AG1330"/>
  <c r="AG1377"/>
  <c r="AG1350"/>
  <c r="AG1382"/>
  <c r="AG1366"/>
  <c r="AG1348"/>
  <c r="AG1299"/>
  <c r="AG1283"/>
  <c r="AG1298"/>
  <c r="AG1282"/>
  <c r="AG1400"/>
  <c r="AG1372"/>
  <c r="AG1359"/>
  <c r="AG1293"/>
  <c r="AG1406"/>
  <c r="AG1395"/>
  <c r="AG1410"/>
  <c r="AG1274"/>
  <c r="AG1296"/>
  <c r="AG1280"/>
  <c r="AH1444"/>
  <c r="AH1440"/>
  <c r="AI1472"/>
  <c r="AG1396"/>
  <c r="AG1404"/>
  <c r="AH1452"/>
  <c r="AH1448"/>
  <c r="AG1471"/>
  <c r="AG1331"/>
  <c r="AG1420"/>
  <c r="AI1415"/>
  <c r="AI1419"/>
  <c r="AI1407"/>
  <c r="AI1353"/>
  <c r="AI1322"/>
  <c r="AI1288"/>
  <c r="AI1386"/>
  <c r="AI1370"/>
  <c r="AI1314"/>
  <c r="AI1274"/>
  <c r="AI1384"/>
  <c r="AI1368"/>
  <c r="AI1337"/>
  <c r="AI1395"/>
  <c r="AI1390"/>
  <c r="AI1354"/>
  <c r="AI1375"/>
  <c r="AI1308"/>
  <c r="AI1309"/>
  <c r="AI1275"/>
  <c r="AI1430"/>
  <c r="AI1392"/>
  <c r="AI1417"/>
  <c r="AI1332"/>
  <c r="AI1291"/>
  <c r="AI1406"/>
  <c r="AI1433"/>
  <c r="AI1334"/>
  <c r="AI1298"/>
  <c r="AI1282"/>
  <c r="AI1438"/>
  <c r="AI1359"/>
  <c r="AI1405"/>
  <c r="AI1301"/>
  <c r="AI1285"/>
  <c r="AI1385"/>
  <c r="AI1369"/>
  <c r="AI1304"/>
  <c r="AI1303"/>
  <c r="AI1426"/>
  <c r="AG1454"/>
  <c r="AI1453"/>
  <c r="AG1311"/>
  <c r="AH1327"/>
  <c r="AH1473"/>
  <c r="AI1455"/>
  <c r="AH1468"/>
  <c r="AG1310"/>
  <c r="AH1316"/>
  <c r="AH1312"/>
  <c r="AH1390"/>
  <c r="AH1291"/>
  <c r="AH1426"/>
  <c r="AH1334"/>
  <c r="AH1383"/>
  <c r="AH1367"/>
  <c r="AH1294"/>
  <c r="AH1278"/>
  <c r="AH1356"/>
  <c r="AH1289"/>
  <c r="AH1434"/>
  <c r="AH1415"/>
  <c r="AH1424"/>
  <c r="AH1417"/>
  <c r="AH1450"/>
  <c r="AH1435"/>
  <c r="AH1274"/>
  <c r="AH1438"/>
  <c r="AH1407"/>
  <c r="AH1405"/>
  <c r="AH1324"/>
  <c r="AH1338"/>
  <c r="AH1381"/>
  <c r="AH1365"/>
  <c r="AH1292"/>
  <c r="AH1329"/>
  <c r="AH1386"/>
  <c r="AH1370"/>
  <c r="AH1314"/>
  <c r="AH1349"/>
  <c r="AH1430"/>
  <c r="AH1384"/>
  <c r="AH1368"/>
  <c r="AH1431"/>
  <c r="AH1443"/>
  <c r="AH1344"/>
  <c r="AH1466"/>
  <c r="AH1454"/>
  <c r="AH1396"/>
  <c r="AG1355"/>
  <c r="AH1441"/>
  <c r="AH1428"/>
  <c r="AG1307"/>
  <c r="AG1335"/>
  <c r="AG1343"/>
  <c r="AG343"/>
  <c r="AH932"/>
  <c r="AH1178"/>
  <c r="AH649"/>
  <c r="AH259"/>
  <c r="AH1225"/>
  <c r="AH1221"/>
  <c r="AH595"/>
  <c r="AH982"/>
  <c r="AH380"/>
  <c r="AG992"/>
  <c r="AG890"/>
  <c r="AG206"/>
  <c r="AG1212"/>
  <c r="AG254"/>
  <c r="AG558"/>
  <c r="AG913"/>
  <c r="AG377"/>
  <c r="AG656"/>
  <c r="AG740"/>
  <c r="AG706"/>
  <c r="AG1010"/>
  <c r="AG148"/>
  <c r="AG851"/>
  <c r="AG213"/>
  <c r="AG909"/>
  <c r="AG1115"/>
  <c r="AG671"/>
  <c r="AG246"/>
  <c r="AG617"/>
  <c r="AG499"/>
  <c r="AG52"/>
  <c r="AG207"/>
  <c r="AG277"/>
  <c r="AG121"/>
  <c r="AG635"/>
  <c r="AH474"/>
  <c r="AH187"/>
  <c r="AG386"/>
  <c r="AG1268"/>
  <c r="AG1185"/>
  <c r="AG102"/>
  <c r="AG714"/>
  <c r="AG1023"/>
  <c r="AG138"/>
  <c r="AG120"/>
  <c r="AG44"/>
  <c r="AG1066"/>
  <c r="AG344"/>
  <c r="AG1194"/>
  <c r="AG1211"/>
  <c r="AG521"/>
  <c r="AG537"/>
  <c r="AG302"/>
  <c r="AG848"/>
  <c r="AG451"/>
  <c r="AG414"/>
  <c r="AG949"/>
  <c r="AG400"/>
  <c r="AG130"/>
  <c r="AH218"/>
  <c r="AG845"/>
  <c r="AG62"/>
  <c r="AG698"/>
  <c r="AG471"/>
  <c r="AG90"/>
  <c r="AG623"/>
  <c r="AG1106"/>
  <c r="AG960"/>
  <c r="AG472"/>
  <c r="AG75"/>
  <c r="AG1163"/>
  <c r="AG1011"/>
  <c r="AG819"/>
  <c r="AG812"/>
  <c r="AG170"/>
  <c r="AG1129"/>
  <c r="AG1003"/>
  <c r="AG171"/>
  <c r="AG636"/>
  <c r="AG814"/>
  <c r="AG951"/>
  <c r="AG72"/>
  <c r="AG1105"/>
  <c r="AH515"/>
  <c r="AH455"/>
  <c r="AH936"/>
  <c r="AH525"/>
  <c r="AH1018"/>
  <c r="AH225"/>
  <c r="AH372"/>
  <c r="AH743"/>
  <c r="AH1020"/>
  <c r="AH382"/>
  <c r="AH241"/>
  <c r="AH694"/>
  <c r="AH538"/>
  <c r="AH411"/>
  <c r="AH120"/>
  <c r="AH925"/>
  <c r="AH1028"/>
  <c r="AH573"/>
  <c r="AH240"/>
  <c r="AG737"/>
  <c r="AG863"/>
  <c r="AH556"/>
  <c r="AG124"/>
  <c r="AG1126"/>
  <c r="AH164"/>
  <c r="AG322"/>
  <c r="AG676"/>
  <c r="AG1222"/>
  <c r="AH93"/>
  <c r="AG1171"/>
  <c r="AG501"/>
  <c r="AH457"/>
  <c r="AH188"/>
  <c r="AH895"/>
  <c r="AH389"/>
  <c r="AH281"/>
  <c r="AG902"/>
  <c r="AH1217"/>
  <c r="AG748"/>
  <c r="AG509"/>
  <c r="AH295"/>
  <c r="AH986"/>
  <c r="AG581"/>
  <c r="AG830"/>
  <c r="AH910"/>
  <c r="AH233"/>
  <c r="AG127"/>
  <c r="AG657"/>
  <c r="AG247"/>
  <c r="AG756"/>
  <c r="AG137"/>
  <c r="AH449"/>
  <c r="AG754"/>
  <c r="AG401"/>
  <c r="AG1093"/>
  <c r="AH1003"/>
  <c r="AG925"/>
  <c r="AH201"/>
  <c r="AH446"/>
  <c r="AH105"/>
  <c r="AH130"/>
  <c r="AH1014"/>
  <c r="AH371"/>
  <c r="AH755"/>
  <c r="AH244"/>
  <c r="AH738"/>
  <c r="AH623"/>
  <c r="AO623" s="1"/>
  <c r="AR623" s="1"/>
  <c r="AH184"/>
  <c r="AH1066"/>
  <c r="AH62"/>
  <c r="AH149"/>
  <c r="AH117"/>
  <c r="AH891"/>
  <c r="AH314"/>
  <c r="AH379"/>
  <c r="AH404"/>
  <c r="AH487"/>
  <c r="AH317"/>
  <c r="AH338"/>
  <c r="AH605"/>
  <c r="AH1155"/>
  <c r="AH51"/>
  <c r="AH35"/>
  <c r="AH138"/>
  <c r="AH909"/>
  <c r="AH170"/>
  <c r="AH1106"/>
  <c r="AH671"/>
  <c r="AO671" s="1"/>
  <c r="AR671" s="1"/>
  <c r="AH783"/>
  <c r="AH171"/>
  <c r="AH75"/>
  <c r="AH513"/>
  <c r="AH776"/>
  <c r="AH1237"/>
  <c r="AH937"/>
  <c r="AH1158"/>
  <c r="AH203"/>
  <c r="AH469"/>
  <c r="AH1114"/>
  <c r="AH632"/>
  <c r="AH566"/>
  <c r="AH646"/>
  <c r="AH1117"/>
  <c r="AH167"/>
  <c r="AH532"/>
  <c r="AH947"/>
  <c r="AH1263"/>
  <c r="AH901"/>
  <c r="AH720"/>
  <c r="AH519"/>
  <c r="AH495"/>
  <c r="AH1197"/>
  <c r="AH899"/>
  <c r="AH435"/>
  <c r="AH1231"/>
  <c r="AH747"/>
  <c r="AH1146"/>
  <c r="AH741"/>
  <c r="AH1103"/>
  <c r="AH363"/>
  <c r="AH608"/>
  <c r="AH701"/>
  <c r="AH523"/>
  <c r="AH113"/>
  <c r="AH800"/>
  <c r="AH917"/>
  <c r="AH612"/>
  <c r="AH805"/>
  <c r="AH833"/>
  <c r="AH44"/>
  <c r="AH246"/>
  <c r="AH193"/>
  <c r="AH190"/>
  <c r="AH765"/>
  <c r="AH1025"/>
  <c r="AH1054"/>
  <c r="AH643"/>
  <c r="AH1043"/>
  <c r="AH78"/>
  <c r="AH76"/>
  <c r="AH378"/>
  <c r="AH304"/>
  <c r="AH425"/>
  <c r="AH239"/>
  <c r="AH677"/>
  <c r="AH784"/>
  <c r="AH177"/>
  <c r="AH461"/>
  <c r="AH498"/>
  <c r="AH121"/>
  <c r="AH1077"/>
  <c r="AH452"/>
  <c r="AH258"/>
  <c r="AH202"/>
  <c r="AH459"/>
  <c r="AH1006"/>
  <c r="AH547"/>
  <c r="AH84"/>
  <c r="AC3"/>
  <c r="AI48"/>
  <c r="AI64"/>
  <c r="AI80"/>
  <c r="AI96"/>
  <c r="AI33"/>
  <c r="AI49"/>
  <c r="AI65"/>
  <c r="AI81"/>
  <c r="AI97"/>
  <c r="AI211"/>
  <c r="AI42"/>
  <c r="AI58"/>
  <c r="AI74"/>
  <c r="AI90"/>
  <c r="AI103"/>
  <c r="AI107"/>
  <c r="AI111"/>
  <c r="AI115"/>
  <c r="AI119"/>
  <c r="AI123"/>
  <c r="AI127"/>
  <c r="AI131"/>
  <c r="AI135"/>
  <c r="AI139"/>
  <c r="AI143"/>
  <c r="AI147"/>
  <c r="AI151"/>
  <c r="AI155"/>
  <c r="AI159"/>
  <c r="AI163"/>
  <c r="AI167"/>
  <c r="AI171"/>
  <c r="AI175"/>
  <c r="AI179"/>
  <c r="AI183"/>
  <c r="AI187"/>
  <c r="AI191"/>
  <c r="AI44"/>
  <c r="AI60"/>
  <c r="AI76"/>
  <c r="AI92"/>
  <c r="AI208"/>
  <c r="AI45"/>
  <c r="AI61"/>
  <c r="AI77"/>
  <c r="AI93"/>
  <c r="AI207"/>
  <c r="AI38"/>
  <c r="AI54"/>
  <c r="AI70"/>
  <c r="AI86"/>
  <c r="AI102"/>
  <c r="AI106"/>
  <c r="AI110"/>
  <c r="AI114"/>
  <c r="AI118"/>
  <c r="AI122"/>
  <c r="AI126"/>
  <c r="AI130"/>
  <c r="AI134"/>
  <c r="AI138"/>
  <c r="AI142"/>
  <c r="AI146"/>
  <c r="AI150"/>
  <c r="AI154"/>
  <c r="AI158"/>
  <c r="AI162"/>
  <c r="AI166"/>
  <c r="AI170"/>
  <c r="AI174"/>
  <c r="AI178"/>
  <c r="AI182"/>
  <c r="AI186"/>
  <c r="AI190"/>
  <c r="AI194"/>
  <c r="AI198"/>
  <c r="AI202"/>
  <c r="AI218"/>
  <c r="AI47"/>
  <c r="AI63"/>
  <c r="AI79"/>
  <c r="AI95"/>
  <c r="AI213"/>
  <c r="AI231"/>
  <c r="AI219"/>
  <c r="AI223"/>
  <c r="AI243"/>
  <c r="AI259"/>
  <c r="AI275"/>
  <c r="AI291"/>
  <c r="AI416"/>
  <c r="AI430"/>
  <c r="AI448"/>
  <c r="AI225"/>
  <c r="AI230"/>
  <c r="AI256"/>
  <c r="AI272"/>
  <c r="AI288"/>
  <c r="AI295"/>
  <c r="AI299"/>
  <c r="AI303"/>
  <c r="AI307"/>
  <c r="AI311"/>
  <c r="AI315"/>
  <c r="AI319"/>
  <c r="AI323"/>
  <c r="AI327"/>
  <c r="AI331"/>
  <c r="AI335"/>
  <c r="AI339"/>
  <c r="AI343"/>
  <c r="AI347"/>
  <c r="AI351"/>
  <c r="AI355"/>
  <c r="AI359"/>
  <c r="AI363"/>
  <c r="AI367"/>
  <c r="AI371"/>
  <c r="AI375"/>
  <c r="AI379"/>
  <c r="AI383"/>
  <c r="AI387"/>
  <c r="AI391"/>
  <c r="AI395"/>
  <c r="AI399"/>
  <c r="AI411"/>
  <c r="AI425"/>
  <c r="AI443"/>
  <c r="AI457"/>
  <c r="AI234"/>
  <c r="AI257"/>
  <c r="AI273"/>
  <c r="AI289"/>
  <c r="AI414"/>
  <c r="AI432"/>
  <c r="AI446"/>
  <c r="AI238"/>
  <c r="AI258"/>
  <c r="AI274"/>
  <c r="AI290"/>
  <c r="AI413"/>
  <c r="AI431"/>
  <c r="AI445"/>
  <c r="AI463"/>
  <c r="AI480"/>
  <c r="AI498"/>
  <c r="AI514"/>
  <c r="AI530"/>
  <c r="AI477"/>
  <c r="AI499"/>
  <c r="AI517"/>
  <c r="AI538"/>
  <c r="AI554"/>
  <c r="AI570"/>
  <c r="AI583"/>
  <c r="AI607"/>
  <c r="AI623"/>
  <c r="AI639"/>
  <c r="AI655"/>
  <c r="AI671"/>
  <c r="AI687"/>
  <c r="AI703"/>
  <c r="AI719"/>
  <c r="AI735"/>
  <c r="AI751"/>
  <c r="AI767"/>
  <c r="AI482"/>
  <c r="AI487"/>
  <c r="AI504"/>
  <c r="AI527"/>
  <c r="AI543"/>
  <c r="AI559"/>
  <c r="AI572"/>
  <c r="AI579"/>
  <c r="AI603"/>
  <c r="AI617"/>
  <c r="AI633"/>
  <c r="AI649"/>
  <c r="AI665"/>
  <c r="AI681"/>
  <c r="AI697"/>
  <c r="AI713"/>
  <c r="AI729"/>
  <c r="AI748"/>
  <c r="AI764"/>
  <c r="AI500"/>
  <c r="AI523"/>
  <c r="AI544"/>
  <c r="AI560"/>
  <c r="AI574"/>
  <c r="AI590"/>
  <c r="AI598"/>
  <c r="AI618"/>
  <c r="AI634"/>
  <c r="AI650"/>
  <c r="AI666"/>
  <c r="AI682"/>
  <c r="AI698"/>
  <c r="AI714"/>
  <c r="AI730"/>
  <c r="AI745"/>
  <c r="AI761"/>
  <c r="AI468"/>
  <c r="AI473"/>
  <c r="AI496"/>
  <c r="AI519"/>
  <c r="AI537"/>
  <c r="AI553"/>
  <c r="AI569"/>
  <c r="AI587"/>
  <c r="AI595"/>
  <c r="AI621"/>
  <c r="AI637"/>
  <c r="AI653"/>
  <c r="AI669"/>
  <c r="AI685"/>
  <c r="AI701"/>
  <c r="AI717"/>
  <c r="AI733"/>
  <c r="AI750"/>
  <c r="AI766"/>
  <c r="AI784"/>
  <c r="AI806"/>
  <c r="AI822"/>
  <c r="AI40"/>
  <c r="AI56"/>
  <c r="AI72"/>
  <c r="AI88"/>
  <c r="AI204"/>
  <c r="AI41"/>
  <c r="AI57"/>
  <c r="AI73"/>
  <c r="AI89"/>
  <c r="AI203"/>
  <c r="AI34"/>
  <c r="AI50"/>
  <c r="AI66"/>
  <c r="AI82"/>
  <c r="AI98"/>
  <c r="AI105"/>
  <c r="AI109"/>
  <c r="AI113"/>
  <c r="AI117"/>
  <c r="AI121"/>
  <c r="AI125"/>
  <c r="AI129"/>
  <c r="AI133"/>
  <c r="AI137"/>
  <c r="AI141"/>
  <c r="AI145"/>
  <c r="AI149"/>
  <c r="AI153"/>
  <c r="AI157"/>
  <c r="AI161"/>
  <c r="AI165"/>
  <c r="AI169"/>
  <c r="AI173"/>
  <c r="AI177"/>
  <c r="AI181"/>
  <c r="AI185"/>
  <c r="AI189"/>
  <c r="AI193"/>
  <c r="AI197"/>
  <c r="AI201"/>
  <c r="AI214"/>
  <c r="AI43"/>
  <c r="AI36"/>
  <c r="AI52"/>
  <c r="AI68"/>
  <c r="AI84"/>
  <c r="AI100"/>
  <c r="AI37"/>
  <c r="AI53"/>
  <c r="AI69"/>
  <c r="AI85"/>
  <c r="AI101"/>
  <c r="AI215"/>
  <c r="AI46"/>
  <c r="AI62"/>
  <c r="AI78"/>
  <c r="AI94"/>
  <c r="AI104"/>
  <c r="AI108"/>
  <c r="AI112"/>
  <c r="AI116"/>
  <c r="AI120"/>
  <c r="AI124"/>
  <c r="AI128"/>
  <c r="AI132"/>
  <c r="AI136"/>
  <c r="AI140"/>
  <c r="AI144"/>
  <c r="AI148"/>
  <c r="AI152"/>
  <c r="AI156"/>
  <c r="AI160"/>
  <c r="AI164"/>
  <c r="AI168"/>
  <c r="AI172"/>
  <c r="AI176"/>
  <c r="AI180"/>
  <c r="AI184"/>
  <c r="AI188"/>
  <c r="AI192"/>
  <c r="AI196"/>
  <c r="AI200"/>
  <c r="AI210"/>
  <c r="AI39"/>
  <c r="AI55"/>
  <c r="AI71"/>
  <c r="AI87"/>
  <c r="AI205"/>
  <c r="AI224"/>
  <c r="AI239"/>
  <c r="AI221"/>
  <c r="AI241"/>
  <c r="AI251"/>
  <c r="AI267"/>
  <c r="AI283"/>
  <c r="AI405"/>
  <c r="AI423"/>
  <c r="AI437"/>
  <c r="AI455"/>
  <c r="AI227"/>
  <c r="AI248"/>
  <c r="AI264"/>
  <c r="AI280"/>
  <c r="AI293"/>
  <c r="AI297"/>
  <c r="AI301"/>
  <c r="AI305"/>
  <c r="AI309"/>
  <c r="AI313"/>
  <c r="AI317"/>
  <c r="AI321"/>
  <c r="AI325"/>
  <c r="AI329"/>
  <c r="AI333"/>
  <c r="AI337"/>
  <c r="AI341"/>
  <c r="AI345"/>
  <c r="AI349"/>
  <c r="AI353"/>
  <c r="AI357"/>
  <c r="AI361"/>
  <c r="AI365"/>
  <c r="AI369"/>
  <c r="AI373"/>
  <c r="AI377"/>
  <c r="AI381"/>
  <c r="AI385"/>
  <c r="AI389"/>
  <c r="AI393"/>
  <c r="AI397"/>
  <c r="AI404"/>
  <c r="AI418"/>
  <c r="AI436"/>
  <c r="AI450"/>
  <c r="AI232"/>
  <c r="AI249"/>
  <c r="AI265"/>
  <c r="AI281"/>
  <c r="AI407"/>
  <c r="AI421"/>
  <c r="AI439"/>
  <c r="AI236"/>
  <c r="AI250"/>
  <c r="AI266"/>
  <c r="AI282"/>
  <c r="AI406"/>
  <c r="AI424"/>
  <c r="AI438"/>
  <c r="AI456"/>
  <c r="AI470"/>
  <c r="AI490"/>
  <c r="AI506"/>
  <c r="AI522"/>
  <c r="AI462"/>
  <c r="AI479"/>
  <c r="AI508"/>
  <c r="AI531"/>
  <c r="AI546"/>
  <c r="AI562"/>
  <c r="AI581"/>
  <c r="AI605"/>
  <c r="AI615"/>
  <c r="AI35"/>
  <c r="AI75"/>
  <c r="AI209"/>
  <c r="AI216"/>
  <c r="AI242"/>
  <c r="AI271"/>
  <c r="AI412"/>
  <c r="AI444"/>
  <c r="AI229"/>
  <c r="AI268"/>
  <c r="AI294"/>
  <c r="AI302"/>
  <c r="AI310"/>
  <c r="AI318"/>
  <c r="AI326"/>
  <c r="AI334"/>
  <c r="AI342"/>
  <c r="AI350"/>
  <c r="AI358"/>
  <c r="AI366"/>
  <c r="AI374"/>
  <c r="AI382"/>
  <c r="AI390"/>
  <c r="AI398"/>
  <c r="AI422"/>
  <c r="AI454"/>
  <c r="AI253"/>
  <c r="AI285"/>
  <c r="AI428"/>
  <c r="AI237"/>
  <c r="AI270"/>
  <c r="AI409"/>
  <c r="AI441"/>
  <c r="AI476"/>
  <c r="AI510"/>
  <c r="AI465"/>
  <c r="AI515"/>
  <c r="AI550"/>
  <c r="AI582"/>
  <c r="AI622"/>
  <c r="AI646"/>
  <c r="AI663"/>
  <c r="AI686"/>
  <c r="AI710"/>
  <c r="AI727"/>
  <c r="AI747"/>
  <c r="AI453"/>
  <c r="AI485"/>
  <c r="AI497"/>
  <c r="AI529"/>
  <c r="AI551"/>
  <c r="AI571"/>
  <c r="AI600"/>
  <c r="AI609"/>
  <c r="AI632"/>
  <c r="AI656"/>
  <c r="AI673"/>
  <c r="AI696"/>
  <c r="AI720"/>
  <c r="AI737"/>
  <c r="AI760"/>
  <c r="AI507"/>
  <c r="AI532"/>
  <c r="AI556"/>
  <c r="AI575"/>
  <c r="AI596"/>
  <c r="AI611"/>
  <c r="AI635"/>
  <c r="AI658"/>
  <c r="AI675"/>
  <c r="AI699"/>
  <c r="AI722"/>
  <c r="AI739"/>
  <c r="AI765"/>
  <c r="AI471"/>
  <c r="AI489"/>
  <c r="AI521"/>
  <c r="AI545"/>
  <c r="AI565"/>
  <c r="AI592"/>
  <c r="AI613"/>
  <c r="AI636"/>
  <c r="AI660"/>
  <c r="AI677"/>
  <c r="AI700"/>
  <c r="AI724"/>
  <c r="AI741"/>
  <c r="AI762"/>
  <c r="AI785"/>
  <c r="AI814"/>
  <c r="AI831"/>
  <c r="AI847"/>
  <c r="AI863"/>
  <c r="AI879"/>
  <c r="AI895"/>
  <c r="AI911"/>
  <c r="AI780"/>
  <c r="AI802"/>
  <c r="AI817"/>
  <c r="AI840"/>
  <c r="AI866"/>
  <c r="AI881"/>
  <c r="AI904"/>
  <c r="AI919"/>
  <c r="AI938"/>
  <c r="AI954"/>
  <c r="AI970"/>
  <c r="AI986"/>
  <c r="AI1002"/>
  <c r="AI776"/>
  <c r="AI796"/>
  <c r="AI820"/>
  <c r="AI835"/>
  <c r="AI861"/>
  <c r="AI884"/>
  <c r="AI899"/>
  <c r="AI928"/>
  <c r="AI943"/>
  <c r="AI959"/>
  <c r="AI975"/>
  <c r="AI991"/>
  <c r="AI1007"/>
  <c r="AI787"/>
  <c r="AI812"/>
  <c r="AI827"/>
  <c r="AI853"/>
  <c r="AI876"/>
  <c r="AI891"/>
  <c r="AI915"/>
  <c r="AI931"/>
  <c r="AI947"/>
  <c r="AI963"/>
  <c r="AI979"/>
  <c r="AI995"/>
  <c r="AI1011"/>
  <c r="AI1015"/>
  <c r="AI1019"/>
  <c r="AI1023"/>
  <c r="AI1027"/>
  <c r="AI1031"/>
  <c r="AI1035"/>
  <c r="AI1039"/>
  <c r="AI1043"/>
  <c r="AI1047"/>
  <c r="AI1051"/>
  <c r="AI1055"/>
  <c r="AI1059"/>
  <c r="AI1063"/>
  <c r="AI1067"/>
  <c r="AI1071"/>
  <c r="AI1075"/>
  <c r="AI768"/>
  <c r="AI788"/>
  <c r="AI810"/>
  <c r="AI825"/>
  <c r="AI848"/>
  <c r="AI874"/>
  <c r="AI889"/>
  <c r="AI912"/>
  <c r="AI925"/>
  <c r="AI936"/>
  <c r="AI952"/>
  <c r="AI968"/>
  <c r="AI984"/>
  <c r="AI1000"/>
  <c r="AI1099"/>
  <c r="AI1115"/>
  <c r="AI1131"/>
  <c r="AI1147"/>
  <c r="AI1163"/>
  <c r="AI1179"/>
  <c r="AI1195"/>
  <c r="AI1208"/>
  <c r="AI1212"/>
  <c r="AI1228"/>
  <c r="AI1244"/>
  <c r="AI1260"/>
  <c r="AI1081"/>
  <c r="AI1092"/>
  <c r="AI1108"/>
  <c r="AI1124"/>
  <c r="AI1140"/>
  <c r="AI1156"/>
  <c r="AI1172"/>
  <c r="AI1188"/>
  <c r="AI1204"/>
  <c r="AI1226"/>
  <c r="AI1242"/>
  <c r="AI1258"/>
  <c r="AI1093"/>
  <c r="AI1109"/>
  <c r="AI1125"/>
  <c r="AI1141"/>
  <c r="AI1157"/>
  <c r="AI1173"/>
  <c r="AI1189"/>
  <c r="AI1205"/>
  <c r="AI1222"/>
  <c r="AI1238"/>
  <c r="AI1254"/>
  <c r="AI1270"/>
  <c r="AI1086"/>
  <c r="AI1102"/>
  <c r="AI1118"/>
  <c r="AI1134"/>
  <c r="AI1150"/>
  <c r="AI1166"/>
  <c r="AI1182"/>
  <c r="AI1198"/>
  <c r="AI1216"/>
  <c r="AI1232"/>
  <c r="AI1248"/>
  <c r="AI1264"/>
  <c r="AI206"/>
  <c r="AI67"/>
  <c r="AI99"/>
  <c r="AI235"/>
  <c r="AI240"/>
  <c r="AI263"/>
  <c r="AI401"/>
  <c r="AI433"/>
  <c r="AI226"/>
  <c r="AI260"/>
  <c r="AI292"/>
  <c r="AI300"/>
  <c r="AI308"/>
  <c r="AI316"/>
  <c r="AI324"/>
  <c r="AI332"/>
  <c r="AI340"/>
  <c r="AI348"/>
  <c r="AI356"/>
  <c r="AI364"/>
  <c r="AI372"/>
  <c r="AI380"/>
  <c r="AI388"/>
  <c r="AI396"/>
  <c r="AI415"/>
  <c r="AI447"/>
  <c r="AI245"/>
  <c r="AI277"/>
  <c r="AI417"/>
  <c r="AI449"/>
  <c r="AI262"/>
  <c r="AI402"/>
  <c r="AI434"/>
  <c r="AI466"/>
  <c r="AI502"/>
  <c r="AI534"/>
  <c r="AI501"/>
  <c r="AI542"/>
  <c r="AI580"/>
  <c r="AI614"/>
  <c r="AI638"/>
  <c r="AI662"/>
  <c r="AI679"/>
  <c r="AI702"/>
  <c r="AI726"/>
  <c r="AI743"/>
  <c r="AI763"/>
  <c r="AI483"/>
  <c r="AI495"/>
  <c r="AI520"/>
  <c r="AI547"/>
  <c r="AI567"/>
  <c r="AI578"/>
  <c r="AI608"/>
  <c r="AI625"/>
  <c r="AI648"/>
  <c r="AI672"/>
  <c r="AI689"/>
  <c r="AI712"/>
  <c r="AI736"/>
  <c r="AI756"/>
  <c r="AI493"/>
  <c r="AI525"/>
  <c r="AI552"/>
  <c r="AI573"/>
  <c r="AI591"/>
  <c r="AI610"/>
  <c r="AI627"/>
  <c r="AI651"/>
  <c r="AI674"/>
  <c r="AI691"/>
  <c r="AI715"/>
  <c r="AI738"/>
  <c r="AI757"/>
  <c r="AI469"/>
  <c r="AI475"/>
  <c r="AI512"/>
  <c r="AI541"/>
  <c r="AI561"/>
  <c r="AI586"/>
  <c r="AI612"/>
  <c r="AI629"/>
  <c r="AI652"/>
  <c r="AI676"/>
  <c r="AI693"/>
  <c r="AI716"/>
  <c r="AI740"/>
  <c r="AI758"/>
  <c r="AI783"/>
  <c r="AI807"/>
  <c r="AI830"/>
  <c r="AI846"/>
  <c r="AI862"/>
  <c r="AI878"/>
  <c r="AI894"/>
  <c r="AI910"/>
  <c r="AI779"/>
  <c r="AI795"/>
  <c r="AI811"/>
  <c r="AI837"/>
  <c r="AI860"/>
  <c r="AI875"/>
  <c r="AI901"/>
  <c r="AI918"/>
  <c r="AI937"/>
  <c r="AI953"/>
  <c r="AI969"/>
  <c r="AI985"/>
  <c r="AI1001"/>
  <c r="AI769"/>
  <c r="AI791"/>
  <c r="AI809"/>
  <c r="AI832"/>
  <c r="AI858"/>
  <c r="AI873"/>
  <c r="AI896"/>
  <c r="AI921"/>
  <c r="AI942"/>
  <c r="AI958"/>
  <c r="AI974"/>
  <c r="AI990"/>
  <c r="AI1006"/>
  <c r="AI782"/>
  <c r="AI801"/>
  <c r="AI824"/>
  <c r="AI850"/>
  <c r="AI865"/>
  <c r="AI888"/>
  <c r="AI914"/>
  <c r="AI930"/>
  <c r="AI946"/>
  <c r="AI962"/>
  <c r="AI978"/>
  <c r="AI994"/>
  <c r="AI1010"/>
  <c r="AI1014"/>
  <c r="AI1018"/>
  <c r="AI1022"/>
  <c r="AI1026"/>
  <c r="AI1030"/>
  <c r="AI1034"/>
  <c r="AI1038"/>
  <c r="AI1042"/>
  <c r="AI1046"/>
  <c r="AI1050"/>
  <c r="AI1054"/>
  <c r="AI1058"/>
  <c r="AI1062"/>
  <c r="AI1066"/>
  <c r="AI1070"/>
  <c r="AI1074"/>
  <c r="AI1078"/>
  <c r="AI778"/>
  <c r="AI804"/>
  <c r="AI819"/>
  <c r="AI845"/>
  <c r="AI868"/>
  <c r="AI883"/>
  <c r="AI909"/>
  <c r="AI924"/>
  <c r="AI935"/>
  <c r="AI951"/>
  <c r="AI967"/>
  <c r="AI983"/>
  <c r="AI999"/>
  <c r="AI1095"/>
  <c r="AI1111"/>
  <c r="AI1127"/>
  <c r="AI1143"/>
  <c r="AI1159"/>
  <c r="AI1175"/>
  <c r="AI1191"/>
  <c r="AI1207"/>
  <c r="AI1211"/>
  <c r="AI1227"/>
  <c r="AI1243"/>
  <c r="AI1259"/>
  <c r="AI1079"/>
  <c r="AI1088"/>
  <c r="AI1104"/>
  <c r="AI1120"/>
  <c r="AI1136"/>
  <c r="AI1152"/>
  <c r="AI1168"/>
  <c r="AI1184"/>
  <c r="AI1200"/>
  <c r="AI1225"/>
  <c r="AI1241"/>
  <c r="AI1257"/>
  <c r="AI1089"/>
  <c r="AI1105"/>
  <c r="AI1121"/>
  <c r="AI1137"/>
  <c r="AI1153"/>
  <c r="AI1169"/>
  <c r="AI1185"/>
  <c r="AI1201"/>
  <c r="AI1221"/>
  <c r="AI1237"/>
  <c r="AI1253"/>
  <c r="AI1269"/>
  <c r="AI1084"/>
  <c r="AI1098"/>
  <c r="AI1114"/>
  <c r="AI1130"/>
  <c r="AI1146"/>
  <c r="AI1162"/>
  <c r="AI1178"/>
  <c r="AI1194"/>
  <c r="AI1215"/>
  <c r="AI1231"/>
  <c r="AI1247"/>
  <c r="AI1263"/>
  <c r="AI199"/>
  <c r="AI59"/>
  <c r="AI91"/>
  <c r="AI228"/>
  <c r="AI222"/>
  <c r="AI255"/>
  <c r="AI287"/>
  <c r="AI426"/>
  <c r="AI212"/>
  <c r="AI252"/>
  <c r="AI284"/>
  <c r="AI298"/>
  <c r="AI306"/>
  <c r="AI314"/>
  <c r="AI322"/>
  <c r="AI330"/>
  <c r="AI338"/>
  <c r="AI346"/>
  <c r="AI354"/>
  <c r="AI362"/>
  <c r="AI370"/>
  <c r="AI378"/>
  <c r="AI386"/>
  <c r="AI394"/>
  <c r="AI408"/>
  <c r="AI440"/>
  <c r="AI233"/>
  <c r="AI269"/>
  <c r="AI410"/>
  <c r="AI442"/>
  <c r="AI254"/>
  <c r="AI286"/>
  <c r="AI427"/>
  <c r="AI459"/>
  <c r="AI494"/>
  <c r="AI526"/>
  <c r="AI492"/>
  <c r="AI533"/>
  <c r="AI566"/>
  <c r="AI606"/>
  <c r="AI631"/>
  <c r="AI654"/>
  <c r="AI678"/>
  <c r="AI695"/>
  <c r="AI718"/>
  <c r="AI742"/>
  <c r="AI759"/>
  <c r="AI481"/>
  <c r="AI488"/>
  <c r="AI513"/>
  <c r="AI539"/>
  <c r="AI563"/>
  <c r="AI577"/>
  <c r="AI602"/>
  <c r="AI624"/>
  <c r="AI641"/>
  <c r="AI664"/>
  <c r="AI688"/>
  <c r="AI705"/>
  <c r="AI728"/>
  <c r="AI752"/>
  <c r="AI491"/>
  <c r="AI516"/>
  <c r="AI548"/>
  <c r="AI568"/>
  <c r="AI589"/>
  <c r="AI599"/>
  <c r="AI626"/>
  <c r="AI643"/>
  <c r="AI667"/>
  <c r="AI690"/>
  <c r="AI707"/>
  <c r="AI731"/>
  <c r="AI753"/>
  <c r="AI467"/>
  <c r="AI474"/>
  <c r="AI505"/>
  <c r="AI535"/>
  <c r="AI557"/>
  <c r="AI585"/>
  <c r="AI594"/>
  <c r="AI628"/>
  <c r="AI645"/>
  <c r="AI668"/>
  <c r="AI692"/>
  <c r="AI709"/>
  <c r="AI732"/>
  <c r="AI754"/>
  <c r="AI774"/>
  <c r="AI799"/>
  <c r="AI823"/>
  <c r="AI839"/>
  <c r="AI855"/>
  <c r="AI871"/>
  <c r="AI887"/>
  <c r="AI903"/>
  <c r="AI773"/>
  <c r="AI794"/>
  <c r="AI808"/>
  <c r="AI834"/>
  <c r="AI849"/>
  <c r="AI872"/>
  <c r="AI898"/>
  <c r="AI913"/>
  <c r="AI927"/>
  <c r="AI940"/>
  <c r="AI956"/>
  <c r="AI972"/>
  <c r="AI988"/>
  <c r="AI1004"/>
  <c r="AI790"/>
  <c r="AI803"/>
  <c r="AI829"/>
  <c r="AI852"/>
  <c r="AI867"/>
  <c r="AI893"/>
  <c r="AI920"/>
  <c r="AI941"/>
  <c r="AI957"/>
  <c r="AI973"/>
  <c r="AI989"/>
  <c r="AI1005"/>
  <c r="AI772"/>
  <c r="AI797"/>
  <c r="AI821"/>
  <c r="AI844"/>
  <c r="AI859"/>
  <c r="AI885"/>
  <c r="AI908"/>
  <c r="AI923"/>
  <c r="AI945"/>
  <c r="AI961"/>
  <c r="AI977"/>
  <c r="AI993"/>
  <c r="AI1009"/>
  <c r="AI1013"/>
  <c r="AI1017"/>
  <c r="AI1021"/>
  <c r="AI1025"/>
  <c r="AI1029"/>
  <c r="AI1033"/>
  <c r="AI1037"/>
  <c r="AI1041"/>
  <c r="AI1045"/>
  <c r="AI1049"/>
  <c r="AI1053"/>
  <c r="AI1057"/>
  <c r="AI1061"/>
  <c r="AI1065"/>
  <c r="AI1069"/>
  <c r="AI1073"/>
  <c r="AI1077"/>
  <c r="AI777"/>
  <c r="AI798"/>
  <c r="AI816"/>
  <c r="AI842"/>
  <c r="AI857"/>
  <c r="AI880"/>
  <c r="AI906"/>
  <c r="AI917"/>
  <c r="AI934"/>
  <c r="AI950"/>
  <c r="AI966"/>
  <c r="AI982"/>
  <c r="AI998"/>
  <c r="AI1091"/>
  <c r="AI1107"/>
  <c r="AI1123"/>
  <c r="AI1139"/>
  <c r="AI1155"/>
  <c r="AI1171"/>
  <c r="AI1187"/>
  <c r="AI1203"/>
  <c r="AI1210"/>
  <c r="AI1214"/>
  <c r="AI1230"/>
  <c r="AI1246"/>
  <c r="AI1262"/>
  <c r="AI1085"/>
  <c r="AI1100"/>
  <c r="AI1116"/>
  <c r="AI1132"/>
  <c r="AI1148"/>
  <c r="AI1164"/>
  <c r="AI1180"/>
  <c r="AI1196"/>
  <c r="AI1224"/>
  <c r="AI1240"/>
  <c r="AI1256"/>
  <c r="AI1272"/>
  <c r="AI1101"/>
  <c r="AI1117"/>
  <c r="AI1133"/>
  <c r="AI1149"/>
  <c r="AI1165"/>
  <c r="AI1181"/>
  <c r="AI1197"/>
  <c r="AI1220"/>
  <c r="AI1236"/>
  <c r="AI1252"/>
  <c r="AI1268"/>
  <c r="AI1082"/>
  <c r="AI1094"/>
  <c r="AI1110"/>
  <c r="AI1126"/>
  <c r="AI1142"/>
  <c r="AI1158"/>
  <c r="AI1174"/>
  <c r="AI1190"/>
  <c r="AI1206"/>
  <c r="AI1218"/>
  <c r="AI1234"/>
  <c r="AI1250"/>
  <c r="AI1266"/>
  <c r="AI195"/>
  <c r="AI51"/>
  <c r="AI83"/>
  <c r="AI217"/>
  <c r="AI220"/>
  <c r="AI247"/>
  <c r="AI279"/>
  <c r="AI419"/>
  <c r="AI451"/>
  <c r="AI244"/>
  <c r="AI276"/>
  <c r="AI296"/>
  <c r="AI304"/>
  <c r="AI312"/>
  <c r="AI320"/>
  <c r="AI328"/>
  <c r="AI336"/>
  <c r="AI344"/>
  <c r="AI352"/>
  <c r="AI360"/>
  <c r="AI368"/>
  <c r="AI376"/>
  <c r="AI384"/>
  <c r="AI392"/>
  <c r="AI400"/>
  <c r="AI429"/>
  <c r="AI461"/>
  <c r="AI261"/>
  <c r="AI403"/>
  <c r="AI435"/>
  <c r="AI246"/>
  <c r="AI278"/>
  <c r="AI420"/>
  <c r="AI452"/>
  <c r="AI484"/>
  <c r="AI518"/>
  <c r="AI478"/>
  <c r="AI524"/>
  <c r="AI558"/>
  <c r="AI604"/>
  <c r="AI630"/>
  <c r="AI647"/>
  <c r="AI670"/>
  <c r="AI694"/>
  <c r="AI711"/>
  <c r="AI734"/>
  <c r="AI755"/>
  <c r="AI460"/>
  <c r="AI486"/>
  <c r="AI511"/>
  <c r="AI536"/>
  <c r="AI555"/>
  <c r="AI576"/>
  <c r="AI601"/>
  <c r="AI616"/>
  <c r="AI640"/>
  <c r="AI657"/>
  <c r="AI680"/>
  <c r="AI704"/>
  <c r="AI721"/>
  <c r="AI744"/>
  <c r="AI458"/>
  <c r="AI509"/>
  <c r="AI540"/>
  <c r="AI564"/>
  <c r="AI588"/>
  <c r="AI597"/>
  <c r="AI619"/>
  <c r="AI642"/>
  <c r="AI659"/>
  <c r="AI683"/>
  <c r="AI706"/>
  <c r="AI723"/>
  <c r="AI749"/>
  <c r="AI464"/>
  <c r="AI472"/>
  <c r="AI503"/>
  <c r="AI528"/>
  <c r="AI549"/>
  <c r="AI584"/>
  <c r="AI593"/>
  <c r="AI620"/>
  <c r="AI644"/>
  <c r="AI661"/>
  <c r="AI684"/>
  <c r="AI708"/>
  <c r="AI725"/>
  <c r="AI746"/>
  <c r="AI770"/>
  <c r="AI786"/>
  <c r="AI815"/>
  <c r="AI838"/>
  <c r="AI854"/>
  <c r="AI870"/>
  <c r="AI886"/>
  <c r="AI902"/>
  <c r="AI771"/>
  <c r="AI789"/>
  <c r="AI805"/>
  <c r="AI828"/>
  <c r="AI843"/>
  <c r="AI869"/>
  <c r="AI892"/>
  <c r="AI907"/>
  <c r="AI926"/>
  <c r="AI939"/>
  <c r="AI955"/>
  <c r="AI971"/>
  <c r="AI987"/>
  <c r="AI1003"/>
  <c r="AI781"/>
  <c r="AI800"/>
  <c r="AI826"/>
  <c r="AI841"/>
  <c r="AI864"/>
  <c r="AI890"/>
  <c r="AI905"/>
  <c r="AI929"/>
  <c r="AI944"/>
  <c r="AI960"/>
  <c r="AI976"/>
  <c r="AI992"/>
  <c r="AI1008"/>
  <c r="AI792"/>
  <c r="AI818"/>
  <c r="AI833"/>
  <c r="AI856"/>
  <c r="AI882"/>
  <c r="AI897"/>
  <c r="AI922"/>
  <c r="AI932"/>
  <c r="AI948"/>
  <c r="AI964"/>
  <c r="AI980"/>
  <c r="AI996"/>
  <c r="AI1012"/>
  <c r="AI1016"/>
  <c r="AI1020"/>
  <c r="AI1024"/>
  <c r="AI1028"/>
  <c r="AI1032"/>
  <c r="AI1036"/>
  <c r="AI1040"/>
  <c r="AI1044"/>
  <c r="AI1048"/>
  <c r="AI1052"/>
  <c r="AI1056"/>
  <c r="AI1060"/>
  <c r="AI1064"/>
  <c r="AI1068"/>
  <c r="AI1072"/>
  <c r="AI1076"/>
  <c r="AI775"/>
  <c r="AI793"/>
  <c r="AI813"/>
  <c r="AI836"/>
  <c r="AI851"/>
  <c r="AI877"/>
  <c r="AI900"/>
  <c r="AI916"/>
  <c r="AI933"/>
  <c r="AI949"/>
  <c r="AI965"/>
  <c r="AI981"/>
  <c r="AI997"/>
  <c r="AI1087"/>
  <c r="AI1103"/>
  <c r="AI1119"/>
  <c r="AI1135"/>
  <c r="AI1151"/>
  <c r="AI1167"/>
  <c r="AI1183"/>
  <c r="AI1199"/>
  <c r="AI1209"/>
  <c r="AI1213"/>
  <c r="AI1229"/>
  <c r="AI1245"/>
  <c r="AI1261"/>
  <c r="AI1083"/>
  <c r="AI1096"/>
  <c r="AI1112"/>
  <c r="AI1128"/>
  <c r="AI1144"/>
  <c r="AI1160"/>
  <c r="AI1176"/>
  <c r="AI1192"/>
  <c r="AI1223"/>
  <c r="AI1239"/>
  <c r="AI1255"/>
  <c r="AI1271"/>
  <c r="AI1097"/>
  <c r="AI1113"/>
  <c r="AI1129"/>
  <c r="AI1145"/>
  <c r="AI1161"/>
  <c r="AI1177"/>
  <c r="AI1193"/>
  <c r="AI1219"/>
  <c r="AI1235"/>
  <c r="AI1251"/>
  <c r="AI1267"/>
  <c r="AI1080"/>
  <c r="AI1090"/>
  <c r="AI1106"/>
  <c r="AI1122"/>
  <c r="AI1138"/>
  <c r="AI1154"/>
  <c r="AI1170"/>
  <c r="AI1186"/>
  <c r="AI1202"/>
  <c r="AI1217"/>
  <c r="AI1233"/>
  <c r="AI1249"/>
  <c r="AI1265"/>
  <c r="AB5"/>
  <c r="AH806"/>
  <c r="AH712"/>
  <c r="AH713"/>
  <c r="AH174"/>
  <c r="AH1252"/>
  <c r="AH274"/>
  <c r="AH736"/>
  <c r="AH1190"/>
  <c r="AH286"/>
  <c r="AH1059"/>
  <c r="AH782"/>
  <c r="AH403"/>
  <c r="AH876"/>
  <c r="AH1065"/>
  <c r="AH358"/>
  <c r="AH549"/>
  <c r="AH1010"/>
  <c r="AH1011"/>
  <c r="AH1268"/>
  <c r="AH651"/>
  <c r="AH912"/>
  <c r="AH662"/>
  <c r="AH102"/>
  <c r="AH471"/>
  <c r="AH714"/>
  <c r="AH59"/>
  <c r="AH1089"/>
  <c r="AH1023"/>
  <c r="AO1023" s="1"/>
  <c r="AR1023" s="1"/>
  <c r="AH1227"/>
  <c r="AH1122"/>
  <c r="AH253"/>
  <c r="AH100"/>
  <c r="AH683"/>
  <c r="AH841"/>
  <c r="AH210"/>
  <c r="AH739"/>
  <c r="AH443"/>
  <c r="AH958"/>
  <c r="AH447"/>
  <c r="AH375"/>
  <c r="AH229"/>
  <c r="AH123"/>
  <c r="AH410"/>
  <c r="AH132"/>
  <c r="AH1100"/>
  <c r="AH578"/>
  <c r="AH1079"/>
  <c r="AH57"/>
  <c r="AH679"/>
  <c r="AH41"/>
  <c r="AH1167"/>
  <c r="AH1196"/>
  <c r="AH214"/>
  <c r="AH669"/>
  <c r="AH844"/>
  <c r="AH546"/>
  <c r="AH212"/>
  <c r="AH1130"/>
  <c r="AH320"/>
  <c r="AH1204"/>
  <c r="AH819"/>
  <c r="AH911"/>
  <c r="AH127"/>
  <c r="AO127" s="1"/>
  <c r="AR127" s="1"/>
  <c r="AH802"/>
  <c r="AH1032"/>
  <c r="AH946"/>
  <c r="AH1049"/>
  <c r="AH284"/>
  <c r="AH1255"/>
  <c r="AH729"/>
  <c r="AH654"/>
  <c r="AH263"/>
  <c r="AH428"/>
  <c r="AH942"/>
  <c r="AH751"/>
  <c r="AH769"/>
  <c r="AH874"/>
  <c r="AH524"/>
  <c r="AH544"/>
  <c r="AH896"/>
  <c r="AH1086"/>
  <c r="AH219"/>
  <c r="AH846"/>
  <c r="AH959"/>
  <c r="AH998"/>
  <c r="AH570"/>
  <c r="AH445"/>
  <c r="AH148"/>
  <c r="AH533"/>
  <c r="AH698"/>
  <c r="AH151"/>
  <c r="AH830"/>
  <c r="AO830" s="1"/>
  <c r="AR830" s="1"/>
  <c r="AH980"/>
  <c r="AH851"/>
  <c r="AH49"/>
  <c r="AH90"/>
  <c r="AH66"/>
  <c r="AH213"/>
  <c r="AH625"/>
  <c r="AH440"/>
  <c r="AH1258"/>
  <c r="AH918"/>
  <c r="AH989"/>
  <c r="AH786"/>
  <c r="AH577"/>
  <c r="AH396"/>
  <c r="AH434"/>
  <c r="AH431"/>
  <c r="AH562"/>
  <c r="AH1183"/>
  <c r="AH744"/>
  <c r="AH836"/>
  <c r="AH804"/>
  <c r="AH787"/>
  <c r="AH820"/>
  <c r="AH999"/>
  <c r="AH601"/>
  <c r="AH779"/>
  <c r="AH413"/>
  <c r="AH1182"/>
  <c r="AH331"/>
  <c r="AH993"/>
  <c r="AH342"/>
  <c r="AH1172"/>
  <c r="AH1203"/>
  <c r="AH972"/>
  <c r="AH528"/>
  <c r="AH453"/>
  <c r="AH1078"/>
  <c r="AH1099"/>
  <c r="AH1272"/>
  <c r="AH1192"/>
  <c r="AH770"/>
  <c r="AH1055"/>
  <c r="AH82"/>
  <c r="AH1039"/>
  <c r="AH842"/>
  <c r="AH906"/>
  <c r="AH1236"/>
  <c r="AH147"/>
  <c r="AH659"/>
  <c r="AH627"/>
  <c r="AH951"/>
  <c r="AH832"/>
  <c r="AH1111"/>
  <c r="AH126"/>
  <c r="AH509"/>
  <c r="AH637"/>
  <c r="AH845"/>
  <c r="AH1110"/>
  <c r="AH1212"/>
  <c r="AH89"/>
  <c r="AH852"/>
  <c r="AH1159"/>
  <c r="AH412"/>
  <c r="AH691"/>
  <c r="AH735"/>
  <c r="AH621"/>
  <c r="AH39"/>
  <c r="AH1207"/>
  <c r="AH803"/>
  <c r="AH598"/>
  <c r="AH875"/>
  <c r="AH268"/>
  <c r="AH296"/>
  <c r="AH1239"/>
  <c r="AH813"/>
  <c r="AH753"/>
  <c r="AH172"/>
  <c r="AH1048"/>
  <c r="AH1045"/>
  <c r="AH1012"/>
  <c r="AH810"/>
  <c r="AH575"/>
  <c r="AH903"/>
  <c r="AH63"/>
  <c r="AH292"/>
  <c r="AH279"/>
  <c r="AH500"/>
  <c r="AH1092"/>
  <c r="AH448"/>
  <c r="AH979"/>
  <c r="AH571"/>
  <c r="AH1084"/>
  <c r="AH1247"/>
  <c r="AH418"/>
  <c r="AH152"/>
  <c r="AH347"/>
  <c r="AH853"/>
  <c r="AH798"/>
  <c r="AH976"/>
  <c r="AH483"/>
  <c r="AH491"/>
  <c r="AH639"/>
  <c r="AH1038"/>
  <c r="AH192"/>
  <c r="AH490"/>
  <c r="AH553"/>
  <c r="AH584"/>
  <c r="AH504"/>
  <c r="AH1081"/>
  <c r="AH719"/>
  <c r="AH1160"/>
  <c r="AH1148"/>
  <c r="AH628"/>
  <c r="AH594"/>
  <c r="AH402"/>
  <c r="AH1072"/>
  <c r="AH700"/>
  <c r="AH957"/>
  <c r="AH1000"/>
  <c r="AH56"/>
  <c r="AH465"/>
  <c r="AH593"/>
  <c r="AH1250"/>
  <c r="AH265"/>
  <c r="AH53"/>
  <c r="AH245"/>
  <c r="AH687"/>
  <c r="AH1184"/>
  <c r="AH941"/>
  <c r="AH1142"/>
  <c r="AH1080"/>
  <c r="AH1013"/>
  <c r="AH131"/>
  <c r="AH200"/>
  <c r="AH516"/>
  <c r="AH308"/>
  <c r="AH384"/>
  <c r="AH541"/>
  <c r="AH1253"/>
  <c r="AH551"/>
  <c r="AH574"/>
  <c r="AH97"/>
  <c r="AH334"/>
  <c r="AH45"/>
  <c r="AH476"/>
  <c r="AH313"/>
  <c r="AH468"/>
  <c r="AH463"/>
  <c r="AH1037"/>
  <c r="AH695"/>
  <c r="AH301"/>
  <c r="AH349"/>
  <c r="AH824"/>
  <c r="AH607"/>
  <c r="AH785"/>
  <c r="AH374"/>
  <c r="AH705"/>
  <c r="AH1094"/>
  <c r="AH861"/>
  <c r="AH408"/>
  <c r="AH1128"/>
  <c r="AH261"/>
  <c r="AH337"/>
  <c r="AH543"/>
  <c r="AH860"/>
  <c r="AH564"/>
  <c r="AH1005"/>
  <c r="AH673"/>
  <c r="AH1209"/>
  <c r="AH101"/>
  <c r="AH981"/>
  <c r="AH373"/>
  <c r="AH821"/>
  <c r="AH85"/>
  <c r="AH996"/>
  <c r="AH758"/>
  <c r="AH1088"/>
  <c r="AH311"/>
  <c r="AH318"/>
  <c r="AH733"/>
  <c r="AH938"/>
  <c r="AH47"/>
  <c r="AH179"/>
  <c r="AH251"/>
  <c r="AH405"/>
  <c r="AH624"/>
  <c r="AH260"/>
  <c r="AH604"/>
  <c r="AH122"/>
  <c r="AH198"/>
  <c r="AH685"/>
  <c r="AH319"/>
  <c r="AH512"/>
  <c r="AH722"/>
  <c r="AH424"/>
  <c r="AH394"/>
  <c r="AH181"/>
  <c r="AH169"/>
  <c r="AH108"/>
  <c r="AH191"/>
  <c r="AH768"/>
  <c r="AH1157"/>
  <c r="AH1185"/>
  <c r="AH1030"/>
  <c r="AH386"/>
  <c r="AH548"/>
  <c r="AH1249"/>
  <c r="AH1181"/>
  <c r="AH961"/>
  <c r="AH723"/>
  <c r="AH129"/>
  <c r="AH473"/>
  <c r="AH527"/>
  <c r="AH211"/>
  <c r="AH407"/>
  <c r="AH948"/>
  <c r="AH1056"/>
  <c r="AH1208"/>
  <c r="AH1224"/>
  <c r="AH106"/>
  <c r="AH634"/>
  <c r="AH591"/>
  <c r="AH182"/>
  <c r="AH730"/>
  <c r="AH888"/>
  <c r="AH54"/>
  <c r="AH118"/>
  <c r="AH1063"/>
  <c r="AH1027"/>
  <c r="AH1074"/>
  <c r="AH99"/>
  <c r="AH275"/>
  <c r="AH217"/>
  <c r="AH801"/>
  <c r="AH278"/>
  <c r="AH661"/>
  <c r="AH878"/>
  <c r="AH602"/>
  <c r="AH773"/>
  <c r="AH348"/>
  <c r="AH502"/>
  <c r="AH973"/>
  <c r="AH831"/>
  <c r="AH1241"/>
  <c r="AH40"/>
  <c r="AH1118"/>
  <c r="AH290"/>
  <c r="AH462"/>
  <c r="AH828"/>
  <c r="AH620"/>
  <c r="AH146"/>
  <c r="AH1267"/>
  <c r="AH46"/>
  <c r="AH954"/>
  <c r="AH545"/>
  <c r="AH711"/>
  <c r="AH125"/>
  <c r="AH312"/>
  <c r="AH369"/>
  <c r="AH1191"/>
  <c r="AH497"/>
  <c r="AH1213"/>
  <c r="AH822"/>
  <c r="AH561"/>
  <c r="AH829"/>
  <c r="AH529"/>
  <c r="AH376"/>
  <c r="AH1131"/>
  <c r="AH438"/>
  <c r="AH305"/>
  <c r="AH332"/>
  <c r="AH609"/>
  <c r="AH83"/>
  <c r="AH280"/>
  <c r="AH1102"/>
  <c r="AH554"/>
  <c r="AH703"/>
  <c r="AH924"/>
  <c r="AH552"/>
  <c r="AH914"/>
  <c r="AH34"/>
  <c r="AH155"/>
  <c r="AH150"/>
  <c r="AH581"/>
  <c r="AH614"/>
  <c r="AH1050"/>
  <c r="AH254"/>
  <c r="AO254" s="1"/>
  <c r="AR254" s="1"/>
  <c r="AH764"/>
  <c r="AH748"/>
  <c r="AH1139"/>
  <c r="AH154"/>
  <c r="AH902"/>
  <c r="AH710"/>
  <c r="AH271"/>
  <c r="AH115"/>
  <c r="AH596"/>
  <c r="AH763"/>
  <c r="AH940"/>
  <c r="AH232"/>
  <c r="AH862"/>
  <c r="AH778"/>
  <c r="AH1041"/>
  <c r="AH727"/>
  <c r="AH808"/>
  <c r="AH506"/>
  <c r="AH141"/>
  <c r="AH460"/>
  <c r="AH935"/>
  <c r="AH74"/>
  <c r="AH1176"/>
  <c r="AH734"/>
  <c r="AH799"/>
  <c r="AH1163"/>
  <c r="AH664"/>
  <c r="AH919"/>
  <c r="AH1170"/>
  <c r="AH882"/>
  <c r="AH962"/>
  <c r="AH590"/>
  <c r="AH716"/>
  <c r="AH204"/>
  <c r="AH1135"/>
  <c r="AH1068"/>
  <c r="AH1126"/>
  <c r="AO1126" s="1"/>
  <c r="AR1126" s="1"/>
  <c r="AH636"/>
  <c r="AH207"/>
  <c r="AH1097"/>
  <c r="AH209"/>
  <c r="AH1168"/>
  <c r="AH848"/>
  <c r="AH1127"/>
  <c r="AH277"/>
  <c r="AH645"/>
  <c r="AH771"/>
  <c r="AH309"/>
  <c r="AH1121"/>
  <c r="AH1235"/>
  <c r="AH964"/>
  <c r="AH508"/>
  <c r="AH715"/>
  <c r="AH1171"/>
  <c r="AH752"/>
  <c r="AH582"/>
  <c r="AH1124"/>
  <c r="AH746"/>
  <c r="AH293"/>
  <c r="AH1173"/>
  <c r="AH326"/>
  <c r="AH33"/>
  <c r="AH1266"/>
  <c r="AH272"/>
  <c r="AH355"/>
  <c r="AH227"/>
  <c r="AH223"/>
  <c r="AH881"/>
  <c r="AH478"/>
  <c r="AH667"/>
  <c r="AH995"/>
  <c r="AH1015"/>
  <c r="AH682"/>
  <c r="AH189"/>
  <c r="AH898"/>
  <c r="AH221"/>
  <c r="AH681"/>
  <c r="AH855"/>
  <c r="AH1179"/>
  <c r="AH1083"/>
  <c r="AH266"/>
  <c r="AH1147"/>
  <c r="AH840"/>
  <c r="AH505"/>
  <c r="AH663"/>
  <c r="AH759"/>
  <c r="AH276"/>
  <c r="AH977"/>
  <c r="AH731"/>
  <c r="AH1033"/>
  <c r="AH1024"/>
  <c r="AH1047"/>
  <c r="AH70"/>
  <c r="AH611"/>
  <c r="AH81"/>
  <c r="AH395"/>
  <c r="AH780"/>
  <c r="AH950"/>
  <c r="AH511"/>
  <c r="AH718"/>
  <c r="AH1116"/>
  <c r="AH493"/>
  <c r="AH133"/>
  <c r="AH642"/>
  <c r="AH1009"/>
  <c r="AH790"/>
  <c r="AH383"/>
  <c r="AH864"/>
  <c r="AH869"/>
  <c r="AH709"/>
  <c r="AH1154"/>
  <c r="AH825"/>
  <c r="AH328"/>
  <c r="AH362"/>
  <c r="AH173"/>
  <c r="AH124"/>
  <c r="AO124" s="1"/>
  <c r="AR124" s="1"/>
  <c r="AH1132"/>
  <c r="AH510"/>
  <c r="AH1123"/>
  <c r="AH742"/>
  <c r="AH87"/>
  <c r="AH427"/>
  <c r="AH807"/>
  <c r="AH610"/>
  <c r="AH970"/>
  <c r="AH437"/>
  <c r="AH387"/>
  <c r="AH43"/>
  <c r="AH250"/>
  <c r="AH945"/>
  <c r="AH393"/>
  <c r="AH1044"/>
  <c r="AH73"/>
  <c r="AH987"/>
  <c r="AH680"/>
  <c r="AH458"/>
  <c r="AH269"/>
  <c r="AH760"/>
  <c r="AH702"/>
  <c r="AH991"/>
  <c r="AH234"/>
  <c r="AH109"/>
  <c r="AH745"/>
  <c r="AH1071"/>
  <c r="AH415"/>
  <c r="AH1244"/>
  <c r="AH1151"/>
  <c r="AH1101"/>
  <c r="AH732"/>
  <c r="AH555"/>
  <c r="AH1175"/>
  <c r="AH377"/>
  <c r="AH1264"/>
  <c r="AH1226"/>
  <c r="AH359"/>
  <c r="AH644"/>
  <c r="AH72"/>
  <c r="AH294"/>
  <c r="AH676"/>
  <c r="AH88"/>
  <c r="AH165"/>
  <c r="AH103"/>
  <c r="AH1270"/>
  <c r="AH94"/>
  <c r="AH385"/>
  <c r="AH816"/>
  <c r="AH726"/>
  <c r="AH1095"/>
  <c r="AH501"/>
  <c r="AH517"/>
  <c r="AH248"/>
  <c r="AH388"/>
  <c r="AH65"/>
  <c r="AH814"/>
  <c r="AO814" s="1"/>
  <c r="AR814" s="1"/>
  <c r="AH336"/>
  <c r="AH1087"/>
  <c r="AH282"/>
  <c r="AH477"/>
  <c r="AH1169"/>
  <c r="AH674"/>
  <c r="AH859"/>
  <c r="AH1251"/>
  <c r="AH196"/>
  <c r="AH421"/>
  <c r="AH136"/>
  <c r="AH994"/>
  <c r="AH953"/>
  <c r="AH1257"/>
  <c r="AH542"/>
  <c r="AH921"/>
  <c r="AH672"/>
  <c r="AH1193"/>
  <c r="AH1090"/>
  <c r="AH365"/>
  <c r="AH1202"/>
  <c r="AH360"/>
  <c r="AH775"/>
  <c r="AH569"/>
  <c r="AH71"/>
  <c r="AH50"/>
  <c r="AH843"/>
  <c r="AH599"/>
  <c r="AH963"/>
  <c r="AH114"/>
  <c r="AH772"/>
  <c r="AH86"/>
  <c r="AH1153"/>
  <c r="AH299"/>
  <c r="AH1120"/>
  <c r="AH823"/>
  <c r="AH559"/>
  <c r="AH370"/>
  <c r="AH1098"/>
  <c r="AH37"/>
  <c r="AH781"/>
  <c r="AH364"/>
  <c r="AH350"/>
  <c r="AH257"/>
  <c r="AH894"/>
  <c r="AH597"/>
  <c r="AH485"/>
  <c r="AH572"/>
  <c r="AH176"/>
  <c r="AH492"/>
  <c r="AH1073"/>
  <c r="AH1180"/>
  <c r="AH1174"/>
  <c r="AH444"/>
  <c r="AH795"/>
  <c r="AH96"/>
  <c r="AH1161"/>
  <c r="AH1152"/>
  <c r="AH1002"/>
  <c r="AH534"/>
  <c r="AH629"/>
  <c r="AH262"/>
  <c r="AH974"/>
  <c r="AH1109"/>
  <c r="AH340"/>
  <c r="AH684"/>
  <c r="AH697"/>
  <c r="AH638"/>
  <c r="AH535"/>
  <c r="AH205"/>
  <c r="AH1234"/>
  <c r="AH456"/>
  <c r="AH647"/>
  <c r="AH955"/>
  <c r="AH761"/>
  <c r="AH157"/>
  <c r="AH1017"/>
  <c r="AH520"/>
  <c r="AH135"/>
  <c r="AH721"/>
  <c r="AH92"/>
  <c r="AH1199"/>
  <c r="AH1133"/>
  <c r="AH838"/>
  <c r="AH316"/>
  <c r="AH603"/>
  <c r="AH231"/>
  <c r="AH289"/>
  <c r="AH1177"/>
  <c r="AH236"/>
  <c r="AH1112"/>
  <c r="AH310"/>
  <c r="AH877"/>
  <c r="AH1211"/>
  <c r="AO1211" s="1"/>
  <c r="AR1211" s="1"/>
  <c r="AH617"/>
  <c r="AH704"/>
  <c r="AH397"/>
  <c r="AH1186"/>
  <c r="AH521"/>
  <c r="AO521" s="1"/>
  <c r="AR521" s="1"/>
  <c r="AH499"/>
  <c r="AH180"/>
  <c r="AH237"/>
  <c r="AH1035"/>
  <c r="AH156"/>
  <c r="AH537"/>
  <c r="AH52"/>
  <c r="AH77"/>
  <c r="AH1165"/>
  <c r="AH774"/>
  <c r="AH302"/>
  <c r="AH64"/>
  <c r="AH641"/>
  <c r="AH1075"/>
  <c r="AH1265"/>
  <c r="AH322"/>
  <c r="AH725"/>
  <c r="AH264"/>
  <c r="AH486"/>
  <c r="AH613"/>
  <c r="AH451"/>
  <c r="AH618"/>
  <c r="AH530"/>
  <c r="AH589"/>
  <c r="AH222"/>
  <c r="AH826"/>
  <c r="AH1242"/>
  <c r="AH352"/>
  <c r="AH36"/>
  <c r="AH1230"/>
  <c r="AH708"/>
  <c r="AH343"/>
  <c r="AH740"/>
  <c r="AH929"/>
  <c r="AH283"/>
  <c r="AH400"/>
  <c r="AH80"/>
  <c r="AH346"/>
  <c r="AH1260"/>
  <c r="AH1007"/>
  <c r="AH1021"/>
  <c r="AH923"/>
  <c r="AH145"/>
  <c r="AH162"/>
  <c r="AH835"/>
  <c r="AH707"/>
  <c r="AH985"/>
  <c r="AH792"/>
  <c r="AH971"/>
  <c r="AH648"/>
  <c r="AH252"/>
  <c r="AH285"/>
  <c r="AH1144"/>
  <c r="AH622"/>
  <c r="AH1113"/>
  <c r="AH968"/>
  <c r="AH568"/>
  <c r="AH606"/>
  <c r="AH1243"/>
  <c r="AH391"/>
  <c r="AH1046"/>
  <c r="AH907"/>
  <c r="AH128"/>
  <c r="AH1219"/>
  <c r="AH178"/>
  <c r="AH168"/>
  <c r="AH757"/>
  <c r="AH297"/>
  <c r="AH475"/>
  <c r="AH1205"/>
  <c r="AH887"/>
  <c r="AH655"/>
  <c r="AH367"/>
  <c r="AH926"/>
  <c r="AH409"/>
  <c r="AH1261"/>
  <c r="AH934"/>
  <c r="AH494"/>
  <c r="AH423"/>
  <c r="AH1060"/>
  <c r="AH1269"/>
  <c r="AH104"/>
  <c r="AH1022"/>
  <c r="AH432"/>
  <c r="AH442"/>
  <c r="AH588"/>
  <c r="AH480"/>
  <c r="AH1085"/>
  <c r="AH796"/>
  <c r="AH270"/>
  <c r="AH224"/>
  <c r="AH1162"/>
  <c r="AH1091"/>
  <c r="AH1210"/>
  <c r="AH630"/>
  <c r="AH1189"/>
  <c r="AH356"/>
  <c r="AH1246"/>
  <c r="AH1140"/>
  <c r="AH692"/>
  <c r="AH315"/>
  <c r="AH1064"/>
  <c r="AH616"/>
  <c r="AH1119"/>
  <c r="AH333"/>
  <c r="AH984"/>
  <c r="AH600"/>
  <c r="AH670"/>
  <c r="AH857"/>
  <c r="AH1051"/>
  <c r="AH417"/>
  <c r="AH42"/>
  <c r="AH930"/>
  <c r="AH850"/>
  <c r="AH815"/>
  <c r="AH287"/>
  <c r="AH849"/>
  <c r="AH1229"/>
  <c r="AH966"/>
  <c r="AH540"/>
  <c r="AH238"/>
  <c r="AH256"/>
  <c r="AH433"/>
  <c r="AH1136"/>
  <c r="AH893"/>
  <c r="AH466"/>
  <c r="AH839"/>
  <c r="AH139"/>
  <c r="AH381"/>
  <c r="AH777"/>
  <c r="AH558"/>
  <c r="AH737"/>
  <c r="AO737" s="1"/>
  <c r="AR737" s="1"/>
  <c r="AH952"/>
  <c r="AH392"/>
  <c r="AH631"/>
  <c r="AH863"/>
  <c r="AH793"/>
  <c r="AH488"/>
  <c r="AH199"/>
  <c r="AH441"/>
  <c r="AH60"/>
  <c r="AH913"/>
  <c r="AH956"/>
  <c r="AH886"/>
  <c r="AH430"/>
  <c r="AH79"/>
  <c r="AH969"/>
  <c r="AH1187"/>
  <c r="AH992"/>
  <c r="AH640"/>
  <c r="AH1156"/>
  <c r="AH215"/>
  <c r="AH1070"/>
  <c r="AH933"/>
  <c r="AH422"/>
  <c r="AH794"/>
  <c r="AH767"/>
  <c r="AH626"/>
  <c r="AH690"/>
  <c r="AH183"/>
  <c r="AH1104"/>
  <c r="AH656"/>
  <c r="AH255"/>
  <c r="AH837"/>
  <c r="AH949"/>
  <c r="AH69"/>
  <c r="AH565"/>
  <c r="AH563"/>
  <c r="AH91"/>
  <c r="AH464"/>
  <c r="AH208"/>
  <c r="AH307"/>
  <c r="AH576"/>
  <c r="AH95"/>
  <c r="AH1036"/>
  <c r="AH142"/>
  <c r="AH353"/>
  <c r="AH226"/>
  <c r="AH454"/>
  <c r="AH867"/>
  <c r="AH858"/>
  <c r="AH856"/>
  <c r="AH1195"/>
  <c r="AH872"/>
  <c r="AH327"/>
  <c r="AH889"/>
  <c r="AH939"/>
  <c r="AH1218"/>
  <c r="AH927"/>
  <c r="AH1096"/>
  <c r="AH696"/>
  <c r="AH686"/>
  <c r="AH298"/>
  <c r="AH583"/>
  <c r="AH1143"/>
  <c r="AH110"/>
  <c r="AH143"/>
  <c r="AH161"/>
  <c r="AH1034"/>
  <c r="AH38"/>
  <c r="AH175"/>
  <c r="AH865"/>
  <c r="AH345"/>
  <c r="AH243"/>
  <c r="AH983"/>
  <c r="AH1248"/>
  <c r="AH479"/>
  <c r="AH242"/>
  <c r="AH943"/>
  <c r="AH988"/>
  <c r="AH653"/>
  <c r="AH429"/>
  <c r="AH55"/>
  <c r="AH1031"/>
  <c r="AH883"/>
  <c r="AH915"/>
  <c r="AH507"/>
  <c r="AH496"/>
  <c r="AH58"/>
  <c r="AH159"/>
  <c r="AH817"/>
  <c r="AH1149"/>
  <c r="AH908"/>
  <c r="AH398"/>
  <c r="AH399"/>
  <c r="AH68"/>
  <c r="AH809"/>
  <c r="AH928"/>
  <c r="AH560"/>
  <c r="AH1108"/>
  <c r="AH868"/>
  <c r="AH693"/>
  <c r="AH303"/>
  <c r="AH766"/>
  <c r="AH323"/>
  <c r="AH1256"/>
  <c r="AH904"/>
  <c r="AH330"/>
  <c r="AH481"/>
  <c r="AH1240"/>
  <c r="AH728"/>
  <c r="AH489"/>
  <c r="AH426"/>
  <c r="AH1145"/>
  <c r="AH1062"/>
  <c r="AH978"/>
  <c r="AH1016"/>
  <c r="AH922"/>
  <c r="AH870"/>
  <c r="AH1215"/>
  <c r="AH879"/>
  <c r="AH1004"/>
  <c r="AH1206"/>
  <c r="AH668"/>
  <c r="AH366"/>
  <c r="AH335"/>
  <c r="AH905"/>
  <c r="AH1232"/>
  <c r="AH880"/>
  <c r="AH550"/>
  <c r="AH1076"/>
  <c r="AH916"/>
  <c r="AH789"/>
  <c r="AH579"/>
  <c r="AH436"/>
  <c r="AH897"/>
  <c r="AH1026"/>
  <c r="AH1061"/>
  <c r="AH1220"/>
  <c r="AH749"/>
  <c r="AH414"/>
  <c r="AH116"/>
  <c r="AH1216"/>
  <c r="AH762"/>
  <c r="AH288"/>
  <c r="AH997"/>
  <c r="AH900"/>
  <c r="AH531"/>
  <c r="AH580"/>
  <c r="AH847"/>
  <c r="AH975"/>
  <c r="AH368"/>
  <c r="AH467"/>
  <c r="AH291"/>
  <c r="AH652"/>
  <c r="AH220"/>
  <c r="AH1053"/>
  <c r="AH206"/>
  <c r="AH619"/>
  <c r="AH273"/>
  <c r="AH482"/>
  <c r="AH166"/>
  <c r="AH111"/>
  <c r="AH134"/>
  <c r="AH834"/>
  <c r="AH163"/>
  <c r="AH658"/>
  <c r="AH699"/>
  <c r="AH931"/>
  <c r="AH1194"/>
  <c r="AH1105"/>
  <c r="AH472"/>
  <c r="AO472" s="1"/>
  <c r="AR472" s="1"/>
  <c r="AH1093"/>
  <c r="AO1093" s="1"/>
  <c r="AR1093" s="1"/>
  <c r="AH960"/>
  <c r="AH1129"/>
  <c r="AO1129" s="1"/>
  <c r="AR1129" s="1"/>
  <c r="AH754"/>
  <c r="AH1115"/>
  <c r="AO1115" s="1"/>
  <c r="AR1115" s="1"/>
  <c r="AH756"/>
  <c r="AH812"/>
  <c r="AH657"/>
  <c r="AH1198"/>
  <c r="AH185"/>
  <c r="AH1057"/>
  <c r="AH357"/>
  <c r="AH324"/>
  <c r="AH325"/>
  <c r="AH1200"/>
  <c r="AH321"/>
  <c r="AH1164"/>
  <c r="AH1150"/>
  <c r="AH650"/>
  <c r="AH450"/>
  <c r="AH216"/>
  <c r="AH153"/>
  <c r="AH361"/>
  <c r="AH965"/>
  <c r="AH522"/>
  <c r="AH144"/>
  <c r="AH557"/>
  <c r="AH967"/>
  <c r="AH665"/>
  <c r="AH811"/>
  <c r="AH1058"/>
  <c r="AH1259"/>
  <c r="AH633"/>
  <c r="AH306"/>
  <c r="AH717"/>
  <c r="AH587"/>
  <c r="AH514"/>
  <c r="AH197"/>
  <c r="AH666"/>
  <c r="AH112"/>
  <c r="AH818"/>
  <c r="AH1245"/>
  <c r="AH300"/>
  <c r="AH539"/>
  <c r="AH1001"/>
  <c r="AH1008"/>
  <c r="AH354"/>
  <c r="AH990"/>
  <c r="AH660"/>
  <c r="AH470"/>
  <c r="AH1067"/>
  <c r="AH526"/>
  <c r="AH615"/>
  <c r="AH1138"/>
  <c r="AH567"/>
  <c r="AH140"/>
  <c r="AH1019"/>
  <c r="AH791"/>
  <c r="AH61"/>
  <c r="AH228"/>
  <c r="AH1069"/>
  <c r="AH892"/>
  <c r="AH503"/>
  <c r="AH1082"/>
  <c r="AH1233"/>
  <c r="AH1188"/>
  <c r="AH1134"/>
  <c r="AH390"/>
  <c r="AH788"/>
  <c r="AH107"/>
  <c r="AH866"/>
  <c r="AH1052"/>
  <c r="AH119"/>
  <c r="AH1107"/>
  <c r="AH416"/>
  <c r="AH1223"/>
  <c r="AH586"/>
  <c r="AH1262"/>
  <c r="AH329"/>
  <c r="AH48"/>
  <c r="AH339"/>
  <c r="AH351"/>
  <c r="AH706"/>
  <c r="AO706" s="1"/>
  <c r="AR706" s="1"/>
  <c r="AH827"/>
  <c r="AH1040"/>
  <c r="AH1042"/>
  <c r="AH585"/>
  <c r="AH920"/>
  <c r="AH750"/>
  <c r="AH1029"/>
  <c r="AH98"/>
  <c r="AH873"/>
  <c r="AH884"/>
  <c r="AH689"/>
  <c r="AH406"/>
  <c r="AH854"/>
  <c r="AH1271"/>
  <c r="AH724"/>
  <c r="AH1214"/>
  <c r="AH484"/>
  <c r="AH235"/>
  <c r="AH267"/>
  <c r="AH247"/>
  <c r="AH137"/>
  <c r="AH536"/>
  <c r="AH401"/>
  <c r="AH344"/>
  <c r="AH797"/>
  <c r="AH1141"/>
  <c r="AO1141" s="1"/>
  <c r="AR1141" s="1"/>
  <c r="AH439"/>
  <c r="AH1238"/>
  <c r="AH186"/>
  <c r="AH195"/>
  <c r="AH675"/>
  <c r="AH194"/>
  <c r="AH160"/>
  <c r="AH1254"/>
  <c r="AH1228"/>
  <c r="AH419"/>
  <c r="AH249"/>
  <c r="AH230"/>
  <c r="AH420"/>
  <c r="AH678"/>
  <c r="AH1201"/>
  <c r="AH158"/>
  <c r="AH890"/>
  <c r="AH1222"/>
  <c r="AH518"/>
  <c r="AH1166"/>
  <c r="AH1125"/>
  <c r="AH688"/>
  <c r="AH635"/>
  <c r="AO635" s="1"/>
  <c r="AR635" s="1"/>
  <c r="AH1137"/>
  <c r="AH871"/>
  <c r="AH67"/>
  <c r="AH341"/>
  <c r="AH885"/>
  <c r="AH592"/>
  <c r="AG1017"/>
  <c r="AG520"/>
  <c r="AG850"/>
  <c r="AG415"/>
  <c r="AG1165"/>
  <c r="AG1175"/>
  <c r="AG1265"/>
  <c r="AG645"/>
  <c r="AG309"/>
  <c r="AG459"/>
  <c r="AG871"/>
  <c r="AG177"/>
  <c r="AG36"/>
  <c r="AG388"/>
  <c r="AG91"/>
  <c r="AG477"/>
  <c r="AG881"/>
  <c r="AG78"/>
  <c r="AG1040"/>
  <c r="AG482"/>
  <c r="AG532"/>
  <c r="AG361"/>
  <c r="AG281"/>
  <c r="AG218"/>
  <c r="AG450"/>
  <c r="AG608"/>
  <c r="AG1164"/>
  <c r="AG605"/>
  <c r="AG380"/>
  <c r="AG382"/>
  <c r="AG1271"/>
  <c r="AG979"/>
  <c r="AG996"/>
  <c r="AG500"/>
  <c r="AG1214"/>
  <c r="AG324"/>
  <c r="AG910"/>
  <c r="AG411"/>
  <c r="AG1198"/>
  <c r="AG987"/>
  <c r="AG1244"/>
  <c r="AG886"/>
  <c r="AG1264"/>
  <c r="AG933"/>
  <c r="AG352"/>
  <c r="AG248"/>
  <c r="AG336"/>
  <c r="AG1053"/>
  <c r="AG1237"/>
  <c r="AG993"/>
  <c r="AG179"/>
  <c r="AG152"/>
  <c r="AG779"/>
  <c r="AG193"/>
  <c r="AG917"/>
  <c r="AG325"/>
  <c r="AG595"/>
  <c r="AG612"/>
  <c r="AG805"/>
  <c r="AG357"/>
  <c r="AG259"/>
  <c r="AG217"/>
  <c r="AG51"/>
  <c r="AG35"/>
  <c r="AG704"/>
  <c r="AG397"/>
  <c r="AG664"/>
  <c r="AG702"/>
  <c r="AG991"/>
  <c r="AG1051"/>
  <c r="AG1062"/>
  <c r="AG1071"/>
  <c r="AG77"/>
  <c r="AG79"/>
  <c r="AG209"/>
  <c r="AG725"/>
  <c r="AG294"/>
  <c r="AG749"/>
  <c r="AG461"/>
  <c r="AG837"/>
  <c r="AG69"/>
  <c r="AG563"/>
  <c r="AG1266"/>
  <c r="AG80"/>
  <c r="AG619"/>
  <c r="AG117"/>
  <c r="AG195"/>
  <c r="AG1025"/>
  <c r="AG186"/>
  <c r="AG765"/>
  <c r="AG1238"/>
  <c r="AG190"/>
  <c r="AG439"/>
  <c r="AG321"/>
  <c r="AG1200"/>
  <c r="AG800"/>
  <c r="AG538"/>
  <c r="AG484"/>
  <c r="AG801"/>
  <c r="AG985"/>
  <c r="AG946"/>
  <c r="AG125"/>
  <c r="AG1195"/>
  <c r="AG872"/>
  <c r="AG327"/>
  <c r="AG889"/>
  <c r="AG939"/>
  <c r="AG1218"/>
  <c r="AG927"/>
  <c r="AG1096"/>
  <c r="AG696"/>
  <c r="AG686"/>
  <c r="AG298"/>
  <c r="AG583"/>
  <c r="AG1143"/>
  <c r="AG428"/>
  <c r="AG875"/>
  <c r="AG192"/>
  <c r="AG778"/>
  <c r="AG146"/>
  <c r="AG1038"/>
  <c r="AG932"/>
  <c r="AG1153"/>
  <c r="AG299"/>
  <c r="AG1120"/>
  <c r="AG823"/>
  <c r="AG559"/>
  <c r="AG370"/>
  <c r="AG1098"/>
  <c r="AG37"/>
  <c r="AG781"/>
  <c r="AG364"/>
  <c r="AG350"/>
  <c r="AG257"/>
  <c r="AG874"/>
  <c r="AG691"/>
  <c r="AG453"/>
  <c r="AG961"/>
  <c r="AG144"/>
  <c r="AG474"/>
  <c r="AG188"/>
  <c r="AG480"/>
  <c r="AG1085"/>
  <c r="AG796"/>
  <c r="AG270"/>
  <c r="AG224"/>
  <c r="AG1162"/>
  <c r="AG1091"/>
  <c r="AG1210"/>
  <c r="AG630"/>
  <c r="AG1189"/>
  <c r="AG356"/>
  <c r="AG1246"/>
  <c r="AG1140"/>
  <c r="AG692"/>
  <c r="AG74"/>
  <c r="AG1064"/>
  <c r="AG616"/>
  <c r="AG1119"/>
  <c r="AG333"/>
  <c r="AG984"/>
  <c r="AG600"/>
  <c r="AG670"/>
  <c r="AG857"/>
  <c r="AG180"/>
  <c r="AG237"/>
  <c r="AG1035"/>
  <c r="AG156"/>
  <c r="AG61"/>
  <c r="AG228"/>
  <c r="AG1132"/>
  <c r="AG1069"/>
  <c r="AG892"/>
  <c r="AG510"/>
  <c r="AG503"/>
  <c r="AG1082"/>
  <c r="AG1123"/>
  <c r="AG1233"/>
  <c r="AG742"/>
  <c r="AG1188"/>
  <c r="AG1134"/>
  <c r="AG87"/>
  <c r="AG390"/>
  <c r="AG788"/>
  <c r="AG427"/>
  <c r="AG1235"/>
  <c r="AG964"/>
  <c r="AG1270"/>
  <c r="AG94"/>
  <c r="AG487"/>
  <c r="AG1114"/>
  <c r="AG720"/>
  <c r="AG244"/>
  <c r="AG404"/>
  <c r="AG469"/>
  <c r="AG901"/>
  <c r="AG755"/>
  <c r="AG379"/>
  <c r="AG203"/>
  <c r="AG240"/>
  <c r="AG371"/>
  <c r="AG314"/>
  <c r="AG1158"/>
  <c r="AG1263"/>
  <c r="AG478"/>
  <c r="AG667"/>
  <c r="AG145"/>
  <c r="AG162"/>
  <c r="AG835"/>
  <c r="AG707"/>
  <c r="AG858"/>
  <c r="AG856"/>
  <c r="AG1192"/>
  <c r="AG506"/>
  <c r="AG317"/>
  <c r="AG1225"/>
  <c r="AG1255"/>
  <c r="AG301"/>
  <c r="AG1122"/>
  <c r="AG296"/>
  <c r="AG253"/>
  <c r="AG490"/>
  <c r="AG268"/>
  <c r="AG50"/>
  <c r="AG843"/>
  <c r="AG599"/>
  <c r="AG1219"/>
  <c r="AG178"/>
  <c r="AG168"/>
  <c r="AG757"/>
  <c r="AG665"/>
  <c r="AG982"/>
  <c r="AG620"/>
  <c r="AG751"/>
  <c r="AG447"/>
  <c r="AG39"/>
  <c r="AG93"/>
  <c r="AG685"/>
  <c r="AG828"/>
  <c r="AG763"/>
  <c r="AG514"/>
  <c r="AG133"/>
  <c r="AG197"/>
  <c r="AG666"/>
  <c r="AG642"/>
  <c r="AG112"/>
  <c r="AG818"/>
  <c r="AG45"/>
  <c r="AG1181"/>
  <c r="AG604"/>
  <c r="AG334"/>
  <c r="AG607"/>
  <c r="AG1065"/>
  <c r="AG1203"/>
  <c r="AG896"/>
  <c r="AG290"/>
  <c r="AG1086"/>
  <c r="AG358"/>
  <c r="AG852"/>
  <c r="AG884"/>
  <c r="AG1103"/>
  <c r="AG331"/>
  <c r="AG846"/>
  <c r="AG743"/>
  <c r="AG1110"/>
  <c r="AG1139"/>
  <c r="AG938"/>
  <c r="AG701"/>
  <c r="AG348"/>
  <c r="AG295"/>
  <c r="AG1130"/>
  <c r="AG320"/>
  <c r="AG1204"/>
  <c r="AG724"/>
  <c r="AG634"/>
  <c r="AG591"/>
  <c r="AG182"/>
  <c r="AG730"/>
  <c r="AG888"/>
  <c r="AG54"/>
  <c r="AG118"/>
  <c r="AG1063"/>
  <c r="AG1027"/>
  <c r="AG267"/>
  <c r="AG914"/>
  <c r="AG34"/>
  <c r="AG155"/>
  <c r="AG911"/>
  <c r="AG659"/>
  <c r="AG627"/>
  <c r="AG912"/>
  <c r="AG573"/>
  <c r="AG214"/>
  <c r="AG1253"/>
  <c r="AG679"/>
  <c r="AG574"/>
  <c r="AG891"/>
  <c r="AG346"/>
  <c r="AG746"/>
  <c r="AG816"/>
  <c r="AG738"/>
  <c r="AG807"/>
  <c r="AG897"/>
  <c r="AG771"/>
  <c r="AG1156"/>
  <c r="AG1168"/>
  <c r="AG555"/>
  <c r="AG1101"/>
  <c r="AG716"/>
  <c r="AG1019"/>
  <c r="AG458"/>
  <c r="AG719"/>
  <c r="AG1160"/>
  <c r="AG1148"/>
  <c r="AG628"/>
  <c r="AG594"/>
  <c r="AG402"/>
  <c r="AG1072"/>
  <c r="AG700"/>
  <c r="AG957"/>
  <c r="AG1000"/>
  <c r="AG56"/>
  <c r="AG465"/>
  <c r="AG593"/>
  <c r="AG1250"/>
  <c r="AG265"/>
  <c r="AG53"/>
  <c r="AG245"/>
  <c r="AG687"/>
  <c r="AG1184"/>
  <c r="AG941"/>
  <c r="AG1142"/>
  <c r="AG1080"/>
  <c r="AG63"/>
  <c r="AG233"/>
  <c r="AG836"/>
  <c r="AG804"/>
  <c r="AG787"/>
  <c r="AG820"/>
  <c r="AG601"/>
  <c r="AG502"/>
  <c r="AG831"/>
  <c r="AG315"/>
  <c r="AG194"/>
  <c r="AG945"/>
  <c r="AG282"/>
  <c r="AG464"/>
  <c r="AG326"/>
  <c r="AG752"/>
  <c r="AG264"/>
  <c r="AG641"/>
  <c r="AG1068"/>
  <c r="AG42"/>
  <c r="AG1170"/>
  <c r="AG1186"/>
  <c r="AG381"/>
  <c r="AG785"/>
  <c r="AG374"/>
  <c r="AG705"/>
  <c r="AG106"/>
  <c r="AG1042"/>
  <c r="AG504"/>
  <c r="AG221"/>
  <c r="AG681"/>
  <c r="AG855"/>
  <c r="AG1179"/>
  <c r="AG1083"/>
  <c r="AG633"/>
  <c r="AG266"/>
  <c r="AG1147"/>
  <c r="AG840"/>
  <c r="AG505"/>
  <c r="AG663"/>
  <c r="AG759"/>
  <c r="AG276"/>
  <c r="AG1037"/>
  <c r="AG46"/>
  <c r="AG463"/>
  <c r="AG1056"/>
  <c r="AG210"/>
  <c r="AG1029"/>
  <c r="AG407"/>
  <c r="AG297"/>
  <c r="AG475"/>
  <c r="AG1205"/>
  <c r="AG887"/>
  <c r="AG655"/>
  <c r="AG367"/>
  <c r="AG926"/>
  <c r="AG409"/>
  <c r="AG1261"/>
  <c r="AG934"/>
  <c r="AG494"/>
  <c r="AG423"/>
  <c r="AG1018"/>
  <c r="AG229"/>
  <c r="AG723"/>
  <c r="AG123"/>
  <c r="AG528"/>
  <c r="AG403"/>
  <c r="AG524"/>
  <c r="AG817"/>
  <c r="AG1149"/>
  <c r="AG908"/>
  <c r="AG398"/>
  <c r="AG399"/>
  <c r="AG68"/>
  <c r="AG809"/>
  <c r="AG928"/>
  <c r="AG560"/>
  <c r="AG1108"/>
  <c r="AG868"/>
  <c r="AG693"/>
  <c r="AG303"/>
  <c r="AG766"/>
  <c r="AG323"/>
  <c r="AG1256"/>
  <c r="AG904"/>
  <c r="AG330"/>
  <c r="AG481"/>
  <c r="AG1240"/>
  <c r="AG728"/>
  <c r="AG489"/>
  <c r="AG426"/>
  <c r="AG1145"/>
  <c r="AG793"/>
  <c r="AG488"/>
  <c r="AG199"/>
  <c r="AG721"/>
  <c r="AG92"/>
  <c r="AG1199"/>
  <c r="AG1133"/>
  <c r="AG838"/>
  <c r="AG316"/>
  <c r="AG603"/>
  <c r="AG231"/>
  <c r="AG289"/>
  <c r="AG944"/>
  <c r="AG592"/>
  <c r="AG84"/>
  <c r="AG885"/>
  <c r="AG547"/>
  <c r="AG341"/>
  <c r="AG1006"/>
  <c r="AG67"/>
  <c r="AO67" s="1"/>
  <c r="AR67" s="1"/>
  <c r="AG165"/>
  <c r="AG103"/>
  <c r="AG589"/>
  <c r="AG222"/>
  <c r="AG826"/>
  <c r="AG1201"/>
  <c r="AG784"/>
  <c r="AG678"/>
  <c r="AG677"/>
  <c r="AG420"/>
  <c r="AG239"/>
  <c r="AG230"/>
  <c r="AG425"/>
  <c r="AG249"/>
  <c r="AG304"/>
  <c r="AG419"/>
  <c r="AG378"/>
  <c r="AG1228"/>
  <c r="AG76"/>
  <c r="AG674"/>
  <c r="AG859"/>
  <c r="AG273"/>
  <c r="AG226"/>
  <c r="AG454"/>
  <c r="AG867"/>
  <c r="AG189"/>
  <c r="AG898"/>
  <c r="AG1259"/>
  <c r="AG584"/>
  <c r="AG1239"/>
  <c r="AG1224"/>
  <c r="AG920"/>
  <c r="AG545"/>
  <c r="AG936"/>
  <c r="AG424"/>
  <c r="AG695"/>
  <c r="AG649"/>
  <c r="AG263"/>
  <c r="AG1046"/>
  <c r="AG907"/>
  <c r="AG128"/>
  <c r="AG161"/>
  <c r="AG1034"/>
  <c r="AG38"/>
  <c r="AG175"/>
  <c r="AG865"/>
  <c r="AG211"/>
  <c r="AG958"/>
  <c r="AG646"/>
  <c r="AG495"/>
  <c r="AG274"/>
  <c r="AG473"/>
  <c r="AG1197"/>
  <c r="AG1190"/>
  <c r="AG286"/>
  <c r="AG769"/>
  <c r="AG894"/>
  <c r="AG597"/>
  <c r="AG485"/>
  <c r="AG572"/>
  <c r="AG176"/>
  <c r="AG492"/>
  <c r="AG1009"/>
  <c r="AG972"/>
  <c r="AG876"/>
  <c r="AG462"/>
  <c r="AG271"/>
  <c r="AG895"/>
  <c r="AG544"/>
  <c r="AG1146"/>
  <c r="AG566"/>
  <c r="AG965"/>
  <c r="AG389"/>
  <c r="AG1118"/>
  <c r="AG853"/>
  <c r="AG40"/>
  <c r="AG89"/>
  <c r="AG1241"/>
  <c r="AG959"/>
  <c r="AG1178"/>
  <c r="AG1217"/>
  <c r="AG1150"/>
  <c r="AG1084"/>
  <c r="AG764"/>
  <c r="AG571"/>
  <c r="AG1088"/>
  <c r="AG448"/>
  <c r="AG999"/>
  <c r="AG533"/>
  <c r="AG1094"/>
  <c r="AG861"/>
  <c r="AG408"/>
  <c r="AG1128"/>
  <c r="AG261"/>
  <c r="AG337"/>
  <c r="AG543"/>
  <c r="AG860"/>
  <c r="AG564"/>
  <c r="AG1005"/>
  <c r="AG673"/>
  <c r="AG640"/>
  <c r="AG147"/>
  <c r="AG1089"/>
  <c r="AG131"/>
  <c r="AG200"/>
  <c r="AG516"/>
  <c r="AG546"/>
  <c r="AG1030"/>
  <c r="AG1196"/>
  <c r="AG105"/>
  <c r="AG1254"/>
  <c r="AG227"/>
  <c r="AG272"/>
  <c r="AG708"/>
  <c r="AG726"/>
  <c r="AG158"/>
  <c r="AG1052"/>
  <c r="AG107"/>
  <c r="AG613"/>
  <c r="AG1226"/>
  <c r="AG774"/>
  <c r="AG204"/>
  <c r="AG930"/>
  <c r="AG1055"/>
  <c r="AG82"/>
  <c r="AG1039"/>
  <c r="AG842"/>
  <c r="AG906"/>
  <c r="AG1236"/>
  <c r="AG1209"/>
  <c r="AG833"/>
  <c r="AG292"/>
  <c r="AG279"/>
  <c r="AG1092"/>
  <c r="AG931"/>
  <c r="AG513"/>
  <c r="AG699"/>
  <c r="AG413"/>
  <c r="AG163"/>
  <c r="AG650"/>
  <c r="AG153"/>
  <c r="AG675"/>
  <c r="AG1044"/>
  <c r="AG1043"/>
  <c r="AG576"/>
  <c r="AG208"/>
  <c r="AG929"/>
  <c r="AG517"/>
  <c r="AG582"/>
  <c r="AG385"/>
  <c r="AG1220"/>
  <c r="AG1061"/>
  <c r="AG359"/>
  <c r="AG1187"/>
  <c r="AG441"/>
  <c r="AG417"/>
  <c r="AG777"/>
  <c r="AG802"/>
  <c r="AG1032"/>
  <c r="AG824"/>
  <c r="AG953"/>
  <c r="AG1257"/>
  <c r="AG542"/>
  <c r="AG921"/>
  <c r="AG672"/>
  <c r="AG1193"/>
  <c r="AG1090"/>
  <c r="AG365"/>
  <c r="AG1202"/>
  <c r="AG360"/>
  <c r="AG775"/>
  <c r="AG569"/>
  <c r="AG71"/>
  <c r="AG1041"/>
  <c r="AG174"/>
  <c r="AG683"/>
  <c r="AG1267"/>
  <c r="AG598"/>
  <c r="AG948"/>
  <c r="AG468"/>
  <c r="AG803"/>
  <c r="AG345"/>
  <c r="AG243"/>
  <c r="AG983"/>
  <c r="AG1248"/>
  <c r="AG479"/>
  <c r="AG242"/>
  <c r="AG943"/>
  <c r="AG988"/>
  <c r="AG653"/>
  <c r="AG429"/>
  <c r="AG55"/>
  <c r="AG1059"/>
  <c r="AG596"/>
  <c r="AG198"/>
  <c r="AG491"/>
  <c r="AG115"/>
  <c r="AG435"/>
  <c r="AG98"/>
  <c r="AG1073"/>
  <c r="AG1245"/>
  <c r="AG790"/>
  <c r="AG300"/>
  <c r="AG539"/>
  <c r="AG383"/>
  <c r="AG1001"/>
  <c r="AG1008"/>
  <c r="AG864"/>
  <c r="AG354"/>
  <c r="AG990"/>
  <c r="AG869"/>
  <c r="AG660"/>
  <c r="AG709"/>
  <c r="AG470"/>
  <c r="AG1067"/>
  <c r="AG1154"/>
  <c r="AG526"/>
  <c r="AG825"/>
  <c r="AG615"/>
  <c r="AG1138"/>
  <c r="AG328"/>
  <c r="AG567"/>
  <c r="AG362"/>
  <c r="AG882"/>
  <c r="AG962"/>
  <c r="AG590"/>
  <c r="AG815"/>
  <c r="AG287"/>
  <c r="AG849"/>
  <c r="AG1229"/>
  <c r="AG966"/>
  <c r="AG540"/>
  <c r="AG238"/>
  <c r="AG256"/>
  <c r="AG433"/>
  <c r="AG1136"/>
  <c r="AG688"/>
  <c r="AG258"/>
  <c r="AG1125"/>
  <c r="AG452"/>
  <c r="AG1166"/>
  <c r="AG1077"/>
  <c r="AG518"/>
  <c r="AG618"/>
  <c r="AG530"/>
  <c r="AG1137"/>
  <c r="AG690"/>
  <c r="AG183"/>
  <c r="AG1216"/>
  <c r="AG762"/>
  <c r="AG288"/>
  <c r="AG997"/>
  <c r="AG900"/>
  <c r="AG531"/>
  <c r="AG580"/>
  <c r="AG847"/>
  <c r="AG975"/>
  <c r="AG368"/>
  <c r="AG467"/>
  <c r="AG291"/>
  <c r="AG652"/>
  <c r="AG220"/>
  <c r="AG1021"/>
  <c r="AG923"/>
  <c r="AG393"/>
  <c r="AG995"/>
  <c r="AG1015"/>
  <c r="AG682"/>
  <c r="AG806"/>
  <c r="AG994"/>
  <c r="AG349"/>
  <c r="AG712"/>
  <c r="AG284"/>
  <c r="AG1227"/>
  <c r="AG553"/>
  <c r="AG556"/>
  <c r="AG1272"/>
  <c r="AG632"/>
  <c r="AG654"/>
  <c r="AG1208"/>
  <c r="AG519"/>
  <c r="AG954"/>
  <c r="AG110"/>
  <c r="AG143"/>
  <c r="AG841"/>
  <c r="AG1024"/>
  <c r="AG1047"/>
  <c r="AG70"/>
  <c r="AG611"/>
  <c r="AG313"/>
  <c r="AG232"/>
  <c r="AG967"/>
  <c r="AG527"/>
  <c r="AG338"/>
  <c r="AG1078"/>
  <c r="AG940"/>
  <c r="AG557"/>
  <c r="AG525"/>
  <c r="AG735"/>
  <c r="AG1060"/>
  <c r="AG1269"/>
  <c r="AG104"/>
  <c r="AG1022"/>
  <c r="AG432"/>
  <c r="AG442"/>
  <c r="AG588"/>
  <c r="AG1100"/>
  <c r="AG522"/>
  <c r="AG578"/>
  <c r="AG483"/>
  <c r="AG1159"/>
  <c r="AG225"/>
  <c r="AG1249"/>
  <c r="AG710"/>
  <c r="AG1172"/>
  <c r="AG548"/>
  <c r="AG549"/>
  <c r="AG342"/>
  <c r="AG515"/>
  <c r="AG689"/>
  <c r="AG363"/>
  <c r="AG47"/>
  <c r="AG418"/>
  <c r="AG998"/>
  <c r="AG813"/>
  <c r="AG406"/>
  <c r="AG854"/>
  <c r="AG318"/>
  <c r="AG1155"/>
  <c r="AG832"/>
  <c r="AG614"/>
  <c r="AG773"/>
  <c r="AG753"/>
  <c r="AG172"/>
  <c r="AG1048"/>
  <c r="AG1045"/>
  <c r="AG1012"/>
  <c r="AG810"/>
  <c r="AG575"/>
  <c r="AG903"/>
  <c r="AG88"/>
  <c r="AG1013"/>
  <c r="AG49"/>
  <c r="AG59"/>
  <c r="AG844"/>
  <c r="AG1167"/>
  <c r="AG154"/>
  <c r="AG166"/>
  <c r="AG223"/>
  <c r="AG33"/>
  <c r="AG1095"/>
  <c r="AG119"/>
  <c r="AG1026"/>
  <c r="AG422"/>
  <c r="AG215"/>
  <c r="AG1097"/>
  <c r="AG1135"/>
  <c r="AG135"/>
  <c r="AG140"/>
  <c r="AG919"/>
  <c r="AG269"/>
  <c r="AG1176"/>
  <c r="AG312"/>
  <c r="AG369"/>
  <c r="AG1191"/>
  <c r="AG497"/>
  <c r="AG1213"/>
  <c r="AG822"/>
  <c r="AG561"/>
  <c r="AG829"/>
  <c r="AG529"/>
  <c r="AG376"/>
  <c r="AG1131"/>
  <c r="AG438"/>
  <c r="AG305"/>
  <c r="AG332"/>
  <c r="AG609"/>
  <c r="AG83"/>
  <c r="AG280"/>
  <c r="AG1102"/>
  <c r="AG554"/>
  <c r="AG703"/>
  <c r="AG924"/>
  <c r="AG552"/>
  <c r="AG99"/>
  <c r="AG275"/>
  <c r="AG185"/>
  <c r="AG1057"/>
  <c r="AG101"/>
  <c r="AG981"/>
  <c r="AG373"/>
  <c r="AG821"/>
  <c r="AG85"/>
  <c r="AG758"/>
  <c r="AG241"/>
  <c r="AG523"/>
  <c r="AG446"/>
  <c r="AG1020"/>
  <c r="AG776"/>
  <c r="AG1247"/>
  <c r="AG149"/>
  <c r="AG347"/>
  <c r="AG187"/>
  <c r="AG1054"/>
  <c r="AG827"/>
  <c r="AG95"/>
  <c r="AG1087"/>
  <c r="AG1124"/>
  <c r="AG610"/>
  <c r="AG64"/>
  <c r="AG732"/>
  <c r="AG60"/>
  <c r="AG1016"/>
  <c r="AG761"/>
  <c r="AG392"/>
  <c r="AG734"/>
  <c r="AG625"/>
  <c r="AG440"/>
  <c r="AG1258"/>
  <c r="AG918"/>
  <c r="AG141"/>
  <c r="AG770"/>
  <c r="AG1049"/>
  <c r="AG971"/>
  <c r="AG648"/>
  <c r="AG252"/>
  <c r="AG285"/>
  <c r="AG1144"/>
  <c r="AG622"/>
  <c r="AG1113"/>
  <c r="AG968"/>
  <c r="AG568"/>
  <c r="AG606"/>
  <c r="AG1243"/>
  <c r="AG391"/>
  <c r="AG1058"/>
  <c r="AG722"/>
  <c r="AG811"/>
  <c r="AG164"/>
  <c r="AG512"/>
  <c r="AG1252"/>
  <c r="AG739"/>
  <c r="AG862"/>
  <c r="AG81"/>
  <c r="AG395"/>
  <c r="AG780"/>
  <c r="AG950"/>
  <c r="AG511"/>
  <c r="AG306"/>
  <c r="AG718"/>
  <c r="AG1116"/>
  <c r="AG717"/>
  <c r="AG493"/>
  <c r="AG587"/>
  <c r="AG129"/>
  <c r="AG1221"/>
  <c r="AG782"/>
  <c r="AG899"/>
  <c r="AG457"/>
  <c r="AG122"/>
  <c r="AG410"/>
  <c r="AG132"/>
  <c r="AG1180"/>
  <c r="AG1174"/>
  <c r="AG444"/>
  <c r="AG795"/>
  <c r="AG96"/>
  <c r="AG1161"/>
  <c r="AG1152"/>
  <c r="AG1002"/>
  <c r="AG534"/>
  <c r="AG629"/>
  <c r="AG262"/>
  <c r="AG974"/>
  <c r="AG1109"/>
  <c r="AG340"/>
  <c r="AG684"/>
  <c r="AG697"/>
  <c r="AG638"/>
  <c r="AG535"/>
  <c r="AG205"/>
  <c r="AG1234"/>
  <c r="AG456"/>
  <c r="AG647"/>
  <c r="AG955"/>
  <c r="AG234"/>
  <c r="AG109"/>
  <c r="AG745"/>
  <c r="AG870"/>
  <c r="AG1215"/>
  <c r="AG879"/>
  <c r="AG1004"/>
  <c r="AG1206"/>
  <c r="AG668"/>
  <c r="AG366"/>
  <c r="AG335"/>
  <c r="AG905"/>
  <c r="AG1232"/>
  <c r="AG880"/>
  <c r="AG550"/>
  <c r="AG1076"/>
  <c r="AG916"/>
  <c r="AG789"/>
  <c r="AG579"/>
  <c r="AG436"/>
  <c r="AG794"/>
  <c r="AG767"/>
  <c r="AG626"/>
  <c r="AG508"/>
  <c r="AG715"/>
  <c r="AG1107"/>
  <c r="AG970"/>
  <c r="AG416"/>
  <c r="AG1223"/>
  <c r="AG437"/>
  <c r="AG586"/>
  <c r="AG1262"/>
  <c r="AG387"/>
  <c r="AG329"/>
  <c r="AG43"/>
  <c r="AG48"/>
  <c r="AG339"/>
  <c r="AG250"/>
  <c r="AG351"/>
  <c r="AG1036"/>
  <c r="AG142"/>
  <c r="AG937"/>
  <c r="AG1251"/>
  <c r="AG196"/>
  <c r="AG421"/>
  <c r="AG136"/>
  <c r="AG1081"/>
  <c r="AG792"/>
  <c r="AG585"/>
  <c r="AG455"/>
  <c r="AG711"/>
  <c r="AG713"/>
  <c r="AG394"/>
  <c r="AG729"/>
  <c r="AG808"/>
  <c r="AG750"/>
  <c r="AG1099"/>
  <c r="AG727"/>
  <c r="AG100"/>
  <c r="AG977"/>
  <c r="AG731"/>
  <c r="AG1033"/>
  <c r="AG963"/>
  <c r="AG114"/>
  <c r="AG772"/>
  <c r="AG86"/>
  <c r="AG443"/>
  <c r="AG942"/>
  <c r="AG1207"/>
  <c r="AG639"/>
  <c r="AG319"/>
  <c r="AG1074"/>
  <c r="AG736"/>
  <c r="AG621"/>
  <c r="AG476"/>
  <c r="AG375"/>
  <c r="AG1031"/>
  <c r="AG883"/>
  <c r="AG915"/>
  <c r="AG507"/>
  <c r="AG496"/>
  <c r="AG58"/>
  <c r="AG159"/>
  <c r="AG1231"/>
  <c r="AG1117"/>
  <c r="AG412"/>
  <c r="AG747"/>
  <c r="AG260"/>
  <c r="AG873"/>
  <c r="AG976"/>
  <c r="AG624"/>
  <c r="AG1079"/>
  <c r="AG798"/>
  <c r="AG741"/>
  <c r="AG372"/>
  <c r="AG405"/>
  <c r="AG97"/>
  <c r="AG219"/>
  <c r="AG216"/>
  <c r="AG551"/>
  <c r="AG1182"/>
  <c r="AG973"/>
  <c r="AG570"/>
  <c r="AG637"/>
  <c r="AG445"/>
  <c r="AG1111"/>
  <c r="AG986"/>
  <c r="AG694"/>
  <c r="AG1157"/>
  <c r="AG308"/>
  <c r="AG989"/>
  <c r="AG786"/>
  <c r="AG577"/>
  <c r="AG396"/>
  <c r="AG434"/>
  <c r="AG431"/>
  <c r="AG562"/>
  <c r="AG1183"/>
  <c r="AG744"/>
  <c r="AG150"/>
  <c r="AG662"/>
  <c r="AG1050"/>
  <c r="AG212"/>
  <c r="AG126"/>
  <c r="AG669"/>
  <c r="AG41"/>
  <c r="AG57"/>
  <c r="AG353"/>
  <c r="AG1007"/>
  <c r="AG355"/>
  <c r="AG283"/>
  <c r="AG1173"/>
  <c r="AG1230"/>
  <c r="AG1104"/>
  <c r="AG202"/>
  <c r="AG1121"/>
  <c r="AG1070"/>
  <c r="AG1151"/>
  <c r="AG791"/>
  <c r="AG952"/>
  <c r="AG680"/>
  <c r="AG181"/>
  <c r="AG169"/>
  <c r="AG108"/>
  <c r="AG191"/>
  <c r="AG768"/>
  <c r="AG235"/>
  <c r="AG278"/>
  <c r="AG661"/>
  <c r="AG878"/>
  <c r="AG602"/>
  <c r="AG113"/>
  <c r="AG311"/>
  <c r="AG733"/>
  <c r="AG834"/>
  <c r="AG251"/>
  <c r="AG134"/>
  <c r="AG643"/>
  <c r="AG1014"/>
  <c r="AG1169"/>
  <c r="AG307"/>
  <c r="AG565"/>
  <c r="AG1242"/>
  <c r="AG498"/>
  <c r="AG644"/>
  <c r="AG969"/>
  <c r="AG430"/>
  <c r="AG978"/>
  <c r="AG631"/>
  <c r="AG799"/>
  <c r="AG760"/>
  <c r="AG157"/>
  <c r="AG173"/>
  <c r="AG922"/>
  <c r="AG956"/>
  <c r="AG1075"/>
  <c r="AG1127"/>
  <c r="AG486"/>
  <c r="AG866"/>
  <c r="AG116"/>
  <c r="AG255"/>
  <c r="AG293"/>
  <c r="AG65"/>
  <c r="AG1260"/>
  <c r="AG160"/>
  <c r="AG947"/>
  <c r="AG111"/>
  <c r="AG541"/>
  <c r="AG658"/>
  <c r="AG651"/>
  <c r="AG384"/>
  <c r="AG1028"/>
  <c r="AG151"/>
  <c r="AG980"/>
  <c r="AG66"/>
  <c r="AG167"/>
  <c r="AG184"/>
  <c r="AG449"/>
  <c r="AG536"/>
  <c r="AG783"/>
  <c r="AG797"/>
  <c r="AG201"/>
  <c r="AG935"/>
  <c r="AG460"/>
  <c r="AG893"/>
  <c r="AG877"/>
  <c r="AG310"/>
  <c r="AG1112"/>
  <c r="AG236"/>
  <c r="AG1177"/>
  <c r="AG139"/>
  <c r="AG839"/>
  <c r="AG466"/>
  <c r="AG73"/>
  <c r="AA7"/>
  <c r="AA6"/>
  <c r="AA3"/>
  <c r="AA5"/>
  <c r="AA4"/>
  <c r="AA8"/>
  <c r="AC8"/>
  <c r="AC7"/>
  <c r="AB4"/>
  <c r="AB3"/>
  <c r="AC4"/>
  <c r="AB7"/>
  <c r="AB6"/>
  <c r="AB8"/>
  <c r="AC6"/>
  <c r="AC5"/>
  <c r="AC31"/>
  <c r="AH32"/>
  <c r="AI32"/>
  <c r="AG32"/>
  <c r="AN251" l="1"/>
  <c r="AP251" s="1"/>
  <c r="AS251" s="1"/>
  <c r="AN637"/>
  <c r="AP637" s="1"/>
  <c r="AS637" s="1"/>
  <c r="AN551"/>
  <c r="AP551" s="1"/>
  <c r="AS551" s="1"/>
  <c r="AN554"/>
  <c r="AP554" s="1"/>
  <c r="AS554" s="1"/>
  <c r="AN549"/>
  <c r="AP549" s="1"/>
  <c r="AS549" s="1"/>
  <c r="AN1197"/>
  <c r="AP1197" s="1"/>
  <c r="AS1197" s="1"/>
  <c r="AO1003"/>
  <c r="AR1003" s="1"/>
  <c r="AN1014"/>
  <c r="AP1014" s="1"/>
  <c r="AS1014" s="1"/>
  <c r="AN624"/>
  <c r="AP624" s="1"/>
  <c r="AS624" s="1"/>
  <c r="AO81"/>
  <c r="AR81" s="1"/>
  <c r="AN918"/>
  <c r="AP918" s="1"/>
  <c r="AS918" s="1"/>
  <c r="AO59"/>
  <c r="AR59" s="1"/>
  <c r="AN1208"/>
  <c r="AP1208" s="1"/>
  <c r="AS1208" s="1"/>
  <c r="AN906"/>
  <c r="AP906" s="1"/>
  <c r="AS906" s="1"/>
  <c r="AN678"/>
  <c r="AP678" s="1"/>
  <c r="AS678" s="1"/>
  <c r="AN723"/>
  <c r="AP723" s="1"/>
  <c r="AS723" s="1"/>
  <c r="AN167"/>
  <c r="AP167" s="1"/>
  <c r="AS167" s="1"/>
  <c r="AN942"/>
  <c r="AP942" s="1"/>
  <c r="AS942" s="1"/>
  <c r="AN648"/>
  <c r="AP648" s="1"/>
  <c r="AS648" s="1"/>
  <c r="AN827"/>
  <c r="AP827" s="1"/>
  <c r="AS827" s="1"/>
  <c r="AO85"/>
  <c r="AR85" s="1"/>
  <c r="AO101"/>
  <c r="AR101" s="1"/>
  <c r="AN1191"/>
  <c r="AP1191" s="1"/>
  <c r="AS1191" s="1"/>
  <c r="AN1135"/>
  <c r="AP1135" s="1"/>
  <c r="AS1135" s="1"/>
  <c r="AN284"/>
  <c r="AP284" s="1"/>
  <c r="AS284" s="1"/>
  <c r="AN393"/>
  <c r="AP393" s="1"/>
  <c r="AS393" s="1"/>
  <c r="AN962"/>
  <c r="AP962" s="1"/>
  <c r="AS962" s="1"/>
  <c r="AN383"/>
  <c r="AP383" s="1"/>
  <c r="AS383" s="1"/>
  <c r="AN1059"/>
  <c r="AP1059" s="1"/>
  <c r="AS1059" s="1"/>
  <c r="AN988"/>
  <c r="AP988" s="1"/>
  <c r="AS988" s="1"/>
  <c r="AO71"/>
  <c r="AR71" s="1"/>
  <c r="AN777"/>
  <c r="AP777" s="1"/>
  <c r="AS777" s="1"/>
  <c r="AN359"/>
  <c r="AP359" s="1"/>
  <c r="AS359" s="1"/>
  <c r="AN279"/>
  <c r="AP279" s="1"/>
  <c r="AS279" s="1"/>
  <c r="AN646"/>
  <c r="AP646" s="1"/>
  <c r="AS646" s="1"/>
  <c r="AN1179"/>
  <c r="AP1179" s="1"/>
  <c r="AS1179" s="1"/>
  <c r="AN787"/>
  <c r="AP787" s="1"/>
  <c r="AS787" s="1"/>
  <c r="AN627"/>
  <c r="AP627" s="1"/>
  <c r="AS627" s="1"/>
  <c r="AN117"/>
  <c r="AP117" s="1"/>
  <c r="AS117" s="1"/>
  <c r="AO302"/>
  <c r="AR302" s="1"/>
  <c r="AO377"/>
  <c r="AR377" s="1"/>
  <c r="AO1212"/>
  <c r="AR1212" s="1"/>
  <c r="AN1112"/>
  <c r="AP1112" s="1"/>
  <c r="AS1112" s="1"/>
  <c r="AN541"/>
  <c r="AP541" s="1"/>
  <c r="AS541" s="1"/>
  <c r="AN1121"/>
  <c r="AP1121" s="1"/>
  <c r="AS1121" s="1"/>
  <c r="AN375"/>
  <c r="AP375" s="1"/>
  <c r="AS375" s="1"/>
  <c r="AN196"/>
  <c r="AP196" s="1"/>
  <c r="AS196" s="1"/>
  <c r="AO48"/>
  <c r="AR48" s="1"/>
  <c r="AN141"/>
  <c r="AP141" s="1"/>
  <c r="AS141" s="1"/>
  <c r="AN669"/>
  <c r="AP669" s="1"/>
  <c r="AS669" s="1"/>
  <c r="AO97"/>
  <c r="AR97" s="1"/>
  <c r="AN1122"/>
  <c r="AP1122" s="1"/>
  <c r="AS1122" s="1"/>
  <c r="AO51"/>
  <c r="AR51" s="1"/>
  <c r="AO1194"/>
  <c r="AR1194" s="1"/>
  <c r="AO322"/>
  <c r="AR322" s="1"/>
  <c r="AO617"/>
  <c r="AR617" s="1"/>
  <c r="AO277"/>
  <c r="AR277" s="1"/>
  <c r="AN1394"/>
  <c r="AP1394" s="1"/>
  <c r="AS1394" s="1"/>
  <c r="AN1075"/>
  <c r="AP1075" s="1"/>
  <c r="AS1075" s="1"/>
  <c r="AO41"/>
  <c r="AR41" s="1"/>
  <c r="AN396"/>
  <c r="AP396" s="1"/>
  <c r="AS396" s="1"/>
  <c r="AN729"/>
  <c r="AP729" s="1"/>
  <c r="AS729" s="1"/>
  <c r="AN575"/>
  <c r="AP575" s="1"/>
  <c r="AS575" s="1"/>
  <c r="AN1048"/>
  <c r="AP1048" s="1"/>
  <c r="AS1048" s="1"/>
  <c r="AN274"/>
  <c r="AP274" s="1"/>
  <c r="AS274" s="1"/>
  <c r="AN304"/>
  <c r="AP304" s="1"/>
  <c r="AS304" s="1"/>
  <c r="AO84"/>
  <c r="AR84" s="1"/>
  <c r="AN593"/>
  <c r="AP593" s="1"/>
  <c r="AS593" s="1"/>
  <c r="AN719"/>
  <c r="AP719" s="1"/>
  <c r="AS719" s="1"/>
  <c r="AO949"/>
  <c r="AR949" s="1"/>
  <c r="AO1171"/>
  <c r="AR1171" s="1"/>
  <c r="AO845"/>
  <c r="AR845" s="1"/>
  <c r="AO819"/>
  <c r="AR819" s="1"/>
  <c r="AO1010"/>
  <c r="AR1010" s="1"/>
  <c r="AN676"/>
  <c r="AP676" s="1"/>
  <c r="AS676" s="1"/>
  <c r="AN311"/>
  <c r="AP311" s="1"/>
  <c r="AS311" s="1"/>
  <c r="AO95"/>
  <c r="AR95" s="1"/>
  <c r="AN1176"/>
  <c r="AP1176" s="1"/>
  <c r="AS1176" s="1"/>
  <c r="AO47"/>
  <c r="AR47" s="1"/>
  <c r="AN368"/>
  <c r="AP368" s="1"/>
  <c r="AS368" s="1"/>
  <c r="AN1041"/>
  <c r="AP1041" s="1"/>
  <c r="AS1041" s="1"/>
  <c r="AN564"/>
  <c r="AP564" s="1"/>
  <c r="AS564" s="1"/>
  <c r="AN1094"/>
  <c r="AP1094" s="1"/>
  <c r="AS1094" s="1"/>
  <c r="AN964"/>
  <c r="AP964" s="1"/>
  <c r="AS964" s="1"/>
  <c r="AN801"/>
  <c r="AP801" s="1"/>
  <c r="AS801" s="1"/>
  <c r="AN924"/>
  <c r="AP924" s="1"/>
  <c r="AS924" s="1"/>
  <c r="AN280"/>
  <c r="AP280" s="1"/>
  <c r="AS280" s="1"/>
  <c r="AN305"/>
  <c r="AP305" s="1"/>
  <c r="AS305" s="1"/>
  <c r="AN140"/>
  <c r="AP140" s="1"/>
  <c r="AS140" s="1"/>
  <c r="AN898"/>
  <c r="AP898" s="1"/>
  <c r="AS898" s="1"/>
  <c r="AO54"/>
  <c r="AR54" s="1"/>
  <c r="AN1270"/>
  <c r="AP1270" s="1"/>
  <c r="AS1270" s="1"/>
  <c r="AN702"/>
  <c r="AP702" s="1"/>
  <c r="AS702" s="1"/>
  <c r="AN1178"/>
  <c r="AP1178" s="1"/>
  <c r="AS1178" s="1"/>
  <c r="AN134"/>
  <c r="AP134" s="1"/>
  <c r="AS134" s="1"/>
  <c r="AN680"/>
  <c r="AP680" s="1"/>
  <c r="AS680" s="1"/>
  <c r="AN1230"/>
  <c r="AP1230" s="1"/>
  <c r="AS1230" s="1"/>
  <c r="AN1157"/>
  <c r="AP1157" s="1"/>
  <c r="AS1157" s="1"/>
  <c r="AN1117"/>
  <c r="AP1117" s="1"/>
  <c r="AS1117" s="1"/>
  <c r="AN1099"/>
  <c r="AP1099" s="1"/>
  <c r="AS1099" s="1"/>
  <c r="AN585"/>
  <c r="AP585" s="1"/>
  <c r="AS585" s="1"/>
  <c r="AN668"/>
  <c r="AP668" s="1"/>
  <c r="AS668" s="1"/>
  <c r="AN954"/>
  <c r="AP954" s="1"/>
  <c r="AS954" s="1"/>
  <c r="AN256"/>
  <c r="AP256" s="1"/>
  <c r="AS256" s="1"/>
  <c r="AN990"/>
  <c r="AP990" s="1"/>
  <c r="AS990" s="1"/>
  <c r="AN598"/>
  <c r="AP598" s="1"/>
  <c r="AS598" s="1"/>
  <c r="AN495"/>
  <c r="AP495" s="1"/>
  <c r="AS495" s="1"/>
  <c r="AN936"/>
  <c r="AP936" s="1"/>
  <c r="AS936" s="1"/>
  <c r="AN155"/>
  <c r="AP155" s="1"/>
  <c r="AS155" s="1"/>
  <c r="AN1114"/>
  <c r="AP1114" s="1"/>
  <c r="AS1114" s="1"/>
  <c r="AN1426"/>
  <c r="AP1426" s="1"/>
  <c r="AS1426" s="1"/>
  <c r="AO1410"/>
  <c r="AR1410" s="1"/>
  <c r="AN1343"/>
  <c r="AP1343" s="1"/>
  <c r="AS1343" s="1"/>
  <c r="AO1343"/>
  <c r="AR1343" s="1"/>
  <c r="AN1311"/>
  <c r="AP1311" s="1"/>
  <c r="AS1311" s="1"/>
  <c r="AO1311"/>
  <c r="AR1311" s="1"/>
  <c r="AN1331"/>
  <c r="AP1331" s="1"/>
  <c r="AS1331" s="1"/>
  <c r="AO1331"/>
  <c r="AR1331" s="1"/>
  <c r="AN1404"/>
  <c r="AP1404" s="1"/>
  <c r="AS1404" s="1"/>
  <c r="AO1404"/>
  <c r="AR1404" s="1"/>
  <c r="AN1359"/>
  <c r="AP1359" s="1"/>
  <c r="AS1359" s="1"/>
  <c r="AO1359"/>
  <c r="AR1359" s="1"/>
  <c r="AO1298"/>
  <c r="AR1298" s="1"/>
  <c r="AN1298"/>
  <c r="AP1298" s="1"/>
  <c r="AS1298" s="1"/>
  <c r="AN1366"/>
  <c r="AP1366" s="1"/>
  <c r="AS1366" s="1"/>
  <c r="AO1366"/>
  <c r="AR1366" s="1"/>
  <c r="AN1330"/>
  <c r="AP1330" s="1"/>
  <c r="AS1330" s="1"/>
  <c r="AO1330"/>
  <c r="AR1330" s="1"/>
  <c r="AO1308"/>
  <c r="AR1308" s="1"/>
  <c r="AN1308"/>
  <c r="AP1308" s="1"/>
  <c r="AS1308" s="1"/>
  <c r="AN1422"/>
  <c r="AP1422" s="1"/>
  <c r="AS1422" s="1"/>
  <c r="AO1422"/>
  <c r="AR1422" s="1"/>
  <c r="AN1375"/>
  <c r="AP1375" s="1"/>
  <c r="AS1375" s="1"/>
  <c r="AO1375"/>
  <c r="AR1375" s="1"/>
  <c r="AO1392"/>
  <c r="AR1392" s="1"/>
  <c r="AN1392"/>
  <c r="AP1392" s="1"/>
  <c r="AS1392" s="1"/>
  <c r="AO1453"/>
  <c r="AR1453" s="1"/>
  <c r="AN1453"/>
  <c r="AP1453" s="1"/>
  <c r="AS1453" s="1"/>
  <c r="AO1472"/>
  <c r="AR1472" s="1"/>
  <c r="AN1472"/>
  <c r="AP1472" s="1"/>
  <c r="AS1472" s="1"/>
  <c r="AO1292"/>
  <c r="AR1292" s="1"/>
  <c r="AN1292"/>
  <c r="AP1292" s="1"/>
  <c r="AS1292" s="1"/>
  <c r="AN1431"/>
  <c r="AP1431" s="1"/>
  <c r="AS1431" s="1"/>
  <c r="AO1431"/>
  <c r="AR1431" s="1"/>
  <c r="AN1384"/>
  <c r="AP1384" s="1"/>
  <c r="AS1384" s="1"/>
  <c r="AO1384"/>
  <c r="AR1384" s="1"/>
  <c r="AO1295"/>
  <c r="AR1295" s="1"/>
  <c r="AN1295"/>
  <c r="AP1295" s="1"/>
  <c r="AS1295" s="1"/>
  <c r="AN1344"/>
  <c r="AP1344" s="1"/>
  <c r="AS1344" s="1"/>
  <c r="AO1344"/>
  <c r="AR1344" s="1"/>
  <c r="AN1407"/>
  <c r="AP1407" s="1"/>
  <c r="AS1407" s="1"/>
  <c r="AO1407"/>
  <c r="AR1407" s="1"/>
  <c r="AN1415"/>
  <c r="AP1415" s="1"/>
  <c r="AS1415" s="1"/>
  <c r="AO1415"/>
  <c r="AR1415" s="1"/>
  <c r="AN1413"/>
  <c r="AP1413" s="1"/>
  <c r="AS1413" s="1"/>
  <c r="AO1413"/>
  <c r="AR1413" s="1"/>
  <c r="AN1387"/>
  <c r="AP1387" s="1"/>
  <c r="AS1387" s="1"/>
  <c r="AO1387"/>
  <c r="AR1387" s="1"/>
  <c r="AN1425"/>
  <c r="AP1425" s="1"/>
  <c r="AS1425" s="1"/>
  <c r="AO1425"/>
  <c r="AR1425" s="1"/>
  <c r="AN1327"/>
  <c r="AP1327" s="1"/>
  <c r="AS1327" s="1"/>
  <c r="AO1327"/>
  <c r="AR1327" s="1"/>
  <c r="AO1430"/>
  <c r="AR1430" s="1"/>
  <c r="AN1430"/>
  <c r="AP1430" s="1"/>
  <c r="AS1430" s="1"/>
  <c r="AO1301"/>
  <c r="AR1301" s="1"/>
  <c r="AN1301"/>
  <c r="AP1301" s="1"/>
  <c r="AS1301" s="1"/>
  <c r="AO1290"/>
  <c r="AR1290" s="1"/>
  <c r="AN1290"/>
  <c r="AP1290" s="1"/>
  <c r="AS1290" s="1"/>
  <c r="AN1360"/>
  <c r="AP1360" s="1"/>
  <c r="AS1360" s="1"/>
  <c r="AO1360"/>
  <c r="AR1360" s="1"/>
  <c r="AN1385"/>
  <c r="AP1385" s="1"/>
  <c r="AS1385" s="1"/>
  <c r="AO1385"/>
  <c r="AR1385" s="1"/>
  <c r="AN1402"/>
  <c r="AP1402" s="1"/>
  <c r="AS1402" s="1"/>
  <c r="AO1402"/>
  <c r="AR1402" s="1"/>
  <c r="AN1325"/>
  <c r="AP1325" s="1"/>
  <c r="AS1325" s="1"/>
  <c r="AO1325"/>
  <c r="AR1325" s="1"/>
  <c r="AN1336"/>
  <c r="AP1336" s="1"/>
  <c r="AS1336" s="1"/>
  <c r="AO1336"/>
  <c r="AR1336" s="1"/>
  <c r="AO1464"/>
  <c r="AR1464" s="1"/>
  <c r="AN1464"/>
  <c r="AP1464" s="1"/>
  <c r="AS1464" s="1"/>
  <c r="AN1329"/>
  <c r="AP1329" s="1"/>
  <c r="AS1329" s="1"/>
  <c r="AO1329"/>
  <c r="AR1329" s="1"/>
  <c r="AO1434"/>
  <c r="AR1434" s="1"/>
  <c r="AN1434"/>
  <c r="AP1434" s="1"/>
  <c r="AS1434" s="1"/>
  <c r="AN1412"/>
  <c r="AP1412" s="1"/>
  <c r="AS1412" s="1"/>
  <c r="AO1412"/>
  <c r="AR1412" s="1"/>
  <c r="AN1339"/>
  <c r="AP1339" s="1"/>
  <c r="AS1339" s="1"/>
  <c r="AO1339"/>
  <c r="AR1339" s="1"/>
  <c r="AO1303"/>
  <c r="AR1303" s="1"/>
  <c r="AN1303"/>
  <c r="AP1303" s="1"/>
  <c r="AS1303" s="1"/>
  <c r="AO1313"/>
  <c r="AR1313" s="1"/>
  <c r="AN1313"/>
  <c r="AP1313" s="1"/>
  <c r="AS1313" s="1"/>
  <c r="AN1361"/>
  <c r="AP1361" s="1"/>
  <c r="AS1361" s="1"/>
  <c r="AO1361"/>
  <c r="AR1361" s="1"/>
  <c r="AO1302"/>
  <c r="AR1302" s="1"/>
  <c r="AN1302"/>
  <c r="AP1302" s="1"/>
  <c r="AS1302" s="1"/>
  <c r="AN1370"/>
  <c r="AP1370" s="1"/>
  <c r="AS1370" s="1"/>
  <c r="AO1370"/>
  <c r="AR1370" s="1"/>
  <c r="AN1338"/>
  <c r="AP1338" s="1"/>
  <c r="AS1338" s="1"/>
  <c r="AO1338"/>
  <c r="AR1338" s="1"/>
  <c r="AN1403"/>
  <c r="AP1403" s="1"/>
  <c r="AS1403" s="1"/>
  <c r="AO1403"/>
  <c r="AR1403" s="1"/>
  <c r="AN1324"/>
  <c r="AP1324" s="1"/>
  <c r="AS1324" s="1"/>
  <c r="AO1324"/>
  <c r="AR1324" s="1"/>
  <c r="AN1363"/>
  <c r="AP1363" s="1"/>
  <c r="AS1363" s="1"/>
  <c r="AO1363"/>
  <c r="AR1363" s="1"/>
  <c r="AO1442"/>
  <c r="AR1442" s="1"/>
  <c r="AN1442"/>
  <c r="AP1442" s="1"/>
  <c r="AS1442" s="1"/>
  <c r="AN1310"/>
  <c r="AP1310" s="1"/>
  <c r="AS1310" s="1"/>
  <c r="AO1310"/>
  <c r="AR1310" s="1"/>
  <c r="AN1420"/>
  <c r="AP1420" s="1"/>
  <c r="AS1420" s="1"/>
  <c r="AO1420"/>
  <c r="AR1420" s="1"/>
  <c r="AO1274"/>
  <c r="AR1274" s="1"/>
  <c r="AN1274"/>
  <c r="AP1274" s="1"/>
  <c r="AS1274" s="1"/>
  <c r="AO1293"/>
  <c r="AR1293" s="1"/>
  <c r="AN1293"/>
  <c r="AP1293" s="1"/>
  <c r="AS1293" s="1"/>
  <c r="AO1282"/>
  <c r="AR1282" s="1"/>
  <c r="AN1282"/>
  <c r="AP1282" s="1"/>
  <c r="AS1282" s="1"/>
  <c r="AN1348"/>
  <c r="AP1348" s="1"/>
  <c r="AS1348" s="1"/>
  <c r="AO1348"/>
  <c r="AR1348" s="1"/>
  <c r="AN1377"/>
  <c r="AP1377" s="1"/>
  <c r="AS1377" s="1"/>
  <c r="AO1377"/>
  <c r="AR1377" s="1"/>
  <c r="AO1416"/>
  <c r="AR1416" s="1"/>
  <c r="AN1416"/>
  <c r="AP1416" s="1"/>
  <c r="AS1416" s="1"/>
  <c r="AO1275"/>
  <c r="AR1275" s="1"/>
  <c r="AN1275"/>
  <c r="AP1275" s="1"/>
  <c r="AS1275" s="1"/>
  <c r="AN1349"/>
  <c r="AP1349" s="1"/>
  <c r="AS1349" s="1"/>
  <c r="AO1349"/>
  <c r="AR1349" s="1"/>
  <c r="AN1401"/>
  <c r="AP1401" s="1"/>
  <c r="AS1401" s="1"/>
  <c r="AO1401"/>
  <c r="AR1401" s="1"/>
  <c r="AN1452"/>
  <c r="AP1452" s="1"/>
  <c r="AS1452" s="1"/>
  <c r="AO1452"/>
  <c r="AR1452" s="1"/>
  <c r="AN1351"/>
  <c r="AP1351" s="1"/>
  <c r="AS1351" s="1"/>
  <c r="AO1351"/>
  <c r="AR1351" s="1"/>
  <c r="AN1428"/>
  <c r="AP1428" s="1"/>
  <c r="AS1428" s="1"/>
  <c r="AO1428"/>
  <c r="AR1428" s="1"/>
  <c r="AO1476"/>
  <c r="AR1476" s="1"/>
  <c r="AN1476"/>
  <c r="AP1476" s="1"/>
  <c r="AS1476" s="1"/>
  <c r="AO1437"/>
  <c r="AR1437" s="1"/>
  <c r="AN1437"/>
  <c r="AP1437" s="1"/>
  <c r="AS1437" s="1"/>
  <c r="AO1312"/>
  <c r="AR1312" s="1"/>
  <c r="AN1312"/>
  <c r="AP1312" s="1"/>
  <c r="AS1312" s="1"/>
  <c r="AN1368"/>
  <c r="AP1368" s="1"/>
  <c r="AS1368" s="1"/>
  <c r="AO1368"/>
  <c r="AR1368" s="1"/>
  <c r="AO1279"/>
  <c r="AR1279" s="1"/>
  <c r="AN1279"/>
  <c r="AP1279" s="1"/>
  <c r="AS1279" s="1"/>
  <c r="AN1378"/>
  <c r="AP1378" s="1"/>
  <c r="AS1378" s="1"/>
  <c r="AO1378"/>
  <c r="AR1378" s="1"/>
  <c r="AN1443"/>
  <c r="AP1443" s="1"/>
  <c r="AS1443" s="1"/>
  <c r="AO1443"/>
  <c r="AR1443" s="1"/>
  <c r="AN1433"/>
  <c r="AP1433" s="1"/>
  <c r="AS1433" s="1"/>
  <c r="AO1433"/>
  <c r="AR1433" s="1"/>
  <c r="AN1356"/>
  <c r="AP1356" s="1"/>
  <c r="AS1356" s="1"/>
  <c r="AO1356"/>
  <c r="AR1356" s="1"/>
  <c r="AN1371"/>
  <c r="AP1371" s="1"/>
  <c r="AS1371" s="1"/>
  <c r="AO1371"/>
  <c r="AR1371" s="1"/>
  <c r="AN1393"/>
  <c r="AP1393" s="1"/>
  <c r="AS1393" s="1"/>
  <c r="AO1393"/>
  <c r="AR1393" s="1"/>
  <c r="AO1455"/>
  <c r="AR1455" s="1"/>
  <c r="AN1455"/>
  <c r="AP1455" s="1"/>
  <c r="AS1455" s="1"/>
  <c r="AN1470"/>
  <c r="AP1470" s="1"/>
  <c r="AS1470" s="1"/>
  <c r="AO1470"/>
  <c r="AR1470" s="1"/>
  <c r="AN1353"/>
  <c r="AP1353" s="1"/>
  <c r="AS1353" s="1"/>
  <c r="AO1353"/>
  <c r="AR1353" s="1"/>
  <c r="AO1285"/>
  <c r="AR1285" s="1"/>
  <c r="AN1285"/>
  <c r="AP1285" s="1"/>
  <c r="AS1285" s="1"/>
  <c r="AN1418"/>
  <c r="AP1418" s="1"/>
  <c r="AS1418" s="1"/>
  <c r="AO1418"/>
  <c r="AR1418" s="1"/>
  <c r="AN1316"/>
  <c r="AP1316" s="1"/>
  <c r="AS1316" s="1"/>
  <c r="AO1316"/>
  <c r="AR1316" s="1"/>
  <c r="AN1369"/>
  <c r="AP1369" s="1"/>
  <c r="AS1369" s="1"/>
  <c r="AO1369"/>
  <c r="AR1369" s="1"/>
  <c r="AO1438"/>
  <c r="AR1438" s="1"/>
  <c r="AN1438"/>
  <c r="AP1438" s="1"/>
  <c r="AS1438" s="1"/>
  <c r="AO1461"/>
  <c r="AR1461" s="1"/>
  <c r="AN1461"/>
  <c r="AP1461" s="1"/>
  <c r="AS1461" s="1"/>
  <c r="AN1334"/>
  <c r="AP1334" s="1"/>
  <c r="AS1334" s="1"/>
  <c r="AO1334"/>
  <c r="AR1334" s="1"/>
  <c r="AO1424"/>
  <c r="AR1424" s="1"/>
  <c r="AN1424"/>
  <c r="AP1424" s="1"/>
  <c r="AS1424" s="1"/>
  <c r="AN1441"/>
  <c r="AP1441" s="1"/>
  <c r="AS1441" s="1"/>
  <c r="AO1441"/>
  <c r="AR1441" s="1"/>
  <c r="AN1444"/>
  <c r="AP1444" s="1"/>
  <c r="AS1444" s="1"/>
  <c r="AO1444"/>
  <c r="AR1444" s="1"/>
  <c r="AO1276"/>
  <c r="AR1276" s="1"/>
  <c r="AN1276"/>
  <c r="AP1276" s="1"/>
  <c r="AS1276" s="1"/>
  <c r="AO1297"/>
  <c r="AR1297" s="1"/>
  <c r="AN1297"/>
  <c r="AP1297" s="1"/>
  <c r="AS1297" s="1"/>
  <c r="AO1286"/>
  <c r="AR1286" s="1"/>
  <c r="AN1286"/>
  <c r="AP1286" s="1"/>
  <c r="AS1286" s="1"/>
  <c r="AN1358"/>
  <c r="AP1358" s="1"/>
  <c r="AS1358" s="1"/>
  <c r="AO1358"/>
  <c r="AR1358" s="1"/>
  <c r="AN1381"/>
  <c r="AP1381" s="1"/>
  <c r="AS1381" s="1"/>
  <c r="AO1381"/>
  <c r="AR1381" s="1"/>
  <c r="AN1321"/>
  <c r="AP1321" s="1"/>
  <c r="AS1321" s="1"/>
  <c r="AO1321"/>
  <c r="AR1321" s="1"/>
  <c r="AO1277"/>
  <c r="AR1277" s="1"/>
  <c r="AN1277"/>
  <c r="AP1277" s="1"/>
  <c r="AS1277" s="1"/>
  <c r="AN1320"/>
  <c r="AP1320" s="1"/>
  <c r="AS1320" s="1"/>
  <c r="AO1320"/>
  <c r="AR1320" s="1"/>
  <c r="AO1460"/>
  <c r="AR1460" s="1"/>
  <c r="AN1460"/>
  <c r="AP1460" s="1"/>
  <c r="AS1460" s="1"/>
  <c r="AO1463"/>
  <c r="AR1463" s="1"/>
  <c r="AN1463"/>
  <c r="AP1463" s="1"/>
  <c r="AS1463" s="1"/>
  <c r="AO1456"/>
  <c r="AR1456" s="1"/>
  <c r="AN1456"/>
  <c r="AP1456" s="1"/>
  <c r="AS1456" s="1"/>
  <c r="AN1318"/>
  <c r="AP1318" s="1"/>
  <c r="AS1318" s="1"/>
  <c r="AO1318"/>
  <c r="AR1318" s="1"/>
  <c r="AO1426"/>
  <c r="AR1426" s="1"/>
  <c r="AO1307"/>
  <c r="AR1307" s="1"/>
  <c r="AN1307"/>
  <c r="AP1307" s="1"/>
  <c r="AS1307" s="1"/>
  <c r="AO1454"/>
  <c r="AR1454" s="1"/>
  <c r="AN1454"/>
  <c r="AP1454" s="1"/>
  <c r="AS1454" s="1"/>
  <c r="AO1296"/>
  <c r="AR1296" s="1"/>
  <c r="AN1296"/>
  <c r="AP1296" s="1"/>
  <c r="AS1296" s="1"/>
  <c r="AN1406"/>
  <c r="AP1406" s="1"/>
  <c r="AS1406" s="1"/>
  <c r="AO1406"/>
  <c r="AR1406" s="1"/>
  <c r="AO1400"/>
  <c r="AR1400" s="1"/>
  <c r="AN1400"/>
  <c r="AP1400" s="1"/>
  <c r="AS1400" s="1"/>
  <c r="AO1299"/>
  <c r="AR1299" s="1"/>
  <c r="AN1299"/>
  <c r="AP1299" s="1"/>
  <c r="AS1299" s="1"/>
  <c r="AN1350"/>
  <c r="AP1350" s="1"/>
  <c r="AS1350" s="1"/>
  <c r="AO1350"/>
  <c r="AR1350" s="1"/>
  <c r="AN1423"/>
  <c r="AP1423" s="1"/>
  <c r="AS1423" s="1"/>
  <c r="AO1423"/>
  <c r="AR1423" s="1"/>
  <c r="AN1345"/>
  <c r="AP1345" s="1"/>
  <c r="AS1345" s="1"/>
  <c r="AO1345"/>
  <c r="AR1345" s="1"/>
  <c r="AN1421"/>
  <c r="AP1421" s="1"/>
  <c r="AS1421" s="1"/>
  <c r="AO1421"/>
  <c r="AR1421" s="1"/>
  <c r="AN1451"/>
  <c r="AP1451" s="1"/>
  <c r="AS1451" s="1"/>
  <c r="AO1451"/>
  <c r="AR1451" s="1"/>
  <c r="AN1448"/>
  <c r="AP1448" s="1"/>
  <c r="AS1448" s="1"/>
  <c r="AO1448"/>
  <c r="AR1448" s="1"/>
  <c r="AO1323"/>
  <c r="AR1323" s="1"/>
  <c r="AN1323"/>
  <c r="AP1323" s="1"/>
  <c r="AS1323" s="1"/>
  <c r="AN1414"/>
  <c r="AP1414" s="1"/>
  <c r="AS1414" s="1"/>
  <c r="AO1414"/>
  <c r="AR1414" s="1"/>
  <c r="AN1357"/>
  <c r="AP1357" s="1"/>
  <c r="AS1357" s="1"/>
  <c r="AO1357"/>
  <c r="AR1357" s="1"/>
  <c r="AO1294"/>
  <c r="AR1294" s="1"/>
  <c r="AN1294"/>
  <c r="AP1294" s="1"/>
  <c r="AS1294" s="1"/>
  <c r="AN1362"/>
  <c r="AP1362" s="1"/>
  <c r="AS1362" s="1"/>
  <c r="AO1362"/>
  <c r="AR1362" s="1"/>
  <c r="AN1322"/>
  <c r="AP1322" s="1"/>
  <c r="AS1322" s="1"/>
  <c r="AO1322"/>
  <c r="AR1322" s="1"/>
  <c r="AO1305"/>
  <c r="AR1305" s="1"/>
  <c r="AN1305"/>
  <c r="AP1305" s="1"/>
  <c r="AS1305" s="1"/>
  <c r="AN1390"/>
  <c r="AP1390" s="1"/>
  <c r="AS1390" s="1"/>
  <c r="AO1390"/>
  <c r="AR1390" s="1"/>
  <c r="AN1352"/>
  <c r="AP1352" s="1"/>
  <c r="AS1352" s="1"/>
  <c r="AO1352"/>
  <c r="AR1352" s="1"/>
  <c r="AN1435"/>
  <c r="AP1435" s="1"/>
  <c r="AS1435" s="1"/>
  <c r="AO1435"/>
  <c r="AR1435" s="1"/>
  <c r="AO1347"/>
  <c r="AR1347" s="1"/>
  <c r="AN1347"/>
  <c r="AP1347" s="1"/>
  <c r="AS1347" s="1"/>
  <c r="AN1449"/>
  <c r="AP1449" s="1"/>
  <c r="AS1449" s="1"/>
  <c r="AO1449"/>
  <c r="AR1449" s="1"/>
  <c r="AO1459"/>
  <c r="AR1459" s="1"/>
  <c r="AN1459"/>
  <c r="AP1459" s="1"/>
  <c r="AS1459" s="1"/>
  <c r="AO1288"/>
  <c r="AR1288" s="1"/>
  <c r="AN1288"/>
  <c r="AP1288" s="1"/>
  <c r="AS1288" s="1"/>
  <c r="AN1427"/>
  <c r="AP1427" s="1"/>
  <c r="AS1427" s="1"/>
  <c r="AO1427"/>
  <c r="AR1427" s="1"/>
  <c r="AN1380"/>
  <c r="AP1380" s="1"/>
  <c r="AS1380" s="1"/>
  <c r="AO1380"/>
  <c r="AR1380" s="1"/>
  <c r="AO1291"/>
  <c r="AR1291" s="1"/>
  <c r="AN1291"/>
  <c r="AP1291" s="1"/>
  <c r="AS1291" s="1"/>
  <c r="AN1328"/>
  <c r="AP1328" s="1"/>
  <c r="AS1328" s="1"/>
  <c r="AO1328"/>
  <c r="AR1328" s="1"/>
  <c r="AN1391"/>
  <c r="AP1391" s="1"/>
  <c r="AS1391" s="1"/>
  <c r="AO1391"/>
  <c r="AR1391" s="1"/>
  <c r="AN1399"/>
  <c r="AP1399" s="1"/>
  <c r="AS1399" s="1"/>
  <c r="AO1399"/>
  <c r="AR1399" s="1"/>
  <c r="AN1405"/>
  <c r="AP1405" s="1"/>
  <c r="AS1405" s="1"/>
  <c r="AO1405"/>
  <c r="AR1405" s="1"/>
  <c r="AN1383"/>
  <c r="AP1383" s="1"/>
  <c r="AS1383" s="1"/>
  <c r="AO1383"/>
  <c r="AR1383" s="1"/>
  <c r="AN1417"/>
  <c r="AP1417" s="1"/>
  <c r="AS1417" s="1"/>
  <c r="AO1417"/>
  <c r="AR1417" s="1"/>
  <c r="AN1440"/>
  <c r="AP1440" s="1"/>
  <c r="AS1440" s="1"/>
  <c r="AO1440"/>
  <c r="AR1440" s="1"/>
  <c r="AN1475"/>
  <c r="AP1475" s="1"/>
  <c r="AS1475" s="1"/>
  <c r="AO1475"/>
  <c r="AR1475" s="1"/>
  <c r="AN1436"/>
  <c r="AP1436" s="1"/>
  <c r="AS1436" s="1"/>
  <c r="AO1436"/>
  <c r="AR1436" s="1"/>
  <c r="AO1458"/>
  <c r="AR1458" s="1"/>
  <c r="AN1458"/>
  <c r="AP1458" s="1"/>
  <c r="AS1458" s="1"/>
  <c r="AO1467"/>
  <c r="AR1467" s="1"/>
  <c r="AN1467"/>
  <c r="AP1467" s="1"/>
  <c r="AS1467" s="1"/>
  <c r="AO1300"/>
  <c r="AR1300" s="1"/>
  <c r="AN1300"/>
  <c r="AP1300" s="1"/>
  <c r="AS1300" s="1"/>
  <c r="AO1281"/>
  <c r="AR1281" s="1"/>
  <c r="AN1281"/>
  <c r="AP1281" s="1"/>
  <c r="AS1281" s="1"/>
  <c r="AN1337"/>
  <c r="AP1337" s="1"/>
  <c r="AS1337" s="1"/>
  <c r="AO1337"/>
  <c r="AR1337" s="1"/>
  <c r="AN1314"/>
  <c r="AP1314" s="1"/>
  <c r="AS1314" s="1"/>
  <c r="AO1314"/>
  <c r="AR1314" s="1"/>
  <c r="AN1365"/>
  <c r="AP1365" s="1"/>
  <c r="AS1365" s="1"/>
  <c r="AO1365"/>
  <c r="AR1365" s="1"/>
  <c r="AN1429"/>
  <c r="AP1429" s="1"/>
  <c r="AS1429" s="1"/>
  <c r="AO1429"/>
  <c r="AR1429" s="1"/>
  <c r="AN1447"/>
  <c r="AP1447" s="1"/>
  <c r="AS1447" s="1"/>
  <c r="AO1447"/>
  <c r="AR1447" s="1"/>
  <c r="AN1326"/>
  <c r="AP1326" s="1"/>
  <c r="AS1326" s="1"/>
  <c r="AO1326"/>
  <c r="AR1326" s="1"/>
  <c r="AO1408"/>
  <c r="AR1408" s="1"/>
  <c r="AN1408"/>
  <c r="AP1408" s="1"/>
  <c r="AS1408" s="1"/>
  <c r="AO1432"/>
  <c r="AR1432" s="1"/>
  <c r="AN1432"/>
  <c r="AP1432" s="1"/>
  <c r="AS1432" s="1"/>
  <c r="AN1410"/>
  <c r="AP1410" s="1"/>
  <c r="AS1410" s="1"/>
  <c r="AO1394"/>
  <c r="AR1394" s="1"/>
  <c r="AN1335"/>
  <c r="AP1335" s="1"/>
  <c r="AS1335" s="1"/>
  <c r="AO1335"/>
  <c r="AR1335" s="1"/>
  <c r="AN1355"/>
  <c r="AP1355" s="1"/>
  <c r="AS1355" s="1"/>
  <c r="AO1355"/>
  <c r="AR1355" s="1"/>
  <c r="AN1471"/>
  <c r="AP1471" s="1"/>
  <c r="AS1471" s="1"/>
  <c r="AO1471"/>
  <c r="AR1471" s="1"/>
  <c r="AO1396"/>
  <c r="AR1396" s="1"/>
  <c r="AN1396"/>
  <c r="AP1396" s="1"/>
  <c r="AS1396" s="1"/>
  <c r="AO1280"/>
  <c r="AR1280" s="1"/>
  <c r="AN1280"/>
  <c r="AP1280" s="1"/>
  <c r="AS1280" s="1"/>
  <c r="AN1395"/>
  <c r="AP1395" s="1"/>
  <c r="AS1395" s="1"/>
  <c r="AO1395"/>
  <c r="AR1395" s="1"/>
  <c r="AN1372"/>
  <c r="AP1372" s="1"/>
  <c r="AS1372" s="1"/>
  <c r="AO1372"/>
  <c r="AR1372" s="1"/>
  <c r="AO1283"/>
  <c r="AR1283" s="1"/>
  <c r="AN1283"/>
  <c r="AP1283" s="1"/>
  <c r="AS1283" s="1"/>
  <c r="AN1382"/>
  <c r="AP1382" s="1"/>
  <c r="AS1382" s="1"/>
  <c r="AO1382"/>
  <c r="AR1382" s="1"/>
  <c r="AN1341"/>
  <c r="AP1341" s="1"/>
  <c r="AS1341" s="1"/>
  <c r="AO1341"/>
  <c r="AR1341" s="1"/>
  <c r="AN1317"/>
  <c r="AP1317" s="1"/>
  <c r="AS1317" s="1"/>
  <c r="AO1317"/>
  <c r="AR1317" s="1"/>
  <c r="AN1389"/>
  <c r="AP1389" s="1"/>
  <c r="AS1389" s="1"/>
  <c r="AO1389"/>
  <c r="AR1389" s="1"/>
  <c r="AN1354"/>
  <c r="AP1354" s="1"/>
  <c r="AS1354" s="1"/>
  <c r="AO1354"/>
  <c r="AR1354" s="1"/>
  <c r="AN1445"/>
  <c r="AP1445" s="1"/>
  <c r="AS1445" s="1"/>
  <c r="AO1445"/>
  <c r="AR1445" s="1"/>
  <c r="AO1474"/>
  <c r="AR1474" s="1"/>
  <c r="AN1474"/>
  <c r="AP1474" s="1"/>
  <c r="AS1474" s="1"/>
  <c r="AO1469"/>
  <c r="AR1469" s="1"/>
  <c r="AN1469"/>
  <c r="AP1469" s="1"/>
  <c r="AS1469" s="1"/>
  <c r="AO1388"/>
  <c r="AR1388" s="1"/>
  <c r="AN1388"/>
  <c r="AP1388" s="1"/>
  <c r="AS1388" s="1"/>
  <c r="AN1473"/>
  <c r="AP1473" s="1"/>
  <c r="AS1473" s="1"/>
  <c r="AO1473"/>
  <c r="AR1473" s="1"/>
  <c r="AO1462"/>
  <c r="AR1462" s="1"/>
  <c r="AN1462"/>
  <c r="AP1462" s="1"/>
  <c r="AS1462" s="1"/>
  <c r="AO1289"/>
  <c r="AR1289" s="1"/>
  <c r="AN1289"/>
  <c r="AP1289" s="1"/>
  <c r="AS1289" s="1"/>
  <c r="AO1278"/>
  <c r="AR1278" s="1"/>
  <c r="AN1278"/>
  <c r="AP1278" s="1"/>
  <c r="AS1278" s="1"/>
  <c r="AN1332"/>
  <c r="AP1332" s="1"/>
  <c r="AS1332" s="1"/>
  <c r="AO1332"/>
  <c r="AR1332" s="1"/>
  <c r="AN1373"/>
  <c r="AP1373" s="1"/>
  <c r="AS1373" s="1"/>
  <c r="AO1373"/>
  <c r="AR1373" s="1"/>
  <c r="AO1446"/>
  <c r="AR1446" s="1"/>
  <c r="AN1446"/>
  <c r="AP1446" s="1"/>
  <c r="AS1446" s="1"/>
  <c r="AO1273"/>
  <c r="AR1273" s="1"/>
  <c r="AN1273"/>
  <c r="AP1273" s="1"/>
  <c r="AS1273" s="1"/>
  <c r="AO1465"/>
  <c r="AR1465" s="1"/>
  <c r="AN1465"/>
  <c r="AP1465" s="1"/>
  <c r="AS1465" s="1"/>
  <c r="AN1342"/>
  <c r="AP1342" s="1"/>
  <c r="AS1342" s="1"/>
  <c r="AO1342"/>
  <c r="AR1342" s="1"/>
  <c r="AN1439"/>
  <c r="AP1439" s="1"/>
  <c r="AS1439" s="1"/>
  <c r="AO1439"/>
  <c r="AR1439" s="1"/>
  <c r="AN1468"/>
  <c r="AP1468" s="1"/>
  <c r="AS1468" s="1"/>
  <c r="AO1468"/>
  <c r="AR1468" s="1"/>
  <c r="AO1319"/>
  <c r="AR1319" s="1"/>
  <c r="AN1319"/>
  <c r="AP1319" s="1"/>
  <c r="AS1319" s="1"/>
  <c r="AO1466"/>
  <c r="AR1466" s="1"/>
  <c r="AN1466"/>
  <c r="AP1466" s="1"/>
  <c r="AS1466" s="1"/>
  <c r="AO1304"/>
  <c r="AR1304" s="1"/>
  <c r="AN1304"/>
  <c r="AP1304" s="1"/>
  <c r="AS1304" s="1"/>
  <c r="AN1364"/>
  <c r="AP1364" s="1"/>
  <c r="AS1364" s="1"/>
  <c r="AO1364"/>
  <c r="AR1364" s="1"/>
  <c r="AN1333"/>
  <c r="AP1333" s="1"/>
  <c r="AS1333" s="1"/>
  <c r="AO1333"/>
  <c r="AR1333" s="1"/>
  <c r="AN1374"/>
  <c r="AP1374" s="1"/>
  <c r="AS1374" s="1"/>
  <c r="AO1374"/>
  <c r="AR1374" s="1"/>
  <c r="AN1346"/>
  <c r="AP1346" s="1"/>
  <c r="AS1346" s="1"/>
  <c r="AO1346"/>
  <c r="AR1346" s="1"/>
  <c r="AN1419"/>
  <c r="AP1419" s="1"/>
  <c r="AS1419" s="1"/>
  <c r="AO1419"/>
  <c r="AR1419" s="1"/>
  <c r="AN1340"/>
  <c r="AP1340" s="1"/>
  <c r="AS1340" s="1"/>
  <c r="AO1340"/>
  <c r="AR1340" s="1"/>
  <c r="AN1367"/>
  <c r="AP1367" s="1"/>
  <c r="AS1367" s="1"/>
  <c r="AO1367"/>
  <c r="AR1367" s="1"/>
  <c r="AO1450"/>
  <c r="AR1450" s="1"/>
  <c r="AN1450"/>
  <c r="AP1450" s="1"/>
  <c r="AS1450" s="1"/>
  <c r="AN1315"/>
  <c r="AP1315" s="1"/>
  <c r="AS1315" s="1"/>
  <c r="AO1315"/>
  <c r="AR1315" s="1"/>
  <c r="AO1284"/>
  <c r="AR1284" s="1"/>
  <c r="AN1284"/>
  <c r="AP1284" s="1"/>
  <c r="AS1284" s="1"/>
  <c r="AN1411"/>
  <c r="AP1411" s="1"/>
  <c r="AS1411" s="1"/>
  <c r="AO1411"/>
  <c r="AR1411" s="1"/>
  <c r="AN1376"/>
  <c r="AP1376" s="1"/>
  <c r="AS1376" s="1"/>
  <c r="AO1376"/>
  <c r="AR1376" s="1"/>
  <c r="AO1287"/>
  <c r="AR1287" s="1"/>
  <c r="AN1287"/>
  <c r="AP1287" s="1"/>
  <c r="AS1287" s="1"/>
  <c r="AN1386"/>
  <c r="AP1386" s="1"/>
  <c r="AS1386" s="1"/>
  <c r="AO1386"/>
  <c r="AR1386" s="1"/>
  <c r="AO1309"/>
  <c r="AR1309" s="1"/>
  <c r="AN1309"/>
  <c r="AP1309" s="1"/>
  <c r="AS1309" s="1"/>
  <c r="AN1398"/>
  <c r="AP1398" s="1"/>
  <c r="AS1398" s="1"/>
  <c r="AO1398"/>
  <c r="AR1398" s="1"/>
  <c r="AN1397"/>
  <c r="AP1397" s="1"/>
  <c r="AS1397" s="1"/>
  <c r="AO1397"/>
  <c r="AR1397" s="1"/>
  <c r="AN1379"/>
  <c r="AP1379" s="1"/>
  <c r="AS1379" s="1"/>
  <c r="AO1379"/>
  <c r="AR1379" s="1"/>
  <c r="AN1409"/>
  <c r="AP1409" s="1"/>
  <c r="AS1409" s="1"/>
  <c r="AO1409"/>
  <c r="AR1409" s="1"/>
  <c r="AN1306"/>
  <c r="AP1306" s="1"/>
  <c r="AS1306" s="1"/>
  <c r="AO1306"/>
  <c r="AR1306" s="1"/>
  <c r="AN1457"/>
  <c r="AP1457" s="1"/>
  <c r="AS1457" s="1"/>
  <c r="AO1457"/>
  <c r="AR1457" s="1"/>
  <c r="AN629"/>
  <c r="AP629" s="1"/>
  <c r="AS629" s="1"/>
  <c r="AN618"/>
  <c r="AP618" s="1"/>
  <c r="AS618" s="1"/>
  <c r="AN595"/>
  <c r="AP595" s="1"/>
  <c r="AS595" s="1"/>
  <c r="AN1054"/>
  <c r="AP1054" s="1"/>
  <c r="AS1054" s="1"/>
  <c r="AN1043"/>
  <c r="AP1043" s="1"/>
  <c r="AS1043" s="1"/>
  <c r="AN151"/>
  <c r="AP151" s="1"/>
  <c r="AS151" s="1"/>
  <c r="AN736"/>
  <c r="AP736" s="1"/>
  <c r="AS736" s="1"/>
  <c r="AN342"/>
  <c r="AP342" s="1"/>
  <c r="AS342" s="1"/>
  <c r="AN588"/>
  <c r="AP588" s="1"/>
  <c r="AS588" s="1"/>
  <c r="AN1137"/>
  <c r="AP1137" s="1"/>
  <c r="AS1137" s="1"/>
  <c r="AN1077"/>
  <c r="AP1077" s="1"/>
  <c r="AS1077" s="1"/>
  <c r="AN516"/>
  <c r="AP516" s="1"/>
  <c r="AS516" s="1"/>
  <c r="AN1130"/>
  <c r="AP1130" s="1"/>
  <c r="AS1130" s="1"/>
  <c r="AN173"/>
  <c r="AP173" s="1"/>
  <c r="AS173" s="1"/>
  <c r="AN496"/>
  <c r="AP496" s="1"/>
  <c r="AS496" s="1"/>
  <c r="AN105"/>
  <c r="AP105" s="1"/>
  <c r="AS105" s="1"/>
  <c r="AN528"/>
  <c r="AP528" s="1"/>
  <c r="AS528" s="1"/>
  <c r="AN846"/>
  <c r="AP846" s="1"/>
  <c r="AS846" s="1"/>
  <c r="AN917"/>
  <c r="AP917" s="1"/>
  <c r="AS917" s="1"/>
  <c r="AN662"/>
  <c r="AP662" s="1"/>
  <c r="AS662" s="1"/>
  <c r="AN895"/>
  <c r="AP895" s="1"/>
  <c r="AS895" s="1"/>
  <c r="AO558"/>
  <c r="AR558" s="1"/>
  <c r="AN52"/>
  <c r="AP52" s="1"/>
  <c r="AS52" s="1"/>
  <c r="AN313"/>
  <c r="AP313" s="1"/>
  <c r="AS313" s="1"/>
  <c r="AN632"/>
  <c r="AP632" s="1"/>
  <c r="AS632" s="1"/>
  <c r="AN531"/>
  <c r="AP531" s="1"/>
  <c r="AS531" s="1"/>
  <c r="AN1158"/>
  <c r="AP1158" s="1"/>
  <c r="AS1158" s="1"/>
  <c r="AN1232"/>
  <c r="AP1232" s="1"/>
  <c r="AS1232" s="1"/>
  <c r="AO76"/>
  <c r="AR76" s="1"/>
  <c r="AO890"/>
  <c r="AR890" s="1"/>
  <c r="AN338"/>
  <c r="AP338" s="1"/>
  <c r="AS338" s="1"/>
  <c r="AN1215"/>
  <c r="AP1215" s="1"/>
  <c r="AS1215" s="1"/>
  <c r="AO57"/>
  <c r="AR57" s="1"/>
  <c r="AN319"/>
  <c r="AP319" s="1"/>
  <c r="AS319" s="1"/>
  <c r="AO100"/>
  <c r="AR100" s="1"/>
  <c r="AN1161"/>
  <c r="AP1161" s="1"/>
  <c r="AS1161" s="1"/>
  <c r="AN1221"/>
  <c r="AP1221" s="1"/>
  <c r="AS1221" s="1"/>
  <c r="AO951"/>
  <c r="AR951" s="1"/>
  <c r="AO102"/>
  <c r="AR102" s="1"/>
  <c r="AN121"/>
  <c r="AP121" s="1"/>
  <c r="AS121" s="1"/>
  <c r="AN1127"/>
  <c r="AP1127" s="1"/>
  <c r="AS1127" s="1"/>
  <c r="AN718"/>
  <c r="AP718" s="1"/>
  <c r="AS718" s="1"/>
  <c r="AN590"/>
  <c r="AP590" s="1"/>
  <c r="AS590" s="1"/>
  <c r="AN825"/>
  <c r="AP825" s="1"/>
  <c r="AS825" s="1"/>
  <c r="AN644"/>
  <c r="AP644" s="1"/>
  <c r="AS644" s="1"/>
  <c r="AN1243"/>
  <c r="AP1243" s="1"/>
  <c r="AS1243" s="1"/>
  <c r="AN1159"/>
  <c r="AP1159" s="1"/>
  <c r="AS1159" s="1"/>
  <c r="AN675"/>
  <c r="AP675" s="1"/>
  <c r="AS675" s="1"/>
  <c r="AN273"/>
  <c r="AP273" s="1"/>
  <c r="AS273" s="1"/>
  <c r="AN1228"/>
  <c r="AP1228" s="1"/>
  <c r="AS1228" s="1"/>
  <c r="AN488"/>
  <c r="AP488" s="1"/>
  <c r="AS488" s="1"/>
  <c r="AN330"/>
  <c r="AP330" s="1"/>
  <c r="AS330" s="1"/>
  <c r="AO68"/>
  <c r="AR68" s="1"/>
  <c r="AN897"/>
  <c r="AP897" s="1"/>
  <c r="AS897" s="1"/>
  <c r="AN390"/>
  <c r="AP390" s="1"/>
  <c r="AS390" s="1"/>
  <c r="AN559"/>
  <c r="AP559" s="1"/>
  <c r="AS559" s="1"/>
  <c r="AN336"/>
  <c r="AP336" s="1"/>
  <c r="AS336" s="1"/>
  <c r="AN539"/>
  <c r="AP539" s="1"/>
  <c r="AS539" s="1"/>
  <c r="AN494"/>
  <c r="AP494" s="1"/>
  <c r="AS494" s="1"/>
  <c r="AN926"/>
  <c r="AP926" s="1"/>
  <c r="AS926" s="1"/>
  <c r="AN1205"/>
  <c r="AP1205" s="1"/>
  <c r="AS1205" s="1"/>
  <c r="AN1064"/>
  <c r="AP1064" s="1"/>
  <c r="AS1064" s="1"/>
  <c r="AN699"/>
  <c r="AP699" s="1"/>
  <c r="AS699" s="1"/>
  <c r="AN826"/>
  <c r="AP826" s="1"/>
  <c r="AS826" s="1"/>
  <c r="AN316"/>
  <c r="AP316" s="1"/>
  <c r="AS316" s="1"/>
  <c r="AO92"/>
  <c r="AR92" s="1"/>
  <c r="AN807"/>
  <c r="AP807" s="1"/>
  <c r="AS807" s="1"/>
  <c r="AN133"/>
  <c r="AP133" s="1"/>
  <c r="AS133" s="1"/>
  <c r="AN248"/>
  <c r="AP248" s="1"/>
  <c r="AS248" s="1"/>
  <c r="AN631"/>
  <c r="AP631" s="1"/>
  <c r="AS631" s="1"/>
  <c r="AN394"/>
  <c r="AP394" s="1"/>
  <c r="AS394" s="1"/>
  <c r="AN715"/>
  <c r="AP715" s="1"/>
  <c r="AS715" s="1"/>
  <c r="AN780"/>
  <c r="AP780" s="1"/>
  <c r="AS780" s="1"/>
  <c r="AN1013"/>
  <c r="AP1013" s="1"/>
  <c r="AS1013" s="1"/>
  <c r="AN1024"/>
  <c r="AP1024" s="1"/>
  <c r="AS1024" s="1"/>
  <c r="AN802"/>
  <c r="AP802" s="1"/>
  <c r="AS802" s="1"/>
  <c r="AN191"/>
  <c r="AP191" s="1"/>
  <c r="AS191" s="1"/>
  <c r="AN1207"/>
  <c r="AP1207" s="1"/>
  <c r="AS1207" s="1"/>
  <c r="AN731"/>
  <c r="AP731" s="1"/>
  <c r="AS731" s="1"/>
  <c r="AN1223"/>
  <c r="AP1223" s="1"/>
  <c r="AS1223" s="1"/>
  <c r="AN132"/>
  <c r="AP132" s="1"/>
  <c r="AS132" s="1"/>
  <c r="AN347"/>
  <c r="AP347" s="1"/>
  <c r="AS347" s="1"/>
  <c r="AN275"/>
  <c r="AP275" s="1"/>
  <c r="AS275" s="1"/>
  <c r="AN1167"/>
  <c r="AP1167" s="1"/>
  <c r="AS1167" s="1"/>
  <c r="AN832"/>
  <c r="AP832" s="1"/>
  <c r="AS832" s="1"/>
  <c r="AE5"/>
  <c r="AG5" s="1"/>
  <c r="AQ5" s="1"/>
  <c r="AN697"/>
  <c r="AP697" s="1"/>
  <c r="AS697" s="1"/>
  <c r="AN1002"/>
  <c r="AP1002" s="1"/>
  <c r="AS1002" s="1"/>
  <c r="AN795"/>
  <c r="AP795" s="1"/>
  <c r="AS795" s="1"/>
  <c r="AN1234"/>
  <c r="AP1234" s="1"/>
  <c r="AS1234" s="1"/>
  <c r="AN974"/>
  <c r="AP974" s="1"/>
  <c r="AS974" s="1"/>
  <c r="AO64"/>
  <c r="AR64" s="1"/>
  <c r="AN135"/>
  <c r="AP135" s="1"/>
  <c r="AS135" s="1"/>
  <c r="AN116"/>
  <c r="AP116" s="1"/>
  <c r="AS116" s="1"/>
  <c r="AN1267"/>
  <c r="AP1267" s="1"/>
  <c r="AS1267" s="1"/>
  <c r="AN1217"/>
  <c r="AP1217" s="1"/>
  <c r="AS1217" s="1"/>
  <c r="AO89"/>
  <c r="AR89" s="1"/>
  <c r="AN867"/>
  <c r="AP867" s="1"/>
  <c r="AS867" s="1"/>
  <c r="AN859"/>
  <c r="AP859" s="1"/>
  <c r="AS859" s="1"/>
  <c r="AN165"/>
  <c r="AP165" s="1"/>
  <c r="AS165" s="1"/>
  <c r="AN944"/>
  <c r="AP944" s="1"/>
  <c r="AS944" s="1"/>
  <c r="AN504"/>
  <c r="AP504" s="1"/>
  <c r="AS504" s="1"/>
  <c r="AN374"/>
  <c r="AP374" s="1"/>
  <c r="AS374" s="1"/>
  <c r="AN282"/>
  <c r="AP282" s="1"/>
  <c r="AS282" s="1"/>
  <c r="AO63"/>
  <c r="AR63" s="1"/>
  <c r="AN265"/>
  <c r="AP265" s="1"/>
  <c r="AS265" s="1"/>
  <c r="AO56"/>
  <c r="AR56" s="1"/>
  <c r="AN1072"/>
  <c r="AP1072" s="1"/>
  <c r="AS1072" s="1"/>
  <c r="AN1148"/>
  <c r="AP1148" s="1"/>
  <c r="AS1148" s="1"/>
  <c r="AN1139"/>
  <c r="AP1139" s="1"/>
  <c r="AS1139" s="1"/>
  <c r="AO87"/>
  <c r="AR87" s="1"/>
  <c r="AN932"/>
  <c r="AP932" s="1"/>
  <c r="AS932" s="1"/>
  <c r="AN596"/>
  <c r="AP596" s="1"/>
  <c r="AS596" s="1"/>
  <c r="AN1187"/>
  <c r="AP1187" s="1"/>
  <c r="AS1187" s="1"/>
  <c r="AN385"/>
  <c r="AP385" s="1"/>
  <c r="AS385" s="1"/>
  <c r="AN1092"/>
  <c r="AP1092" s="1"/>
  <c r="AS1092" s="1"/>
  <c r="AN1039"/>
  <c r="AP1039" s="1"/>
  <c r="AS1039" s="1"/>
  <c r="AN1241"/>
  <c r="AP1241" s="1"/>
  <c r="AS1241" s="1"/>
  <c r="AN1190"/>
  <c r="AP1190" s="1"/>
  <c r="AS1190" s="1"/>
  <c r="AN263"/>
  <c r="AP263" s="1"/>
  <c r="AS263" s="1"/>
  <c r="AN1261"/>
  <c r="AP1261" s="1"/>
  <c r="AS1261" s="1"/>
  <c r="AN655"/>
  <c r="AP655" s="1"/>
  <c r="AS655" s="1"/>
  <c r="AN297"/>
  <c r="AP297" s="1"/>
  <c r="AS297" s="1"/>
  <c r="AN276"/>
  <c r="AP276" s="1"/>
  <c r="AS276" s="1"/>
  <c r="AN896"/>
  <c r="AP896" s="1"/>
  <c r="AS896" s="1"/>
  <c r="AN1219"/>
  <c r="AP1219" s="1"/>
  <c r="AS1219" s="1"/>
  <c r="AN268"/>
  <c r="AP268" s="1"/>
  <c r="AS268" s="1"/>
  <c r="AN781"/>
  <c r="AP781" s="1"/>
  <c r="AS781" s="1"/>
  <c r="AN1153"/>
  <c r="AP1153" s="1"/>
  <c r="AS1153" s="1"/>
  <c r="AN664"/>
  <c r="AP664" s="1"/>
  <c r="AS664" s="1"/>
  <c r="AN805"/>
  <c r="AP805" s="1"/>
  <c r="AS805" s="1"/>
  <c r="AN850"/>
  <c r="AP850" s="1"/>
  <c r="AS850" s="1"/>
  <c r="AN1023"/>
  <c r="AP1023" s="1"/>
  <c r="AS1023" s="1"/>
  <c r="AO509"/>
  <c r="AR509" s="1"/>
  <c r="AO1268"/>
  <c r="AR1268" s="1"/>
  <c r="AN1003"/>
  <c r="AP1003" s="1"/>
  <c r="AS1003" s="1"/>
  <c r="AN1264"/>
  <c r="AP1264" s="1"/>
  <c r="AS1264" s="1"/>
  <c r="AN1035"/>
  <c r="AP1035" s="1"/>
  <c r="AS1035" s="1"/>
  <c r="AN670"/>
  <c r="AP670" s="1"/>
  <c r="AS670" s="1"/>
  <c r="AN692"/>
  <c r="AP692" s="1"/>
  <c r="AS692" s="1"/>
  <c r="AN1085"/>
  <c r="AP1085" s="1"/>
  <c r="AS1085" s="1"/>
  <c r="AN306"/>
  <c r="AP306" s="1"/>
  <c r="AS306" s="1"/>
  <c r="AN1245"/>
  <c r="AP1245" s="1"/>
  <c r="AS1245" s="1"/>
  <c r="AN107"/>
  <c r="AP107" s="1"/>
  <c r="AS107" s="1"/>
  <c r="AN1150"/>
  <c r="AP1150" s="1"/>
  <c r="AS1150" s="1"/>
  <c r="AN197"/>
  <c r="AP197" s="1"/>
  <c r="AS197" s="1"/>
  <c r="AN144"/>
  <c r="AP144" s="1"/>
  <c r="AS144" s="1"/>
  <c r="AN1238"/>
  <c r="AP1238" s="1"/>
  <c r="AS1238" s="1"/>
  <c r="AN194"/>
  <c r="AP194" s="1"/>
  <c r="AS194" s="1"/>
  <c r="AN171"/>
  <c r="AP171" s="1"/>
  <c r="AS171" s="1"/>
  <c r="AN170"/>
  <c r="AP170" s="1"/>
  <c r="AS170" s="1"/>
  <c r="AO69"/>
  <c r="AR69" s="1"/>
  <c r="AN1271"/>
  <c r="AP1271" s="1"/>
  <c r="AS1271" s="1"/>
  <c r="AN186"/>
  <c r="AP186" s="1"/>
  <c r="AS186" s="1"/>
  <c r="AN597"/>
  <c r="AP597" s="1"/>
  <c r="AS597" s="1"/>
  <c r="AN603"/>
  <c r="AP603" s="1"/>
  <c r="AS603" s="1"/>
  <c r="AN1199"/>
  <c r="AP1199" s="1"/>
  <c r="AS1199" s="1"/>
  <c r="AN1083"/>
  <c r="AP1083" s="1"/>
  <c r="AS1083" s="1"/>
  <c r="AN665"/>
  <c r="AP665" s="1"/>
  <c r="AS665" s="1"/>
  <c r="AO73"/>
  <c r="AR73" s="1"/>
  <c r="AN733"/>
  <c r="AP733" s="1"/>
  <c r="AS733" s="1"/>
  <c r="AN250"/>
  <c r="AP250" s="1"/>
  <c r="AS250" s="1"/>
  <c r="AN1107"/>
  <c r="AP1107" s="1"/>
  <c r="AS1107" s="1"/>
  <c r="AN1116"/>
  <c r="AP1116" s="1"/>
  <c r="AS1116" s="1"/>
  <c r="AN391"/>
  <c r="AP391" s="1"/>
  <c r="AS391" s="1"/>
  <c r="AN968"/>
  <c r="AP968" s="1"/>
  <c r="AS968" s="1"/>
  <c r="AN732"/>
  <c r="AP732" s="1"/>
  <c r="AS732" s="1"/>
  <c r="AN1213"/>
  <c r="AP1213" s="1"/>
  <c r="AS1213" s="1"/>
  <c r="AN1008"/>
  <c r="AP1008" s="1"/>
  <c r="AS1008" s="1"/>
  <c r="AO98"/>
  <c r="AR98" s="1"/>
  <c r="AN243"/>
  <c r="AP243" s="1"/>
  <c r="AS243" s="1"/>
  <c r="AN1090"/>
  <c r="AP1090" s="1"/>
  <c r="AS1090" s="1"/>
  <c r="AN542"/>
  <c r="AP542" s="1"/>
  <c r="AS542" s="1"/>
  <c r="AN613"/>
  <c r="AP613" s="1"/>
  <c r="AS613" s="1"/>
  <c r="AN1084"/>
  <c r="AP1084" s="1"/>
  <c r="AS1084" s="1"/>
  <c r="AN1006"/>
  <c r="AP1006" s="1"/>
  <c r="AS1006" s="1"/>
  <c r="AN1133"/>
  <c r="AP1133" s="1"/>
  <c r="AS1133" s="1"/>
  <c r="AN106"/>
  <c r="AP106" s="1"/>
  <c r="AS106" s="1"/>
  <c r="AN326"/>
  <c r="AP326" s="1"/>
  <c r="AS326" s="1"/>
  <c r="AN594"/>
  <c r="AP594" s="1"/>
  <c r="AS594" s="1"/>
  <c r="AN591"/>
  <c r="AP591" s="1"/>
  <c r="AS591" s="1"/>
  <c r="AN701"/>
  <c r="AP701" s="1"/>
  <c r="AS701" s="1"/>
  <c r="AN884"/>
  <c r="AP884" s="1"/>
  <c r="AS884" s="1"/>
  <c r="AO45"/>
  <c r="AR45" s="1"/>
  <c r="AN856"/>
  <c r="AP856" s="1"/>
  <c r="AS856" s="1"/>
  <c r="AN162"/>
  <c r="AP162" s="1"/>
  <c r="AS162" s="1"/>
  <c r="AN1188"/>
  <c r="AP1188" s="1"/>
  <c r="AS1188" s="1"/>
  <c r="AN686"/>
  <c r="AP686" s="1"/>
  <c r="AS686" s="1"/>
  <c r="AN1218"/>
  <c r="AP1218" s="1"/>
  <c r="AS1218" s="1"/>
  <c r="AN837"/>
  <c r="AP837" s="1"/>
  <c r="AS837" s="1"/>
  <c r="AN605"/>
  <c r="AP605" s="1"/>
  <c r="AS605" s="1"/>
  <c r="AO1222"/>
  <c r="AR1222" s="1"/>
  <c r="AO1105"/>
  <c r="AR1105" s="1"/>
  <c r="AO740"/>
  <c r="AR740" s="1"/>
  <c r="AN451"/>
  <c r="AP451" s="1"/>
  <c r="AS451" s="1"/>
  <c r="AO636"/>
  <c r="AR636" s="1"/>
  <c r="AO1163"/>
  <c r="AR1163" s="1"/>
  <c r="AN925"/>
  <c r="AP925" s="1"/>
  <c r="AS925" s="1"/>
  <c r="AN1257"/>
  <c r="AP1257" s="1"/>
  <c r="AS1257" s="1"/>
  <c r="AN492"/>
  <c r="AP492" s="1"/>
  <c r="AS492" s="1"/>
  <c r="AN1186"/>
  <c r="AP1186" s="1"/>
  <c r="AS1186" s="1"/>
  <c r="AN818"/>
  <c r="AP818" s="1"/>
  <c r="AS818" s="1"/>
  <c r="AN1143"/>
  <c r="AP1143" s="1"/>
  <c r="AS1143" s="1"/>
  <c r="AN1198"/>
  <c r="AP1198" s="1"/>
  <c r="AS1198" s="1"/>
  <c r="AN1164"/>
  <c r="AP1164" s="1"/>
  <c r="AS1164" s="1"/>
  <c r="AN1265"/>
  <c r="AP1265" s="1"/>
  <c r="AS1265" s="1"/>
  <c r="AN536"/>
  <c r="AP536" s="1"/>
  <c r="AS536" s="1"/>
  <c r="AO65"/>
  <c r="AR65" s="1"/>
  <c r="AN159"/>
  <c r="AP159" s="1"/>
  <c r="AS159" s="1"/>
  <c r="AN915"/>
  <c r="AP915" s="1"/>
  <c r="AS915" s="1"/>
  <c r="AN808"/>
  <c r="AP808" s="1"/>
  <c r="AS808" s="1"/>
  <c r="AN711"/>
  <c r="AP711" s="1"/>
  <c r="AS711" s="1"/>
  <c r="AN351"/>
  <c r="AP351" s="1"/>
  <c r="AS351" s="1"/>
  <c r="AN970"/>
  <c r="AP970" s="1"/>
  <c r="AS970" s="1"/>
  <c r="AN335"/>
  <c r="AP335" s="1"/>
  <c r="AS335" s="1"/>
  <c r="AN1124"/>
  <c r="AP1124" s="1"/>
  <c r="AS1124" s="1"/>
  <c r="AO70"/>
  <c r="AR70" s="1"/>
  <c r="AN682"/>
  <c r="AP682" s="1"/>
  <c r="AS682" s="1"/>
  <c r="AN183"/>
  <c r="AP183" s="1"/>
  <c r="AS183" s="1"/>
  <c r="AN1136"/>
  <c r="AP1136" s="1"/>
  <c r="AS1136" s="1"/>
  <c r="AN287"/>
  <c r="AP287" s="1"/>
  <c r="AS287" s="1"/>
  <c r="AN1154"/>
  <c r="AP1154" s="1"/>
  <c r="AS1154" s="1"/>
  <c r="AN1073"/>
  <c r="AP1073" s="1"/>
  <c r="AS1073" s="1"/>
  <c r="AN1030"/>
  <c r="AP1030" s="1"/>
  <c r="AS1030" s="1"/>
  <c r="AN673"/>
  <c r="AP673" s="1"/>
  <c r="AS673" s="1"/>
  <c r="AN543"/>
  <c r="AP543" s="1"/>
  <c r="AS543" s="1"/>
  <c r="AO38"/>
  <c r="AR38" s="1"/>
  <c r="AN920"/>
  <c r="AP920" s="1"/>
  <c r="AS920" s="1"/>
  <c r="AN1256"/>
  <c r="AP1256" s="1"/>
  <c r="AS1256" s="1"/>
  <c r="AN928"/>
  <c r="AP928" s="1"/>
  <c r="AS928" s="1"/>
  <c r="AO42"/>
  <c r="AR42" s="1"/>
  <c r="AN716"/>
  <c r="AP716" s="1"/>
  <c r="AS716" s="1"/>
  <c r="AN348"/>
  <c r="AP348" s="1"/>
  <c r="AS348" s="1"/>
  <c r="AN1065"/>
  <c r="AP1065" s="1"/>
  <c r="AS1065" s="1"/>
  <c r="AN843"/>
  <c r="AP843" s="1"/>
  <c r="AS843" s="1"/>
  <c r="AN892"/>
  <c r="AP892" s="1"/>
  <c r="AS892" s="1"/>
  <c r="AN180"/>
  <c r="AP180" s="1"/>
  <c r="AS180" s="1"/>
  <c r="AN1246"/>
  <c r="AP1246" s="1"/>
  <c r="AS1246" s="1"/>
  <c r="AN270"/>
  <c r="AP270" s="1"/>
  <c r="AS270" s="1"/>
  <c r="AO77"/>
  <c r="AR77" s="1"/>
  <c r="AN352"/>
  <c r="AP352" s="1"/>
  <c r="AS352" s="1"/>
  <c r="AN380"/>
  <c r="AP380" s="1"/>
  <c r="AS380" s="1"/>
  <c r="AN1017"/>
  <c r="AP1017" s="1"/>
  <c r="AS1017" s="1"/>
  <c r="AN127"/>
  <c r="AP127" s="1"/>
  <c r="AS127" s="1"/>
  <c r="AO657"/>
  <c r="AR657" s="1"/>
  <c r="AO851"/>
  <c r="AR851" s="1"/>
  <c r="AO698"/>
  <c r="AR698" s="1"/>
  <c r="AN671"/>
  <c r="AP671" s="1"/>
  <c r="AS671" s="1"/>
  <c r="AO1106"/>
  <c r="AR1106" s="1"/>
  <c r="AO120"/>
  <c r="AR120" s="1"/>
  <c r="AN345"/>
  <c r="AP345" s="1"/>
  <c r="AS345" s="1"/>
  <c r="AN1193"/>
  <c r="AP1193" s="1"/>
  <c r="AS1193" s="1"/>
  <c r="AN708"/>
  <c r="AP708" s="1"/>
  <c r="AS708" s="1"/>
  <c r="AN696"/>
  <c r="AP696" s="1"/>
  <c r="AS696" s="1"/>
  <c r="AN583"/>
  <c r="AP583" s="1"/>
  <c r="AS583" s="1"/>
  <c r="AO79"/>
  <c r="AR79" s="1"/>
  <c r="AN1051"/>
  <c r="AP1051" s="1"/>
  <c r="AS1051" s="1"/>
  <c r="AN521"/>
  <c r="AP521" s="1"/>
  <c r="AS521" s="1"/>
  <c r="AN1040"/>
  <c r="AP1040" s="1"/>
  <c r="AS1040" s="1"/>
  <c r="AN1093"/>
  <c r="AP1093" s="1"/>
  <c r="AS1093" s="1"/>
  <c r="AN341"/>
  <c r="AP341" s="1"/>
  <c r="AS341" s="1"/>
  <c r="AN854"/>
  <c r="AP854" s="1"/>
  <c r="AS854" s="1"/>
  <c r="AN130"/>
  <c r="AP130" s="1"/>
  <c r="AS130" s="1"/>
  <c r="AN160"/>
  <c r="AP160" s="1"/>
  <c r="AS160" s="1"/>
  <c r="AN307"/>
  <c r="AP307" s="1"/>
  <c r="AS307" s="1"/>
  <c r="AN661"/>
  <c r="AP661" s="1"/>
  <c r="AS661" s="1"/>
  <c r="AN1070"/>
  <c r="AP1070" s="1"/>
  <c r="AS1070" s="1"/>
  <c r="AN562"/>
  <c r="AP562" s="1"/>
  <c r="AS562" s="1"/>
  <c r="AN577"/>
  <c r="AP577" s="1"/>
  <c r="AS577" s="1"/>
  <c r="AN1031"/>
  <c r="AP1031" s="1"/>
  <c r="AS1031" s="1"/>
  <c r="AN387"/>
  <c r="AP387" s="1"/>
  <c r="AS387" s="1"/>
  <c r="AN587"/>
  <c r="AP587" s="1"/>
  <c r="AS587" s="1"/>
  <c r="AN811"/>
  <c r="AP811" s="1"/>
  <c r="AS811" s="1"/>
  <c r="AN252"/>
  <c r="AP252" s="1"/>
  <c r="AS252" s="1"/>
  <c r="AN1020"/>
  <c r="AP1020" s="1"/>
  <c r="AS1020" s="1"/>
  <c r="AN703"/>
  <c r="AP703" s="1"/>
  <c r="AS703" s="1"/>
  <c r="AN497"/>
  <c r="AP497" s="1"/>
  <c r="AS497" s="1"/>
  <c r="AN710"/>
  <c r="AP710" s="1"/>
  <c r="AS710" s="1"/>
  <c r="AN104"/>
  <c r="AP104" s="1"/>
  <c r="AS104" s="1"/>
  <c r="AN525"/>
  <c r="AP525" s="1"/>
  <c r="AS525" s="1"/>
  <c r="AN1227"/>
  <c r="AP1227" s="1"/>
  <c r="AS1227" s="1"/>
  <c r="AN994"/>
  <c r="AP994" s="1"/>
  <c r="AS994" s="1"/>
  <c r="AN258"/>
  <c r="AP258" s="1"/>
  <c r="AS258" s="1"/>
  <c r="AN1229"/>
  <c r="AP1229" s="1"/>
  <c r="AS1229" s="1"/>
  <c r="AN567"/>
  <c r="AP567" s="1"/>
  <c r="AS567" s="1"/>
  <c r="AN790"/>
  <c r="AP790" s="1"/>
  <c r="AS790" s="1"/>
  <c r="AN653"/>
  <c r="AP653" s="1"/>
  <c r="AS653" s="1"/>
  <c r="AN360"/>
  <c r="AP360" s="1"/>
  <c r="AS360" s="1"/>
  <c r="AN1209"/>
  <c r="AP1209" s="1"/>
  <c r="AS1209" s="1"/>
  <c r="AN147"/>
  <c r="AP147" s="1"/>
  <c r="AS147" s="1"/>
  <c r="AN261"/>
  <c r="AP261" s="1"/>
  <c r="AS261" s="1"/>
  <c r="AN1088"/>
  <c r="AP1088" s="1"/>
  <c r="AS1088" s="1"/>
  <c r="AN1118"/>
  <c r="AP1118" s="1"/>
  <c r="AS1118" s="1"/>
  <c r="AN1146"/>
  <c r="AP1146" s="1"/>
  <c r="AS1146" s="1"/>
  <c r="AN865"/>
  <c r="AP865" s="1"/>
  <c r="AS865" s="1"/>
  <c r="AN161"/>
  <c r="AP161" s="1"/>
  <c r="AS161" s="1"/>
  <c r="AN1239"/>
  <c r="AP1239" s="1"/>
  <c r="AS1239" s="1"/>
  <c r="AN592"/>
  <c r="AP592" s="1"/>
  <c r="AS592" s="1"/>
  <c r="AN489"/>
  <c r="AP489" s="1"/>
  <c r="AS489" s="1"/>
  <c r="AN1108"/>
  <c r="AP1108" s="1"/>
  <c r="AS1108" s="1"/>
  <c r="AN1149"/>
  <c r="AP1149" s="1"/>
  <c r="AS1149" s="1"/>
  <c r="AN1018"/>
  <c r="AP1018" s="1"/>
  <c r="AS1018" s="1"/>
  <c r="AN840"/>
  <c r="AP840" s="1"/>
  <c r="AS840" s="1"/>
  <c r="AN820"/>
  <c r="AP820" s="1"/>
  <c r="AS820" s="1"/>
  <c r="AN334"/>
  <c r="AP334" s="1"/>
  <c r="AS334" s="1"/>
  <c r="AN317"/>
  <c r="AP317" s="1"/>
  <c r="AS317" s="1"/>
  <c r="AN145"/>
  <c r="AP145" s="1"/>
  <c r="AS145" s="1"/>
  <c r="AN1189"/>
  <c r="AP1189" s="1"/>
  <c r="AS1189" s="1"/>
  <c r="AN1195"/>
  <c r="AP1195" s="1"/>
  <c r="AS1195" s="1"/>
  <c r="AN179"/>
  <c r="AP179" s="1"/>
  <c r="AS179" s="1"/>
  <c r="AN281"/>
  <c r="AP281" s="1"/>
  <c r="AS281" s="1"/>
  <c r="AN893"/>
  <c r="AP893" s="1"/>
  <c r="AS893" s="1"/>
  <c r="AN797"/>
  <c r="AP797" s="1"/>
  <c r="AS797" s="1"/>
  <c r="AN184"/>
  <c r="AP184" s="1"/>
  <c r="AS184" s="1"/>
  <c r="AN658"/>
  <c r="AP658" s="1"/>
  <c r="AS658" s="1"/>
  <c r="AN255"/>
  <c r="AP255" s="1"/>
  <c r="AS255" s="1"/>
  <c r="AN1182"/>
  <c r="AP1182" s="1"/>
  <c r="AS1182" s="1"/>
  <c r="AN798"/>
  <c r="AP798" s="1"/>
  <c r="AS798" s="1"/>
  <c r="AN873"/>
  <c r="AP873" s="1"/>
  <c r="AS873" s="1"/>
  <c r="AN142"/>
  <c r="AP142" s="1"/>
  <c r="AS142" s="1"/>
  <c r="AN339"/>
  <c r="AP339" s="1"/>
  <c r="AS339" s="1"/>
  <c r="AN794"/>
  <c r="AP794" s="1"/>
  <c r="AS794" s="1"/>
  <c r="AN916"/>
  <c r="AP916" s="1"/>
  <c r="AS916" s="1"/>
  <c r="AN899"/>
  <c r="AP899" s="1"/>
  <c r="AS899" s="1"/>
  <c r="AN1113"/>
  <c r="AP1113" s="1"/>
  <c r="AS1113" s="1"/>
  <c r="AO83"/>
  <c r="AR83" s="1"/>
  <c r="AN829"/>
  <c r="AP829" s="1"/>
  <c r="AS829" s="1"/>
  <c r="AO33"/>
  <c r="AR33" s="1"/>
  <c r="AN810"/>
  <c r="AP810" s="1"/>
  <c r="AS810" s="1"/>
  <c r="AN172"/>
  <c r="AP172" s="1"/>
  <c r="AS172" s="1"/>
  <c r="AO343"/>
  <c r="AR343" s="1"/>
  <c r="AN189"/>
  <c r="AP189" s="1"/>
  <c r="AS189" s="1"/>
  <c r="AN249"/>
  <c r="AP249" s="1"/>
  <c r="AS249" s="1"/>
  <c r="AN1201"/>
  <c r="AP1201" s="1"/>
  <c r="AS1201" s="1"/>
  <c r="AN103"/>
  <c r="AP103" s="1"/>
  <c r="AS103" s="1"/>
  <c r="AN1056"/>
  <c r="AP1056" s="1"/>
  <c r="AS1056" s="1"/>
  <c r="AN705"/>
  <c r="AP705" s="1"/>
  <c r="AS705" s="1"/>
  <c r="AN641"/>
  <c r="AP641" s="1"/>
  <c r="AS641" s="1"/>
  <c r="AN315"/>
  <c r="AP315" s="1"/>
  <c r="AS315" s="1"/>
  <c r="AO53"/>
  <c r="AR53" s="1"/>
  <c r="AN700"/>
  <c r="AP700" s="1"/>
  <c r="AS700" s="1"/>
  <c r="AN628"/>
  <c r="AP628" s="1"/>
  <c r="AS628" s="1"/>
  <c r="AN555"/>
  <c r="AP555" s="1"/>
  <c r="AS555" s="1"/>
  <c r="AN679"/>
  <c r="AP679" s="1"/>
  <c r="AS679" s="1"/>
  <c r="AN912"/>
  <c r="AP912" s="1"/>
  <c r="AS912" s="1"/>
  <c r="AN1027"/>
  <c r="AP1027" s="1"/>
  <c r="AS1027" s="1"/>
  <c r="AN888"/>
  <c r="AP888" s="1"/>
  <c r="AS888" s="1"/>
  <c r="AN634"/>
  <c r="AP634" s="1"/>
  <c r="AS634" s="1"/>
  <c r="AN938"/>
  <c r="AP938" s="1"/>
  <c r="AS938" s="1"/>
  <c r="AN852"/>
  <c r="AP852" s="1"/>
  <c r="AS852" s="1"/>
  <c r="AN828"/>
  <c r="AP828" s="1"/>
  <c r="AS828" s="1"/>
  <c r="AN858"/>
  <c r="AP858" s="1"/>
  <c r="AS858" s="1"/>
  <c r="AN742"/>
  <c r="AP742" s="1"/>
  <c r="AS742" s="1"/>
  <c r="AN1132"/>
  <c r="AP1132" s="1"/>
  <c r="AS1132" s="1"/>
  <c r="AN1119"/>
  <c r="AP1119" s="1"/>
  <c r="AS1119" s="1"/>
  <c r="AN1162"/>
  <c r="AP1162" s="1"/>
  <c r="AS1162" s="1"/>
  <c r="AN874"/>
  <c r="AP874" s="1"/>
  <c r="AS874" s="1"/>
  <c r="AN778"/>
  <c r="AP778" s="1"/>
  <c r="AS778" s="1"/>
  <c r="AN1266"/>
  <c r="AP1266" s="1"/>
  <c r="AS1266" s="1"/>
  <c r="AN1214"/>
  <c r="AP1214" s="1"/>
  <c r="AS1214" s="1"/>
  <c r="AN871"/>
  <c r="AP871" s="1"/>
  <c r="AS871" s="1"/>
  <c r="AN830"/>
  <c r="AP830" s="1"/>
  <c r="AS830" s="1"/>
  <c r="AN909"/>
  <c r="AP909" s="1"/>
  <c r="AS909" s="1"/>
  <c r="AN1011"/>
  <c r="AP1011" s="1"/>
  <c r="AS1011" s="1"/>
  <c r="AN537"/>
  <c r="AP537" s="1"/>
  <c r="AS537" s="1"/>
  <c r="AN1185"/>
  <c r="AP1185" s="1"/>
  <c r="AS1185" s="1"/>
  <c r="AN246"/>
  <c r="AP246" s="1"/>
  <c r="AS246" s="1"/>
  <c r="AN1177"/>
  <c r="AP1177" s="1"/>
  <c r="AS1177" s="1"/>
  <c r="AN799"/>
  <c r="AP799" s="1"/>
  <c r="AS799" s="1"/>
  <c r="AN643"/>
  <c r="AP643" s="1"/>
  <c r="AS643" s="1"/>
  <c r="AN878"/>
  <c r="AP878" s="1"/>
  <c r="AS878" s="1"/>
  <c r="AN181"/>
  <c r="AP181" s="1"/>
  <c r="AS181" s="1"/>
  <c r="AN1104"/>
  <c r="AP1104" s="1"/>
  <c r="AS1104" s="1"/>
  <c r="AN355"/>
  <c r="AP355" s="1"/>
  <c r="AS355" s="1"/>
  <c r="AN1183"/>
  <c r="AP1183" s="1"/>
  <c r="AS1183" s="1"/>
  <c r="AN1111"/>
  <c r="AP1111" s="1"/>
  <c r="AS1111" s="1"/>
  <c r="AN639"/>
  <c r="AP639" s="1"/>
  <c r="AS639" s="1"/>
  <c r="AO86"/>
  <c r="AR86" s="1"/>
  <c r="AN1033"/>
  <c r="AP1033" s="1"/>
  <c r="AS1033" s="1"/>
  <c r="AN136"/>
  <c r="AP136" s="1"/>
  <c r="AS136" s="1"/>
  <c r="AN329"/>
  <c r="AP329" s="1"/>
  <c r="AS329" s="1"/>
  <c r="AN109"/>
  <c r="AP109" s="1"/>
  <c r="AS109" s="1"/>
  <c r="AN1109"/>
  <c r="AP1109" s="1"/>
  <c r="AS1109" s="1"/>
  <c r="AN534"/>
  <c r="AP534" s="1"/>
  <c r="AS534" s="1"/>
  <c r="AO96"/>
  <c r="AR96" s="1"/>
  <c r="AN1180"/>
  <c r="AP1180" s="1"/>
  <c r="AS1180" s="1"/>
  <c r="AN950"/>
  <c r="AP950" s="1"/>
  <c r="AS950" s="1"/>
  <c r="AN164"/>
  <c r="AP164" s="1"/>
  <c r="AS164" s="1"/>
  <c r="AN285"/>
  <c r="AP285" s="1"/>
  <c r="AS285" s="1"/>
  <c r="AN1258"/>
  <c r="AP1258" s="1"/>
  <c r="AS1258" s="1"/>
  <c r="AN392"/>
  <c r="AP392" s="1"/>
  <c r="AS392" s="1"/>
  <c r="AN614"/>
  <c r="AP614" s="1"/>
  <c r="AS614" s="1"/>
  <c r="AN515"/>
  <c r="AP515" s="1"/>
  <c r="AS515" s="1"/>
  <c r="AN1172"/>
  <c r="AP1172" s="1"/>
  <c r="AS1172" s="1"/>
  <c r="AN1078"/>
  <c r="AP1078" s="1"/>
  <c r="AS1078" s="1"/>
  <c r="AN110"/>
  <c r="AP110" s="1"/>
  <c r="AS110" s="1"/>
  <c r="AN349"/>
  <c r="AP349" s="1"/>
  <c r="AS349" s="1"/>
  <c r="AN1021"/>
  <c r="AP1021" s="1"/>
  <c r="AS1021" s="1"/>
  <c r="AN518"/>
  <c r="AP518" s="1"/>
  <c r="AS518" s="1"/>
  <c r="AN1125"/>
  <c r="AP1125" s="1"/>
  <c r="AS1125" s="1"/>
  <c r="AN1067"/>
  <c r="AP1067" s="1"/>
  <c r="AS1067" s="1"/>
  <c r="AN300"/>
  <c r="AP300" s="1"/>
  <c r="AS300" s="1"/>
  <c r="AN948"/>
  <c r="AP948" s="1"/>
  <c r="AS948" s="1"/>
  <c r="AN174"/>
  <c r="AP174" s="1"/>
  <c r="AS174" s="1"/>
  <c r="AN1032"/>
  <c r="AP1032" s="1"/>
  <c r="AS1032" s="1"/>
  <c r="AN1220"/>
  <c r="AP1220" s="1"/>
  <c r="AS1220" s="1"/>
  <c r="AN163"/>
  <c r="AP163" s="1"/>
  <c r="AS163" s="1"/>
  <c r="AN930"/>
  <c r="AP930" s="1"/>
  <c r="AS930" s="1"/>
  <c r="AN546"/>
  <c r="AP546" s="1"/>
  <c r="AS546" s="1"/>
  <c r="AN566"/>
  <c r="AP566" s="1"/>
  <c r="AS566" s="1"/>
  <c r="AN1046"/>
  <c r="AP1046" s="1"/>
  <c r="AS1046" s="1"/>
  <c r="AN784"/>
  <c r="AP784" s="1"/>
  <c r="AS784" s="1"/>
  <c r="AN589"/>
  <c r="AP589" s="1"/>
  <c r="AS589" s="1"/>
  <c r="AN1037"/>
  <c r="AP1037" s="1"/>
  <c r="AS1037" s="1"/>
  <c r="AN836"/>
  <c r="AP836" s="1"/>
  <c r="AS836" s="1"/>
  <c r="AN1142"/>
  <c r="AP1142" s="1"/>
  <c r="AS1142" s="1"/>
  <c r="AN245"/>
  <c r="AP245" s="1"/>
  <c r="AS245" s="1"/>
  <c r="AN574"/>
  <c r="AP574" s="1"/>
  <c r="AS574" s="1"/>
  <c r="AN911"/>
  <c r="AP911" s="1"/>
  <c r="AS911" s="1"/>
  <c r="AN296"/>
  <c r="AP296" s="1"/>
  <c r="AS296" s="1"/>
  <c r="AN1225"/>
  <c r="AP1225" s="1"/>
  <c r="AS1225" s="1"/>
  <c r="AN901"/>
  <c r="AP901" s="1"/>
  <c r="AS901" s="1"/>
  <c r="AN720"/>
  <c r="AP720" s="1"/>
  <c r="AS720" s="1"/>
  <c r="AN1082"/>
  <c r="AP1082" s="1"/>
  <c r="AS1082" s="1"/>
  <c r="AN691"/>
  <c r="AP691" s="1"/>
  <c r="AS691" s="1"/>
  <c r="AN872"/>
  <c r="AP872" s="1"/>
  <c r="AS872" s="1"/>
  <c r="AN800"/>
  <c r="AP800" s="1"/>
  <c r="AS800" s="1"/>
  <c r="AN190"/>
  <c r="AP190" s="1"/>
  <c r="AS190" s="1"/>
  <c r="AO344"/>
  <c r="AR344" s="1"/>
  <c r="AO754"/>
  <c r="AR754" s="1"/>
  <c r="AO913"/>
  <c r="AR913" s="1"/>
  <c r="AO537"/>
  <c r="AR537" s="1"/>
  <c r="AO207"/>
  <c r="AR207" s="1"/>
  <c r="AO213"/>
  <c r="AR213" s="1"/>
  <c r="AO1011"/>
  <c r="AR1011" s="1"/>
  <c r="AN310"/>
  <c r="AP310" s="1"/>
  <c r="AS310" s="1"/>
  <c r="AO66"/>
  <c r="AR66" s="1"/>
  <c r="AN384"/>
  <c r="AP384" s="1"/>
  <c r="AS384" s="1"/>
  <c r="AN111"/>
  <c r="AP111" s="1"/>
  <c r="AS111" s="1"/>
  <c r="AN866"/>
  <c r="AP866" s="1"/>
  <c r="AS866" s="1"/>
  <c r="AN602"/>
  <c r="AP602" s="1"/>
  <c r="AS602" s="1"/>
  <c r="AN791"/>
  <c r="AP791" s="1"/>
  <c r="AS791" s="1"/>
  <c r="AN986"/>
  <c r="AP986" s="1"/>
  <c r="AS986" s="1"/>
  <c r="AN570"/>
  <c r="AP570" s="1"/>
  <c r="AS570" s="1"/>
  <c r="AN1251"/>
  <c r="AP1251" s="1"/>
  <c r="AS1251" s="1"/>
  <c r="AN579"/>
  <c r="AP579" s="1"/>
  <c r="AS579" s="1"/>
  <c r="AN1004"/>
  <c r="AP1004" s="1"/>
  <c r="AS1004" s="1"/>
  <c r="AN535"/>
  <c r="AP535" s="1"/>
  <c r="AS535" s="1"/>
  <c r="AN122"/>
  <c r="AP122" s="1"/>
  <c r="AS122" s="1"/>
  <c r="AN717"/>
  <c r="AP717" s="1"/>
  <c r="AS717" s="1"/>
  <c r="AN1058"/>
  <c r="AP1058" s="1"/>
  <c r="AS1058" s="1"/>
  <c r="AN568"/>
  <c r="AP568" s="1"/>
  <c r="AS568" s="1"/>
  <c r="AN1144"/>
  <c r="AP1144" s="1"/>
  <c r="AS1144" s="1"/>
  <c r="AO60"/>
  <c r="AR60" s="1"/>
  <c r="AN1247"/>
  <c r="AP1247" s="1"/>
  <c r="AS1247" s="1"/>
  <c r="AN821"/>
  <c r="AP821" s="1"/>
  <c r="AS821" s="1"/>
  <c r="AN1057"/>
  <c r="AP1057" s="1"/>
  <c r="AS1057" s="1"/>
  <c r="AN998"/>
  <c r="AP998" s="1"/>
  <c r="AS998" s="1"/>
  <c r="AN1060"/>
  <c r="AP1060" s="1"/>
  <c r="AS1060" s="1"/>
  <c r="AN940"/>
  <c r="AP940" s="1"/>
  <c r="AS940" s="1"/>
  <c r="AN143"/>
  <c r="AP143" s="1"/>
  <c r="AS143" s="1"/>
  <c r="AN556"/>
  <c r="AP556" s="1"/>
  <c r="AS556" s="1"/>
  <c r="AN712"/>
  <c r="AP712" s="1"/>
  <c r="AS712" s="1"/>
  <c r="AN923"/>
  <c r="AP923" s="1"/>
  <c r="AS923" s="1"/>
  <c r="AN291"/>
  <c r="AP291" s="1"/>
  <c r="AS291" s="1"/>
  <c r="AN847"/>
  <c r="AP847" s="1"/>
  <c r="AS847" s="1"/>
  <c r="AN540"/>
  <c r="AP540" s="1"/>
  <c r="AS540" s="1"/>
  <c r="AN882"/>
  <c r="AP882" s="1"/>
  <c r="AS882" s="1"/>
  <c r="AN491"/>
  <c r="AP491" s="1"/>
  <c r="AS491" s="1"/>
  <c r="AO55"/>
  <c r="AR55" s="1"/>
  <c r="AN683"/>
  <c r="AP683" s="1"/>
  <c r="AS683" s="1"/>
  <c r="AN569"/>
  <c r="AP569" s="1"/>
  <c r="AS569" s="1"/>
  <c r="AN365"/>
  <c r="AP365" s="1"/>
  <c r="AS365" s="1"/>
  <c r="AN517"/>
  <c r="AP517" s="1"/>
  <c r="AS517" s="1"/>
  <c r="AN650"/>
  <c r="AP650" s="1"/>
  <c r="AS650" s="1"/>
  <c r="AN513"/>
  <c r="AP513" s="1"/>
  <c r="AS513" s="1"/>
  <c r="AN292"/>
  <c r="AP292" s="1"/>
  <c r="AS292" s="1"/>
  <c r="AN1226"/>
  <c r="AP1226" s="1"/>
  <c r="AS1226" s="1"/>
  <c r="AN131"/>
  <c r="AP131" s="1"/>
  <c r="AS131" s="1"/>
  <c r="AO40"/>
  <c r="AR40" s="1"/>
  <c r="AN572"/>
  <c r="AP572" s="1"/>
  <c r="AS572" s="1"/>
  <c r="AN958"/>
  <c r="AP958" s="1"/>
  <c r="AS958" s="1"/>
  <c r="AN907"/>
  <c r="AP907" s="1"/>
  <c r="AS907" s="1"/>
  <c r="AN289"/>
  <c r="AP289" s="1"/>
  <c r="AS289" s="1"/>
  <c r="AN838"/>
  <c r="AP838" s="1"/>
  <c r="AS838" s="1"/>
  <c r="AN721"/>
  <c r="AP721" s="1"/>
  <c r="AS721" s="1"/>
  <c r="AN398"/>
  <c r="AP398" s="1"/>
  <c r="AS398" s="1"/>
  <c r="AO46"/>
  <c r="AR46" s="1"/>
  <c r="AN855"/>
  <c r="AP855" s="1"/>
  <c r="AS855" s="1"/>
  <c r="AN502"/>
  <c r="AP502" s="1"/>
  <c r="AS502" s="1"/>
  <c r="AN804"/>
  <c r="AP804" s="1"/>
  <c r="AS804" s="1"/>
  <c r="AN891"/>
  <c r="AP891" s="1"/>
  <c r="AS891" s="1"/>
  <c r="AO93"/>
  <c r="AR93" s="1"/>
  <c r="AN168"/>
  <c r="AP168" s="1"/>
  <c r="AS168" s="1"/>
  <c r="AN1255"/>
  <c r="AP1255" s="1"/>
  <c r="AS1255" s="1"/>
  <c r="AN984"/>
  <c r="AP984" s="1"/>
  <c r="AS984" s="1"/>
  <c r="AN1210"/>
  <c r="AP1210" s="1"/>
  <c r="AS1210" s="1"/>
  <c r="AN188"/>
  <c r="AP188" s="1"/>
  <c r="AS188" s="1"/>
  <c r="AN1098"/>
  <c r="AP1098" s="1"/>
  <c r="AS1098" s="1"/>
  <c r="AN946"/>
  <c r="AP946" s="1"/>
  <c r="AS946" s="1"/>
  <c r="AN1237"/>
  <c r="AP1237" s="1"/>
  <c r="AS1237" s="1"/>
  <c r="AN910"/>
  <c r="AP910" s="1"/>
  <c r="AS910" s="1"/>
  <c r="AN532"/>
  <c r="AP532" s="1"/>
  <c r="AS532" s="1"/>
  <c r="AN414"/>
  <c r="AP414" s="1"/>
  <c r="AS414" s="1"/>
  <c r="AO1185"/>
  <c r="AR1185" s="1"/>
  <c r="AN1066"/>
  <c r="AP1066" s="1"/>
  <c r="AS1066" s="1"/>
  <c r="AO246"/>
  <c r="AR246" s="1"/>
  <c r="AN1028"/>
  <c r="AP1028" s="1"/>
  <c r="AS1028" s="1"/>
  <c r="AN157"/>
  <c r="AP157" s="1"/>
  <c r="AS157" s="1"/>
  <c r="AN498"/>
  <c r="AP498" s="1"/>
  <c r="AS498" s="1"/>
  <c r="AN1169"/>
  <c r="AP1169" s="1"/>
  <c r="AS1169" s="1"/>
  <c r="AN113"/>
  <c r="AP113" s="1"/>
  <c r="AS113" s="1"/>
  <c r="AN353"/>
  <c r="AP353" s="1"/>
  <c r="AS353" s="1"/>
  <c r="AN126"/>
  <c r="AP126" s="1"/>
  <c r="AS126" s="1"/>
  <c r="AN694"/>
  <c r="AP694" s="1"/>
  <c r="AS694" s="1"/>
  <c r="AN1074"/>
  <c r="AP1074" s="1"/>
  <c r="AS1074" s="1"/>
  <c r="AN792"/>
  <c r="AP792" s="1"/>
  <c r="AS792" s="1"/>
  <c r="AN1262"/>
  <c r="AP1262" s="1"/>
  <c r="AS1262" s="1"/>
  <c r="AN1076"/>
  <c r="AP1076" s="1"/>
  <c r="AS1076" s="1"/>
  <c r="AN905"/>
  <c r="AP905" s="1"/>
  <c r="AS905" s="1"/>
  <c r="AN1206"/>
  <c r="AP1206" s="1"/>
  <c r="AS1206" s="1"/>
  <c r="AN493"/>
  <c r="AP493" s="1"/>
  <c r="AS493" s="1"/>
  <c r="AN722"/>
  <c r="AP722" s="1"/>
  <c r="AS722" s="1"/>
  <c r="AN622"/>
  <c r="AP622" s="1"/>
  <c r="AS622" s="1"/>
  <c r="AN1131"/>
  <c r="AP1131" s="1"/>
  <c r="AS1131" s="1"/>
  <c r="AN561"/>
  <c r="AP561" s="1"/>
  <c r="AS561" s="1"/>
  <c r="AN1012"/>
  <c r="AP1012" s="1"/>
  <c r="AS1012" s="1"/>
  <c r="AN1155"/>
  <c r="AP1155" s="1"/>
  <c r="AS1155" s="1"/>
  <c r="AN557"/>
  <c r="AP557" s="1"/>
  <c r="AS557" s="1"/>
  <c r="AN527"/>
  <c r="AP527" s="1"/>
  <c r="AS527" s="1"/>
  <c r="AN611"/>
  <c r="AP611" s="1"/>
  <c r="AS611" s="1"/>
  <c r="AN519"/>
  <c r="AP519" s="1"/>
  <c r="AS519" s="1"/>
  <c r="AN806"/>
  <c r="AP806" s="1"/>
  <c r="AS806" s="1"/>
  <c r="AN652"/>
  <c r="AP652" s="1"/>
  <c r="AS652" s="1"/>
  <c r="AN900"/>
  <c r="AP900" s="1"/>
  <c r="AS900" s="1"/>
  <c r="AN688"/>
  <c r="AP688" s="1"/>
  <c r="AS688" s="1"/>
  <c r="AN849"/>
  <c r="AP849" s="1"/>
  <c r="AS849" s="1"/>
  <c r="AN328"/>
  <c r="AP328" s="1"/>
  <c r="AS328" s="1"/>
  <c r="AN709"/>
  <c r="AP709" s="1"/>
  <c r="AS709" s="1"/>
  <c r="AN354"/>
  <c r="AP354" s="1"/>
  <c r="AS354" s="1"/>
  <c r="AN1248"/>
  <c r="AP1248" s="1"/>
  <c r="AS1248" s="1"/>
  <c r="AN576"/>
  <c r="AP576" s="1"/>
  <c r="AS576" s="1"/>
  <c r="AN1196"/>
  <c r="AP1196" s="1"/>
  <c r="AS1196" s="1"/>
  <c r="AN200"/>
  <c r="AP200" s="1"/>
  <c r="AS200" s="1"/>
  <c r="AN640"/>
  <c r="AP640" s="1"/>
  <c r="AS640" s="1"/>
  <c r="AN533"/>
  <c r="AP533" s="1"/>
  <c r="AS533" s="1"/>
  <c r="AN876"/>
  <c r="AP876" s="1"/>
  <c r="AS876" s="1"/>
  <c r="AN894"/>
  <c r="AP894" s="1"/>
  <c r="AS894" s="1"/>
  <c r="AN175"/>
  <c r="AP175" s="1"/>
  <c r="AS175" s="1"/>
  <c r="AN649"/>
  <c r="AP649" s="1"/>
  <c r="AS649" s="1"/>
  <c r="AN378"/>
  <c r="AP378" s="1"/>
  <c r="AS378" s="1"/>
  <c r="AN677"/>
  <c r="AP677" s="1"/>
  <c r="AS677" s="1"/>
  <c r="AN547"/>
  <c r="AP547" s="1"/>
  <c r="AS547" s="1"/>
  <c r="AN904"/>
  <c r="AP904" s="1"/>
  <c r="AS904" s="1"/>
  <c r="AN303"/>
  <c r="AP303" s="1"/>
  <c r="AS303" s="1"/>
  <c r="AN560"/>
  <c r="AP560" s="1"/>
  <c r="AS560" s="1"/>
  <c r="AN399"/>
  <c r="AP399" s="1"/>
  <c r="AS399" s="1"/>
  <c r="AN817"/>
  <c r="AP817" s="1"/>
  <c r="AS817" s="1"/>
  <c r="AN1147"/>
  <c r="AP1147" s="1"/>
  <c r="AS1147" s="1"/>
  <c r="AN1170"/>
  <c r="AP1170" s="1"/>
  <c r="AS1170" s="1"/>
  <c r="AN264"/>
  <c r="AP264" s="1"/>
  <c r="AS264" s="1"/>
  <c r="AN1168"/>
  <c r="AP1168" s="1"/>
  <c r="AS1168" s="1"/>
  <c r="AN346"/>
  <c r="AP346" s="1"/>
  <c r="AS346" s="1"/>
  <c r="AO34"/>
  <c r="AR34" s="1"/>
  <c r="AN1063"/>
  <c r="AP1063" s="1"/>
  <c r="AS1063" s="1"/>
  <c r="AN295"/>
  <c r="AP295" s="1"/>
  <c r="AS295" s="1"/>
  <c r="AN1203"/>
  <c r="AP1203" s="1"/>
  <c r="AS1203" s="1"/>
  <c r="AN604"/>
  <c r="AP604" s="1"/>
  <c r="AS604" s="1"/>
  <c r="AN599"/>
  <c r="AP599" s="1"/>
  <c r="AS599" s="1"/>
  <c r="AN490"/>
  <c r="AP490" s="1"/>
  <c r="AS490" s="1"/>
  <c r="AN667"/>
  <c r="AP667" s="1"/>
  <c r="AS667" s="1"/>
  <c r="AN314"/>
  <c r="AP314" s="1"/>
  <c r="AS314" s="1"/>
  <c r="AN1235"/>
  <c r="AP1235" s="1"/>
  <c r="AS1235" s="1"/>
  <c r="AN1096"/>
  <c r="AP1096" s="1"/>
  <c r="AS1096" s="1"/>
  <c r="AN125"/>
  <c r="AP125" s="1"/>
  <c r="AS125" s="1"/>
  <c r="AN397"/>
  <c r="AP397" s="1"/>
  <c r="AS397" s="1"/>
  <c r="AN193"/>
  <c r="AP193" s="1"/>
  <c r="AS193" s="1"/>
  <c r="AN608"/>
  <c r="AP608" s="1"/>
  <c r="AS608" s="1"/>
  <c r="AN1175"/>
  <c r="AP1175" s="1"/>
  <c r="AS1175" s="1"/>
  <c r="AN401"/>
  <c r="AP401" s="1"/>
  <c r="AS401" s="1"/>
  <c r="AO247"/>
  <c r="AR247" s="1"/>
  <c r="AO960"/>
  <c r="AR960" s="1"/>
  <c r="AO206"/>
  <c r="AR206" s="1"/>
  <c r="AO863"/>
  <c r="AR863" s="1"/>
  <c r="AO902"/>
  <c r="AR902" s="1"/>
  <c r="AN90"/>
  <c r="AP90" s="1"/>
  <c r="AS90" s="1"/>
  <c r="AN471"/>
  <c r="AP471" s="1"/>
  <c r="AS471" s="1"/>
  <c r="AN138"/>
  <c r="AP138" s="1"/>
  <c r="AS138" s="1"/>
  <c r="AO138"/>
  <c r="AR138" s="1"/>
  <c r="AN934"/>
  <c r="AP934" s="1"/>
  <c r="AS934" s="1"/>
  <c r="AN367"/>
  <c r="AP367" s="1"/>
  <c r="AS367" s="1"/>
  <c r="AN381"/>
  <c r="AP381" s="1"/>
  <c r="AS381" s="1"/>
  <c r="AN816"/>
  <c r="AP816" s="1"/>
  <c r="AS816" s="1"/>
  <c r="AN267"/>
  <c r="AP267" s="1"/>
  <c r="AS267" s="1"/>
  <c r="AO74"/>
  <c r="AR74" s="1"/>
  <c r="AN835"/>
  <c r="AP835" s="1"/>
  <c r="AS835" s="1"/>
  <c r="AN1134"/>
  <c r="AP1134" s="1"/>
  <c r="AS1134" s="1"/>
  <c r="AO61"/>
  <c r="AR61" s="1"/>
  <c r="AN927"/>
  <c r="AP927" s="1"/>
  <c r="AS927" s="1"/>
  <c r="AN327"/>
  <c r="AP327" s="1"/>
  <c r="AS327" s="1"/>
  <c r="AN619"/>
  <c r="AP619" s="1"/>
  <c r="AS619" s="1"/>
  <c r="AN294"/>
  <c r="AP294" s="1"/>
  <c r="AS294" s="1"/>
  <c r="AN704"/>
  <c r="AP704" s="1"/>
  <c r="AS704" s="1"/>
  <c r="AN1244"/>
  <c r="AP1244" s="1"/>
  <c r="AS1244" s="1"/>
  <c r="AO36"/>
  <c r="AR36" s="1"/>
  <c r="AN1165"/>
  <c r="AP1165" s="1"/>
  <c r="AS1165" s="1"/>
  <c r="AO925"/>
  <c r="AR925" s="1"/>
  <c r="AN510"/>
  <c r="AP510" s="1"/>
  <c r="AS510" s="1"/>
  <c r="AN257"/>
  <c r="AP257" s="1"/>
  <c r="AS257" s="1"/>
  <c r="AO37"/>
  <c r="AR37" s="1"/>
  <c r="AN823"/>
  <c r="AP823" s="1"/>
  <c r="AS823" s="1"/>
  <c r="AN361"/>
  <c r="AP361" s="1"/>
  <c r="AS361" s="1"/>
  <c r="AN1105"/>
  <c r="AP1105" s="1"/>
  <c r="AS1105" s="1"/>
  <c r="AN740"/>
  <c r="AP740" s="1"/>
  <c r="AS740" s="1"/>
  <c r="AN503"/>
  <c r="AP503" s="1"/>
  <c r="AS503" s="1"/>
  <c r="AN1200"/>
  <c r="AP1200" s="1"/>
  <c r="AS1200" s="1"/>
  <c r="AN195"/>
  <c r="AP195" s="1"/>
  <c r="AS195" s="1"/>
  <c r="AN1062"/>
  <c r="AP1062" s="1"/>
  <c r="AS1062" s="1"/>
  <c r="AO91"/>
  <c r="AR91" s="1"/>
  <c r="AN819"/>
  <c r="AP819" s="1"/>
  <c r="AS819" s="1"/>
  <c r="AN706"/>
  <c r="AP706" s="1"/>
  <c r="AS706" s="1"/>
  <c r="AN845"/>
  <c r="AP845" s="1"/>
  <c r="AS845" s="1"/>
  <c r="AN178"/>
  <c r="AP178" s="1"/>
  <c r="AS178" s="1"/>
  <c r="AN156"/>
  <c r="AP156" s="1"/>
  <c r="AS156" s="1"/>
  <c r="AN857"/>
  <c r="AP857" s="1"/>
  <c r="AS857" s="1"/>
  <c r="AN333"/>
  <c r="AP333" s="1"/>
  <c r="AS333" s="1"/>
  <c r="AN356"/>
  <c r="AP356" s="1"/>
  <c r="AS356" s="1"/>
  <c r="AN1091"/>
  <c r="AP1091" s="1"/>
  <c r="AS1091" s="1"/>
  <c r="AN796"/>
  <c r="AP796" s="1"/>
  <c r="AS796" s="1"/>
  <c r="AO80"/>
  <c r="AR80" s="1"/>
  <c r="AN725"/>
  <c r="AP725" s="1"/>
  <c r="AS725" s="1"/>
  <c r="AN645"/>
  <c r="AP645" s="1"/>
  <c r="AS645" s="1"/>
  <c r="AO170"/>
  <c r="AR170" s="1"/>
  <c r="AN949"/>
  <c r="AP949" s="1"/>
  <c r="AS949" s="1"/>
  <c r="AN247"/>
  <c r="AP247" s="1"/>
  <c r="AS247" s="1"/>
  <c r="AN1163"/>
  <c r="AP1163" s="1"/>
  <c r="AS1163" s="1"/>
  <c r="AN814"/>
  <c r="AP814" s="1"/>
  <c r="AS814" s="1"/>
  <c r="AN636"/>
  <c r="AP636" s="1"/>
  <c r="AS636" s="1"/>
  <c r="AN617"/>
  <c r="AP617" s="1"/>
  <c r="AS617" s="1"/>
  <c r="AN581"/>
  <c r="AP581" s="1"/>
  <c r="AS581" s="1"/>
  <c r="AN124"/>
  <c r="AP124" s="1"/>
  <c r="AS124" s="1"/>
  <c r="AO75"/>
  <c r="AR75" s="1"/>
  <c r="AN714"/>
  <c r="AP714" s="1"/>
  <c r="AS714" s="1"/>
  <c r="AN386"/>
  <c r="AP386" s="1"/>
  <c r="AS386" s="1"/>
  <c r="AN148"/>
  <c r="AP148" s="1"/>
  <c r="AS148" s="1"/>
  <c r="AN656"/>
  <c r="AP656" s="1"/>
  <c r="AS656" s="1"/>
  <c r="AN254"/>
  <c r="AP254" s="1"/>
  <c r="AS254" s="1"/>
  <c r="AN992"/>
  <c r="AP992" s="1"/>
  <c r="AS992" s="1"/>
  <c r="AN877"/>
  <c r="AP877" s="1"/>
  <c r="AS877" s="1"/>
  <c r="AN293"/>
  <c r="AP293" s="1"/>
  <c r="AS293" s="1"/>
  <c r="AN922"/>
  <c r="AP922" s="1"/>
  <c r="AS922" s="1"/>
  <c r="AN308"/>
  <c r="AP308" s="1"/>
  <c r="AS308" s="1"/>
  <c r="AO58"/>
  <c r="AR58" s="1"/>
  <c r="AN880"/>
  <c r="AP880" s="1"/>
  <c r="AS880" s="1"/>
  <c r="AN879"/>
  <c r="AP879" s="1"/>
  <c r="AS879" s="1"/>
  <c r="AN638"/>
  <c r="AP638" s="1"/>
  <c r="AS638" s="1"/>
  <c r="AN129"/>
  <c r="AP129" s="1"/>
  <c r="AS129" s="1"/>
  <c r="AN862"/>
  <c r="AP862" s="1"/>
  <c r="AS862" s="1"/>
  <c r="AN1049"/>
  <c r="AP1049" s="1"/>
  <c r="AS1049" s="1"/>
  <c r="AN1087"/>
  <c r="AP1087" s="1"/>
  <c r="AS1087" s="1"/>
  <c r="AN187"/>
  <c r="AP187" s="1"/>
  <c r="AS187" s="1"/>
  <c r="AN373"/>
  <c r="AP373" s="1"/>
  <c r="AS373" s="1"/>
  <c r="AN185"/>
  <c r="AP185" s="1"/>
  <c r="AS185" s="1"/>
  <c r="AN529"/>
  <c r="AP529" s="1"/>
  <c r="AS529" s="1"/>
  <c r="AN312"/>
  <c r="AP312" s="1"/>
  <c r="AS312" s="1"/>
  <c r="AN1095"/>
  <c r="AP1095" s="1"/>
  <c r="AS1095" s="1"/>
  <c r="AN154"/>
  <c r="AP154" s="1"/>
  <c r="AS154" s="1"/>
  <c r="AO49"/>
  <c r="AR49" s="1"/>
  <c r="AN1100"/>
  <c r="AP1100" s="1"/>
  <c r="AS1100" s="1"/>
  <c r="AN1022"/>
  <c r="AP1022" s="1"/>
  <c r="AS1022" s="1"/>
  <c r="AN735"/>
  <c r="AP735" s="1"/>
  <c r="AS735" s="1"/>
  <c r="AN1047"/>
  <c r="AP1047" s="1"/>
  <c r="AS1047" s="1"/>
  <c r="AN654"/>
  <c r="AP654" s="1"/>
  <c r="AS654" s="1"/>
  <c r="AN553"/>
  <c r="AP553" s="1"/>
  <c r="AS553" s="1"/>
  <c r="AN1015"/>
  <c r="AP1015" s="1"/>
  <c r="AS1015" s="1"/>
  <c r="AN580"/>
  <c r="AP580" s="1"/>
  <c r="AS580" s="1"/>
  <c r="AN288"/>
  <c r="AP288" s="1"/>
  <c r="AS288" s="1"/>
  <c r="AN690"/>
  <c r="AP690" s="1"/>
  <c r="AS690" s="1"/>
  <c r="AN966"/>
  <c r="AP966" s="1"/>
  <c r="AS966" s="1"/>
  <c r="AN815"/>
  <c r="AP815" s="1"/>
  <c r="AS815" s="1"/>
  <c r="AN362"/>
  <c r="AP362" s="1"/>
  <c r="AS362" s="1"/>
  <c r="AN615"/>
  <c r="AP615" s="1"/>
  <c r="AS615" s="1"/>
  <c r="AN869"/>
  <c r="AP869" s="1"/>
  <c r="AS869" s="1"/>
  <c r="AN198"/>
  <c r="AP198" s="1"/>
  <c r="AS198" s="1"/>
  <c r="AN929"/>
  <c r="AP929" s="1"/>
  <c r="AS929" s="1"/>
  <c r="AN1044"/>
  <c r="AP1044" s="1"/>
  <c r="AS1044" s="1"/>
  <c r="AN833"/>
  <c r="AP833" s="1"/>
  <c r="AS833" s="1"/>
  <c r="AN842"/>
  <c r="AP842" s="1"/>
  <c r="AS842" s="1"/>
  <c r="AN726"/>
  <c r="AP726" s="1"/>
  <c r="AS726" s="1"/>
  <c r="AN1254"/>
  <c r="AP1254" s="1"/>
  <c r="AS1254" s="1"/>
  <c r="AN1089"/>
  <c r="AP1089" s="1"/>
  <c r="AS1089" s="1"/>
  <c r="AN337"/>
  <c r="AP337" s="1"/>
  <c r="AS337" s="1"/>
  <c r="AN861"/>
  <c r="AP861" s="1"/>
  <c r="AS861" s="1"/>
  <c r="AN853"/>
  <c r="AP853" s="1"/>
  <c r="AS853" s="1"/>
  <c r="AN271"/>
  <c r="AP271" s="1"/>
  <c r="AS271" s="1"/>
  <c r="AN286"/>
  <c r="AP286" s="1"/>
  <c r="AS286" s="1"/>
  <c r="AN1034"/>
  <c r="AP1034" s="1"/>
  <c r="AS1034" s="1"/>
  <c r="AN1224"/>
  <c r="AP1224" s="1"/>
  <c r="AS1224" s="1"/>
  <c r="AN199"/>
  <c r="AP199" s="1"/>
  <c r="AS199" s="1"/>
  <c r="AN323"/>
  <c r="AP323" s="1"/>
  <c r="AS323" s="1"/>
  <c r="AN868"/>
  <c r="AP868" s="1"/>
  <c r="AS868" s="1"/>
  <c r="AN809"/>
  <c r="AP809" s="1"/>
  <c r="AS809" s="1"/>
  <c r="AN908"/>
  <c r="AP908" s="1"/>
  <c r="AS908" s="1"/>
  <c r="AN505"/>
  <c r="AP505" s="1"/>
  <c r="AS505" s="1"/>
  <c r="AN633"/>
  <c r="AP633" s="1"/>
  <c r="AS633" s="1"/>
  <c r="AN681"/>
  <c r="AP681" s="1"/>
  <c r="AS681" s="1"/>
  <c r="AN1068"/>
  <c r="AP1068" s="1"/>
  <c r="AS1068" s="1"/>
  <c r="AN601"/>
  <c r="AP601" s="1"/>
  <c r="AS601" s="1"/>
  <c r="AN1101"/>
  <c r="AP1101" s="1"/>
  <c r="AS1101" s="1"/>
  <c r="AN573"/>
  <c r="AP573" s="1"/>
  <c r="AS573" s="1"/>
  <c r="AN320"/>
  <c r="AP320" s="1"/>
  <c r="AS320" s="1"/>
  <c r="AN290"/>
  <c r="AP290" s="1"/>
  <c r="AS290" s="1"/>
  <c r="AN607"/>
  <c r="AP607" s="1"/>
  <c r="AS607" s="1"/>
  <c r="AN666"/>
  <c r="AP666" s="1"/>
  <c r="AS666" s="1"/>
  <c r="AO39"/>
  <c r="AR39" s="1"/>
  <c r="AN982"/>
  <c r="AP982" s="1"/>
  <c r="AS982" s="1"/>
  <c r="AO50"/>
  <c r="AR50" s="1"/>
  <c r="AN1263"/>
  <c r="AP1263" s="1"/>
  <c r="AS1263" s="1"/>
  <c r="AN788"/>
  <c r="AP788" s="1"/>
  <c r="AS788" s="1"/>
  <c r="AN1069"/>
  <c r="AP1069" s="1"/>
  <c r="AS1069" s="1"/>
  <c r="AN364"/>
  <c r="AP364" s="1"/>
  <c r="AS364" s="1"/>
  <c r="AN370"/>
  <c r="AP370" s="1"/>
  <c r="AS370" s="1"/>
  <c r="AN299"/>
  <c r="AP299" s="1"/>
  <c r="AS299" s="1"/>
  <c r="AN146"/>
  <c r="AP146" s="1"/>
  <c r="AS146" s="1"/>
  <c r="AN1025"/>
  <c r="AP1025" s="1"/>
  <c r="AS1025" s="1"/>
  <c r="AN1071"/>
  <c r="AP1071" s="1"/>
  <c r="AS1071" s="1"/>
  <c r="AO35"/>
  <c r="AR35" s="1"/>
  <c r="AN357"/>
  <c r="AP357" s="1"/>
  <c r="AS357" s="1"/>
  <c r="AN152"/>
  <c r="AP152" s="1"/>
  <c r="AS152" s="1"/>
  <c r="AN1053"/>
  <c r="AP1053" s="1"/>
  <c r="AS1053" s="1"/>
  <c r="AN324"/>
  <c r="AP324" s="1"/>
  <c r="AS324" s="1"/>
  <c r="AN177"/>
  <c r="AP177" s="1"/>
  <c r="AS177" s="1"/>
  <c r="AN1212"/>
  <c r="AP1212" s="1"/>
  <c r="AS1212" s="1"/>
  <c r="AO414"/>
  <c r="AR414" s="1"/>
  <c r="AN756"/>
  <c r="AP756" s="1"/>
  <c r="AS756" s="1"/>
  <c r="AO400"/>
  <c r="AR400" s="1"/>
  <c r="AO501"/>
  <c r="AR501" s="1"/>
  <c r="AN72"/>
  <c r="AP72" s="1"/>
  <c r="AS72" s="1"/>
  <c r="AO581"/>
  <c r="AR581" s="1"/>
  <c r="AO148"/>
  <c r="AR148" s="1"/>
  <c r="AN623"/>
  <c r="AP623" s="1"/>
  <c r="AS623" s="1"/>
  <c r="AN651"/>
  <c r="AP651" s="1"/>
  <c r="AS651" s="1"/>
  <c r="AN565"/>
  <c r="AP565" s="1"/>
  <c r="AS565" s="1"/>
  <c r="AN1151"/>
  <c r="AP1151" s="1"/>
  <c r="AS1151" s="1"/>
  <c r="AN976"/>
  <c r="AP976" s="1"/>
  <c r="AS976" s="1"/>
  <c r="AN883"/>
  <c r="AP883" s="1"/>
  <c r="AS883" s="1"/>
  <c r="AN139"/>
  <c r="AP139" s="1"/>
  <c r="AS139" s="1"/>
  <c r="AN956"/>
  <c r="AP956" s="1"/>
  <c r="AS956" s="1"/>
  <c r="AN1242"/>
  <c r="AP1242" s="1"/>
  <c r="AS1242" s="1"/>
  <c r="AN834"/>
  <c r="AP834" s="1"/>
  <c r="AS834" s="1"/>
  <c r="AN169"/>
  <c r="AP169" s="1"/>
  <c r="AS169" s="1"/>
  <c r="AN283"/>
  <c r="AP283" s="1"/>
  <c r="AS283" s="1"/>
  <c r="AN372"/>
  <c r="AP372" s="1"/>
  <c r="AS372" s="1"/>
  <c r="AN1081"/>
  <c r="AP1081" s="1"/>
  <c r="AS1081" s="1"/>
  <c r="AO43"/>
  <c r="AR43" s="1"/>
  <c r="AN586"/>
  <c r="AP586" s="1"/>
  <c r="AS586" s="1"/>
  <c r="AN626"/>
  <c r="AP626" s="1"/>
  <c r="AS626" s="1"/>
  <c r="AN550"/>
  <c r="AP550" s="1"/>
  <c r="AS550" s="1"/>
  <c r="AN647"/>
  <c r="AP647" s="1"/>
  <c r="AS647" s="1"/>
  <c r="AN340"/>
  <c r="AP340" s="1"/>
  <c r="AS340" s="1"/>
  <c r="AN1174"/>
  <c r="AP1174" s="1"/>
  <c r="AS1174" s="1"/>
  <c r="AN511"/>
  <c r="AP511" s="1"/>
  <c r="AS511" s="1"/>
  <c r="AN512"/>
  <c r="AP512" s="1"/>
  <c r="AS512" s="1"/>
  <c r="AN734"/>
  <c r="AP734" s="1"/>
  <c r="AS734" s="1"/>
  <c r="AN523"/>
  <c r="AP523" s="1"/>
  <c r="AS523" s="1"/>
  <c r="AN552"/>
  <c r="AP552" s="1"/>
  <c r="AS552" s="1"/>
  <c r="AN1102"/>
  <c r="AP1102" s="1"/>
  <c r="AS1102" s="1"/>
  <c r="AN332"/>
  <c r="AP332" s="1"/>
  <c r="AS332" s="1"/>
  <c r="AN376"/>
  <c r="AP376" s="1"/>
  <c r="AS376" s="1"/>
  <c r="AN822"/>
  <c r="AP822" s="1"/>
  <c r="AS822" s="1"/>
  <c r="AN369"/>
  <c r="AP369" s="1"/>
  <c r="AS369" s="1"/>
  <c r="AN919"/>
  <c r="AP919" s="1"/>
  <c r="AS919" s="1"/>
  <c r="AN1097"/>
  <c r="AP1097" s="1"/>
  <c r="AS1097" s="1"/>
  <c r="AN119"/>
  <c r="AP119" s="1"/>
  <c r="AS119" s="1"/>
  <c r="AN166"/>
  <c r="AP166" s="1"/>
  <c r="AS166" s="1"/>
  <c r="AN903"/>
  <c r="AP903" s="1"/>
  <c r="AS903" s="1"/>
  <c r="AN1045"/>
  <c r="AP1045" s="1"/>
  <c r="AS1045" s="1"/>
  <c r="AN318"/>
  <c r="AP318" s="1"/>
  <c r="AS318" s="1"/>
  <c r="AN689"/>
  <c r="AP689" s="1"/>
  <c r="AS689" s="1"/>
  <c r="AN548"/>
  <c r="AP548" s="1"/>
  <c r="AS548" s="1"/>
  <c r="AN522"/>
  <c r="AP522" s="1"/>
  <c r="AS522" s="1"/>
  <c r="AN1138"/>
  <c r="AP1138" s="1"/>
  <c r="AS1138" s="1"/>
  <c r="AN660"/>
  <c r="AP660" s="1"/>
  <c r="AS660" s="1"/>
  <c r="AN864"/>
  <c r="AP864" s="1"/>
  <c r="AS864" s="1"/>
  <c r="AN921"/>
  <c r="AP921" s="1"/>
  <c r="AS921" s="1"/>
  <c r="AN824"/>
  <c r="AP824" s="1"/>
  <c r="AS824" s="1"/>
  <c r="AN1061"/>
  <c r="AP1061" s="1"/>
  <c r="AS1061" s="1"/>
  <c r="AN1055"/>
  <c r="AP1055" s="1"/>
  <c r="AS1055" s="1"/>
  <c r="AN158"/>
  <c r="AP158" s="1"/>
  <c r="AS158" s="1"/>
  <c r="AN972"/>
  <c r="AP972" s="1"/>
  <c r="AS972" s="1"/>
  <c r="AN695"/>
  <c r="AP695" s="1"/>
  <c r="AS695" s="1"/>
  <c r="AN1259"/>
  <c r="AP1259" s="1"/>
  <c r="AS1259" s="1"/>
  <c r="AN674"/>
  <c r="AP674" s="1"/>
  <c r="AS674" s="1"/>
  <c r="AN885"/>
  <c r="AP885" s="1"/>
  <c r="AS885" s="1"/>
  <c r="AN1145"/>
  <c r="AP1145" s="1"/>
  <c r="AS1145" s="1"/>
  <c r="AN1240"/>
  <c r="AP1240" s="1"/>
  <c r="AS1240" s="1"/>
  <c r="AN693"/>
  <c r="AP693" s="1"/>
  <c r="AS693" s="1"/>
  <c r="AN524"/>
  <c r="AP524" s="1"/>
  <c r="AS524" s="1"/>
  <c r="AN1029"/>
  <c r="AP1029" s="1"/>
  <c r="AS1029" s="1"/>
  <c r="AN663"/>
  <c r="AP663" s="1"/>
  <c r="AS663" s="1"/>
  <c r="AN266"/>
  <c r="AP266" s="1"/>
  <c r="AS266" s="1"/>
  <c r="AN1042"/>
  <c r="AP1042" s="1"/>
  <c r="AS1042" s="1"/>
  <c r="AN785"/>
  <c r="AP785" s="1"/>
  <c r="AS785" s="1"/>
  <c r="AN1080"/>
  <c r="AP1080" s="1"/>
  <c r="AS1080" s="1"/>
  <c r="AN687"/>
  <c r="AP687" s="1"/>
  <c r="AS687" s="1"/>
  <c r="AN1250"/>
  <c r="AP1250" s="1"/>
  <c r="AS1250" s="1"/>
  <c r="AN1000"/>
  <c r="AP1000" s="1"/>
  <c r="AS1000" s="1"/>
  <c r="AN1160"/>
  <c r="AP1160" s="1"/>
  <c r="AS1160" s="1"/>
  <c r="AN1156"/>
  <c r="AP1156" s="1"/>
  <c r="AS1156" s="1"/>
  <c r="AN738"/>
  <c r="AP738" s="1"/>
  <c r="AS738" s="1"/>
  <c r="AN659"/>
  <c r="AP659" s="1"/>
  <c r="AS659" s="1"/>
  <c r="AN914"/>
  <c r="AP914" s="1"/>
  <c r="AS914" s="1"/>
  <c r="AN118"/>
  <c r="AP118" s="1"/>
  <c r="AS118" s="1"/>
  <c r="AN182"/>
  <c r="AP182" s="1"/>
  <c r="AS182" s="1"/>
  <c r="AN1204"/>
  <c r="AP1204" s="1"/>
  <c r="AS1204" s="1"/>
  <c r="AN1110"/>
  <c r="AP1110" s="1"/>
  <c r="AS1110" s="1"/>
  <c r="AN1103"/>
  <c r="AP1103" s="1"/>
  <c r="AS1103" s="1"/>
  <c r="AN1086"/>
  <c r="AP1086" s="1"/>
  <c r="AS1086" s="1"/>
  <c r="AN1181"/>
  <c r="AP1181" s="1"/>
  <c r="AS1181" s="1"/>
  <c r="AN642"/>
  <c r="AP642" s="1"/>
  <c r="AS642" s="1"/>
  <c r="AN514"/>
  <c r="AP514" s="1"/>
  <c r="AS514" s="1"/>
  <c r="AN620"/>
  <c r="AP620" s="1"/>
  <c r="AS620" s="1"/>
  <c r="AN253"/>
  <c r="AP253" s="1"/>
  <c r="AS253" s="1"/>
  <c r="AN1192"/>
  <c r="AP1192" s="1"/>
  <c r="AS1192" s="1"/>
  <c r="AN371"/>
  <c r="AP371" s="1"/>
  <c r="AS371" s="1"/>
  <c r="AN244"/>
  <c r="AP244" s="1"/>
  <c r="AS244" s="1"/>
  <c r="AO94"/>
  <c r="AR94" s="1"/>
  <c r="AN1123"/>
  <c r="AP1123" s="1"/>
  <c r="AS1123" s="1"/>
  <c r="AN350"/>
  <c r="AP350" s="1"/>
  <c r="AS350" s="1"/>
  <c r="AN1120"/>
  <c r="AP1120" s="1"/>
  <c r="AS1120" s="1"/>
  <c r="AN1038"/>
  <c r="AP1038" s="1"/>
  <c r="AS1038" s="1"/>
  <c r="AN875"/>
  <c r="AP875" s="1"/>
  <c r="AS875" s="1"/>
  <c r="AN298"/>
  <c r="AP298" s="1"/>
  <c r="AS298" s="1"/>
  <c r="AN538"/>
  <c r="AP538" s="1"/>
  <c r="AS538" s="1"/>
  <c r="AN259"/>
  <c r="AP259" s="1"/>
  <c r="AS259" s="1"/>
  <c r="AN779"/>
  <c r="AP779" s="1"/>
  <c r="AS779" s="1"/>
  <c r="AN996"/>
  <c r="AP996" s="1"/>
  <c r="AS996" s="1"/>
  <c r="AN881"/>
  <c r="AP881" s="1"/>
  <c r="AS881" s="1"/>
  <c r="AN309"/>
  <c r="AP309" s="1"/>
  <c r="AS309" s="1"/>
  <c r="AN344"/>
  <c r="AP344" s="1"/>
  <c r="AS344" s="1"/>
  <c r="AN377"/>
  <c r="AP377" s="1"/>
  <c r="AS377" s="1"/>
  <c r="AN75"/>
  <c r="AP75" s="1"/>
  <c r="AS75" s="1"/>
  <c r="AN302"/>
  <c r="AP302" s="1"/>
  <c r="AS302" s="1"/>
  <c r="AO812"/>
  <c r="AR812" s="1"/>
  <c r="AO992"/>
  <c r="AR992" s="1"/>
  <c r="AO499"/>
  <c r="AR499" s="1"/>
  <c r="AN748"/>
  <c r="AP748" s="1"/>
  <c r="AS748" s="1"/>
  <c r="AO386"/>
  <c r="AR386" s="1"/>
  <c r="AO714"/>
  <c r="AR714" s="1"/>
  <c r="AN1106"/>
  <c r="AP1106" s="1"/>
  <c r="AS1106" s="1"/>
  <c r="AN120"/>
  <c r="AP120" s="1"/>
  <c r="AS120" s="1"/>
  <c r="AO909"/>
  <c r="AR909" s="1"/>
  <c r="AO1066"/>
  <c r="AR1066" s="1"/>
  <c r="AO130"/>
  <c r="AR130" s="1"/>
  <c r="AN201"/>
  <c r="AP201" s="1"/>
  <c r="AS201" s="1"/>
  <c r="AN980"/>
  <c r="AP980" s="1"/>
  <c r="AS980" s="1"/>
  <c r="AN1050"/>
  <c r="AP1050" s="1"/>
  <c r="AS1050" s="1"/>
  <c r="AN621"/>
  <c r="AP621" s="1"/>
  <c r="AS621" s="1"/>
  <c r="AN727"/>
  <c r="AP727" s="1"/>
  <c r="AS727" s="1"/>
  <c r="AN789"/>
  <c r="AP789" s="1"/>
  <c r="AS789" s="1"/>
  <c r="AN366"/>
  <c r="AP366" s="1"/>
  <c r="AS366" s="1"/>
  <c r="AN839"/>
  <c r="AP839" s="1"/>
  <c r="AS839" s="1"/>
  <c r="AN783"/>
  <c r="AP783" s="1"/>
  <c r="AS783" s="1"/>
  <c r="AN1260"/>
  <c r="AP1260" s="1"/>
  <c r="AS1260" s="1"/>
  <c r="AN978"/>
  <c r="AP978" s="1"/>
  <c r="AS978" s="1"/>
  <c r="AN278"/>
  <c r="AP278" s="1"/>
  <c r="AS278" s="1"/>
  <c r="AN108"/>
  <c r="AP108" s="1"/>
  <c r="AS108" s="1"/>
  <c r="AN952"/>
  <c r="AP952" s="1"/>
  <c r="AS952" s="1"/>
  <c r="AN1173"/>
  <c r="AP1173" s="1"/>
  <c r="AS1173" s="1"/>
  <c r="AN150"/>
  <c r="AP150" s="1"/>
  <c r="AS150" s="1"/>
  <c r="AN786"/>
  <c r="AP786" s="1"/>
  <c r="AS786" s="1"/>
  <c r="AN1079"/>
  <c r="AP1079" s="1"/>
  <c r="AS1079" s="1"/>
  <c r="AN260"/>
  <c r="AP260" s="1"/>
  <c r="AS260" s="1"/>
  <c r="AN1231"/>
  <c r="AP1231" s="1"/>
  <c r="AS1231" s="1"/>
  <c r="AN507"/>
  <c r="AP507" s="1"/>
  <c r="AS507" s="1"/>
  <c r="AN114"/>
  <c r="AP114" s="1"/>
  <c r="AS114" s="1"/>
  <c r="AN713"/>
  <c r="AP713" s="1"/>
  <c r="AS713" s="1"/>
  <c r="AN1036"/>
  <c r="AP1036" s="1"/>
  <c r="AS1036" s="1"/>
  <c r="AN508"/>
  <c r="AP508" s="1"/>
  <c r="AS508" s="1"/>
  <c r="AN870"/>
  <c r="AP870" s="1"/>
  <c r="AS870" s="1"/>
  <c r="AN684"/>
  <c r="AP684" s="1"/>
  <c r="AS684" s="1"/>
  <c r="AN262"/>
  <c r="AP262" s="1"/>
  <c r="AS262" s="1"/>
  <c r="AN1152"/>
  <c r="AP1152" s="1"/>
  <c r="AS1152" s="1"/>
  <c r="AN782"/>
  <c r="AP782" s="1"/>
  <c r="AS782" s="1"/>
  <c r="AN395"/>
  <c r="AP395" s="1"/>
  <c r="AS395" s="1"/>
  <c r="AN1252"/>
  <c r="AP1252" s="1"/>
  <c r="AS1252" s="1"/>
  <c r="AN606"/>
  <c r="AP606" s="1"/>
  <c r="AS606" s="1"/>
  <c r="AN625"/>
  <c r="AP625" s="1"/>
  <c r="AS625" s="1"/>
  <c r="AN1016"/>
  <c r="AP1016" s="1"/>
  <c r="AS1016" s="1"/>
  <c r="AN610"/>
  <c r="AP610" s="1"/>
  <c r="AS610" s="1"/>
  <c r="AN149"/>
  <c r="AP149" s="1"/>
  <c r="AS149" s="1"/>
  <c r="AO99"/>
  <c r="AR99" s="1"/>
  <c r="AN609"/>
  <c r="AP609" s="1"/>
  <c r="AS609" s="1"/>
  <c r="AN269"/>
  <c r="AP269" s="1"/>
  <c r="AS269" s="1"/>
  <c r="AN1026"/>
  <c r="AP1026" s="1"/>
  <c r="AS1026" s="1"/>
  <c r="AN844"/>
  <c r="AP844" s="1"/>
  <c r="AS844" s="1"/>
  <c r="AO88"/>
  <c r="AR88" s="1"/>
  <c r="AN813"/>
  <c r="AP813" s="1"/>
  <c r="AS813" s="1"/>
  <c r="AN363"/>
  <c r="AP363" s="1"/>
  <c r="AS363" s="1"/>
  <c r="AN1249"/>
  <c r="AP1249" s="1"/>
  <c r="AS1249" s="1"/>
  <c r="AN578"/>
  <c r="AP578" s="1"/>
  <c r="AS578" s="1"/>
  <c r="AN1269"/>
  <c r="AP1269" s="1"/>
  <c r="AS1269" s="1"/>
  <c r="AN841"/>
  <c r="AP841" s="1"/>
  <c r="AS841" s="1"/>
  <c r="AN1272"/>
  <c r="AP1272" s="1"/>
  <c r="AS1272" s="1"/>
  <c r="AN1216"/>
  <c r="AP1216" s="1"/>
  <c r="AS1216" s="1"/>
  <c r="AN530"/>
  <c r="AP530" s="1"/>
  <c r="AS530" s="1"/>
  <c r="AN1166"/>
  <c r="AP1166" s="1"/>
  <c r="AS1166" s="1"/>
  <c r="AN526"/>
  <c r="AP526" s="1"/>
  <c r="AS526" s="1"/>
  <c r="AN115"/>
  <c r="AP115" s="1"/>
  <c r="AS115" s="1"/>
  <c r="AN803"/>
  <c r="AP803" s="1"/>
  <c r="AS803" s="1"/>
  <c r="AN1202"/>
  <c r="AP1202" s="1"/>
  <c r="AS1202" s="1"/>
  <c r="AN672"/>
  <c r="AP672" s="1"/>
  <c r="AS672" s="1"/>
  <c r="AN582"/>
  <c r="AP582" s="1"/>
  <c r="AS582" s="1"/>
  <c r="AN153"/>
  <c r="AP153" s="1"/>
  <c r="AS153" s="1"/>
  <c r="AN1236"/>
  <c r="AP1236" s="1"/>
  <c r="AS1236" s="1"/>
  <c r="AO82"/>
  <c r="AR82" s="1"/>
  <c r="AN1052"/>
  <c r="AP1052" s="1"/>
  <c r="AS1052" s="1"/>
  <c r="AN272"/>
  <c r="AP272" s="1"/>
  <c r="AS272" s="1"/>
  <c r="AN860"/>
  <c r="AP860" s="1"/>
  <c r="AS860" s="1"/>
  <c r="AN1128"/>
  <c r="AP1128" s="1"/>
  <c r="AS1128" s="1"/>
  <c r="AN571"/>
  <c r="AP571" s="1"/>
  <c r="AS571" s="1"/>
  <c r="AN389"/>
  <c r="AP389" s="1"/>
  <c r="AS389" s="1"/>
  <c r="AN544"/>
  <c r="AP544" s="1"/>
  <c r="AS544" s="1"/>
  <c r="AN176"/>
  <c r="AP176" s="1"/>
  <c r="AS176" s="1"/>
  <c r="AN128"/>
  <c r="AP128" s="1"/>
  <c r="AS128" s="1"/>
  <c r="AN545"/>
  <c r="AP545" s="1"/>
  <c r="AS545" s="1"/>
  <c r="AN584"/>
  <c r="AP584" s="1"/>
  <c r="AS584" s="1"/>
  <c r="AN793"/>
  <c r="AP793" s="1"/>
  <c r="AS793" s="1"/>
  <c r="AN728"/>
  <c r="AP728" s="1"/>
  <c r="AS728" s="1"/>
  <c r="AN123"/>
  <c r="AP123" s="1"/>
  <c r="AS123" s="1"/>
  <c r="AN887"/>
  <c r="AP887" s="1"/>
  <c r="AS887" s="1"/>
  <c r="AN831"/>
  <c r="AP831" s="1"/>
  <c r="AS831" s="1"/>
  <c r="AN1184"/>
  <c r="AP1184" s="1"/>
  <c r="AS1184" s="1"/>
  <c r="AN1019"/>
  <c r="AP1019" s="1"/>
  <c r="AS1019" s="1"/>
  <c r="AN1253"/>
  <c r="AP1253" s="1"/>
  <c r="AS1253" s="1"/>
  <c r="AN730"/>
  <c r="AP730" s="1"/>
  <c r="AS730" s="1"/>
  <c r="AN724"/>
  <c r="AP724" s="1"/>
  <c r="AS724" s="1"/>
  <c r="AN331"/>
  <c r="AP331" s="1"/>
  <c r="AS331" s="1"/>
  <c r="AN358"/>
  <c r="AP358" s="1"/>
  <c r="AS358" s="1"/>
  <c r="AN112"/>
  <c r="AP112" s="1"/>
  <c r="AS112" s="1"/>
  <c r="AN685"/>
  <c r="AP685" s="1"/>
  <c r="AS685" s="1"/>
  <c r="AN301"/>
  <c r="AP301" s="1"/>
  <c r="AS301" s="1"/>
  <c r="AN506"/>
  <c r="AP506" s="1"/>
  <c r="AS506" s="1"/>
  <c r="AN707"/>
  <c r="AP707" s="1"/>
  <c r="AS707" s="1"/>
  <c r="AN379"/>
  <c r="AP379" s="1"/>
  <c r="AS379" s="1"/>
  <c r="AN1233"/>
  <c r="AP1233" s="1"/>
  <c r="AS1233" s="1"/>
  <c r="AN600"/>
  <c r="AP600" s="1"/>
  <c r="AS600" s="1"/>
  <c r="AN616"/>
  <c r="AP616" s="1"/>
  <c r="AS616" s="1"/>
  <c r="AN1140"/>
  <c r="AP1140" s="1"/>
  <c r="AS1140" s="1"/>
  <c r="AN630"/>
  <c r="AP630" s="1"/>
  <c r="AS630" s="1"/>
  <c r="AN192"/>
  <c r="AP192" s="1"/>
  <c r="AS192" s="1"/>
  <c r="AN889"/>
  <c r="AP889" s="1"/>
  <c r="AS889" s="1"/>
  <c r="AN612"/>
  <c r="AP612" s="1"/>
  <c r="AS612" s="1"/>
  <c r="AN500"/>
  <c r="AP500" s="1"/>
  <c r="AS500" s="1"/>
  <c r="AN382"/>
  <c r="AP382" s="1"/>
  <c r="AS382" s="1"/>
  <c r="AO78"/>
  <c r="AR78" s="1"/>
  <c r="AN388"/>
  <c r="AP388" s="1"/>
  <c r="AS388" s="1"/>
  <c r="AN520"/>
  <c r="AP520" s="1"/>
  <c r="AS520" s="1"/>
  <c r="AO137"/>
  <c r="AR137" s="1"/>
  <c r="AO656"/>
  <c r="AR656" s="1"/>
  <c r="AO676"/>
  <c r="AR676" s="1"/>
  <c r="AO848"/>
  <c r="AR848" s="1"/>
  <c r="AN62"/>
  <c r="AP62" s="1"/>
  <c r="AS62" s="1"/>
  <c r="AO121"/>
  <c r="AR121" s="1"/>
  <c r="AO171"/>
  <c r="AR171" s="1"/>
  <c r="AO62"/>
  <c r="AR62" s="1"/>
  <c r="AO117"/>
  <c r="AR117" s="1"/>
  <c r="AO321"/>
  <c r="AR321" s="1"/>
  <c r="AO932"/>
  <c r="AR932" s="1"/>
  <c r="AN951"/>
  <c r="AP951" s="1"/>
  <c r="AS951" s="1"/>
  <c r="AO325"/>
  <c r="AR325" s="1"/>
  <c r="AO563"/>
  <c r="AR563" s="1"/>
  <c r="AO886"/>
  <c r="AR886" s="1"/>
  <c r="AN44"/>
  <c r="AP44" s="1"/>
  <c r="AS44" s="1"/>
  <c r="AO772"/>
  <c r="AR772" s="1"/>
  <c r="AN772"/>
  <c r="AP772" s="1"/>
  <c r="AS772" s="1"/>
  <c r="AN234"/>
  <c r="AP234" s="1"/>
  <c r="AS234" s="1"/>
  <c r="AO234"/>
  <c r="AR234" s="1"/>
  <c r="AN739"/>
  <c r="AP739" s="1"/>
  <c r="AS739" s="1"/>
  <c r="AO739"/>
  <c r="AR739" s="1"/>
  <c r="AO770"/>
  <c r="AR770" s="1"/>
  <c r="AN770"/>
  <c r="AP770" s="1"/>
  <c r="AS770" s="1"/>
  <c r="AN440"/>
  <c r="AP440" s="1"/>
  <c r="AS440" s="1"/>
  <c r="AO440"/>
  <c r="AR440" s="1"/>
  <c r="AN761"/>
  <c r="AP761" s="1"/>
  <c r="AS761" s="1"/>
  <c r="AO761"/>
  <c r="AR761" s="1"/>
  <c r="AO758"/>
  <c r="AR758" s="1"/>
  <c r="AN758"/>
  <c r="AP758" s="1"/>
  <c r="AS758" s="1"/>
  <c r="AN981"/>
  <c r="AP981" s="1"/>
  <c r="AS981" s="1"/>
  <c r="AO981"/>
  <c r="AR981" s="1"/>
  <c r="AO449"/>
  <c r="AR449" s="1"/>
  <c r="AN449"/>
  <c r="AP449" s="1"/>
  <c r="AS449" s="1"/>
  <c r="AN947"/>
  <c r="AP947" s="1"/>
  <c r="AS947" s="1"/>
  <c r="AO947"/>
  <c r="AR947" s="1"/>
  <c r="AN486"/>
  <c r="AP486" s="1"/>
  <c r="AS486" s="1"/>
  <c r="AO486"/>
  <c r="AR486" s="1"/>
  <c r="AN969"/>
  <c r="AP969" s="1"/>
  <c r="AS969" s="1"/>
  <c r="AO969"/>
  <c r="AR969" s="1"/>
  <c r="AO768"/>
  <c r="AR768" s="1"/>
  <c r="AN768"/>
  <c r="AP768" s="1"/>
  <c r="AS768" s="1"/>
  <c r="AN973"/>
  <c r="AP973" s="1"/>
  <c r="AS973" s="1"/>
  <c r="AO973"/>
  <c r="AR973" s="1"/>
  <c r="AO219"/>
  <c r="AR219" s="1"/>
  <c r="AN219"/>
  <c r="AP219" s="1"/>
  <c r="AS219" s="1"/>
  <c r="AO741"/>
  <c r="AR741" s="1"/>
  <c r="AN741"/>
  <c r="AP741" s="1"/>
  <c r="AS741" s="1"/>
  <c r="AO412"/>
  <c r="AR412" s="1"/>
  <c r="AN412"/>
  <c r="AP412" s="1"/>
  <c r="AS412" s="1"/>
  <c r="AN455"/>
  <c r="AP455" s="1"/>
  <c r="AS455" s="1"/>
  <c r="AO455"/>
  <c r="AR455" s="1"/>
  <c r="AN937"/>
  <c r="AP937" s="1"/>
  <c r="AS937" s="1"/>
  <c r="AO937"/>
  <c r="AR937" s="1"/>
  <c r="AO437"/>
  <c r="AR437" s="1"/>
  <c r="AN437"/>
  <c r="AP437" s="1"/>
  <c r="AS437" s="1"/>
  <c r="AN767"/>
  <c r="AP767" s="1"/>
  <c r="AS767" s="1"/>
  <c r="AO767"/>
  <c r="AR767" s="1"/>
  <c r="AO456"/>
  <c r="AR456" s="1"/>
  <c r="AN456"/>
  <c r="AP456" s="1"/>
  <c r="AS456" s="1"/>
  <c r="AN457"/>
  <c r="AP457" s="1"/>
  <c r="AS457" s="1"/>
  <c r="AO457"/>
  <c r="AR457" s="1"/>
  <c r="AO776"/>
  <c r="AR776" s="1"/>
  <c r="AN776"/>
  <c r="AP776" s="1"/>
  <c r="AS776" s="1"/>
  <c r="AO241"/>
  <c r="AR241" s="1"/>
  <c r="AN241"/>
  <c r="AP241" s="1"/>
  <c r="AS241" s="1"/>
  <c r="AO215"/>
  <c r="AR215" s="1"/>
  <c r="AN215"/>
  <c r="AP215" s="1"/>
  <c r="AS215" s="1"/>
  <c r="AN418"/>
  <c r="AP418" s="1"/>
  <c r="AS418" s="1"/>
  <c r="AO418"/>
  <c r="AR418" s="1"/>
  <c r="AO232"/>
  <c r="AR232" s="1"/>
  <c r="AN232"/>
  <c r="AP232" s="1"/>
  <c r="AS232" s="1"/>
  <c r="AO467"/>
  <c r="AR467" s="1"/>
  <c r="AN467"/>
  <c r="AP467" s="1"/>
  <c r="AS467" s="1"/>
  <c r="AO433"/>
  <c r="AR433" s="1"/>
  <c r="AN433"/>
  <c r="AP433" s="1"/>
  <c r="AS433" s="1"/>
  <c r="AN429"/>
  <c r="AP429" s="1"/>
  <c r="AS429" s="1"/>
  <c r="AO429"/>
  <c r="AR429" s="1"/>
  <c r="AN242"/>
  <c r="AP242" s="1"/>
  <c r="AS242" s="1"/>
  <c r="AO242"/>
  <c r="AR242" s="1"/>
  <c r="AN775"/>
  <c r="AP775" s="1"/>
  <c r="AS775" s="1"/>
  <c r="AO775"/>
  <c r="AR775" s="1"/>
  <c r="AO441"/>
  <c r="AR441" s="1"/>
  <c r="AN441"/>
  <c r="AP441" s="1"/>
  <c r="AS441" s="1"/>
  <c r="AN931"/>
  <c r="AP931" s="1"/>
  <c r="AS931" s="1"/>
  <c r="AO931"/>
  <c r="AR931" s="1"/>
  <c r="AN1005"/>
  <c r="AP1005" s="1"/>
  <c r="AS1005" s="1"/>
  <c r="AO1005"/>
  <c r="AR1005" s="1"/>
  <c r="AO448"/>
  <c r="AR448" s="1"/>
  <c r="AN448"/>
  <c r="AP448" s="1"/>
  <c r="AS448" s="1"/>
  <c r="AN959"/>
  <c r="AP959" s="1"/>
  <c r="AS959" s="1"/>
  <c r="AO959"/>
  <c r="AR959" s="1"/>
  <c r="AN1009"/>
  <c r="AP1009" s="1"/>
  <c r="AS1009" s="1"/>
  <c r="AO1009"/>
  <c r="AR1009" s="1"/>
  <c r="AO485"/>
  <c r="AR485" s="1"/>
  <c r="AN485"/>
  <c r="AP485" s="1"/>
  <c r="AS485" s="1"/>
  <c r="AN211"/>
  <c r="AP211" s="1"/>
  <c r="AS211" s="1"/>
  <c r="AO211"/>
  <c r="AR211" s="1"/>
  <c r="AO424"/>
  <c r="AR424" s="1"/>
  <c r="AN424"/>
  <c r="AP424" s="1"/>
  <c r="AS424" s="1"/>
  <c r="AO226"/>
  <c r="AR226" s="1"/>
  <c r="AN226"/>
  <c r="AP226" s="1"/>
  <c r="AS226" s="1"/>
  <c r="AO239"/>
  <c r="AR239" s="1"/>
  <c r="AN239"/>
  <c r="AP239" s="1"/>
  <c r="AS239" s="1"/>
  <c r="AO231"/>
  <c r="AR231" s="1"/>
  <c r="AN231"/>
  <c r="AP231" s="1"/>
  <c r="AS231" s="1"/>
  <c r="AO426"/>
  <c r="AR426" s="1"/>
  <c r="AN426"/>
  <c r="AP426" s="1"/>
  <c r="AS426" s="1"/>
  <c r="AN481"/>
  <c r="AP481" s="1"/>
  <c r="AS481" s="1"/>
  <c r="AO481"/>
  <c r="AR481" s="1"/>
  <c r="AO403"/>
  <c r="AR403" s="1"/>
  <c r="AN403"/>
  <c r="AP403" s="1"/>
  <c r="AS403" s="1"/>
  <c r="AO229"/>
  <c r="AR229" s="1"/>
  <c r="AN229"/>
  <c r="AP229" s="1"/>
  <c r="AS229" s="1"/>
  <c r="AN475"/>
  <c r="AP475" s="1"/>
  <c r="AS475" s="1"/>
  <c r="AO475"/>
  <c r="AR475" s="1"/>
  <c r="AO210"/>
  <c r="AR210" s="1"/>
  <c r="AN210"/>
  <c r="AP210" s="1"/>
  <c r="AS210" s="1"/>
  <c r="AN957"/>
  <c r="AP957" s="1"/>
  <c r="AS957" s="1"/>
  <c r="AO957"/>
  <c r="AR957" s="1"/>
  <c r="AN771"/>
  <c r="AP771" s="1"/>
  <c r="AS771" s="1"/>
  <c r="AO771"/>
  <c r="AR771" s="1"/>
  <c r="AN743"/>
  <c r="AP743" s="1"/>
  <c r="AS743" s="1"/>
  <c r="AO743"/>
  <c r="AR743" s="1"/>
  <c r="AN763"/>
  <c r="AP763" s="1"/>
  <c r="AS763" s="1"/>
  <c r="AO763"/>
  <c r="AR763" s="1"/>
  <c r="AO240"/>
  <c r="AR240" s="1"/>
  <c r="AN240"/>
  <c r="AP240" s="1"/>
  <c r="AS240" s="1"/>
  <c r="AO474"/>
  <c r="AR474" s="1"/>
  <c r="AN474"/>
  <c r="AP474" s="1"/>
  <c r="AS474" s="1"/>
  <c r="AO428"/>
  <c r="AR428" s="1"/>
  <c r="AN428"/>
  <c r="AP428" s="1"/>
  <c r="AS428" s="1"/>
  <c r="AN985"/>
  <c r="AP985" s="1"/>
  <c r="AS985" s="1"/>
  <c r="AO985"/>
  <c r="AR985" s="1"/>
  <c r="AN933"/>
  <c r="AP933" s="1"/>
  <c r="AS933" s="1"/>
  <c r="AO933"/>
  <c r="AR933" s="1"/>
  <c r="AN987"/>
  <c r="AP987" s="1"/>
  <c r="AS987" s="1"/>
  <c r="AO987"/>
  <c r="AR987" s="1"/>
  <c r="AN979"/>
  <c r="AP979" s="1"/>
  <c r="AS979" s="1"/>
  <c r="AO979"/>
  <c r="AR979" s="1"/>
  <c r="AN218"/>
  <c r="AP218" s="1"/>
  <c r="AS218" s="1"/>
  <c r="AO218"/>
  <c r="AR218" s="1"/>
  <c r="AO482"/>
  <c r="AR482" s="1"/>
  <c r="AN482"/>
  <c r="AP482" s="1"/>
  <c r="AS482" s="1"/>
  <c r="AO477"/>
  <c r="AR477" s="1"/>
  <c r="AN477"/>
  <c r="AP477" s="1"/>
  <c r="AS477" s="1"/>
  <c r="AN415"/>
  <c r="AP415" s="1"/>
  <c r="AS415" s="1"/>
  <c r="AO415"/>
  <c r="AR415" s="1"/>
  <c r="AN325"/>
  <c r="AP325" s="1"/>
  <c r="AS325" s="1"/>
  <c r="AO592"/>
  <c r="AR592" s="1"/>
  <c r="AO871"/>
  <c r="AR871" s="1"/>
  <c r="AO244"/>
  <c r="AR244" s="1"/>
  <c r="AO783"/>
  <c r="AR783" s="1"/>
  <c r="AO187"/>
  <c r="AR187" s="1"/>
  <c r="AO1125"/>
  <c r="AR1125" s="1"/>
  <c r="AO1228"/>
  <c r="AR1228" s="1"/>
  <c r="AO675"/>
  <c r="AR675" s="1"/>
  <c r="AO536"/>
  <c r="AR536" s="1"/>
  <c r="AO854"/>
  <c r="AR854" s="1"/>
  <c r="AO873"/>
  <c r="AR873" s="1"/>
  <c r="AN343"/>
  <c r="AP343" s="1"/>
  <c r="AS343" s="1"/>
  <c r="AO1042"/>
  <c r="AR1042" s="1"/>
  <c r="AO149"/>
  <c r="AR149" s="1"/>
  <c r="AO389"/>
  <c r="AR389" s="1"/>
  <c r="AO329"/>
  <c r="AR329" s="1"/>
  <c r="AO866"/>
  <c r="AR866" s="1"/>
  <c r="AO1134"/>
  <c r="AR1134" s="1"/>
  <c r="AO503"/>
  <c r="AR503" s="1"/>
  <c r="AN61"/>
  <c r="AP61" s="1"/>
  <c r="AS61" s="1"/>
  <c r="AO567"/>
  <c r="AR567" s="1"/>
  <c r="AO1067"/>
  <c r="AR1067" s="1"/>
  <c r="AO354"/>
  <c r="AR354" s="1"/>
  <c r="AO300"/>
  <c r="AR300" s="1"/>
  <c r="AO666"/>
  <c r="AR666" s="1"/>
  <c r="AO717"/>
  <c r="AR717" s="1"/>
  <c r="AO1058"/>
  <c r="AR1058" s="1"/>
  <c r="AO557"/>
  <c r="AR557" s="1"/>
  <c r="AO361"/>
  <c r="AR361" s="1"/>
  <c r="AO650"/>
  <c r="AR650" s="1"/>
  <c r="AO1200"/>
  <c r="AR1200" s="1"/>
  <c r="AO1057"/>
  <c r="AR1057" s="1"/>
  <c r="AO658"/>
  <c r="AR658" s="1"/>
  <c r="AO111"/>
  <c r="AR111" s="1"/>
  <c r="AO619"/>
  <c r="AR619" s="1"/>
  <c r="AO652"/>
  <c r="AR652" s="1"/>
  <c r="AO900"/>
  <c r="AR900" s="1"/>
  <c r="AO1216"/>
  <c r="AR1216" s="1"/>
  <c r="AO1220"/>
  <c r="AR1220" s="1"/>
  <c r="AO1076"/>
  <c r="AR1076" s="1"/>
  <c r="AO905"/>
  <c r="AR905" s="1"/>
  <c r="AO1206"/>
  <c r="AR1206" s="1"/>
  <c r="AO870"/>
  <c r="AR870" s="1"/>
  <c r="AO1062"/>
  <c r="AR1062" s="1"/>
  <c r="AO728"/>
  <c r="AR728" s="1"/>
  <c r="AO904"/>
  <c r="AR904" s="1"/>
  <c r="AO303"/>
  <c r="AR303" s="1"/>
  <c r="AO560"/>
  <c r="AR560" s="1"/>
  <c r="AO399"/>
  <c r="AR399" s="1"/>
  <c r="AO817"/>
  <c r="AR817" s="1"/>
  <c r="AO507"/>
  <c r="AR507" s="1"/>
  <c r="AN55"/>
  <c r="AP55" s="1"/>
  <c r="AS55" s="1"/>
  <c r="AO175"/>
  <c r="AR175" s="1"/>
  <c r="AO143"/>
  <c r="AR143" s="1"/>
  <c r="AO298"/>
  <c r="AR298" s="1"/>
  <c r="AO927"/>
  <c r="AR927" s="1"/>
  <c r="AO327"/>
  <c r="AR327" s="1"/>
  <c r="AO858"/>
  <c r="AR858" s="1"/>
  <c r="AO353"/>
  <c r="AR353" s="1"/>
  <c r="AO576"/>
  <c r="AR576" s="1"/>
  <c r="AN91"/>
  <c r="AP91" s="1"/>
  <c r="AS91" s="1"/>
  <c r="AO1104"/>
  <c r="AR1104" s="1"/>
  <c r="AO1070"/>
  <c r="AR1070" s="1"/>
  <c r="AN60"/>
  <c r="AP60" s="1"/>
  <c r="AS60" s="1"/>
  <c r="AO793"/>
  <c r="AR793" s="1"/>
  <c r="AO952"/>
  <c r="AR952" s="1"/>
  <c r="AO381"/>
  <c r="AR381" s="1"/>
  <c r="AO893"/>
  <c r="AR893" s="1"/>
  <c r="AO849"/>
  <c r="AR849" s="1"/>
  <c r="AO930"/>
  <c r="AR930" s="1"/>
  <c r="AO857"/>
  <c r="AR857" s="1"/>
  <c r="AO333"/>
  <c r="AR333" s="1"/>
  <c r="AO315"/>
  <c r="AR315" s="1"/>
  <c r="AO356"/>
  <c r="AR356" s="1"/>
  <c r="AO1091"/>
  <c r="AR1091" s="1"/>
  <c r="AO796"/>
  <c r="AR796" s="1"/>
  <c r="AO1269"/>
  <c r="AR1269" s="1"/>
  <c r="AO934"/>
  <c r="AR934" s="1"/>
  <c r="AO367"/>
  <c r="AR367" s="1"/>
  <c r="AO178"/>
  <c r="AR178" s="1"/>
  <c r="AO1046"/>
  <c r="AR1046" s="1"/>
  <c r="AO568"/>
  <c r="AR568" s="1"/>
  <c r="AO1144"/>
  <c r="AR1144" s="1"/>
  <c r="AO835"/>
  <c r="AR835" s="1"/>
  <c r="AO1021"/>
  <c r="AR1021" s="1"/>
  <c r="AN80"/>
  <c r="AP80" s="1"/>
  <c r="AS80" s="1"/>
  <c r="AN36"/>
  <c r="AP36" s="1"/>
  <c r="AS36" s="1"/>
  <c r="AO725"/>
  <c r="AR725" s="1"/>
  <c r="AO641"/>
  <c r="AR641" s="1"/>
  <c r="AO1165"/>
  <c r="AR1165" s="1"/>
  <c r="AO156"/>
  <c r="AR156" s="1"/>
  <c r="AO704"/>
  <c r="AR704" s="1"/>
  <c r="AO310"/>
  <c r="AR310" s="1"/>
  <c r="AO289"/>
  <c r="AR289" s="1"/>
  <c r="AO838"/>
  <c r="AR838" s="1"/>
  <c r="AO721"/>
  <c r="AR721" s="1"/>
  <c r="AO157"/>
  <c r="AR157" s="1"/>
  <c r="AO638"/>
  <c r="AR638" s="1"/>
  <c r="AO1109"/>
  <c r="AR1109" s="1"/>
  <c r="AO534"/>
  <c r="AR534" s="1"/>
  <c r="AN96"/>
  <c r="AP96" s="1"/>
  <c r="AS96" s="1"/>
  <c r="AO1180"/>
  <c r="AR1180" s="1"/>
  <c r="AO572"/>
  <c r="AR572" s="1"/>
  <c r="AO257"/>
  <c r="AR257" s="1"/>
  <c r="AN37"/>
  <c r="AP37" s="1"/>
  <c r="AS37" s="1"/>
  <c r="AO823"/>
  <c r="AR823" s="1"/>
  <c r="AN86"/>
  <c r="AP86" s="1"/>
  <c r="AS86" s="1"/>
  <c r="AO599"/>
  <c r="AR599" s="1"/>
  <c r="AO569"/>
  <c r="AR569" s="1"/>
  <c r="AO365"/>
  <c r="AR365" s="1"/>
  <c r="AO921"/>
  <c r="AR921" s="1"/>
  <c r="AO994"/>
  <c r="AR994" s="1"/>
  <c r="AO1251"/>
  <c r="AR1251" s="1"/>
  <c r="AO517"/>
  <c r="AR517" s="1"/>
  <c r="AO816"/>
  <c r="AR816" s="1"/>
  <c r="AO103"/>
  <c r="AR103" s="1"/>
  <c r="AO294"/>
  <c r="AR294" s="1"/>
  <c r="AO1226"/>
  <c r="AR1226" s="1"/>
  <c r="AO555"/>
  <c r="AR555" s="1"/>
  <c r="AO1244"/>
  <c r="AR1244" s="1"/>
  <c r="AO109"/>
  <c r="AR109" s="1"/>
  <c r="AO510"/>
  <c r="AR510" s="1"/>
  <c r="AO362"/>
  <c r="AR362" s="1"/>
  <c r="AO709"/>
  <c r="AR709" s="1"/>
  <c r="AO790"/>
  <c r="AR790" s="1"/>
  <c r="AO493"/>
  <c r="AR493" s="1"/>
  <c r="AO950"/>
  <c r="AR950" s="1"/>
  <c r="AO611"/>
  <c r="AR611" s="1"/>
  <c r="AO1033"/>
  <c r="AR1033" s="1"/>
  <c r="AO1147"/>
  <c r="AR1147" s="1"/>
  <c r="AO855"/>
  <c r="AR855" s="1"/>
  <c r="AO189"/>
  <c r="AR189" s="1"/>
  <c r="AO667"/>
  <c r="AR667" s="1"/>
  <c r="AN33"/>
  <c r="AP33" s="1"/>
  <c r="AS33" s="1"/>
  <c r="AO1235"/>
  <c r="AR1235" s="1"/>
  <c r="AO645"/>
  <c r="AR645" s="1"/>
  <c r="AO1168"/>
  <c r="AR1168" s="1"/>
  <c r="AO882"/>
  <c r="AR882" s="1"/>
  <c r="AN74"/>
  <c r="AP74" s="1"/>
  <c r="AS74" s="1"/>
  <c r="AO506"/>
  <c r="AR506" s="1"/>
  <c r="AO778"/>
  <c r="AR778" s="1"/>
  <c r="AO710"/>
  <c r="AR710" s="1"/>
  <c r="AO614"/>
  <c r="AR614" s="1"/>
  <c r="AN34"/>
  <c r="AP34" s="1"/>
  <c r="AS34" s="1"/>
  <c r="AO703"/>
  <c r="AR703" s="1"/>
  <c r="AN83"/>
  <c r="AP83" s="1"/>
  <c r="AS83" s="1"/>
  <c r="AO829"/>
  <c r="AR829" s="1"/>
  <c r="AO497"/>
  <c r="AR497" s="1"/>
  <c r="AO125"/>
  <c r="AR125" s="1"/>
  <c r="AN46"/>
  <c r="AP46" s="1"/>
  <c r="AS46" s="1"/>
  <c r="AO828"/>
  <c r="AR828" s="1"/>
  <c r="AN40"/>
  <c r="AP40" s="1"/>
  <c r="AS40" s="1"/>
  <c r="AO502"/>
  <c r="AR502" s="1"/>
  <c r="AO878"/>
  <c r="AR878" s="1"/>
  <c r="AO1027"/>
  <c r="AR1027" s="1"/>
  <c r="AO888"/>
  <c r="AR888" s="1"/>
  <c r="AO634"/>
  <c r="AR634" s="1"/>
  <c r="AO1056"/>
  <c r="AR1056" s="1"/>
  <c r="AO527"/>
  <c r="AR527" s="1"/>
  <c r="AO181"/>
  <c r="AR181" s="1"/>
  <c r="AO512"/>
  <c r="AR512" s="1"/>
  <c r="AO122"/>
  <c r="AR122" s="1"/>
  <c r="AO938"/>
  <c r="AR938" s="1"/>
  <c r="AO1088"/>
  <c r="AR1088" s="1"/>
  <c r="AO821"/>
  <c r="AR821" s="1"/>
  <c r="AO1209"/>
  <c r="AR1209" s="1"/>
  <c r="AO860"/>
  <c r="AR860" s="1"/>
  <c r="AO1128"/>
  <c r="AR1128" s="1"/>
  <c r="AO705"/>
  <c r="AR705" s="1"/>
  <c r="AO824"/>
  <c r="AR824" s="1"/>
  <c r="AO1037"/>
  <c r="AR1037" s="1"/>
  <c r="AO574"/>
  <c r="AR574" s="1"/>
  <c r="AO384"/>
  <c r="AR384" s="1"/>
  <c r="AO131"/>
  <c r="AR131" s="1"/>
  <c r="AN53"/>
  <c r="AP53" s="1"/>
  <c r="AS53" s="1"/>
  <c r="AO700"/>
  <c r="AR700" s="1"/>
  <c r="AO628"/>
  <c r="AR628" s="1"/>
  <c r="AO1081"/>
  <c r="AR1081" s="1"/>
  <c r="AO490"/>
  <c r="AR490" s="1"/>
  <c r="AO491"/>
  <c r="AR491" s="1"/>
  <c r="AO853"/>
  <c r="AR853" s="1"/>
  <c r="AO1247"/>
  <c r="AR1247" s="1"/>
  <c r="AO292"/>
  <c r="AR292" s="1"/>
  <c r="AO810"/>
  <c r="AR810" s="1"/>
  <c r="AO172"/>
  <c r="AR172" s="1"/>
  <c r="AO296"/>
  <c r="AR296" s="1"/>
  <c r="AO803"/>
  <c r="AR803" s="1"/>
  <c r="AO735"/>
  <c r="AR735" s="1"/>
  <c r="AO852"/>
  <c r="AR852" s="1"/>
  <c r="AO1111"/>
  <c r="AR1111" s="1"/>
  <c r="AO659"/>
  <c r="AR659" s="1"/>
  <c r="AO842"/>
  <c r="AR842" s="1"/>
  <c r="AO1078"/>
  <c r="AR1078" s="1"/>
  <c r="AO1203"/>
  <c r="AR1203" s="1"/>
  <c r="AO331"/>
  <c r="AR331" s="1"/>
  <c r="AO601"/>
  <c r="AR601" s="1"/>
  <c r="AO804"/>
  <c r="AR804" s="1"/>
  <c r="AO562"/>
  <c r="AR562" s="1"/>
  <c r="AO577"/>
  <c r="AR577" s="1"/>
  <c r="AO1258"/>
  <c r="AR1258" s="1"/>
  <c r="AN66"/>
  <c r="AP66" s="1"/>
  <c r="AS66" s="1"/>
  <c r="AO980"/>
  <c r="AR980" s="1"/>
  <c r="AO533"/>
  <c r="AR533" s="1"/>
  <c r="AO998"/>
  <c r="AR998" s="1"/>
  <c r="AO1086"/>
  <c r="AR1086" s="1"/>
  <c r="AO874"/>
  <c r="AR874" s="1"/>
  <c r="AO1255"/>
  <c r="AR1255" s="1"/>
  <c r="AO1032"/>
  <c r="AR1032" s="1"/>
  <c r="AO679"/>
  <c r="AR679" s="1"/>
  <c r="AO1100"/>
  <c r="AR1100" s="1"/>
  <c r="AO683"/>
  <c r="AR683" s="1"/>
  <c r="AO1227"/>
  <c r="AR1227" s="1"/>
  <c r="AO912"/>
  <c r="AR912" s="1"/>
  <c r="AO876"/>
  <c r="AR876" s="1"/>
  <c r="AO286"/>
  <c r="AR286" s="1"/>
  <c r="AO1252"/>
  <c r="AR1252" s="1"/>
  <c r="AO806"/>
  <c r="AR806" s="1"/>
  <c r="AN206"/>
  <c r="AP206" s="1"/>
  <c r="AS206" s="1"/>
  <c r="AO901"/>
  <c r="AR901" s="1"/>
  <c r="AO532"/>
  <c r="AR532" s="1"/>
  <c r="AO167"/>
  <c r="AR167" s="1"/>
  <c r="AO380"/>
  <c r="AR380" s="1"/>
  <c r="AO188"/>
  <c r="AR188" s="1"/>
  <c r="AO52"/>
  <c r="AR52" s="1"/>
  <c r="AO471"/>
  <c r="AR471" s="1"/>
  <c r="AN76"/>
  <c r="AP76" s="1"/>
  <c r="AS76" s="1"/>
  <c r="AO1054"/>
  <c r="AR1054" s="1"/>
  <c r="AO193"/>
  <c r="AR193" s="1"/>
  <c r="AN812"/>
  <c r="AP812" s="1"/>
  <c r="AS812" s="1"/>
  <c r="AN851"/>
  <c r="AP851" s="1"/>
  <c r="AS851" s="1"/>
  <c r="AO917"/>
  <c r="AR917" s="1"/>
  <c r="AN509"/>
  <c r="AP509" s="1"/>
  <c r="AS509" s="1"/>
  <c r="AN902"/>
  <c r="AP902" s="1"/>
  <c r="AS902" s="1"/>
  <c r="AO1146"/>
  <c r="AR1146" s="1"/>
  <c r="AO899"/>
  <c r="AR899" s="1"/>
  <c r="AO495"/>
  <c r="AR495" s="1"/>
  <c r="AN913"/>
  <c r="AP913" s="1"/>
  <c r="AS913" s="1"/>
  <c r="AN499"/>
  <c r="AP499" s="1"/>
  <c r="AS499" s="1"/>
  <c r="AO513"/>
  <c r="AR513" s="1"/>
  <c r="AN657"/>
  <c r="AP657" s="1"/>
  <c r="AS657" s="1"/>
  <c r="AO694"/>
  <c r="AR694" s="1"/>
  <c r="AO372"/>
  <c r="AR372" s="1"/>
  <c r="AO982"/>
  <c r="AR982" s="1"/>
  <c r="AN863"/>
  <c r="AP863" s="1"/>
  <c r="AS863" s="1"/>
  <c r="AN213"/>
  <c r="AP213" s="1"/>
  <c r="AS213" s="1"/>
  <c r="AN737"/>
  <c r="AP737" s="1"/>
  <c r="AS737" s="1"/>
  <c r="AN754"/>
  <c r="AP754" s="1"/>
  <c r="AS754" s="1"/>
  <c r="AO944"/>
  <c r="AR944" s="1"/>
  <c r="AO236"/>
  <c r="AR236" s="1"/>
  <c r="AN236"/>
  <c r="AP236" s="1"/>
  <c r="AS236" s="1"/>
  <c r="AO760"/>
  <c r="AR760" s="1"/>
  <c r="AN760"/>
  <c r="AP760" s="1"/>
  <c r="AS760" s="1"/>
  <c r="AO212"/>
  <c r="AR212" s="1"/>
  <c r="AN212"/>
  <c r="AP212" s="1"/>
  <c r="AS212" s="1"/>
  <c r="AO434"/>
  <c r="AR434" s="1"/>
  <c r="AN434"/>
  <c r="AP434" s="1"/>
  <c r="AS434" s="1"/>
  <c r="AN989"/>
  <c r="AP989" s="1"/>
  <c r="AS989" s="1"/>
  <c r="AO989"/>
  <c r="AR989" s="1"/>
  <c r="AO216"/>
  <c r="AR216" s="1"/>
  <c r="AN216"/>
  <c r="AP216" s="1"/>
  <c r="AS216" s="1"/>
  <c r="AN747"/>
  <c r="AP747" s="1"/>
  <c r="AS747" s="1"/>
  <c r="AO747"/>
  <c r="AR747" s="1"/>
  <c r="AO476"/>
  <c r="AR476" s="1"/>
  <c r="AN476"/>
  <c r="AP476" s="1"/>
  <c r="AS476" s="1"/>
  <c r="AN443"/>
  <c r="AP443" s="1"/>
  <c r="AS443" s="1"/>
  <c r="AO443"/>
  <c r="AR443" s="1"/>
  <c r="AN971"/>
  <c r="AP971" s="1"/>
  <c r="AS971" s="1"/>
  <c r="AO971"/>
  <c r="AR971" s="1"/>
  <c r="AN773"/>
  <c r="AP773" s="1"/>
  <c r="AS773" s="1"/>
  <c r="AO773"/>
  <c r="AR773" s="1"/>
  <c r="AN225"/>
  <c r="AP225" s="1"/>
  <c r="AS225" s="1"/>
  <c r="AO225"/>
  <c r="AR225" s="1"/>
  <c r="AO432"/>
  <c r="AR432" s="1"/>
  <c r="AN432"/>
  <c r="AP432" s="1"/>
  <c r="AS432" s="1"/>
  <c r="AN967"/>
  <c r="AP967" s="1"/>
  <c r="AS967" s="1"/>
  <c r="AO967"/>
  <c r="AR967" s="1"/>
  <c r="AN997"/>
  <c r="AP997" s="1"/>
  <c r="AS997" s="1"/>
  <c r="AO997"/>
  <c r="AR997" s="1"/>
  <c r="AO452"/>
  <c r="AR452" s="1"/>
  <c r="AN452"/>
  <c r="AP452" s="1"/>
  <c r="AS452" s="1"/>
  <c r="AN943"/>
  <c r="AP943" s="1"/>
  <c r="AS943" s="1"/>
  <c r="AO943"/>
  <c r="AR943" s="1"/>
  <c r="AN983"/>
  <c r="AP983" s="1"/>
  <c r="AS983" s="1"/>
  <c r="AO983"/>
  <c r="AR983" s="1"/>
  <c r="AO468"/>
  <c r="AR468" s="1"/>
  <c r="AN468"/>
  <c r="AP468" s="1"/>
  <c r="AS468" s="1"/>
  <c r="AO417"/>
  <c r="AR417" s="1"/>
  <c r="AN417"/>
  <c r="AP417" s="1"/>
  <c r="AS417" s="1"/>
  <c r="AN227"/>
  <c r="AP227" s="1"/>
  <c r="AS227" s="1"/>
  <c r="AO227"/>
  <c r="AR227" s="1"/>
  <c r="AN408"/>
  <c r="AP408" s="1"/>
  <c r="AS408" s="1"/>
  <c r="AO408"/>
  <c r="AR408" s="1"/>
  <c r="AN999"/>
  <c r="AP999" s="1"/>
  <c r="AS999" s="1"/>
  <c r="AO999"/>
  <c r="AR999" s="1"/>
  <c r="AO764"/>
  <c r="AR764" s="1"/>
  <c r="AN764"/>
  <c r="AP764" s="1"/>
  <c r="AS764" s="1"/>
  <c r="AN965"/>
  <c r="AP965" s="1"/>
  <c r="AS965" s="1"/>
  <c r="AO965"/>
  <c r="AR965" s="1"/>
  <c r="AN769"/>
  <c r="AP769" s="1"/>
  <c r="AS769" s="1"/>
  <c r="AO769"/>
  <c r="AR769" s="1"/>
  <c r="AO473"/>
  <c r="AR473" s="1"/>
  <c r="AN473"/>
  <c r="AP473" s="1"/>
  <c r="AS473" s="1"/>
  <c r="AN454"/>
  <c r="AP454" s="1"/>
  <c r="AS454" s="1"/>
  <c r="AO454"/>
  <c r="AR454" s="1"/>
  <c r="AO419"/>
  <c r="AR419" s="1"/>
  <c r="AN419"/>
  <c r="AP419" s="1"/>
  <c r="AS419" s="1"/>
  <c r="AN230"/>
  <c r="AP230" s="1"/>
  <c r="AS230" s="1"/>
  <c r="AO230"/>
  <c r="AR230" s="1"/>
  <c r="AO222"/>
  <c r="AR222" s="1"/>
  <c r="AN222"/>
  <c r="AP222" s="1"/>
  <c r="AS222" s="1"/>
  <c r="AO752"/>
  <c r="AR752" s="1"/>
  <c r="AN752"/>
  <c r="AP752" s="1"/>
  <c r="AS752" s="1"/>
  <c r="AN945"/>
  <c r="AP945" s="1"/>
  <c r="AS945" s="1"/>
  <c r="AO945"/>
  <c r="AR945" s="1"/>
  <c r="AO402"/>
  <c r="AR402" s="1"/>
  <c r="AN402"/>
  <c r="AP402" s="1"/>
  <c r="AS402" s="1"/>
  <c r="AN214"/>
  <c r="AP214" s="1"/>
  <c r="AS214" s="1"/>
  <c r="AO214"/>
  <c r="AR214" s="1"/>
  <c r="AO478"/>
  <c r="AR478" s="1"/>
  <c r="AN478"/>
  <c r="AP478" s="1"/>
  <c r="AS478" s="1"/>
  <c r="AN755"/>
  <c r="AP755" s="1"/>
  <c r="AS755" s="1"/>
  <c r="AO755"/>
  <c r="AR755" s="1"/>
  <c r="AO427"/>
  <c r="AR427" s="1"/>
  <c r="AN427"/>
  <c r="AP427" s="1"/>
  <c r="AS427" s="1"/>
  <c r="AO453"/>
  <c r="AR453" s="1"/>
  <c r="AN453"/>
  <c r="AP453" s="1"/>
  <c r="AS453" s="1"/>
  <c r="AO439"/>
  <c r="AR439" s="1"/>
  <c r="AN439"/>
  <c r="AP439" s="1"/>
  <c r="AS439" s="1"/>
  <c r="AN991"/>
  <c r="AP991" s="1"/>
  <c r="AS991" s="1"/>
  <c r="AO991"/>
  <c r="AR991" s="1"/>
  <c r="AN450"/>
  <c r="AP450" s="1"/>
  <c r="AS450" s="1"/>
  <c r="AO450"/>
  <c r="AR450" s="1"/>
  <c r="AN67"/>
  <c r="AP67" s="1"/>
  <c r="AS67" s="1"/>
  <c r="AO1114"/>
  <c r="AR1114" s="1"/>
  <c r="AO910"/>
  <c r="AR910" s="1"/>
  <c r="AO1217"/>
  <c r="AR1217" s="1"/>
  <c r="AO525"/>
  <c r="AR525" s="1"/>
  <c r="AO1225"/>
  <c r="AR1225" s="1"/>
  <c r="AO688"/>
  <c r="AR688" s="1"/>
  <c r="AO678"/>
  <c r="AR678" s="1"/>
  <c r="AO194"/>
  <c r="AR194" s="1"/>
  <c r="AO1238"/>
  <c r="AR1238" s="1"/>
  <c r="AO797"/>
  <c r="AR797" s="1"/>
  <c r="AO724"/>
  <c r="AR724" s="1"/>
  <c r="AN1222"/>
  <c r="AP1222" s="1"/>
  <c r="AS1222" s="1"/>
  <c r="AO585"/>
  <c r="AR585" s="1"/>
  <c r="AN51"/>
  <c r="AP51" s="1"/>
  <c r="AS51" s="1"/>
  <c r="AO281"/>
  <c r="AR281" s="1"/>
  <c r="AO646"/>
  <c r="AR646" s="1"/>
  <c r="AO756"/>
  <c r="AR756" s="1"/>
  <c r="AO827"/>
  <c r="AR827" s="1"/>
  <c r="AN48"/>
  <c r="AP48" s="1"/>
  <c r="AS48" s="1"/>
  <c r="AO1223"/>
  <c r="AR1223" s="1"/>
  <c r="AO1052"/>
  <c r="AR1052" s="1"/>
  <c r="AO390"/>
  <c r="AR390" s="1"/>
  <c r="AO1082"/>
  <c r="AR1082" s="1"/>
  <c r="AO140"/>
  <c r="AR140" s="1"/>
  <c r="AO526"/>
  <c r="AR526" s="1"/>
  <c r="AO990"/>
  <c r="AR990" s="1"/>
  <c r="AO539"/>
  <c r="AR539" s="1"/>
  <c r="AO112"/>
  <c r="AR112" s="1"/>
  <c r="AO587"/>
  <c r="AR587" s="1"/>
  <c r="AO1259"/>
  <c r="AR1259" s="1"/>
  <c r="AO357"/>
  <c r="AR357" s="1"/>
  <c r="AO699"/>
  <c r="AR699" s="1"/>
  <c r="AO134"/>
  <c r="AR134" s="1"/>
  <c r="AO273"/>
  <c r="AR273" s="1"/>
  <c r="AO368"/>
  <c r="AR368" s="1"/>
  <c r="AO531"/>
  <c r="AR531" s="1"/>
  <c r="AO897"/>
  <c r="AR897" s="1"/>
  <c r="AO916"/>
  <c r="AR916" s="1"/>
  <c r="AO1232"/>
  <c r="AR1232" s="1"/>
  <c r="AO668"/>
  <c r="AR668" s="1"/>
  <c r="AO1215"/>
  <c r="AR1215" s="1"/>
  <c r="AO978"/>
  <c r="AR978" s="1"/>
  <c r="AO489"/>
  <c r="AR489" s="1"/>
  <c r="AO330"/>
  <c r="AR330" s="1"/>
  <c r="AO1108"/>
  <c r="AR1108" s="1"/>
  <c r="AN68"/>
  <c r="AP68" s="1"/>
  <c r="AS68" s="1"/>
  <c r="AO1149"/>
  <c r="AR1149" s="1"/>
  <c r="AO496"/>
  <c r="AR496" s="1"/>
  <c r="AO1031"/>
  <c r="AR1031" s="1"/>
  <c r="AO988"/>
  <c r="AR988" s="1"/>
  <c r="AO1248"/>
  <c r="AR1248" s="1"/>
  <c r="AO865"/>
  <c r="AR865" s="1"/>
  <c r="AO161"/>
  <c r="AR161" s="1"/>
  <c r="AO583"/>
  <c r="AR583" s="1"/>
  <c r="AO1096"/>
  <c r="AR1096" s="1"/>
  <c r="AO889"/>
  <c r="AR889" s="1"/>
  <c r="AO856"/>
  <c r="AR856" s="1"/>
  <c r="AN95"/>
  <c r="AP95" s="1"/>
  <c r="AS95" s="1"/>
  <c r="AN69"/>
  <c r="AP69" s="1"/>
  <c r="AS69" s="1"/>
  <c r="AO626"/>
  <c r="AR626" s="1"/>
  <c r="AO640"/>
  <c r="AR640" s="1"/>
  <c r="AN79"/>
  <c r="AP79" s="1"/>
  <c r="AS79" s="1"/>
  <c r="AO488"/>
  <c r="AR488" s="1"/>
  <c r="AO392"/>
  <c r="AR392" s="1"/>
  <c r="AO777"/>
  <c r="AR777" s="1"/>
  <c r="AO256"/>
  <c r="AR256" s="1"/>
  <c r="AO1229"/>
  <c r="AR1229" s="1"/>
  <c r="AO850"/>
  <c r="AR850" s="1"/>
  <c r="AO1051"/>
  <c r="AR1051" s="1"/>
  <c r="AO984"/>
  <c r="AR984" s="1"/>
  <c r="AO1064"/>
  <c r="AR1064" s="1"/>
  <c r="AO1246"/>
  <c r="AR1246" s="1"/>
  <c r="AO1210"/>
  <c r="AR1210" s="1"/>
  <c r="AO270"/>
  <c r="AR270" s="1"/>
  <c r="AO588"/>
  <c r="AR588" s="1"/>
  <c r="AO104"/>
  <c r="AR104" s="1"/>
  <c r="AO494"/>
  <c r="AR494" s="1"/>
  <c r="AO926"/>
  <c r="AR926" s="1"/>
  <c r="AO1205"/>
  <c r="AR1205" s="1"/>
  <c r="AO168"/>
  <c r="AR168" s="1"/>
  <c r="AO907"/>
  <c r="AR907" s="1"/>
  <c r="AO606"/>
  <c r="AR606" s="1"/>
  <c r="AO622"/>
  <c r="AR622" s="1"/>
  <c r="AO648"/>
  <c r="AR648" s="1"/>
  <c r="AO707"/>
  <c r="AR707" s="1"/>
  <c r="AO923"/>
  <c r="AR923" s="1"/>
  <c r="AO346"/>
  <c r="AR346" s="1"/>
  <c r="AO929"/>
  <c r="AR929" s="1"/>
  <c r="AO1230"/>
  <c r="AR1230" s="1"/>
  <c r="AO826"/>
  <c r="AR826" s="1"/>
  <c r="AO618"/>
  <c r="AR618" s="1"/>
  <c r="AO264"/>
  <c r="AR264" s="1"/>
  <c r="AO1075"/>
  <c r="AR1075" s="1"/>
  <c r="AO180"/>
  <c r="AR180" s="1"/>
  <c r="AO397"/>
  <c r="AR397" s="1"/>
  <c r="AO877"/>
  <c r="AR877" s="1"/>
  <c r="AO1177"/>
  <c r="AR1177" s="1"/>
  <c r="AO316"/>
  <c r="AR316" s="1"/>
  <c r="AN92"/>
  <c r="AP92" s="1"/>
  <c r="AS92" s="1"/>
  <c r="AO1017"/>
  <c r="AR1017" s="1"/>
  <c r="AO647"/>
  <c r="AR647" s="1"/>
  <c r="AO535"/>
  <c r="AR535" s="1"/>
  <c r="AO340"/>
  <c r="AR340" s="1"/>
  <c r="AO629"/>
  <c r="AR629" s="1"/>
  <c r="AO1161"/>
  <c r="AR1161" s="1"/>
  <c r="AO1174"/>
  <c r="AR1174" s="1"/>
  <c r="AO176"/>
  <c r="AR176" s="1"/>
  <c r="AO894"/>
  <c r="AR894" s="1"/>
  <c r="AO781"/>
  <c r="AR781" s="1"/>
  <c r="AO559"/>
  <c r="AR559" s="1"/>
  <c r="AO1153"/>
  <c r="AR1153" s="1"/>
  <c r="AN71"/>
  <c r="AP71" s="1"/>
  <c r="AS71" s="1"/>
  <c r="AO1202"/>
  <c r="AR1202" s="1"/>
  <c r="AO672"/>
  <c r="AR672" s="1"/>
  <c r="AO196"/>
  <c r="AR196" s="1"/>
  <c r="AO1169"/>
  <c r="AR1169" s="1"/>
  <c r="AO336"/>
  <c r="AR336" s="1"/>
  <c r="AO248"/>
  <c r="AR248" s="1"/>
  <c r="AO726"/>
  <c r="AR726" s="1"/>
  <c r="AO1270"/>
  <c r="AR1270" s="1"/>
  <c r="AO359"/>
  <c r="AR359" s="1"/>
  <c r="AO1175"/>
  <c r="AR1175" s="1"/>
  <c r="AO1151"/>
  <c r="AR1151" s="1"/>
  <c r="AO702"/>
  <c r="AR702" s="1"/>
  <c r="AO680"/>
  <c r="AR680" s="1"/>
  <c r="AO393"/>
  <c r="AR393" s="1"/>
  <c r="AO387"/>
  <c r="AR387" s="1"/>
  <c r="AO807"/>
  <c r="AR807" s="1"/>
  <c r="AO1123"/>
  <c r="AR1123" s="1"/>
  <c r="AO173"/>
  <c r="AR173" s="1"/>
  <c r="AO1154"/>
  <c r="AR1154" s="1"/>
  <c r="AO383"/>
  <c r="AR383" s="1"/>
  <c r="AO133"/>
  <c r="AR133" s="1"/>
  <c r="AO511"/>
  <c r="AR511" s="1"/>
  <c r="AN81"/>
  <c r="AP81" s="1"/>
  <c r="AS81" s="1"/>
  <c r="AO1024"/>
  <c r="AR1024" s="1"/>
  <c r="AO276"/>
  <c r="AR276" s="1"/>
  <c r="AO840"/>
  <c r="AR840" s="1"/>
  <c r="AO1179"/>
  <c r="AR1179" s="1"/>
  <c r="AO898"/>
  <c r="AR898" s="1"/>
  <c r="AO1266"/>
  <c r="AR1266" s="1"/>
  <c r="AO293"/>
  <c r="AR293" s="1"/>
  <c r="AO964"/>
  <c r="AR964" s="1"/>
  <c r="AO1135"/>
  <c r="AR1135" s="1"/>
  <c r="AO962"/>
  <c r="AR962" s="1"/>
  <c r="AO664"/>
  <c r="AR664" s="1"/>
  <c r="AO1176"/>
  <c r="AR1176" s="1"/>
  <c r="AO141"/>
  <c r="AR141" s="1"/>
  <c r="AO1041"/>
  <c r="AR1041" s="1"/>
  <c r="AO940"/>
  <c r="AR940" s="1"/>
  <c r="AO271"/>
  <c r="AR271" s="1"/>
  <c r="AO1139"/>
  <c r="AR1139" s="1"/>
  <c r="AO1050"/>
  <c r="AR1050" s="1"/>
  <c r="AO155"/>
  <c r="AR155" s="1"/>
  <c r="AO924"/>
  <c r="AR924" s="1"/>
  <c r="AO280"/>
  <c r="AR280" s="1"/>
  <c r="AO305"/>
  <c r="AR305" s="1"/>
  <c r="AO529"/>
  <c r="AR529" s="1"/>
  <c r="AO1213"/>
  <c r="AR1213" s="1"/>
  <c r="AO312"/>
  <c r="AR312" s="1"/>
  <c r="AO954"/>
  <c r="AR954" s="1"/>
  <c r="AO620"/>
  <c r="AR620" s="1"/>
  <c r="AO1118"/>
  <c r="AR1118" s="1"/>
  <c r="AO602"/>
  <c r="AR602" s="1"/>
  <c r="AO801"/>
  <c r="AR801" s="1"/>
  <c r="AO1074"/>
  <c r="AR1074" s="1"/>
  <c r="AN54"/>
  <c r="AP54" s="1"/>
  <c r="AS54" s="1"/>
  <c r="AO591"/>
  <c r="AR591" s="1"/>
  <c r="AO1208"/>
  <c r="AR1208" s="1"/>
  <c r="AO723"/>
  <c r="AR723" s="1"/>
  <c r="AO548"/>
  <c r="AR548" s="1"/>
  <c r="AO1157"/>
  <c r="AR1157" s="1"/>
  <c r="AO169"/>
  <c r="AR169" s="1"/>
  <c r="AO722"/>
  <c r="AR722" s="1"/>
  <c r="AO198"/>
  <c r="AR198" s="1"/>
  <c r="AO624"/>
  <c r="AR624" s="1"/>
  <c r="AN47"/>
  <c r="AP47" s="1"/>
  <c r="AS47" s="1"/>
  <c r="AO311"/>
  <c r="AR311" s="1"/>
  <c r="AN85"/>
  <c r="AP85" s="1"/>
  <c r="AS85" s="1"/>
  <c r="AN101"/>
  <c r="AP101" s="1"/>
  <c r="AS101" s="1"/>
  <c r="AO564"/>
  <c r="AR564" s="1"/>
  <c r="AO261"/>
  <c r="AR261" s="1"/>
  <c r="AO1094"/>
  <c r="AR1094" s="1"/>
  <c r="AO607"/>
  <c r="AR607" s="1"/>
  <c r="AO695"/>
  <c r="AR695" s="1"/>
  <c r="AO313"/>
  <c r="AR313" s="1"/>
  <c r="AN97"/>
  <c r="AP97" s="1"/>
  <c r="AS97" s="1"/>
  <c r="AO541"/>
  <c r="AR541" s="1"/>
  <c r="AO200"/>
  <c r="AR200" s="1"/>
  <c r="AO1142"/>
  <c r="AR1142" s="1"/>
  <c r="AO245"/>
  <c r="AR245" s="1"/>
  <c r="AO593"/>
  <c r="AR593" s="1"/>
  <c r="AO594"/>
  <c r="AR594" s="1"/>
  <c r="AO719"/>
  <c r="AR719" s="1"/>
  <c r="AO553"/>
  <c r="AR553" s="1"/>
  <c r="AO639"/>
  <c r="AR639" s="1"/>
  <c r="AO798"/>
  <c r="AR798" s="1"/>
  <c r="AO279"/>
  <c r="AR279" s="1"/>
  <c r="AO575"/>
  <c r="AR575" s="1"/>
  <c r="AO1048"/>
  <c r="AR1048" s="1"/>
  <c r="AO1239"/>
  <c r="AR1239" s="1"/>
  <c r="AO598"/>
  <c r="AR598" s="1"/>
  <c r="AO621"/>
  <c r="AR621" s="1"/>
  <c r="AO1159"/>
  <c r="AR1159" s="1"/>
  <c r="AO1110"/>
  <c r="AR1110" s="1"/>
  <c r="AO126"/>
  <c r="AR126" s="1"/>
  <c r="AO627"/>
  <c r="AR627" s="1"/>
  <c r="AO906"/>
  <c r="AR906" s="1"/>
  <c r="AO1055"/>
  <c r="AR1055" s="1"/>
  <c r="AO1099"/>
  <c r="AR1099" s="1"/>
  <c r="AO972"/>
  <c r="AR972" s="1"/>
  <c r="AO779"/>
  <c r="AR779" s="1"/>
  <c r="AO787"/>
  <c r="AR787" s="1"/>
  <c r="AO1183"/>
  <c r="AR1183" s="1"/>
  <c r="AO396"/>
  <c r="AR396" s="1"/>
  <c r="AO918"/>
  <c r="AR918" s="1"/>
  <c r="AO570"/>
  <c r="AR570" s="1"/>
  <c r="AO524"/>
  <c r="AR524" s="1"/>
  <c r="AO942"/>
  <c r="AR942" s="1"/>
  <c r="AO729"/>
  <c r="AR729" s="1"/>
  <c r="AO946"/>
  <c r="AR946" s="1"/>
  <c r="AO911"/>
  <c r="AR911" s="1"/>
  <c r="AO1130"/>
  <c r="AR1130" s="1"/>
  <c r="AO669"/>
  <c r="AR669" s="1"/>
  <c r="AN41"/>
  <c r="AP41" s="1"/>
  <c r="AS41" s="1"/>
  <c r="AO578"/>
  <c r="AR578" s="1"/>
  <c r="AO123"/>
  <c r="AR123" s="1"/>
  <c r="AO958"/>
  <c r="AR958" s="1"/>
  <c r="AO841"/>
  <c r="AR841" s="1"/>
  <c r="AO1122"/>
  <c r="AR1122" s="1"/>
  <c r="AN59"/>
  <c r="AP59" s="1"/>
  <c r="AS59" s="1"/>
  <c r="AO662"/>
  <c r="AR662" s="1"/>
  <c r="AO1065"/>
  <c r="AR1065" s="1"/>
  <c r="AO1059"/>
  <c r="AR1059" s="1"/>
  <c r="AO274"/>
  <c r="AR274" s="1"/>
  <c r="AO712"/>
  <c r="AR712" s="1"/>
  <c r="AN400"/>
  <c r="AP400" s="1"/>
  <c r="AS400" s="1"/>
  <c r="AO1006"/>
  <c r="AR1006" s="1"/>
  <c r="AO720"/>
  <c r="AR720" s="1"/>
  <c r="AO891"/>
  <c r="AR891" s="1"/>
  <c r="AN137"/>
  <c r="AP137" s="1"/>
  <c r="AS137" s="1"/>
  <c r="AO986"/>
  <c r="AR986" s="1"/>
  <c r="AO515"/>
  <c r="AR515" s="1"/>
  <c r="AN277"/>
  <c r="AP277" s="1"/>
  <c r="AS277" s="1"/>
  <c r="AO258"/>
  <c r="AR258" s="1"/>
  <c r="AO498"/>
  <c r="AR498" s="1"/>
  <c r="AO677"/>
  <c r="AR677" s="1"/>
  <c r="AO378"/>
  <c r="AR378" s="1"/>
  <c r="AO643"/>
  <c r="AR643" s="1"/>
  <c r="AO190"/>
  <c r="AR190" s="1"/>
  <c r="AO833"/>
  <c r="AR833" s="1"/>
  <c r="AN102"/>
  <c r="AP102" s="1"/>
  <c r="AS102" s="1"/>
  <c r="AO523"/>
  <c r="AR523" s="1"/>
  <c r="AO608"/>
  <c r="AR608" s="1"/>
  <c r="AO1197"/>
  <c r="AR1197" s="1"/>
  <c r="AN848"/>
  <c r="AP848" s="1"/>
  <c r="AS848" s="1"/>
  <c r="AO317"/>
  <c r="AR317" s="1"/>
  <c r="AO105"/>
  <c r="AR105" s="1"/>
  <c r="AO184"/>
  <c r="AR184" s="1"/>
  <c r="AO595"/>
  <c r="AR595" s="1"/>
  <c r="AN1010"/>
  <c r="AP1010" s="1"/>
  <c r="AS1010" s="1"/>
  <c r="AO338"/>
  <c r="AR338" s="1"/>
  <c r="AO632"/>
  <c r="AR632" s="1"/>
  <c r="AN472"/>
  <c r="AP472" s="1"/>
  <c r="AS472" s="1"/>
  <c r="AN207"/>
  <c r="AP207" s="1"/>
  <c r="AS207" s="1"/>
  <c r="AO401"/>
  <c r="AR401" s="1"/>
  <c r="AO748"/>
  <c r="AR748" s="1"/>
  <c r="AO466"/>
  <c r="AR466" s="1"/>
  <c r="AN466"/>
  <c r="AP466" s="1"/>
  <c r="AS466" s="1"/>
  <c r="AO445"/>
  <c r="AR445" s="1"/>
  <c r="AN445"/>
  <c r="AP445" s="1"/>
  <c r="AS445" s="1"/>
  <c r="AN935"/>
  <c r="AP935" s="1"/>
  <c r="AS935" s="1"/>
  <c r="AO935"/>
  <c r="AR935" s="1"/>
  <c r="AO430"/>
  <c r="AR430" s="1"/>
  <c r="AN430"/>
  <c r="AP430" s="1"/>
  <c r="AS430" s="1"/>
  <c r="AO235"/>
  <c r="AR235" s="1"/>
  <c r="AN235"/>
  <c r="AP235" s="1"/>
  <c r="AS235" s="1"/>
  <c r="AO202"/>
  <c r="AR202" s="1"/>
  <c r="AN202"/>
  <c r="AP202" s="1"/>
  <c r="AS202" s="1"/>
  <c r="AO744"/>
  <c r="AR744" s="1"/>
  <c r="AN744"/>
  <c r="AP744" s="1"/>
  <c r="AS744" s="1"/>
  <c r="AN963"/>
  <c r="AP963" s="1"/>
  <c r="AS963" s="1"/>
  <c r="AO963"/>
  <c r="AR963" s="1"/>
  <c r="AN745"/>
  <c r="AP745" s="1"/>
  <c r="AS745" s="1"/>
  <c r="AO745"/>
  <c r="AR745" s="1"/>
  <c r="AN460"/>
  <c r="AP460" s="1"/>
  <c r="AS460" s="1"/>
  <c r="AO460"/>
  <c r="AR460" s="1"/>
  <c r="AO431"/>
  <c r="AR431" s="1"/>
  <c r="AN431"/>
  <c r="AP431" s="1"/>
  <c r="AS431" s="1"/>
  <c r="AO405"/>
  <c r="AR405" s="1"/>
  <c r="AN405"/>
  <c r="AP405" s="1"/>
  <c r="AS405" s="1"/>
  <c r="AN977"/>
  <c r="AP977" s="1"/>
  <c r="AS977" s="1"/>
  <c r="AO977"/>
  <c r="AR977" s="1"/>
  <c r="AO750"/>
  <c r="AR750" s="1"/>
  <c r="AN750"/>
  <c r="AP750" s="1"/>
  <c r="AS750" s="1"/>
  <c r="AO416"/>
  <c r="AR416" s="1"/>
  <c r="AN416"/>
  <c r="AP416" s="1"/>
  <c r="AS416" s="1"/>
  <c r="AN436"/>
  <c r="AP436" s="1"/>
  <c r="AS436" s="1"/>
  <c r="AO436"/>
  <c r="AR436" s="1"/>
  <c r="AN955"/>
  <c r="AP955" s="1"/>
  <c r="AS955" s="1"/>
  <c r="AO955"/>
  <c r="AR955" s="1"/>
  <c r="AO205"/>
  <c r="AR205" s="1"/>
  <c r="AN205"/>
  <c r="AP205" s="1"/>
  <c r="AS205" s="1"/>
  <c r="AO444"/>
  <c r="AR444" s="1"/>
  <c r="AN444"/>
  <c r="AP444" s="1"/>
  <c r="AS444" s="1"/>
  <c r="AO410"/>
  <c r="AR410" s="1"/>
  <c r="AN410"/>
  <c r="AP410" s="1"/>
  <c r="AS410" s="1"/>
  <c r="AO446"/>
  <c r="AR446" s="1"/>
  <c r="AN446"/>
  <c r="AP446" s="1"/>
  <c r="AS446" s="1"/>
  <c r="AN223"/>
  <c r="AP223" s="1"/>
  <c r="AS223" s="1"/>
  <c r="AO223"/>
  <c r="AR223" s="1"/>
  <c r="AN753"/>
  <c r="AP753" s="1"/>
  <c r="AS753" s="1"/>
  <c r="AO753"/>
  <c r="AR753" s="1"/>
  <c r="AO442"/>
  <c r="AR442" s="1"/>
  <c r="AN442"/>
  <c r="AP442" s="1"/>
  <c r="AS442" s="1"/>
  <c r="AN975"/>
  <c r="AP975" s="1"/>
  <c r="AS975" s="1"/>
  <c r="AO975"/>
  <c r="AR975" s="1"/>
  <c r="AN238"/>
  <c r="AP238" s="1"/>
  <c r="AS238" s="1"/>
  <c r="AO238"/>
  <c r="AR238" s="1"/>
  <c r="AN953"/>
  <c r="AP953" s="1"/>
  <c r="AS953" s="1"/>
  <c r="AO953"/>
  <c r="AR953" s="1"/>
  <c r="AO774"/>
  <c r="AR774" s="1"/>
  <c r="AN774"/>
  <c r="AP774" s="1"/>
  <c r="AS774" s="1"/>
  <c r="AN425"/>
  <c r="AP425" s="1"/>
  <c r="AS425" s="1"/>
  <c r="AO425"/>
  <c r="AR425" s="1"/>
  <c r="AO423"/>
  <c r="AR423" s="1"/>
  <c r="AN423"/>
  <c r="AP423" s="1"/>
  <c r="AS423" s="1"/>
  <c r="AO409"/>
  <c r="AR409" s="1"/>
  <c r="AN409"/>
  <c r="AP409" s="1"/>
  <c r="AS409" s="1"/>
  <c r="AO407"/>
  <c r="AR407" s="1"/>
  <c r="AN407"/>
  <c r="AP407" s="1"/>
  <c r="AS407" s="1"/>
  <c r="AO463"/>
  <c r="AR463" s="1"/>
  <c r="AN463"/>
  <c r="AP463" s="1"/>
  <c r="AS463" s="1"/>
  <c r="AN759"/>
  <c r="AP759" s="1"/>
  <c r="AS759" s="1"/>
  <c r="AO759"/>
  <c r="AR759" s="1"/>
  <c r="AN751"/>
  <c r="AP751" s="1"/>
  <c r="AS751" s="1"/>
  <c r="AO751"/>
  <c r="AR751" s="1"/>
  <c r="AN757"/>
  <c r="AP757" s="1"/>
  <c r="AS757" s="1"/>
  <c r="AO757"/>
  <c r="AR757" s="1"/>
  <c r="AN404"/>
  <c r="AP404" s="1"/>
  <c r="AS404" s="1"/>
  <c r="AO404"/>
  <c r="AR404" s="1"/>
  <c r="AN487"/>
  <c r="AP487" s="1"/>
  <c r="AS487" s="1"/>
  <c r="AO487"/>
  <c r="AR487" s="1"/>
  <c r="AO228"/>
  <c r="AR228" s="1"/>
  <c r="AN228"/>
  <c r="AP228" s="1"/>
  <c r="AS228" s="1"/>
  <c r="AO237"/>
  <c r="AR237" s="1"/>
  <c r="AN237"/>
  <c r="AP237" s="1"/>
  <c r="AS237" s="1"/>
  <c r="AN224"/>
  <c r="AP224" s="1"/>
  <c r="AS224" s="1"/>
  <c r="AO224"/>
  <c r="AR224" s="1"/>
  <c r="AN480"/>
  <c r="AP480" s="1"/>
  <c r="AS480" s="1"/>
  <c r="AO480"/>
  <c r="AR480" s="1"/>
  <c r="AN961"/>
  <c r="AP961" s="1"/>
  <c r="AS961" s="1"/>
  <c r="AO961"/>
  <c r="AR961" s="1"/>
  <c r="AO484"/>
  <c r="AR484" s="1"/>
  <c r="AN484"/>
  <c r="AP484" s="1"/>
  <c r="AS484" s="1"/>
  <c r="AN765"/>
  <c r="AP765" s="1"/>
  <c r="AS765" s="1"/>
  <c r="AO765"/>
  <c r="AR765" s="1"/>
  <c r="AN749"/>
  <c r="AP749" s="1"/>
  <c r="AS749" s="1"/>
  <c r="AO749"/>
  <c r="AR749" s="1"/>
  <c r="AO217"/>
  <c r="AR217" s="1"/>
  <c r="AN217"/>
  <c r="AP217" s="1"/>
  <c r="AS217" s="1"/>
  <c r="AN993"/>
  <c r="AP993" s="1"/>
  <c r="AS993" s="1"/>
  <c r="AO993"/>
  <c r="AR993" s="1"/>
  <c r="AN411"/>
  <c r="AP411" s="1"/>
  <c r="AS411" s="1"/>
  <c r="AO411"/>
  <c r="AR411" s="1"/>
  <c r="AO459"/>
  <c r="AR459" s="1"/>
  <c r="AN459"/>
  <c r="AP459" s="1"/>
  <c r="AS459" s="1"/>
  <c r="AN321"/>
  <c r="AP321" s="1"/>
  <c r="AS321" s="1"/>
  <c r="AN563"/>
  <c r="AP563" s="1"/>
  <c r="AS563" s="1"/>
  <c r="AN886"/>
  <c r="AP886" s="1"/>
  <c r="AS886" s="1"/>
  <c r="AO341"/>
  <c r="AR341" s="1"/>
  <c r="AO1014"/>
  <c r="AR1014" s="1"/>
  <c r="AO382"/>
  <c r="AR382" s="1"/>
  <c r="AO1117"/>
  <c r="AR1117" s="1"/>
  <c r="AO518"/>
  <c r="AR518" s="1"/>
  <c r="AO1201"/>
  <c r="AR1201" s="1"/>
  <c r="AO249"/>
  <c r="AR249" s="1"/>
  <c r="AO160"/>
  <c r="AR160" s="1"/>
  <c r="AO186"/>
  <c r="AR186" s="1"/>
  <c r="AO267"/>
  <c r="AR267" s="1"/>
  <c r="AO1214"/>
  <c r="AR1214" s="1"/>
  <c r="AO1271"/>
  <c r="AR1271" s="1"/>
  <c r="AO884"/>
  <c r="AR884" s="1"/>
  <c r="AN98"/>
  <c r="AP98" s="1"/>
  <c r="AS98" s="1"/>
  <c r="AN890"/>
  <c r="AP890" s="1"/>
  <c r="AS890" s="1"/>
  <c r="AO920"/>
  <c r="AR920" s="1"/>
  <c r="AO1263"/>
  <c r="AR1263" s="1"/>
  <c r="AO1028"/>
  <c r="AR1028" s="1"/>
  <c r="AN960"/>
  <c r="AP960" s="1"/>
  <c r="AS960" s="1"/>
  <c r="AN635"/>
  <c r="AP635" s="1"/>
  <c r="AS635" s="1"/>
  <c r="AO649"/>
  <c r="AR649" s="1"/>
  <c r="AO1040"/>
  <c r="AR1040" s="1"/>
  <c r="AO339"/>
  <c r="AR339" s="1"/>
  <c r="AO586"/>
  <c r="AR586" s="1"/>
  <c r="AO119"/>
  <c r="AR119" s="1"/>
  <c r="AO788"/>
  <c r="AR788" s="1"/>
  <c r="AO1233"/>
  <c r="AR1233" s="1"/>
  <c r="AO1069"/>
  <c r="AR1069" s="1"/>
  <c r="AO1019"/>
  <c r="AR1019" s="1"/>
  <c r="AO615"/>
  <c r="AR615" s="1"/>
  <c r="AO660"/>
  <c r="AR660" s="1"/>
  <c r="AO818"/>
  <c r="AR818" s="1"/>
  <c r="AO514"/>
  <c r="AR514" s="1"/>
  <c r="AO633"/>
  <c r="AR633" s="1"/>
  <c r="AO665"/>
  <c r="AR665" s="1"/>
  <c r="AO522"/>
  <c r="AR522" s="1"/>
  <c r="AO1164"/>
  <c r="AR1164" s="1"/>
  <c r="AO324"/>
  <c r="AR324" s="1"/>
  <c r="AO1198"/>
  <c r="AR1198" s="1"/>
  <c r="AO834"/>
  <c r="AR834" s="1"/>
  <c r="AO1053"/>
  <c r="AR1053" s="1"/>
  <c r="AO580"/>
  <c r="AR580" s="1"/>
  <c r="AO288"/>
  <c r="AR288" s="1"/>
  <c r="AO1026"/>
  <c r="AR1026" s="1"/>
  <c r="AO789"/>
  <c r="AR789" s="1"/>
  <c r="AO880"/>
  <c r="AR880" s="1"/>
  <c r="AO366"/>
  <c r="AR366" s="1"/>
  <c r="AO879"/>
  <c r="AR879" s="1"/>
  <c r="AO1016"/>
  <c r="AR1016" s="1"/>
  <c r="AO323"/>
  <c r="AR323" s="1"/>
  <c r="AO868"/>
  <c r="AR868" s="1"/>
  <c r="AO809"/>
  <c r="AR809" s="1"/>
  <c r="AO908"/>
  <c r="AR908" s="1"/>
  <c r="AN58"/>
  <c r="AP58" s="1"/>
  <c r="AS58" s="1"/>
  <c r="AO883"/>
  <c r="AR883" s="1"/>
  <c r="AO653"/>
  <c r="AR653" s="1"/>
  <c r="AO345"/>
  <c r="AR345" s="1"/>
  <c r="AO1034"/>
  <c r="AR1034" s="1"/>
  <c r="AO1143"/>
  <c r="AR1143" s="1"/>
  <c r="AO696"/>
  <c r="AR696" s="1"/>
  <c r="AO1195"/>
  <c r="AR1195" s="1"/>
  <c r="AO1036"/>
  <c r="AR1036" s="1"/>
  <c r="AO565"/>
  <c r="AR565" s="1"/>
  <c r="AO255"/>
  <c r="AR255" s="1"/>
  <c r="AO690"/>
  <c r="AR690" s="1"/>
  <c r="AO1156"/>
  <c r="AR1156" s="1"/>
  <c r="AO956"/>
  <c r="AR956" s="1"/>
  <c r="AO199"/>
  <c r="AR199" s="1"/>
  <c r="AO631"/>
  <c r="AR631" s="1"/>
  <c r="AO839"/>
  <c r="AR839" s="1"/>
  <c r="AO966"/>
  <c r="AR966" s="1"/>
  <c r="AO815"/>
  <c r="AR815" s="1"/>
  <c r="AO600"/>
  <c r="AR600" s="1"/>
  <c r="AO616"/>
  <c r="AR616" s="1"/>
  <c r="AO1140"/>
  <c r="AR1140" s="1"/>
  <c r="AO630"/>
  <c r="AR630" s="1"/>
  <c r="AO1022"/>
  <c r="AR1022" s="1"/>
  <c r="AO887"/>
  <c r="AR887" s="1"/>
  <c r="AO128"/>
  <c r="AR128" s="1"/>
  <c r="AO1243"/>
  <c r="AR1243" s="1"/>
  <c r="AO1113"/>
  <c r="AR1113" s="1"/>
  <c r="AO252"/>
  <c r="AR252" s="1"/>
  <c r="AO145"/>
  <c r="AR145" s="1"/>
  <c r="AO1260"/>
  <c r="AR1260" s="1"/>
  <c r="AO283"/>
  <c r="AR283" s="1"/>
  <c r="AO708"/>
  <c r="AR708" s="1"/>
  <c r="AO1242"/>
  <c r="AR1242" s="1"/>
  <c r="AO530"/>
  <c r="AR530" s="1"/>
  <c r="AO1265"/>
  <c r="AR1265" s="1"/>
  <c r="AO1186"/>
  <c r="AR1186" s="1"/>
  <c r="AO603"/>
  <c r="AR603" s="1"/>
  <c r="AO1199"/>
  <c r="AR1199" s="1"/>
  <c r="AO520"/>
  <c r="AR520" s="1"/>
  <c r="AO684"/>
  <c r="AR684" s="1"/>
  <c r="AO262"/>
  <c r="AR262" s="1"/>
  <c r="AO1152"/>
  <c r="AR1152" s="1"/>
  <c r="AO492"/>
  <c r="AR492" s="1"/>
  <c r="AO597"/>
  <c r="AR597" s="1"/>
  <c r="AO364"/>
  <c r="AR364" s="1"/>
  <c r="AO370"/>
  <c r="AR370" s="1"/>
  <c r="AO299"/>
  <c r="AR299" s="1"/>
  <c r="AO114"/>
  <c r="AR114" s="1"/>
  <c r="AN50"/>
  <c r="AP50" s="1"/>
  <c r="AS50" s="1"/>
  <c r="AO360"/>
  <c r="AR360" s="1"/>
  <c r="AO1193"/>
  <c r="AR1193" s="1"/>
  <c r="AO1257"/>
  <c r="AR1257" s="1"/>
  <c r="AO674"/>
  <c r="AR674" s="1"/>
  <c r="AO1087"/>
  <c r="AR1087" s="1"/>
  <c r="AO388"/>
  <c r="AR388" s="1"/>
  <c r="AO1095"/>
  <c r="AR1095" s="1"/>
  <c r="AN94"/>
  <c r="AP94" s="1"/>
  <c r="AS94" s="1"/>
  <c r="AN88"/>
  <c r="AP88" s="1"/>
  <c r="AS88" s="1"/>
  <c r="AO644"/>
  <c r="AR644" s="1"/>
  <c r="AO1101"/>
  <c r="AR1101" s="1"/>
  <c r="AO1071"/>
  <c r="AR1071" s="1"/>
  <c r="AO1044"/>
  <c r="AR1044" s="1"/>
  <c r="AN43"/>
  <c r="AP43" s="1"/>
  <c r="AS43" s="1"/>
  <c r="AO610"/>
  <c r="AR610" s="1"/>
  <c r="AO742"/>
  <c r="AR742" s="1"/>
  <c r="AO825"/>
  <c r="AR825" s="1"/>
  <c r="AO864"/>
  <c r="AR864" s="1"/>
  <c r="AO642"/>
  <c r="AR642" s="1"/>
  <c r="AO718"/>
  <c r="AR718" s="1"/>
  <c r="AO395"/>
  <c r="AR395" s="1"/>
  <c r="AO1047"/>
  <c r="AR1047" s="1"/>
  <c r="AO505"/>
  <c r="AR505" s="1"/>
  <c r="AO1083"/>
  <c r="AR1083" s="1"/>
  <c r="AO1015"/>
  <c r="AR1015" s="1"/>
  <c r="AO881"/>
  <c r="AR881" s="1"/>
  <c r="AO272"/>
  <c r="AR272" s="1"/>
  <c r="AO1173"/>
  <c r="AR1173" s="1"/>
  <c r="AO582"/>
  <c r="AR582" s="1"/>
  <c r="AO508"/>
  <c r="AR508" s="1"/>
  <c r="AO309"/>
  <c r="AR309" s="1"/>
  <c r="AO1127"/>
  <c r="AR1127" s="1"/>
  <c r="AO1097"/>
  <c r="AR1097" s="1"/>
  <c r="AO1068"/>
  <c r="AR1068" s="1"/>
  <c r="AO590"/>
  <c r="AR590" s="1"/>
  <c r="AO919"/>
  <c r="AR919" s="1"/>
  <c r="AO734"/>
  <c r="AR734" s="1"/>
  <c r="AO727"/>
  <c r="AR727" s="1"/>
  <c r="AO115"/>
  <c r="AR115" s="1"/>
  <c r="AO154"/>
  <c r="AR154" s="1"/>
  <c r="AO150"/>
  <c r="AR150" s="1"/>
  <c r="AO552"/>
  <c r="AR552" s="1"/>
  <c r="AO1102"/>
  <c r="AR1102" s="1"/>
  <c r="AO332"/>
  <c r="AR332" s="1"/>
  <c r="AO376"/>
  <c r="AR376" s="1"/>
  <c r="AO822"/>
  <c r="AR822" s="1"/>
  <c r="AO369"/>
  <c r="AR369" s="1"/>
  <c r="AO545"/>
  <c r="AR545" s="1"/>
  <c r="AO146"/>
  <c r="AR146" s="1"/>
  <c r="AO290"/>
  <c r="AR290" s="1"/>
  <c r="AO831"/>
  <c r="AR831" s="1"/>
  <c r="AO278"/>
  <c r="AR278" s="1"/>
  <c r="AN99"/>
  <c r="AP99" s="1"/>
  <c r="AS99" s="1"/>
  <c r="AO118"/>
  <c r="AR118" s="1"/>
  <c r="AO182"/>
  <c r="AR182" s="1"/>
  <c r="AO1224"/>
  <c r="AR1224" s="1"/>
  <c r="AO129"/>
  <c r="AR129" s="1"/>
  <c r="AO1249"/>
  <c r="AR1249" s="1"/>
  <c r="AO108"/>
  <c r="AR108" s="1"/>
  <c r="AO685"/>
  <c r="AR685" s="1"/>
  <c r="AO260"/>
  <c r="AR260" s="1"/>
  <c r="AO179"/>
  <c r="AR179" s="1"/>
  <c r="AO318"/>
  <c r="AR318" s="1"/>
  <c r="AO996"/>
  <c r="AR996" s="1"/>
  <c r="AO337"/>
  <c r="AR337" s="1"/>
  <c r="AO861"/>
  <c r="AR861" s="1"/>
  <c r="AO785"/>
  <c r="AR785" s="1"/>
  <c r="AO301"/>
  <c r="AR301" s="1"/>
  <c r="AO334"/>
  <c r="AR334" s="1"/>
  <c r="AO1253"/>
  <c r="AR1253" s="1"/>
  <c r="AO516"/>
  <c r="AR516" s="1"/>
  <c r="AO1080"/>
  <c r="AR1080" s="1"/>
  <c r="AO687"/>
  <c r="AR687" s="1"/>
  <c r="AO1250"/>
  <c r="AR1250" s="1"/>
  <c r="AO1000"/>
  <c r="AR1000" s="1"/>
  <c r="AO1160"/>
  <c r="AR1160" s="1"/>
  <c r="AO584"/>
  <c r="AR584" s="1"/>
  <c r="AO1038"/>
  <c r="AR1038" s="1"/>
  <c r="AO976"/>
  <c r="AR976" s="1"/>
  <c r="AO152"/>
  <c r="AR152" s="1"/>
  <c r="AO571"/>
  <c r="AR571" s="1"/>
  <c r="AO500"/>
  <c r="AR500" s="1"/>
  <c r="AO903"/>
  <c r="AR903" s="1"/>
  <c r="AO1045"/>
  <c r="AR1045" s="1"/>
  <c r="AO813"/>
  <c r="AR813" s="1"/>
  <c r="AO875"/>
  <c r="AR875" s="1"/>
  <c r="AN39"/>
  <c r="AP39" s="1"/>
  <c r="AS39" s="1"/>
  <c r="AO1236"/>
  <c r="AR1236" s="1"/>
  <c r="AN82"/>
  <c r="AP82" s="1"/>
  <c r="AS82" s="1"/>
  <c r="AO1272"/>
  <c r="AR1272" s="1"/>
  <c r="AO528"/>
  <c r="AR528" s="1"/>
  <c r="AO342"/>
  <c r="AR342" s="1"/>
  <c r="AO820"/>
  <c r="AR820" s="1"/>
  <c r="AO625"/>
  <c r="AR625" s="1"/>
  <c r="AN49"/>
  <c r="AP49" s="1"/>
  <c r="AS49" s="1"/>
  <c r="AO151"/>
  <c r="AR151" s="1"/>
  <c r="AO846"/>
  <c r="AR846" s="1"/>
  <c r="AO544"/>
  <c r="AR544" s="1"/>
  <c r="AO654"/>
  <c r="AR654" s="1"/>
  <c r="AO1049"/>
  <c r="AR1049" s="1"/>
  <c r="AO320"/>
  <c r="AR320" s="1"/>
  <c r="AO844"/>
  <c r="AR844" s="1"/>
  <c r="AO1167"/>
  <c r="AR1167" s="1"/>
  <c r="AO1079"/>
  <c r="AR1079" s="1"/>
  <c r="AO253"/>
  <c r="AR253" s="1"/>
  <c r="AO1089"/>
  <c r="AR1089" s="1"/>
  <c r="AO358"/>
  <c r="AR358" s="1"/>
  <c r="AO782"/>
  <c r="AR782" s="1"/>
  <c r="AO736"/>
  <c r="AR736" s="1"/>
  <c r="AO713"/>
  <c r="AR713" s="1"/>
  <c r="AO547"/>
  <c r="AR547" s="1"/>
  <c r="AO738"/>
  <c r="AR738" s="1"/>
  <c r="AO314"/>
  <c r="AR314" s="1"/>
  <c r="AO44"/>
  <c r="AR44" s="1"/>
  <c r="AN698"/>
  <c r="AP698" s="1"/>
  <c r="AS698" s="1"/>
  <c r="AO1178"/>
  <c r="AR1178" s="1"/>
  <c r="AN93"/>
  <c r="AP93" s="1"/>
  <c r="AS93" s="1"/>
  <c r="AN558"/>
  <c r="AP558" s="1"/>
  <c r="AS558" s="1"/>
  <c r="AO451"/>
  <c r="AR451" s="1"/>
  <c r="AO784"/>
  <c r="AR784" s="1"/>
  <c r="AO304"/>
  <c r="AR304" s="1"/>
  <c r="AO1043"/>
  <c r="AR1043" s="1"/>
  <c r="AN1129"/>
  <c r="AP1129" s="1"/>
  <c r="AS1129" s="1"/>
  <c r="AO90"/>
  <c r="AR90" s="1"/>
  <c r="AO612"/>
  <c r="AR612" s="1"/>
  <c r="AO113"/>
  <c r="AR113" s="1"/>
  <c r="AN1268"/>
  <c r="AP1268" s="1"/>
  <c r="AS1268" s="1"/>
  <c r="AO1103"/>
  <c r="AR1103" s="1"/>
  <c r="AO1231"/>
  <c r="AR1231" s="1"/>
  <c r="AN1171"/>
  <c r="AP1171" s="1"/>
  <c r="AS1171" s="1"/>
  <c r="AO72"/>
  <c r="AR72" s="1"/>
  <c r="AO936"/>
  <c r="AR936" s="1"/>
  <c r="AO1237"/>
  <c r="AR1237" s="1"/>
  <c r="AO201"/>
  <c r="AR201" s="1"/>
  <c r="AO538"/>
  <c r="AR538" s="1"/>
  <c r="AO605"/>
  <c r="AR605" s="1"/>
  <c r="AO1018"/>
  <c r="AR1018" s="1"/>
  <c r="AN1126"/>
  <c r="AP1126" s="1"/>
  <c r="AS1126" s="1"/>
  <c r="AN1007"/>
  <c r="AP1007" s="1"/>
  <c r="AS1007" s="1"/>
  <c r="AO1007"/>
  <c r="AR1007" s="1"/>
  <c r="AO421"/>
  <c r="AR421" s="1"/>
  <c r="AN421"/>
  <c r="AP421" s="1"/>
  <c r="AS421" s="1"/>
  <c r="AO438"/>
  <c r="AR438" s="1"/>
  <c r="AN438"/>
  <c r="AP438" s="1"/>
  <c r="AS438" s="1"/>
  <c r="AN422"/>
  <c r="AP422" s="1"/>
  <c r="AS422" s="1"/>
  <c r="AO422"/>
  <c r="AR422" s="1"/>
  <c r="AO406"/>
  <c r="AR406" s="1"/>
  <c r="AN406"/>
  <c r="AP406" s="1"/>
  <c r="AS406" s="1"/>
  <c r="AN483"/>
  <c r="AP483" s="1"/>
  <c r="AS483" s="1"/>
  <c r="AO483"/>
  <c r="AR483" s="1"/>
  <c r="AN995"/>
  <c r="AP995" s="1"/>
  <c r="AS995" s="1"/>
  <c r="AO995"/>
  <c r="AR995" s="1"/>
  <c r="AN220"/>
  <c r="AP220" s="1"/>
  <c r="AS220" s="1"/>
  <c r="AO220"/>
  <c r="AR220" s="1"/>
  <c r="AO762"/>
  <c r="AR762" s="1"/>
  <c r="AN762"/>
  <c r="AP762" s="1"/>
  <c r="AS762" s="1"/>
  <c r="AO470"/>
  <c r="AR470" s="1"/>
  <c r="AN470"/>
  <c r="AP470" s="1"/>
  <c r="AS470" s="1"/>
  <c r="AN1001"/>
  <c r="AP1001" s="1"/>
  <c r="AS1001" s="1"/>
  <c r="AO1001"/>
  <c r="AR1001" s="1"/>
  <c r="AO435"/>
  <c r="AR435" s="1"/>
  <c r="AN435"/>
  <c r="AP435" s="1"/>
  <c r="AS435" s="1"/>
  <c r="AN479"/>
  <c r="AP479" s="1"/>
  <c r="AS479" s="1"/>
  <c r="AO479"/>
  <c r="AR479" s="1"/>
  <c r="AO208"/>
  <c r="AR208" s="1"/>
  <c r="AN208"/>
  <c r="AP208" s="1"/>
  <c r="AS208" s="1"/>
  <c r="AO413"/>
  <c r="AR413" s="1"/>
  <c r="AN413"/>
  <c r="AP413" s="1"/>
  <c r="AS413" s="1"/>
  <c r="AO204"/>
  <c r="AR204" s="1"/>
  <c r="AN204"/>
  <c r="AP204" s="1"/>
  <c r="AS204" s="1"/>
  <c r="AN462"/>
  <c r="AP462" s="1"/>
  <c r="AS462" s="1"/>
  <c r="AO462"/>
  <c r="AR462" s="1"/>
  <c r="AO420"/>
  <c r="AR420" s="1"/>
  <c r="AN420"/>
  <c r="AP420" s="1"/>
  <c r="AS420" s="1"/>
  <c r="AO766"/>
  <c r="AR766" s="1"/>
  <c r="AN766"/>
  <c r="AP766" s="1"/>
  <c r="AS766" s="1"/>
  <c r="AO221"/>
  <c r="AR221" s="1"/>
  <c r="AN221"/>
  <c r="AP221" s="1"/>
  <c r="AS221" s="1"/>
  <c r="AN464"/>
  <c r="AP464" s="1"/>
  <c r="AS464" s="1"/>
  <c r="AO464"/>
  <c r="AR464" s="1"/>
  <c r="AO233"/>
  <c r="AR233" s="1"/>
  <c r="AN233"/>
  <c r="AP233" s="1"/>
  <c r="AS233" s="1"/>
  <c r="AN941"/>
  <c r="AP941" s="1"/>
  <c r="AS941" s="1"/>
  <c r="AO941"/>
  <c r="AR941" s="1"/>
  <c r="AN465"/>
  <c r="AP465" s="1"/>
  <c r="AS465" s="1"/>
  <c r="AO465"/>
  <c r="AR465" s="1"/>
  <c r="AN458"/>
  <c r="AP458" s="1"/>
  <c r="AS458" s="1"/>
  <c r="AO458"/>
  <c r="AR458" s="1"/>
  <c r="AO746"/>
  <c r="AR746" s="1"/>
  <c r="AN746"/>
  <c r="AP746" s="1"/>
  <c r="AS746" s="1"/>
  <c r="AN447"/>
  <c r="AP447" s="1"/>
  <c r="AS447" s="1"/>
  <c r="AO447"/>
  <c r="AR447" s="1"/>
  <c r="AN203"/>
  <c r="AP203" s="1"/>
  <c r="AS203" s="1"/>
  <c r="AO203"/>
  <c r="AR203" s="1"/>
  <c r="AN469"/>
  <c r="AP469" s="1"/>
  <c r="AS469" s="1"/>
  <c r="AO469"/>
  <c r="AR469" s="1"/>
  <c r="AN939"/>
  <c r="AP939" s="1"/>
  <c r="AS939" s="1"/>
  <c r="AO939"/>
  <c r="AR939" s="1"/>
  <c r="AO461"/>
  <c r="AR461" s="1"/>
  <c r="AN461"/>
  <c r="AP461" s="1"/>
  <c r="AS461" s="1"/>
  <c r="AO209"/>
  <c r="AR209" s="1"/>
  <c r="AN209"/>
  <c r="AP209" s="1"/>
  <c r="AS209" s="1"/>
  <c r="AO885"/>
  <c r="AR885" s="1"/>
  <c r="AO1137"/>
  <c r="AR1137" s="1"/>
  <c r="AO371"/>
  <c r="AR371" s="1"/>
  <c r="AO1155"/>
  <c r="AR1155" s="1"/>
  <c r="AO566"/>
  <c r="AR566" s="1"/>
  <c r="AO164"/>
  <c r="AR164" s="1"/>
  <c r="AO1166"/>
  <c r="AR1166" s="1"/>
  <c r="AO158"/>
  <c r="AR158" s="1"/>
  <c r="AO1254"/>
  <c r="AR1254" s="1"/>
  <c r="AO195"/>
  <c r="AR195" s="1"/>
  <c r="AO689"/>
  <c r="AR689" s="1"/>
  <c r="AO1029"/>
  <c r="AR1029" s="1"/>
  <c r="AO573"/>
  <c r="AR573" s="1"/>
  <c r="AO351"/>
  <c r="AR351" s="1"/>
  <c r="AO1262"/>
  <c r="AR1262" s="1"/>
  <c r="AO1107"/>
  <c r="AR1107" s="1"/>
  <c r="AO107"/>
  <c r="AR107" s="1"/>
  <c r="AO1188"/>
  <c r="AR1188" s="1"/>
  <c r="AO892"/>
  <c r="AR892" s="1"/>
  <c r="AO791"/>
  <c r="AR791" s="1"/>
  <c r="AO1138"/>
  <c r="AR1138" s="1"/>
  <c r="AO1008"/>
  <c r="AR1008" s="1"/>
  <c r="AO1245"/>
  <c r="AR1245" s="1"/>
  <c r="AO197"/>
  <c r="AR197" s="1"/>
  <c r="AO306"/>
  <c r="AR306" s="1"/>
  <c r="AO811"/>
  <c r="AR811" s="1"/>
  <c r="AO144"/>
  <c r="AR144" s="1"/>
  <c r="AO153"/>
  <c r="AR153" s="1"/>
  <c r="AO1150"/>
  <c r="AR1150" s="1"/>
  <c r="AO185"/>
  <c r="AR185" s="1"/>
  <c r="AO163"/>
  <c r="AR163" s="1"/>
  <c r="AO166"/>
  <c r="AR166" s="1"/>
  <c r="AO291"/>
  <c r="AR291" s="1"/>
  <c r="AO847"/>
  <c r="AR847" s="1"/>
  <c r="AO116"/>
  <c r="AR116" s="1"/>
  <c r="AO1061"/>
  <c r="AR1061" s="1"/>
  <c r="AO579"/>
  <c r="AR579" s="1"/>
  <c r="AO550"/>
  <c r="AR550" s="1"/>
  <c r="AO335"/>
  <c r="AR335" s="1"/>
  <c r="AO1004"/>
  <c r="AR1004" s="1"/>
  <c r="AO922"/>
  <c r="AR922" s="1"/>
  <c r="AO1145"/>
  <c r="AR1145" s="1"/>
  <c r="AO1240"/>
  <c r="AR1240" s="1"/>
  <c r="AO1256"/>
  <c r="AR1256" s="1"/>
  <c r="AO693"/>
  <c r="AR693" s="1"/>
  <c r="AO928"/>
  <c r="AR928" s="1"/>
  <c r="AO398"/>
  <c r="AR398" s="1"/>
  <c r="AO159"/>
  <c r="AR159" s="1"/>
  <c r="AO915"/>
  <c r="AR915" s="1"/>
  <c r="AO243"/>
  <c r="AR243" s="1"/>
  <c r="AN38"/>
  <c r="AP38" s="1"/>
  <c r="AS38" s="1"/>
  <c r="AO110"/>
  <c r="AR110" s="1"/>
  <c r="AO686"/>
  <c r="AR686" s="1"/>
  <c r="AO1218"/>
  <c r="AR1218" s="1"/>
  <c r="AO872"/>
  <c r="AR872" s="1"/>
  <c r="AO867"/>
  <c r="AR867" s="1"/>
  <c r="AO142"/>
  <c r="AR142" s="1"/>
  <c r="AO307"/>
  <c r="AR307" s="1"/>
  <c r="AO837"/>
  <c r="AR837" s="1"/>
  <c r="AO183"/>
  <c r="AR183" s="1"/>
  <c r="AO794"/>
  <c r="AR794" s="1"/>
  <c r="AO1187"/>
  <c r="AR1187" s="1"/>
  <c r="AO139"/>
  <c r="AR139" s="1"/>
  <c r="AO1136"/>
  <c r="AR1136" s="1"/>
  <c r="AO540"/>
  <c r="AR540" s="1"/>
  <c r="AO287"/>
  <c r="AR287" s="1"/>
  <c r="AN42"/>
  <c r="AP42" s="1"/>
  <c r="AS42" s="1"/>
  <c r="AO670"/>
  <c r="AR670" s="1"/>
  <c r="AO1119"/>
  <c r="AR1119" s="1"/>
  <c r="AO692"/>
  <c r="AR692" s="1"/>
  <c r="AO1189"/>
  <c r="AR1189" s="1"/>
  <c r="AO1162"/>
  <c r="AR1162" s="1"/>
  <c r="AO1085"/>
  <c r="AR1085" s="1"/>
  <c r="AO1060"/>
  <c r="AR1060" s="1"/>
  <c r="AO1261"/>
  <c r="AR1261" s="1"/>
  <c r="AO655"/>
  <c r="AR655" s="1"/>
  <c r="AO297"/>
  <c r="AR297" s="1"/>
  <c r="AO1219"/>
  <c r="AR1219" s="1"/>
  <c r="AO391"/>
  <c r="AR391" s="1"/>
  <c r="AO968"/>
  <c r="AR968" s="1"/>
  <c r="AO285"/>
  <c r="AR285" s="1"/>
  <c r="AO792"/>
  <c r="AR792" s="1"/>
  <c r="AO162"/>
  <c r="AR162" s="1"/>
  <c r="AO352"/>
  <c r="AR352" s="1"/>
  <c r="AO589"/>
  <c r="AR589" s="1"/>
  <c r="AO613"/>
  <c r="AR613" s="1"/>
  <c r="AN64"/>
  <c r="AP64" s="1"/>
  <c r="AS64" s="1"/>
  <c r="AN77"/>
  <c r="AP77" s="1"/>
  <c r="AS77" s="1"/>
  <c r="AO1035"/>
  <c r="AR1035" s="1"/>
  <c r="AO1112"/>
  <c r="AR1112" s="1"/>
  <c r="AO1133"/>
  <c r="AR1133" s="1"/>
  <c r="AO135"/>
  <c r="AR135" s="1"/>
  <c r="AO1234"/>
  <c r="AR1234" s="1"/>
  <c r="AO697"/>
  <c r="AR697" s="1"/>
  <c r="AO974"/>
  <c r="AR974" s="1"/>
  <c r="AO1002"/>
  <c r="AR1002" s="1"/>
  <c r="AO795"/>
  <c r="AR795" s="1"/>
  <c r="AO1073"/>
  <c r="AR1073" s="1"/>
  <c r="AO350"/>
  <c r="AR350" s="1"/>
  <c r="AO1098"/>
  <c r="AR1098" s="1"/>
  <c r="AO1120"/>
  <c r="AR1120" s="1"/>
  <c r="AO843"/>
  <c r="AR843" s="1"/>
  <c r="AO1090"/>
  <c r="AR1090" s="1"/>
  <c r="AO542"/>
  <c r="AR542" s="1"/>
  <c r="AO136"/>
  <c r="AR136" s="1"/>
  <c r="AO859"/>
  <c r="AR859" s="1"/>
  <c r="AO282"/>
  <c r="AR282" s="1"/>
  <c r="AN65"/>
  <c r="AP65" s="1"/>
  <c r="AS65" s="1"/>
  <c r="AO385"/>
  <c r="AR385" s="1"/>
  <c r="AO165"/>
  <c r="AR165" s="1"/>
  <c r="AO1264"/>
  <c r="AR1264" s="1"/>
  <c r="AO732"/>
  <c r="AR732" s="1"/>
  <c r="AO269"/>
  <c r="AR269" s="1"/>
  <c r="AN73"/>
  <c r="AP73" s="1"/>
  <c r="AS73" s="1"/>
  <c r="AO250"/>
  <c r="AR250" s="1"/>
  <c r="AO970"/>
  <c r="AR970" s="1"/>
  <c r="AN87"/>
  <c r="AP87" s="1"/>
  <c r="AS87" s="1"/>
  <c r="AO1132"/>
  <c r="AR1132" s="1"/>
  <c r="AO328"/>
  <c r="AR328" s="1"/>
  <c r="AO869"/>
  <c r="AR869" s="1"/>
  <c r="AO1116"/>
  <c r="AR1116" s="1"/>
  <c r="AO780"/>
  <c r="AR780" s="1"/>
  <c r="AN70"/>
  <c r="AP70" s="1"/>
  <c r="AS70" s="1"/>
  <c r="AO731"/>
  <c r="AR731" s="1"/>
  <c r="AO663"/>
  <c r="AR663" s="1"/>
  <c r="AO266"/>
  <c r="AR266" s="1"/>
  <c r="AO681"/>
  <c r="AR681" s="1"/>
  <c r="AO682"/>
  <c r="AR682" s="1"/>
  <c r="AO355"/>
  <c r="AR355" s="1"/>
  <c r="AO326"/>
  <c r="AR326" s="1"/>
  <c r="AO1124"/>
  <c r="AR1124" s="1"/>
  <c r="AO715"/>
  <c r="AR715" s="1"/>
  <c r="AO1121"/>
  <c r="AR1121" s="1"/>
  <c r="AO716"/>
  <c r="AR716" s="1"/>
  <c r="AO1170"/>
  <c r="AR1170" s="1"/>
  <c r="AO799"/>
  <c r="AR799" s="1"/>
  <c r="AO808"/>
  <c r="AR808" s="1"/>
  <c r="AO862"/>
  <c r="AR862" s="1"/>
  <c r="AO596"/>
  <c r="AR596" s="1"/>
  <c r="AO914"/>
  <c r="AR914" s="1"/>
  <c r="AO554"/>
  <c r="AR554" s="1"/>
  <c r="AO609"/>
  <c r="AR609" s="1"/>
  <c r="AO1131"/>
  <c r="AR1131" s="1"/>
  <c r="AO561"/>
  <c r="AR561" s="1"/>
  <c r="AO1191"/>
  <c r="AR1191" s="1"/>
  <c r="AO711"/>
  <c r="AR711" s="1"/>
  <c r="AO1267"/>
  <c r="AR1267" s="1"/>
  <c r="AO1241"/>
  <c r="AR1241" s="1"/>
  <c r="AO348"/>
  <c r="AR348" s="1"/>
  <c r="AO661"/>
  <c r="AR661" s="1"/>
  <c r="AO275"/>
  <c r="AR275" s="1"/>
  <c r="AO1063"/>
  <c r="AR1063" s="1"/>
  <c r="AO730"/>
  <c r="AR730" s="1"/>
  <c r="AO106"/>
  <c r="AR106" s="1"/>
  <c r="AO948"/>
  <c r="AR948" s="1"/>
  <c r="AO1181"/>
  <c r="AR1181" s="1"/>
  <c r="AO1030"/>
  <c r="AR1030" s="1"/>
  <c r="AO191"/>
  <c r="AR191" s="1"/>
  <c r="AO394"/>
  <c r="AR394" s="1"/>
  <c r="AO319"/>
  <c r="AR319" s="1"/>
  <c r="AO604"/>
  <c r="AR604" s="1"/>
  <c r="AO251"/>
  <c r="AR251" s="1"/>
  <c r="AO733"/>
  <c r="AR733" s="1"/>
  <c r="AO373"/>
  <c r="AR373" s="1"/>
  <c r="AO673"/>
  <c r="AR673" s="1"/>
  <c r="AO543"/>
  <c r="AR543" s="1"/>
  <c r="AO374"/>
  <c r="AR374" s="1"/>
  <c r="AO349"/>
  <c r="AR349" s="1"/>
  <c r="AN45"/>
  <c r="AP45" s="1"/>
  <c r="AS45" s="1"/>
  <c r="AO551"/>
  <c r="AR551" s="1"/>
  <c r="AO308"/>
  <c r="AR308" s="1"/>
  <c r="AO1013"/>
  <c r="AR1013" s="1"/>
  <c r="AO1184"/>
  <c r="AR1184" s="1"/>
  <c r="AO265"/>
  <c r="AR265" s="1"/>
  <c r="AN56"/>
  <c r="AP56" s="1"/>
  <c r="AS56" s="1"/>
  <c r="AO1072"/>
  <c r="AR1072" s="1"/>
  <c r="AO1148"/>
  <c r="AR1148" s="1"/>
  <c r="AO504"/>
  <c r="AR504" s="1"/>
  <c r="AO192"/>
  <c r="AR192" s="1"/>
  <c r="AO347"/>
  <c r="AR347" s="1"/>
  <c r="AO1084"/>
  <c r="AR1084" s="1"/>
  <c r="AO1092"/>
  <c r="AR1092" s="1"/>
  <c r="AN63"/>
  <c r="AP63" s="1"/>
  <c r="AS63" s="1"/>
  <c r="AO1012"/>
  <c r="AR1012" s="1"/>
  <c r="AO268"/>
  <c r="AR268" s="1"/>
  <c r="AO1207"/>
  <c r="AR1207" s="1"/>
  <c r="AO691"/>
  <c r="AR691" s="1"/>
  <c r="AN89"/>
  <c r="AP89" s="1"/>
  <c r="AS89" s="1"/>
  <c r="AO637"/>
  <c r="AR637" s="1"/>
  <c r="AO832"/>
  <c r="AR832" s="1"/>
  <c r="AO147"/>
  <c r="AR147" s="1"/>
  <c r="AO1039"/>
  <c r="AR1039" s="1"/>
  <c r="AO1192"/>
  <c r="AR1192" s="1"/>
  <c r="AO1172"/>
  <c r="AR1172" s="1"/>
  <c r="AO1182"/>
  <c r="AR1182" s="1"/>
  <c r="AO836"/>
  <c r="AR836" s="1"/>
  <c r="AO786"/>
  <c r="AR786" s="1"/>
  <c r="AO896"/>
  <c r="AR896" s="1"/>
  <c r="AO263"/>
  <c r="AR263" s="1"/>
  <c r="AO284"/>
  <c r="AR284" s="1"/>
  <c r="AO802"/>
  <c r="AR802" s="1"/>
  <c r="AO1204"/>
  <c r="AR1204" s="1"/>
  <c r="AO546"/>
  <c r="AR546" s="1"/>
  <c r="AO1196"/>
  <c r="AR1196" s="1"/>
  <c r="AN57"/>
  <c r="AP57" s="1"/>
  <c r="AS57" s="1"/>
  <c r="AO132"/>
  <c r="AR132" s="1"/>
  <c r="AO375"/>
  <c r="AR375" s="1"/>
  <c r="AN100"/>
  <c r="AP100" s="1"/>
  <c r="AS100" s="1"/>
  <c r="AO651"/>
  <c r="AR651" s="1"/>
  <c r="AO549"/>
  <c r="AR549" s="1"/>
  <c r="AO1190"/>
  <c r="AR1190" s="1"/>
  <c r="AO174"/>
  <c r="AR174" s="1"/>
  <c r="AN84"/>
  <c r="AP84" s="1"/>
  <c r="AS84" s="1"/>
  <c r="AO379"/>
  <c r="AR379" s="1"/>
  <c r="AN35"/>
  <c r="AP35" s="1"/>
  <c r="AS35" s="1"/>
  <c r="AO1020"/>
  <c r="AR1020" s="1"/>
  <c r="AO1221"/>
  <c r="AR1221" s="1"/>
  <c r="AO556"/>
  <c r="AR556" s="1"/>
  <c r="AO1077"/>
  <c r="AR1077" s="1"/>
  <c r="AO177"/>
  <c r="AR177" s="1"/>
  <c r="AN78"/>
  <c r="AP78" s="1"/>
  <c r="AS78" s="1"/>
  <c r="AO1025"/>
  <c r="AR1025" s="1"/>
  <c r="AN1194"/>
  <c r="AP1194" s="1"/>
  <c r="AS1194" s="1"/>
  <c r="AN1115"/>
  <c r="AP1115" s="1"/>
  <c r="AS1115" s="1"/>
  <c r="AO805"/>
  <c r="AR805" s="1"/>
  <c r="AO800"/>
  <c r="AR800" s="1"/>
  <c r="AO701"/>
  <c r="AR701" s="1"/>
  <c r="AO363"/>
  <c r="AR363" s="1"/>
  <c r="AN501"/>
  <c r="AP501" s="1"/>
  <c r="AS501" s="1"/>
  <c r="AO519"/>
  <c r="AR519" s="1"/>
  <c r="AO1158"/>
  <c r="AR1158" s="1"/>
  <c r="AN1141"/>
  <c r="AP1141" s="1"/>
  <c r="AS1141" s="1"/>
  <c r="AO259"/>
  <c r="AR259" s="1"/>
  <c r="AO295"/>
  <c r="AR295" s="1"/>
  <c r="AO895"/>
  <c r="AR895" s="1"/>
  <c r="AN322"/>
  <c r="AP322" s="1"/>
  <c r="AS322" s="1"/>
  <c r="AN1211"/>
  <c r="AP1211" s="1"/>
  <c r="AS1211" s="1"/>
  <c r="AE7"/>
  <c r="AG7" s="1"/>
  <c r="AQ7" s="1"/>
  <c r="AE8"/>
  <c r="AG8" s="1"/>
  <c r="AQ8" s="1"/>
  <c r="AD3"/>
  <c r="AF3" s="1"/>
  <c r="AH3" s="1"/>
  <c r="AR3" s="1"/>
  <c r="AE3"/>
  <c r="AG3" s="1"/>
  <c r="AQ3" s="1"/>
  <c r="AD5"/>
  <c r="AF5" s="1"/>
  <c r="AH5" s="1"/>
  <c r="AR5" s="1"/>
  <c r="AD4"/>
  <c r="AF4" s="1"/>
  <c r="AH4" s="1"/>
  <c r="AR4" s="1"/>
  <c r="AD7"/>
  <c r="AF7" s="1"/>
  <c r="AH7" s="1"/>
  <c r="AR7" s="1"/>
  <c r="AE6"/>
  <c r="AG6" s="1"/>
  <c r="AQ6" s="1"/>
  <c r="AD6"/>
  <c r="AF6" s="1"/>
  <c r="AH6" s="1"/>
  <c r="AR6" s="1"/>
  <c r="AE4"/>
  <c r="AG4" s="1"/>
  <c r="AQ4" s="1"/>
  <c r="AD8"/>
  <c r="AF8" s="1"/>
  <c r="AH8" s="1"/>
  <c r="AR8" s="1"/>
  <c r="AN32"/>
  <c r="AP32" s="1"/>
  <c r="AS32" s="1"/>
  <c r="AO32"/>
  <c r="AR32" s="1"/>
  <c r="AR12" l="1"/>
  <c r="AR11"/>
  <c r="AQ12"/>
  <c r="AQ11"/>
</calcChain>
</file>

<file path=xl/sharedStrings.xml><?xml version="1.0" encoding="utf-8"?>
<sst xmlns="http://schemas.openxmlformats.org/spreadsheetml/2006/main" count="139" uniqueCount="78">
  <si>
    <t>AEDT</t>
  </si>
  <si>
    <t>pixel x</t>
  </si>
  <si>
    <t>pixel y</t>
  </si>
  <si>
    <t>Long</t>
  </si>
  <si>
    <t>Image Angluar Size</t>
  </si>
  <si>
    <t>deg</t>
  </si>
  <si>
    <t>px</t>
  </si>
  <si>
    <t>Origin</t>
  </si>
  <si>
    <t>Top Left of Image</t>
  </si>
  <si>
    <t>Alt</t>
  </si>
  <si>
    <t>Az</t>
  </si>
  <si>
    <t>Image roll</t>
  </si>
  <si>
    <t>Center Pix X</t>
  </si>
  <si>
    <t>STEP I</t>
  </si>
  <si>
    <t>Center Pix Y</t>
  </si>
  <si>
    <t>R</t>
  </si>
  <si>
    <t>φ</t>
  </si>
  <si>
    <t>θ</t>
  </si>
  <si>
    <t>Half Horizontal Field of view</t>
  </si>
  <si>
    <t>Projection 'distance'</t>
  </si>
  <si>
    <t>Half Horizontal Width (Video)</t>
  </si>
  <si>
    <t>Video</t>
  </si>
  <si>
    <t>STEP II</t>
  </si>
  <si>
    <t>x</t>
  </si>
  <si>
    <t>y</t>
  </si>
  <si>
    <t>z</t>
  </si>
  <si>
    <t>Local Spherical</t>
  </si>
  <si>
    <t>Local Cartesian</t>
  </si>
  <si>
    <t>STEP V</t>
  </si>
  <si>
    <t>Image Center Global Cartesian</t>
  </si>
  <si>
    <t>STEP VI</t>
  </si>
  <si>
    <t>Local Unit Vectors in Global Cartesian Space</t>
  </si>
  <si>
    <t>i' hat</t>
  </si>
  <si>
    <t>j' har</t>
  </si>
  <si>
    <t>k' hat</t>
  </si>
  <si>
    <t>i</t>
  </si>
  <si>
    <t>j</t>
  </si>
  <si>
    <t>k</t>
  </si>
  <si>
    <t>B</t>
  </si>
  <si>
    <t>B = cos (rot) * sqrt((k' x)^2 +(k' y)^2)</t>
  </si>
  <si>
    <t>Rotation Direction</t>
  </si>
  <si>
    <t>STEP III</t>
  </si>
  <si>
    <t>Local Cartesian to Global Cartesian</t>
  </si>
  <si>
    <t>STEP IV</t>
  </si>
  <si>
    <t>Global Cartesian to Global Spherical</t>
  </si>
  <si>
    <t>r</t>
  </si>
  <si>
    <t>1 or -1</t>
  </si>
  <si>
    <t>Barrel Distortion Exponent</t>
  </si>
  <si>
    <t>Calibration Object</t>
  </si>
  <si>
    <t>Error</t>
  </si>
  <si>
    <t>Actual</t>
  </si>
  <si>
    <t>Degrees</t>
  </si>
  <si>
    <t>Seconds</t>
  </si>
  <si>
    <t>Decimal Degrees</t>
  </si>
  <si>
    <t>Minutes</t>
  </si>
  <si>
    <t>Average</t>
  </si>
  <si>
    <t>σ</t>
  </si>
  <si>
    <t>φ Degrees</t>
  </si>
  <si>
    <t>Actual Az</t>
  </si>
  <si>
    <t>Actual Alt</t>
  </si>
  <si>
    <t>Tracker Data</t>
  </si>
  <si>
    <t>STEP 0</t>
  </si>
  <si>
    <t>Fine Adjustment</t>
  </si>
  <si>
    <t>Field Of View</t>
  </si>
  <si>
    <t>Video Start</t>
  </si>
  <si>
    <t>Calibration Image Time</t>
  </si>
  <si>
    <t>Video Dimentions</t>
  </si>
  <si>
    <t>Epoch</t>
  </si>
  <si>
    <t xml:space="preserve">Lat </t>
  </si>
  <si>
    <t>Calibration Points</t>
  </si>
  <si>
    <t>mass_A</t>
  </si>
  <si>
    <t>t</t>
  </si>
  <si>
    <t>c2 Aqr</t>
  </si>
  <si>
    <t>Fomalhaut</t>
  </si>
  <si>
    <t>α - Mic</t>
  </si>
  <si>
    <t>HIP 2381</t>
  </si>
  <si>
    <t>Sadalsuud</t>
  </si>
  <si>
    <t>Alnair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</si>
</sst>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2" fillId="2" borderId="2" applyNumberFormat="0" applyAlignment="0" applyProtection="0"/>
  </cellStyleXfs>
  <cellXfs count="22">
    <xf numFmtId="0" fontId="0" fillId="0" borderId="0" xfId="0"/>
    <xf numFmtId="20" fontId="0" fillId="0" borderId="0" xfId="0" applyNumberFormat="1"/>
    <xf numFmtId="0" fontId="0" fillId="0" borderId="0" xfId="0" applyNumberFormat="1"/>
    <xf numFmtId="0" fontId="0" fillId="0" borderId="1" xfId="0" applyBorder="1"/>
    <xf numFmtId="0" fontId="0" fillId="0" borderId="0" xfId="0" applyFill="1" applyBorder="1"/>
    <xf numFmtId="0" fontId="1" fillId="0" borderId="0" xfId="0" applyFont="1"/>
    <xf numFmtId="164" fontId="0" fillId="0" borderId="0" xfId="0" applyNumberFormat="1"/>
    <xf numFmtId="164" fontId="0" fillId="0" borderId="1" xfId="0" applyNumberFormat="1" applyBorder="1"/>
    <xf numFmtId="0" fontId="0" fillId="0" borderId="0" xfId="0" applyBorder="1"/>
    <xf numFmtId="0" fontId="0" fillId="0" borderId="0" xfId="0" applyNumberFormat="1" applyBorder="1"/>
    <xf numFmtId="164" fontId="0" fillId="0" borderId="0" xfId="0" applyNumberFormat="1" applyBorder="1"/>
    <xf numFmtId="0" fontId="0" fillId="0" borderId="3" xfId="0" applyBorder="1"/>
    <xf numFmtId="0" fontId="0" fillId="0" borderId="4" xfId="0" applyBorder="1"/>
    <xf numFmtId="2" fontId="0" fillId="0" borderId="0" xfId="0" applyNumberFormat="1" applyBorder="1"/>
    <xf numFmtId="0" fontId="2" fillId="2" borderId="2" xfId="1" applyNumberFormat="1"/>
    <xf numFmtId="0" fontId="2" fillId="2" borderId="2" xfId="1"/>
    <xf numFmtId="165" fontId="2" fillId="2" borderId="2" xfId="1" applyNumberFormat="1"/>
    <xf numFmtId="14" fontId="2" fillId="2" borderId="2" xfId="1" applyNumberFormat="1"/>
    <xf numFmtId="20" fontId="2" fillId="2" borderId="2" xfId="1" applyNumberFormat="1"/>
    <xf numFmtId="11" fontId="2" fillId="2" borderId="2" xfId="1" applyNumberFormat="1"/>
    <xf numFmtId="20" fontId="2" fillId="2" borderId="2" xfId="1" applyNumberFormat="1" applyAlignment="1">
      <alignment wrapText="1"/>
    </xf>
    <xf numFmtId="11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FF"/>
      <color rgb="FF00FFFF"/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1476"/>
  <sheetViews>
    <sheetView tabSelected="1" zoomScaleNormal="100" workbookViewId="0">
      <pane xSplit="9" topLeftCell="J1" activePane="topRight" state="frozen"/>
      <selection pane="topRight" activeCell="B5" sqref="B5"/>
    </sheetView>
  </sheetViews>
  <sheetFormatPr defaultRowHeight="15"/>
  <cols>
    <col min="2" max="2" width="10.85546875" bestFit="1" customWidth="1"/>
    <col min="3" max="3" width="10.140625" bestFit="1" customWidth="1"/>
    <col min="4" max="4" width="9.140625" style="3"/>
    <col min="5" max="6" width="9.28515625" bestFit="1" customWidth="1"/>
    <col min="14" max="14" width="9.140625" style="3"/>
    <col min="15" max="18" width="9.140625" customWidth="1"/>
    <col min="19" max="19" width="9.140625" style="3" customWidth="1"/>
    <col min="20" max="24" width="9.140625" customWidth="1"/>
    <col min="25" max="25" width="9.140625" style="3" customWidth="1"/>
    <col min="26" max="31" width="9.140625" customWidth="1"/>
    <col min="32" max="32" width="9.140625" style="3" customWidth="1"/>
    <col min="33" max="38" width="9.140625" customWidth="1"/>
    <col min="39" max="39" width="9.140625" style="3" customWidth="1"/>
  </cols>
  <sheetData>
    <row r="1" spans="1:62">
      <c r="A1" t="s">
        <v>67</v>
      </c>
      <c r="E1" t="s">
        <v>62</v>
      </c>
      <c r="J1" t="s">
        <v>69</v>
      </c>
      <c r="K1" s="8"/>
      <c r="L1" s="8"/>
      <c r="M1" s="8"/>
      <c r="N1" s="8"/>
      <c r="O1" s="8"/>
      <c r="P1" s="8"/>
      <c r="Q1" s="8"/>
      <c r="R1" s="8"/>
      <c r="S1" s="8" t="s">
        <v>50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 t="s">
        <v>58</v>
      </c>
      <c r="AJ1" s="8"/>
      <c r="AK1" s="8"/>
      <c r="AL1" s="8"/>
      <c r="AM1" s="8" t="s">
        <v>59</v>
      </c>
      <c r="AN1" s="8"/>
      <c r="AO1" s="8"/>
      <c r="AP1" s="8"/>
      <c r="AQ1" t="s">
        <v>49</v>
      </c>
    </row>
    <row r="2" spans="1:62">
      <c r="A2" t="s">
        <v>65</v>
      </c>
      <c r="B2" s="17">
        <v>43049</v>
      </c>
      <c r="C2" s="18">
        <v>0.89952546296296287</v>
      </c>
      <c r="D2" s="3" t="s">
        <v>0</v>
      </c>
      <c r="K2" s="8" t="s">
        <v>48</v>
      </c>
      <c r="L2" s="8" t="s">
        <v>1</v>
      </c>
      <c r="M2" s="8" t="s">
        <v>2</v>
      </c>
      <c r="N2" s="8" t="s">
        <v>12</v>
      </c>
      <c r="O2" s="8" t="s">
        <v>14</v>
      </c>
      <c r="P2" s="8" t="s">
        <v>16</v>
      </c>
      <c r="Q2" s="8" t="s">
        <v>17</v>
      </c>
      <c r="R2" s="8" t="s">
        <v>57</v>
      </c>
      <c r="S2" s="8" t="s">
        <v>53</v>
      </c>
      <c r="T2" s="8" t="s">
        <v>51</v>
      </c>
      <c r="U2" s="8" t="s">
        <v>54</v>
      </c>
      <c r="V2" s="8" t="s">
        <v>52</v>
      </c>
      <c r="W2" s="8" t="s">
        <v>49</v>
      </c>
      <c r="X2" s="4" t="s">
        <v>23</v>
      </c>
      <c r="Y2" s="4" t="s">
        <v>24</v>
      </c>
      <c r="Z2" s="4" t="s">
        <v>25</v>
      </c>
      <c r="AA2" s="8" t="s">
        <v>23</v>
      </c>
      <c r="AB2" s="8" t="s">
        <v>24</v>
      </c>
      <c r="AC2" s="8" t="s">
        <v>25</v>
      </c>
      <c r="AD2" s="8" t="s">
        <v>45</v>
      </c>
      <c r="AE2" s="8" t="s">
        <v>16</v>
      </c>
      <c r="AF2" s="8" t="s">
        <v>17</v>
      </c>
      <c r="AG2" s="8" t="s">
        <v>10</v>
      </c>
      <c r="AH2" s="8" t="s">
        <v>9</v>
      </c>
      <c r="AI2" s="8" t="s">
        <v>53</v>
      </c>
      <c r="AJ2" s="8" t="s">
        <v>51</v>
      </c>
      <c r="AK2" s="8" t="s">
        <v>54</v>
      </c>
      <c r="AL2" s="8" t="s">
        <v>52</v>
      </c>
      <c r="AM2" s="8" t="s">
        <v>53</v>
      </c>
      <c r="AN2" s="8" t="s">
        <v>51</v>
      </c>
      <c r="AO2" s="8" t="s">
        <v>54</v>
      </c>
      <c r="AP2" s="8" t="s">
        <v>52</v>
      </c>
      <c r="AQ2" s="8" t="s">
        <v>10</v>
      </c>
      <c r="AR2" s="8" t="s">
        <v>9</v>
      </c>
      <c r="AS2" s="8"/>
      <c r="AT2" s="8"/>
      <c r="AU2" s="8"/>
    </row>
    <row r="3" spans="1:62">
      <c r="A3" t="s">
        <v>64</v>
      </c>
      <c r="B3" s="17">
        <v>43049</v>
      </c>
      <c r="C3" s="20">
        <v>0.8979166666666667</v>
      </c>
      <c r="D3" s="3" t="s">
        <v>0</v>
      </c>
      <c r="K3" s="15" t="s">
        <v>72</v>
      </c>
      <c r="L3" s="15">
        <v>1009</v>
      </c>
      <c r="M3" s="15">
        <v>842</v>
      </c>
      <c r="N3" s="9">
        <f t="shared" ref="N3:N8" si="0">(L3-($B$15/2))</f>
        <v>49</v>
      </c>
      <c r="O3" s="9">
        <f t="shared" ref="O3:O8" si="1">(($C$15/2)-M3)</f>
        <v>-302</v>
      </c>
      <c r="P3" s="8">
        <f t="shared" ref="P3:P8" si="2">ATAN((SQRT(N3^2+O3^2)^$B$16)/($F$24))</f>
        <v>0.20012759586777923</v>
      </c>
      <c r="Q3" s="8">
        <f t="shared" ref="Q3:Q8" si="3">ATAN2(N3,O3)</f>
        <v>-1.4099463870063949</v>
      </c>
      <c r="R3" s="8">
        <f>DEGREES(P3)</f>
        <v>11.466466607323524</v>
      </c>
      <c r="S3" s="8">
        <f>T3+U3/60+V3/3600</f>
        <v>12.966666666666667</v>
      </c>
      <c r="T3" s="15">
        <v>12</v>
      </c>
      <c r="U3" s="15">
        <v>58</v>
      </c>
      <c r="V3" s="15">
        <v>0</v>
      </c>
      <c r="W3" s="10">
        <f>R3-S3</f>
        <v>-1.5002000593431433</v>
      </c>
      <c r="X3" s="8">
        <f t="shared" ref="X3:X8" si="4">COS(Q3)*SIN(P3)</f>
        <v>3.1838358040244506E-2</v>
      </c>
      <c r="Y3" s="8">
        <f t="shared" ref="Y3:Y8" si="5">SIN(Q3)*SIN(P3)</f>
        <v>-0.19622824751334364</v>
      </c>
      <c r="Z3" s="8">
        <f t="shared" ref="Z3:Z8" si="6">COS(P3)</f>
        <v>0.98004122047755882</v>
      </c>
      <c r="AA3" s="8">
        <f t="shared" ref="AA3:AA8" si="7">$X3*$Z$27+$Y3*$Z$31+$Z3*$Z$35</f>
        <v>0.28389517515270685</v>
      </c>
      <c r="AB3" s="8">
        <f t="shared" ref="AB3:AB8" si="8">$X3*$AA$27+$Y3*$AA$31+$Z3*$AA$35</f>
        <v>-0.10077282433170476</v>
      </c>
      <c r="AC3" s="8">
        <f t="shared" ref="AC3:AC8" si="9">$AB$27*$X3+$Y3*$AB$31+$AB$35*$Z3</f>
        <v>0.95354515750499469</v>
      </c>
      <c r="AD3" s="8">
        <f t="shared" ref="AD3:AD8" si="10">AA3^2+AB3^2+AC3^2</f>
        <v>0.99999999999999989</v>
      </c>
      <c r="AE3" s="8">
        <f t="shared" ref="AE3:AE8" si="11">IF(ATAN2(AA3,AB3)&gt;=0,ATAN2(AA3,AB3),ATAN2(AA3,AB3)+2*PI())</f>
        <v>5.9420942738153766</v>
      </c>
      <c r="AF3" s="8">
        <f t="shared" ref="AF3:AF8" si="12">ACOS(AC3/AD3)</f>
        <v>0.30600340255355762</v>
      </c>
      <c r="AG3" s="8">
        <f t="shared" ref="AG3:AG8" si="13">DEGREES(AE3)</f>
        <v>340.45692335847485</v>
      </c>
      <c r="AH3" s="8">
        <f t="shared" ref="AH3:AH8" si="14">90-DEGREES(AF3)</f>
        <v>72.467296517038392</v>
      </c>
      <c r="AI3" s="8">
        <f>AJ3+AK3/60+AL3/3600</f>
        <v>340.495</v>
      </c>
      <c r="AJ3" s="15">
        <v>340</v>
      </c>
      <c r="AK3" s="15">
        <v>29</v>
      </c>
      <c r="AL3" s="15">
        <v>42</v>
      </c>
      <c r="AM3" s="8">
        <f>AN3+AO3/60+AP3/3600</f>
        <v>72.482222222222219</v>
      </c>
      <c r="AN3" s="15">
        <v>72</v>
      </c>
      <c r="AO3" s="15">
        <v>28</v>
      </c>
      <c r="AP3" s="15">
        <v>56</v>
      </c>
      <c r="AQ3" s="10">
        <f>AG3-AI3</f>
        <v>-3.8076641525151445E-2</v>
      </c>
      <c r="AR3" s="10">
        <f>AH3-AM3</f>
        <v>-1.4925705183827631E-2</v>
      </c>
      <c r="AS3" s="8"/>
      <c r="AT3" s="10"/>
      <c r="AU3" s="10"/>
    </row>
    <row r="4" spans="1:62">
      <c r="A4" t="s">
        <v>68</v>
      </c>
      <c r="B4" s="14"/>
      <c r="C4" s="1" t="s">
        <v>5</v>
      </c>
      <c r="K4" s="15" t="s">
        <v>73</v>
      </c>
      <c r="L4" s="15">
        <v>1028</v>
      </c>
      <c r="M4" s="15">
        <v>607</v>
      </c>
      <c r="N4" s="9">
        <f t="shared" si="0"/>
        <v>68</v>
      </c>
      <c r="O4" s="9">
        <f t="shared" si="1"/>
        <v>-67</v>
      </c>
      <c r="P4" s="8">
        <f t="shared" si="2"/>
        <v>6.2331581249568023E-2</v>
      </c>
      <c r="Q4" s="8">
        <f t="shared" si="3"/>
        <v>-0.77799089146628331</v>
      </c>
      <c r="R4" s="8">
        <f t="shared" ref="R4:R8" si="15">DEGREES(P4)</f>
        <v>3.5713365359770259</v>
      </c>
      <c r="S4" s="8">
        <f t="shared" ref="S4:S8" si="16">T4+U4/60+V4/3600</f>
        <v>10.9</v>
      </c>
      <c r="T4" s="15">
        <v>10</v>
      </c>
      <c r="U4" s="15">
        <v>54</v>
      </c>
      <c r="V4" s="15">
        <v>0</v>
      </c>
      <c r="W4" s="10">
        <f t="shared" ref="W4:W8" si="17">R4-S4</f>
        <v>-7.3286634640229744</v>
      </c>
      <c r="X4" s="8">
        <f t="shared" si="4"/>
        <v>4.4371602472832297E-2</v>
      </c>
      <c r="Y4" s="8">
        <f t="shared" si="5"/>
        <v>-4.3719078907055349E-2</v>
      </c>
      <c r="Z4" s="8">
        <f t="shared" si="6"/>
        <v>0.99805801586556664</v>
      </c>
      <c r="AA4" s="8">
        <f t="shared" si="7"/>
        <v>0.13705346746983033</v>
      </c>
      <c r="AB4" s="8">
        <f t="shared" si="8"/>
        <v>-0.13865111383698331</v>
      </c>
      <c r="AC4" s="8">
        <f t="shared" si="9"/>
        <v>0.98081201852661859</v>
      </c>
      <c r="AD4" s="8">
        <f t="shared" si="10"/>
        <v>1</v>
      </c>
      <c r="AE4" s="8">
        <f t="shared" si="11"/>
        <v>5.4919924323658282</v>
      </c>
      <c r="AF4" s="8">
        <f t="shared" si="12"/>
        <v>0.19621243850039627</v>
      </c>
      <c r="AG4" s="8">
        <f t="shared" si="13"/>
        <v>314.6679874923492</v>
      </c>
      <c r="AH4" s="8">
        <f t="shared" si="14"/>
        <v>78.757855385957072</v>
      </c>
      <c r="AI4" s="8">
        <f t="shared" ref="AI4:AI8" si="18">AJ4+AK4/60+AL4/3600</f>
        <v>314.68194444444447</v>
      </c>
      <c r="AJ4" s="15">
        <v>314</v>
      </c>
      <c r="AK4" s="15">
        <v>40</v>
      </c>
      <c r="AL4" s="15">
        <v>55</v>
      </c>
      <c r="AM4" s="8">
        <f t="shared" ref="AM4:AM8" si="19">AN4+AO4/60+AP4/3600</f>
        <v>78.811388888888885</v>
      </c>
      <c r="AN4" s="15">
        <v>78</v>
      </c>
      <c r="AO4" s="15">
        <v>48</v>
      </c>
      <c r="AP4" s="15">
        <v>41</v>
      </c>
      <c r="AQ4" s="10">
        <f t="shared" ref="AQ4:AQ8" si="20">AG4-AI4</f>
        <v>-1.3956952095270481E-2</v>
      </c>
      <c r="AR4" s="10">
        <f t="shared" ref="AR4:AR8" si="21">AH4-AM4</f>
        <v>-5.3533502931813359E-2</v>
      </c>
      <c r="AS4" s="8"/>
      <c r="AT4" s="10"/>
      <c r="AU4" s="10"/>
    </row>
    <row r="5" spans="1:62">
      <c r="A5" t="s">
        <v>3</v>
      </c>
      <c r="B5" s="15"/>
      <c r="C5" t="s">
        <v>5</v>
      </c>
      <c r="K5" s="15" t="s">
        <v>76</v>
      </c>
      <c r="L5" s="15">
        <v>198</v>
      </c>
      <c r="M5" s="15">
        <v>954</v>
      </c>
      <c r="N5" s="9">
        <f t="shared" si="0"/>
        <v>-762</v>
      </c>
      <c r="O5" s="9">
        <f t="shared" si="1"/>
        <v>-414</v>
      </c>
      <c r="P5" s="8">
        <f t="shared" si="2"/>
        <v>0.52721658176620856</v>
      </c>
      <c r="Q5" s="8">
        <f t="shared" si="3"/>
        <v>-2.6439024737406229</v>
      </c>
      <c r="R5" s="8">
        <f t="shared" si="15"/>
        <v>30.207285024517624</v>
      </c>
      <c r="S5" s="8">
        <f t="shared" si="16"/>
        <v>9.0500000000000007</v>
      </c>
      <c r="T5" s="15">
        <v>9</v>
      </c>
      <c r="U5" s="15">
        <v>3</v>
      </c>
      <c r="V5" s="15">
        <v>0</v>
      </c>
      <c r="W5" s="10">
        <f t="shared" si="17"/>
        <v>21.157285024517623</v>
      </c>
      <c r="X5" s="8">
        <f t="shared" si="4"/>
        <v>-0.4420939488468868</v>
      </c>
      <c r="Y5" s="8">
        <f t="shared" si="5"/>
        <v>-0.24019277535775757</v>
      </c>
      <c r="Z5" s="8">
        <f t="shared" si="6"/>
        <v>0.86421083715659575</v>
      </c>
      <c r="AA5" s="8">
        <f t="shared" si="7"/>
        <v>0.44865952666103792</v>
      </c>
      <c r="AB5" s="8">
        <f t="shared" si="8"/>
        <v>-0.5074094781756544</v>
      </c>
      <c r="AC5" s="8">
        <f t="shared" si="9"/>
        <v>0.73569032248209132</v>
      </c>
      <c r="AD5" s="8">
        <f t="shared" si="10"/>
        <v>1</v>
      </c>
      <c r="AE5" s="8">
        <f t="shared" si="11"/>
        <v>5.4364148255479758</v>
      </c>
      <c r="AF5" s="8">
        <f t="shared" si="12"/>
        <v>0.74411100927433005</v>
      </c>
      <c r="AG5" s="8">
        <f t="shared" si="13"/>
        <v>311.48362518624873</v>
      </c>
      <c r="AH5" s="8">
        <f t="shared" si="14"/>
        <v>47.365579679360827</v>
      </c>
      <c r="AI5" s="8">
        <f t="shared" si="18"/>
        <v>311.47722222222222</v>
      </c>
      <c r="AJ5" s="15">
        <v>311</v>
      </c>
      <c r="AK5" s="15">
        <v>28</v>
      </c>
      <c r="AL5" s="15">
        <v>38</v>
      </c>
      <c r="AM5" s="8">
        <f t="shared" si="19"/>
        <v>47.367777777777775</v>
      </c>
      <c r="AN5" s="15">
        <v>47</v>
      </c>
      <c r="AO5" s="15">
        <v>22</v>
      </c>
      <c r="AP5" s="15">
        <v>4</v>
      </c>
      <c r="AQ5" s="10">
        <f t="shared" si="20"/>
        <v>6.4029640265061971E-3</v>
      </c>
      <c r="AR5" s="10">
        <f t="shared" si="21"/>
        <v>-2.1980984169474027E-3</v>
      </c>
      <c r="AS5" s="8"/>
      <c r="AT5" s="10"/>
      <c r="AU5" s="10"/>
    </row>
    <row r="6" spans="1:62">
      <c r="K6" s="15" t="s">
        <v>74</v>
      </c>
      <c r="L6" s="15">
        <v>451</v>
      </c>
      <c r="M6" s="15">
        <v>125</v>
      </c>
      <c r="N6" s="9">
        <f t="shared" si="0"/>
        <v>-509</v>
      </c>
      <c r="O6" s="9">
        <f t="shared" si="1"/>
        <v>415</v>
      </c>
      <c r="P6" s="8">
        <f t="shared" si="2"/>
        <v>0.41402431317691479</v>
      </c>
      <c r="Q6" s="8">
        <f t="shared" si="3"/>
        <v>2.4575773042786211</v>
      </c>
      <c r="R6" s="8">
        <f t="shared" si="15"/>
        <v>23.721845760839855</v>
      </c>
      <c r="S6" s="8">
        <f t="shared" si="16"/>
        <v>264.30888888888887</v>
      </c>
      <c r="T6" s="15">
        <v>264</v>
      </c>
      <c r="U6" s="15">
        <v>18</v>
      </c>
      <c r="V6" s="15">
        <v>32</v>
      </c>
      <c r="W6" s="10">
        <f t="shared" si="17"/>
        <v>-240.587043128049</v>
      </c>
      <c r="X6" s="8">
        <f t="shared" si="4"/>
        <v>-0.31179682457676056</v>
      </c>
      <c r="Y6" s="8">
        <f t="shared" si="5"/>
        <v>0.2542154856568874</v>
      </c>
      <c r="Z6" s="8">
        <f t="shared" si="6"/>
        <v>0.9155092719552772</v>
      </c>
      <c r="AA6" s="8">
        <f t="shared" si="7"/>
        <v>-5.3772583855888068E-2</v>
      </c>
      <c r="AB6" s="8">
        <f t="shared" si="8"/>
        <v>-0.54513574948660626</v>
      </c>
      <c r="AC6" s="8">
        <f t="shared" si="9"/>
        <v>0.83662149378146966</v>
      </c>
      <c r="AD6" s="8">
        <f t="shared" si="10"/>
        <v>1</v>
      </c>
      <c r="AE6" s="8">
        <f t="shared" si="11"/>
        <v>4.6140663281418197</v>
      </c>
      <c r="AF6" s="8">
        <f t="shared" si="12"/>
        <v>0.5797100874434713</v>
      </c>
      <c r="AG6" s="8">
        <f t="shared" si="13"/>
        <v>264.36652699595106</v>
      </c>
      <c r="AH6" s="8">
        <f t="shared" si="14"/>
        <v>56.785058648329198</v>
      </c>
      <c r="AI6" s="8">
        <f t="shared" si="18"/>
        <v>264.27555555555551</v>
      </c>
      <c r="AJ6" s="15">
        <v>264</v>
      </c>
      <c r="AK6" s="15">
        <v>16</v>
      </c>
      <c r="AL6" s="15">
        <v>32</v>
      </c>
      <c r="AM6" s="8">
        <f t="shared" si="19"/>
        <v>56.728888888888889</v>
      </c>
      <c r="AN6" s="15">
        <v>56</v>
      </c>
      <c r="AO6" s="15">
        <v>43</v>
      </c>
      <c r="AP6" s="15">
        <v>44</v>
      </c>
      <c r="AQ6" s="10">
        <f t="shared" si="20"/>
        <v>9.0971440395549052E-2</v>
      </c>
      <c r="AR6" s="10">
        <f t="shared" si="21"/>
        <v>5.6169759440308553E-2</v>
      </c>
      <c r="AS6" s="8"/>
      <c r="AT6" s="10"/>
      <c r="AU6" s="10"/>
    </row>
    <row r="7" spans="1:62">
      <c r="A7" t="s">
        <v>63</v>
      </c>
      <c r="K7" s="15" t="s">
        <v>77</v>
      </c>
      <c r="L7" s="15">
        <v>1002</v>
      </c>
      <c r="M7" s="15">
        <v>72</v>
      </c>
      <c r="N7" s="9">
        <f t="shared" si="0"/>
        <v>42</v>
      </c>
      <c r="O7" s="9">
        <f t="shared" si="1"/>
        <v>468</v>
      </c>
      <c r="P7" s="8">
        <f t="shared" si="2"/>
        <v>0.30346485707418902</v>
      </c>
      <c r="Q7" s="8">
        <f t="shared" si="3"/>
        <v>1.4812925084432862</v>
      </c>
      <c r="R7" s="8">
        <f t="shared" si="15"/>
        <v>17.387255540891775</v>
      </c>
      <c r="S7" s="8">
        <f t="shared" si="16"/>
        <v>32.516666666666666</v>
      </c>
      <c r="T7" s="15">
        <v>32</v>
      </c>
      <c r="U7" s="15">
        <v>31</v>
      </c>
      <c r="V7" s="15">
        <v>0</v>
      </c>
      <c r="W7" s="10">
        <f t="shared" si="17"/>
        <v>-15.12941112577489</v>
      </c>
      <c r="X7" s="8">
        <f t="shared" si="4"/>
        <v>2.6710598352069202E-2</v>
      </c>
      <c r="Y7" s="8">
        <f t="shared" si="5"/>
        <v>0.29763238163734235</v>
      </c>
      <c r="Z7" s="8">
        <f t="shared" si="6"/>
        <v>0.95430682138217882</v>
      </c>
      <c r="AA7" s="8">
        <f t="shared" si="7"/>
        <v>-0.18765504653503984</v>
      </c>
      <c r="AB7" s="8">
        <f t="shared" si="8"/>
        <v>-0.24981721735553358</v>
      </c>
      <c r="AC7" s="8">
        <f t="shared" si="9"/>
        <v>0.94993523011975389</v>
      </c>
      <c r="AD7" s="8">
        <f t="shared" si="10"/>
        <v>0.99999999999999967</v>
      </c>
      <c r="AE7" s="8">
        <f t="shared" si="11"/>
        <v>4.0681398825904749</v>
      </c>
      <c r="AF7" s="8">
        <f t="shared" si="12"/>
        <v>0.3177677935076999</v>
      </c>
      <c r="AG7" s="8">
        <f t="shared" si="13"/>
        <v>233.08724574128047</v>
      </c>
      <c r="AH7" s="8">
        <f t="shared" si="14"/>
        <v>71.793246566824152</v>
      </c>
      <c r="AI7" s="8">
        <f t="shared" si="18"/>
        <v>233.14888888888888</v>
      </c>
      <c r="AJ7" s="15">
        <v>233</v>
      </c>
      <c r="AK7" s="15">
        <v>8</v>
      </c>
      <c r="AL7" s="15">
        <v>56</v>
      </c>
      <c r="AM7" s="8">
        <f t="shared" si="19"/>
        <v>71.803333333333327</v>
      </c>
      <c r="AN7" s="15">
        <v>71</v>
      </c>
      <c r="AO7" s="15">
        <v>48</v>
      </c>
      <c r="AP7" s="15">
        <v>12</v>
      </c>
      <c r="AQ7" s="10">
        <f t="shared" si="20"/>
        <v>-6.1643147608407389E-2</v>
      </c>
      <c r="AR7" s="10">
        <f t="shared" si="21"/>
        <v>-1.0086766509175504E-2</v>
      </c>
      <c r="AS7" s="8"/>
      <c r="AT7" s="10"/>
      <c r="AU7" s="10"/>
      <c r="BJ7" s="6"/>
    </row>
    <row r="8" spans="1:62">
      <c r="A8" t="s">
        <v>9</v>
      </c>
      <c r="B8" s="15">
        <f>77.5+G8</f>
        <v>77.180000000000007</v>
      </c>
      <c r="C8" t="s">
        <v>5</v>
      </c>
      <c r="F8" t="s">
        <v>9</v>
      </c>
      <c r="G8" s="15">
        <f>(H8-50)/50</f>
        <v>-0.32</v>
      </c>
      <c r="H8">
        <v>34</v>
      </c>
      <c r="K8" s="15" t="s">
        <v>75</v>
      </c>
      <c r="L8" s="15">
        <v>1536</v>
      </c>
      <c r="M8" s="15">
        <v>937</v>
      </c>
      <c r="N8" s="9">
        <f t="shared" si="0"/>
        <v>576</v>
      </c>
      <c r="O8" s="9">
        <f t="shared" si="1"/>
        <v>-397</v>
      </c>
      <c r="P8" s="8">
        <f t="shared" si="2"/>
        <v>0.43807503630502381</v>
      </c>
      <c r="Q8" s="8">
        <f t="shared" si="3"/>
        <v>-0.60346528860715309</v>
      </c>
      <c r="R8" s="8">
        <f t="shared" si="15"/>
        <v>25.099850690318178</v>
      </c>
      <c r="S8" s="8">
        <f t="shared" si="16"/>
        <v>29.55</v>
      </c>
      <c r="T8" s="15">
        <v>29</v>
      </c>
      <c r="U8" s="15">
        <v>33</v>
      </c>
      <c r="V8" s="15">
        <v>0</v>
      </c>
      <c r="W8" s="10">
        <f t="shared" si="17"/>
        <v>-4.450149309681823</v>
      </c>
      <c r="X8" s="8">
        <f t="shared" si="4"/>
        <v>0.34927283851539198</v>
      </c>
      <c r="Y8" s="8">
        <f t="shared" si="5"/>
        <v>-0.24073145293508794</v>
      </c>
      <c r="Z8" s="8">
        <f t="shared" si="6"/>
        <v>0.90556990444866403</v>
      </c>
      <c r="AA8" s="8">
        <f t="shared" si="7"/>
        <v>0.22747920730859778</v>
      </c>
      <c r="AB8" s="8">
        <f t="shared" si="8"/>
        <v>0.22338079856648271</v>
      </c>
      <c r="AC8" s="8">
        <f t="shared" si="9"/>
        <v>0.94781550371053358</v>
      </c>
      <c r="AD8" s="8">
        <f t="shared" si="10"/>
        <v>1</v>
      </c>
      <c r="AE8" s="8">
        <f t="shared" si="11"/>
        <v>0.77630821128806615</v>
      </c>
      <c r="AF8" s="8">
        <f t="shared" si="12"/>
        <v>0.32448356047748161</v>
      </c>
      <c r="AG8" s="8">
        <f t="shared" si="13"/>
        <v>44.47918410815636</v>
      </c>
      <c r="AH8" s="8">
        <f t="shared" si="14"/>
        <v>71.408461463262299</v>
      </c>
      <c r="AI8" s="8">
        <f t="shared" si="18"/>
        <v>44.444166666666661</v>
      </c>
      <c r="AJ8" s="15">
        <v>44</v>
      </c>
      <c r="AK8" s="15">
        <v>26</v>
      </c>
      <c r="AL8" s="15">
        <v>39</v>
      </c>
      <c r="AM8" s="8">
        <f t="shared" si="19"/>
        <v>71.516666666666666</v>
      </c>
      <c r="AN8" s="15">
        <v>71</v>
      </c>
      <c r="AO8" s="15">
        <v>31</v>
      </c>
      <c r="AP8" s="15">
        <v>0</v>
      </c>
      <c r="AQ8" s="10">
        <f t="shared" si="20"/>
        <v>3.5017441489699763E-2</v>
      </c>
      <c r="AR8" s="10">
        <f t="shared" si="21"/>
        <v>-0.10820520340436701</v>
      </c>
      <c r="AS8" s="8"/>
      <c r="AT8" s="10"/>
      <c r="AU8" s="10"/>
      <c r="BJ8" s="6"/>
    </row>
    <row r="9" spans="1:62">
      <c r="A9" t="s">
        <v>10</v>
      </c>
      <c r="B9" s="15">
        <f>302+G9</f>
        <v>299.22000000000003</v>
      </c>
      <c r="C9" t="s">
        <v>5</v>
      </c>
      <c r="F9" t="s">
        <v>10</v>
      </c>
      <c r="G9" s="15">
        <f>(H9-500)/50</f>
        <v>-2.78</v>
      </c>
      <c r="H9">
        <v>361</v>
      </c>
      <c r="K9" s="8"/>
      <c r="L9" s="8"/>
      <c r="M9" s="8"/>
      <c r="N9" s="9"/>
      <c r="O9" s="9"/>
      <c r="P9" s="8"/>
      <c r="Q9" s="8"/>
      <c r="R9" s="8"/>
      <c r="S9" s="8"/>
      <c r="T9" s="10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10"/>
      <c r="AI9" s="10"/>
      <c r="AM9" s="8"/>
      <c r="AN9" s="8"/>
      <c r="AO9" s="8"/>
      <c r="AQ9" s="10"/>
      <c r="AR9" s="6"/>
      <c r="AS9" s="8"/>
      <c r="AT9" s="8"/>
      <c r="AU9" s="8"/>
      <c r="BJ9" s="6"/>
    </row>
    <row r="10" spans="1:62">
      <c r="A10" t="s">
        <v>11</v>
      </c>
      <c r="B10" s="15">
        <f>75+G10</f>
        <v>78.099999999999994</v>
      </c>
      <c r="C10" t="s">
        <v>5</v>
      </c>
      <c r="F10" t="s">
        <v>11</v>
      </c>
      <c r="G10" s="15">
        <f>(H10-500)/50</f>
        <v>3.1</v>
      </c>
      <c r="H10">
        <v>655</v>
      </c>
      <c r="K10" s="8"/>
      <c r="L10" s="8"/>
      <c r="M10" s="8"/>
      <c r="N10" s="9"/>
      <c r="O10" s="9"/>
      <c r="P10" s="8"/>
      <c r="Q10" s="8"/>
      <c r="R10" s="8"/>
      <c r="S10" s="8"/>
      <c r="T10" s="10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10"/>
      <c r="AI10" s="10"/>
      <c r="AM10" s="8"/>
      <c r="AN10" s="8"/>
      <c r="AO10" s="8"/>
      <c r="AQ10" s="6"/>
      <c r="AR10" s="6"/>
      <c r="AW10" s="8"/>
      <c r="AX10" s="8"/>
      <c r="AY10" s="8"/>
      <c r="BJ10" s="6"/>
    </row>
    <row r="11" spans="1:62">
      <c r="A11" t="s">
        <v>40</v>
      </c>
      <c r="B11" s="15">
        <v>1</v>
      </c>
      <c r="C11" t="s">
        <v>46</v>
      </c>
      <c r="K11" s="8"/>
      <c r="L11" s="8"/>
      <c r="M11" s="8"/>
      <c r="N11" s="9"/>
      <c r="O11" s="9"/>
      <c r="P11" s="8"/>
      <c r="Q11" s="8"/>
      <c r="R11" s="8"/>
      <c r="S11" s="8"/>
      <c r="T11" s="10"/>
      <c r="U11" s="8"/>
      <c r="V11" s="8" t="s">
        <v>55</v>
      </c>
      <c r="W11" s="13">
        <f>AVERAGE(W3:W8)</f>
        <v>-41.306363677059032</v>
      </c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10"/>
      <c r="AI11" s="10"/>
      <c r="AM11" s="8"/>
      <c r="AN11" s="8"/>
      <c r="AO11" s="8"/>
      <c r="AP11" s="8" t="s">
        <v>55</v>
      </c>
      <c r="AQ11" s="13">
        <f>AVERAGE(AQ3:AQ8)</f>
        <v>3.1191841138209497E-3</v>
      </c>
      <c r="AR11" s="13">
        <f>AVERAGE(AR3:AR8)</f>
        <v>-2.2129919500970392E-2</v>
      </c>
      <c r="AW11" s="8"/>
      <c r="AX11" s="8"/>
      <c r="AY11" s="8"/>
      <c r="BI11" s="6"/>
      <c r="BJ11" s="6"/>
    </row>
    <row r="12" spans="1:62">
      <c r="K12" s="8"/>
      <c r="L12" s="8"/>
      <c r="M12" s="8"/>
      <c r="N12" s="9"/>
      <c r="O12" s="9"/>
      <c r="P12" s="8"/>
      <c r="Q12" s="8"/>
      <c r="R12" s="8"/>
      <c r="S12" s="8"/>
      <c r="T12" s="10"/>
      <c r="U12" s="8"/>
      <c r="V12" s="8" t="s">
        <v>56</v>
      </c>
      <c r="W12" s="13">
        <f>STDEV(W3:W8)</f>
        <v>98.384068596145937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10"/>
      <c r="AI12" s="10"/>
      <c r="AM12" s="8"/>
      <c r="AN12" s="8"/>
      <c r="AO12" s="8"/>
      <c r="AP12" s="8" t="s">
        <v>56</v>
      </c>
      <c r="AQ12" s="13">
        <f>STDEV(AQ3:AQ8)</f>
        <v>5.4642750765186043E-2</v>
      </c>
      <c r="AR12" s="13">
        <f>STDEV(AR3:AR8)</f>
        <v>5.4991262948385196E-2</v>
      </c>
      <c r="AW12" s="8"/>
      <c r="AX12" s="8"/>
      <c r="AY12" s="8"/>
      <c r="BI12" s="6"/>
      <c r="BJ12" s="6"/>
    </row>
    <row r="13" spans="1:62">
      <c r="A13" t="s">
        <v>21</v>
      </c>
      <c r="K13" s="8"/>
      <c r="L13" s="8"/>
      <c r="M13" s="8"/>
      <c r="N13" s="9"/>
      <c r="O13" s="9"/>
      <c r="P13" s="8"/>
      <c r="Q13" s="8"/>
      <c r="R13" s="8"/>
      <c r="S13" s="8"/>
      <c r="T13" s="10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10"/>
      <c r="AI13" s="10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0"/>
      <c r="BJ13" s="10"/>
    </row>
    <row r="14" spans="1:62">
      <c r="A14" t="s">
        <v>4</v>
      </c>
      <c r="B14" s="15">
        <f>66+G14</f>
        <v>61.44</v>
      </c>
      <c r="C14" s="15">
        <v>46.9</v>
      </c>
      <c r="D14" s="3" t="s">
        <v>5</v>
      </c>
      <c r="F14" t="s">
        <v>4</v>
      </c>
      <c r="G14" s="15">
        <f>(H14-500)/50</f>
        <v>-4.5599999999999996</v>
      </c>
      <c r="H14">
        <v>272</v>
      </c>
      <c r="K14" s="8"/>
      <c r="L14" s="8"/>
      <c r="M14" s="8"/>
      <c r="N14" s="9"/>
      <c r="O14" s="9"/>
      <c r="P14" s="8"/>
      <c r="Q14" s="8"/>
      <c r="R14" s="8"/>
      <c r="S14" s="8"/>
      <c r="T14" s="10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10"/>
      <c r="AI14" s="10"/>
      <c r="AJ14" s="8"/>
      <c r="AK14" s="8"/>
      <c r="AL14" s="8"/>
      <c r="AM14" s="8"/>
      <c r="AN14" s="8"/>
      <c r="AO14" s="8"/>
      <c r="AQ14" s="8"/>
      <c r="AR14" s="8"/>
      <c r="AW14" s="8"/>
      <c r="AX14" s="8"/>
      <c r="AY14" s="8"/>
    </row>
    <row r="15" spans="1:62">
      <c r="A15" t="s">
        <v>66</v>
      </c>
      <c r="B15" s="15">
        <v>1920</v>
      </c>
      <c r="C15" s="15">
        <v>1080</v>
      </c>
      <c r="D15" s="3" t="s">
        <v>6</v>
      </c>
      <c r="K15" s="8"/>
      <c r="L15" s="8"/>
      <c r="M15" s="8"/>
      <c r="N15" s="9"/>
      <c r="O15" s="9"/>
      <c r="P15" s="8"/>
      <c r="Q15" s="8"/>
      <c r="R15" s="8"/>
      <c r="S15" s="8"/>
      <c r="T15" s="10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10"/>
      <c r="AI15" s="10"/>
      <c r="AJ15" s="8"/>
      <c r="AK15" s="8"/>
      <c r="AL15" s="8"/>
      <c r="AM15" s="8"/>
      <c r="AN15" s="8"/>
      <c r="AO15" s="8"/>
      <c r="AQ15" s="8"/>
      <c r="AR15" s="8"/>
      <c r="AW15" s="8"/>
      <c r="AX15" s="8"/>
      <c r="AY15" s="8"/>
    </row>
    <row r="16" spans="1:62">
      <c r="A16" t="s">
        <v>47</v>
      </c>
      <c r="B16" s="16">
        <f>1+G16</f>
        <v>1.012</v>
      </c>
      <c r="F16" t="s">
        <v>47</v>
      </c>
      <c r="G16" s="16">
        <f>(H16-50)/1000</f>
        <v>1.2E-2</v>
      </c>
      <c r="H16">
        <v>62</v>
      </c>
      <c r="K16" s="8"/>
      <c r="L16" s="8"/>
      <c r="M16" s="8"/>
      <c r="N16" s="9"/>
      <c r="O16" s="9"/>
      <c r="P16" s="8"/>
      <c r="Q16" s="8"/>
      <c r="R16" s="8"/>
      <c r="S16" s="8"/>
      <c r="T16" s="10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10"/>
      <c r="AI16" s="10"/>
      <c r="AJ16" s="8"/>
      <c r="AK16" s="8"/>
      <c r="AL16" s="8"/>
      <c r="AM16" s="8"/>
      <c r="AN16" s="8"/>
      <c r="AO16" s="8"/>
      <c r="AQ16" s="8"/>
      <c r="AR16" s="8"/>
      <c r="AW16" s="8"/>
      <c r="AX16" s="8"/>
      <c r="AY16" s="8"/>
    </row>
    <row r="17" spans="1:51">
      <c r="A17" s="5" t="s">
        <v>7</v>
      </c>
      <c r="B17" s="5" t="s">
        <v>8</v>
      </c>
      <c r="C17" s="5"/>
      <c r="K17" s="8"/>
      <c r="L17" s="8"/>
      <c r="M17" s="8"/>
      <c r="N17" s="9"/>
      <c r="O17" s="9"/>
      <c r="P17" s="8"/>
      <c r="Q17" s="8"/>
      <c r="R17" s="8"/>
      <c r="S17" s="8"/>
      <c r="T17" s="10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10"/>
      <c r="AI17" s="10"/>
      <c r="AJ17" s="8"/>
      <c r="AK17" s="8"/>
      <c r="AL17" s="8"/>
      <c r="AM17" s="8"/>
      <c r="AN17" s="8"/>
      <c r="AO17" s="8"/>
      <c r="AQ17" s="8"/>
      <c r="AR17" s="8"/>
    </row>
    <row r="18" spans="1:51" ht="15.75" thickBot="1">
      <c r="K18" s="8"/>
      <c r="L18" s="8"/>
      <c r="M18" s="8"/>
      <c r="N18" s="9"/>
      <c r="O18" s="9"/>
      <c r="P18" s="8"/>
      <c r="Q18" s="8"/>
      <c r="R18" s="8"/>
      <c r="S18" s="8"/>
      <c r="T18" s="10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10"/>
      <c r="AI18" s="10"/>
      <c r="AJ18" s="8"/>
      <c r="AK18" s="8"/>
      <c r="AL18" s="8"/>
      <c r="AM18" s="8"/>
      <c r="AN18" s="8"/>
      <c r="AO18" s="8"/>
    </row>
    <row r="19" spans="1:51" s="11" customFormat="1" ht="15.75" thickBot="1">
      <c r="A19" s="11" t="s">
        <v>61</v>
      </c>
      <c r="C19" s="11" t="s">
        <v>60</v>
      </c>
      <c r="D19" s="12"/>
      <c r="E19" s="11" t="s">
        <v>13</v>
      </c>
      <c r="G19" s="11" t="s">
        <v>26</v>
      </c>
      <c r="N19" s="12"/>
      <c r="O19" s="11" t="s">
        <v>22</v>
      </c>
      <c r="Q19" s="11" t="s">
        <v>27</v>
      </c>
      <c r="S19" s="12"/>
      <c r="T19" s="11" t="s">
        <v>28</v>
      </c>
      <c r="V19" s="11" t="s">
        <v>29</v>
      </c>
      <c r="Y19" s="12"/>
      <c r="Z19" s="11" t="s">
        <v>30</v>
      </c>
      <c r="AB19" s="11" t="s">
        <v>31</v>
      </c>
      <c r="AF19" s="12"/>
      <c r="AG19" s="11" t="s">
        <v>41</v>
      </c>
      <c r="AI19" s="11" t="s">
        <v>42</v>
      </c>
      <c r="AM19" s="12"/>
      <c r="AN19" s="11" t="s">
        <v>43</v>
      </c>
      <c r="AP19" s="11" t="s">
        <v>44</v>
      </c>
    </row>
    <row r="20" spans="1:51" ht="15.75" thickTop="1"/>
    <row r="21" spans="1:51">
      <c r="E21" t="s">
        <v>18</v>
      </c>
      <c r="F21">
        <f>RADIANS(B14/2)</f>
        <v>0.53616514621265798</v>
      </c>
      <c r="T21" s="4" t="s">
        <v>23</v>
      </c>
      <c r="U21" s="4" t="s">
        <v>24</v>
      </c>
      <c r="V21" s="4" t="s">
        <v>25</v>
      </c>
      <c r="W21" s="4" t="s">
        <v>45</v>
      </c>
      <c r="Z21" t="s">
        <v>39</v>
      </c>
    </row>
    <row r="22" spans="1:51">
      <c r="E22" t="s">
        <v>20</v>
      </c>
      <c r="F22">
        <f>B15/2</f>
        <v>960</v>
      </c>
      <c r="T22">
        <f>COS(RADIANS($B$9))*SIN(RADIANS(90-$B$8))</f>
        <v>0.10831823570643494</v>
      </c>
      <c r="U22">
        <f>SIN(RADIANS($B$9))*SIN(RADIANS(90-$B$8))</f>
        <v>-0.19365389968586141</v>
      </c>
      <c r="V22">
        <f>COS(RADIANS(90-$B$8))</f>
        <v>0.97507195988291218</v>
      </c>
      <c r="W22">
        <f>SQRT(T22^2+U22^2+V22^2)</f>
        <v>1</v>
      </c>
      <c r="Z22" t="s">
        <v>38</v>
      </c>
      <c r="AA22">
        <f>COS(RADIANS($B$10))*SQRT($T$22^2 + $U$22^2)</f>
        <v>4.5754414811499257E-2</v>
      </c>
    </row>
    <row r="24" spans="1:51">
      <c r="E24" t="s">
        <v>19</v>
      </c>
      <c r="F24">
        <f>F22/TAN(F21)</f>
        <v>1615.5394013272951</v>
      </c>
    </row>
    <row r="25" spans="1:51">
      <c r="Z25" t="s">
        <v>32</v>
      </c>
    </row>
    <row r="26" spans="1:51">
      <c r="Z26" t="s">
        <v>35</v>
      </c>
      <c r="AA26" t="s">
        <v>36</v>
      </c>
      <c r="AB26" t="s">
        <v>37</v>
      </c>
      <c r="AC26" t="s">
        <v>45</v>
      </c>
    </row>
    <row r="27" spans="1:51">
      <c r="A27" t="s">
        <v>60</v>
      </c>
      <c r="Z27" s="2">
        <f>(-1*$B$11*$Z$35*$AB$35*SQRT($Z$35^2 + $AA$35^2 - $AA$22^2))/($Z$35^2 + $AA$35^2) - ($AA$35*$AA$22)/(Z35^2+AA35^2)</f>
        <v>-0.28580067390948627</v>
      </c>
      <c r="AA27">
        <f>((-1*$B$11*$AA$35*$AB$35*SQRT($Z$35^2 + $AA$35^2 - $AA$22^2))/($Z$35^2+$AA$35^2)) + ( ($Z$35 * $AA$22)/($Z$35^2 + $AA$35^2))</f>
        <v>0.93336850612045497</v>
      </c>
      <c r="AB27">
        <f>$B$11*1*SQRT($Z$35^2 + $AA$35^2 - $AA$22^2)</f>
        <v>0.2171202583255504</v>
      </c>
      <c r="AC27">
        <f>SQRT(Z27^2+AA27^2+AB27^2)</f>
        <v>1</v>
      </c>
      <c r="AR27" s="5"/>
    </row>
    <row r="29" spans="1:51">
      <c r="Z29" t="s">
        <v>33</v>
      </c>
    </row>
    <row r="30" spans="1:51">
      <c r="A30" t="s">
        <v>70</v>
      </c>
      <c r="E30" s="8"/>
      <c r="Z30" t="s">
        <v>35</v>
      </c>
      <c r="AA30" t="s">
        <v>36</v>
      </c>
      <c r="AB30" t="s">
        <v>37</v>
      </c>
    </row>
    <row r="31" spans="1:51">
      <c r="A31" t="s">
        <v>71</v>
      </c>
      <c r="B31" t="s">
        <v>23</v>
      </c>
      <c r="C31" t="s">
        <v>24</v>
      </c>
      <c r="E31" t="s">
        <v>12</v>
      </c>
      <c r="F31" t="s">
        <v>14</v>
      </c>
      <c r="I31" t="s">
        <v>15</v>
      </c>
      <c r="J31" t="s">
        <v>16</v>
      </c>
      <c r="K31" t="s">
        <v>17</v>
      </c>
      <c r="O31" s="4" t="s">
        <v>23</v>
      </c>
      <c r="P31" s="4" t="s">
        <v>24</v>
      </c>
      <c r="Q31" s="4" t="s">
        <v>25</v>
      </c>
      <c r="R31" s="4" t="s">
        <v>45</v>
      </c>
      <c r="Z31">
        <f>$AA$35*$AB$27-$AB$35*$AA$27</f>
        <v>-0.95214764328140233</v>
      </c>
      <c r="AA31">
        <f>AB35*Z27-Z35*AB27</f>
        <v>-0.30219430656272889</v>
      </c>
      <c r="AB31">
        <f>Z35*AA27-AA35*Z27</f>
        <v>4.5754414811499257E-2</v>
      </c>
      <c r="AC31">
        <f>SQRT(Z31^2+AA31^2+AB31^2)</f>
        <v>1</v>
      </c>
      <c r="AG31" t="s">
        <v>23</v>
      </c>
      <c r="AH31" t="s">
        <v>24</v>
      </c>
      <c r="AI31" t="s">
        <v>25</v>
      </c>
      <c r="AN31" t="s">
        <v>45</v>
      </c>
      <c r="AO31" t="s">
        <v>16</v>
      </c>
      <c r="AP31" t="s">
        <v>17</v>
      </c>
      <c r="AR31" t="s">
        <v>10</v>
      </c>
      <c r="AS31" t="s">
        <v>9</v>
      </c>
    </row>
    <row r="32" spans="1:51">
      <c r="A32" s="19">
        <v>9.6763333330000005</v>
      </c>
      <c r="B32" s="19">
        <v>577.66078460000006</v>
      </c>
      <c r="C32" s="19">
        <v>-6.7726410970000002</v>
      </c>
      <c r="E32" s="9">
        <f>-(B32-($B$15/2))</f>
        <v>382.33921539999994</v>
      </c>
      <c r="F32" s="9">
        <f>(($C$15/2)+C32)</f>
        <v>533.22735890299998</v>
      </c>
      <c r="G32" s="8"/>
      <c r="H32" s="8"/>
      <c r="I32" s="8">
        <v>1</v>
      </c>
      <c r="J32">
        <f t="shared" ref="J32:J95" si="22">ATAN((SQRT(E32^2+F32^2)^$B$16)/($F$24))</f>
        <v>0.41368219020663594</v>
      </c>
      <c r="K32" s="8">
        <f>ATAN2(E32,F32)</f>
        <v>0.94873302429477968</v>
      </c>
      <c r="L32" s="8"/>
      <c r="M32" s="8"/>
      <c r="N32" s="7"/>
      <c r="O32" s="8">
        <f>COS(K32)*SIN(J32)</f>
        <v>0.23424116819723861</v>
      </c>
      <c r="P32" s="8">
        <f>SIN(K32)*SIN(J32)</f>
        <v>0.32668320285559427</v>
      </c>
      <c r="Q32" s="8">
        <f>COS(J32)</f>
        <v>0.91564685337394336</v>
      </c>
      <c r="R32" s="8">
        <f t="shared" ref="R32:R63" si="23">SQRT(O32^2+P32^2+Q32^2)</f>
        <v>1</v>
      </c>
      <c r="AG32" s="8">
        <f t="shared" ref="AG32:AG95" si="24">$O32*$Z$27+$P32*$Z$31+$Q32*$Z$35</f>
        <v>-0.27881567373907623</v>
      </c>
      <c r="AH32" s="8">
        <f t="shared" ref="AH32:AH95" si="25">$O32*$AA$27+$P32*$AA$31+$Q32*$AA$35</f>
        <v>-5.7407058611423062E-2</v>
      </c>
      <c r="AI32" s="8">
        <f t="shared" ref="AI32:AI95" si="26">$AB$27*$O32+$P32*$AB$31+$AB$35*$Q32</f>
        <v>0.95862727360481959</v>
      </c>
      <c r="AJ32" s="8"/>
      <c r="AK32" s="8"/>
      <c r="AL32" s="8"/>
      <c r="AN32" s="8">
        <f t="shared" ref="AN32" si="27">AG32^2+AH32^2+AI32^2</f>
        <v>1</v>
      </c>
      <c r="AO32" s="8">
        <f t="shared" ref="AO32" si="28">IF(ATAN2(AG32,AH32)&gt;=0,ATAN2(AG32,AH32),ATAN2(AG32,AH32)+2*PI())</f>
        <v>3.3446510546240189</v>
      </c>
      <c r="AP32" s="8">
        <f t="shared" ref="AP32" si="29">ACOS(AI32/AN32)</f>
        <v>0.28865619717142499</v>
      </c>
      <c r="AQ32" s="8"/>
      <c r="AR32" s="8">
        <f t="shared" ref="AR32" si="30">DEGREES(AO32)</f>
        <v>191.63438937393605</v>
      </c>
      <c r="AS32" s="8">
        <f t="shared" ref="AS32" si="31">90-DEGREES(AP32)</f>
        <v>73.461218171781212</v>
      </c>
      <c r="AX32" s="6"/>
      <c r="AY32" s="6"/>
    </row>
    <row r="33" spans="1:53">
      <c r="A33" s="19">
        <v>9.7096999999999998</v>
      </c>
      <c r="B33" s="19">
        <v>577.81828789999997</v>
      </c>
      <c r="C33" s="19">
        <v>-6.6151378149999998</v>
      </c>
      <c r="E33" s="9">
        <f t="shared" ref="E33:E96" si="32">-(B33-($B$15/2))</f>
        <v>382.18171210000003</v>
      </c>
      <c r="F33" s="9">
        <f t="shared" ref="F33:F96" si="33">(($C$15/2)+C33)</f>
        <v>533.38486218499997</v>
      </c>
      <c r="I33">
        <v>1</v>
      </c>
      <c r="J33">
        <f t="shared" si="22"/>
        <v>0.41370277330871935</v>
      </c>
      <c r="K33">
        <f t="shared" ref="K33:K96" si="34">ATAN2(E33,F33)</f>
        <v>0.94906796474459842</v>
      </c>
      <c r="N33" s="7"/>
      <c r="O33">
        <f t="shared" ref="O33:O96" si="35">COS(K33)*SIN(J33)</f>
        <v>0.23414271277070578</v>
      </c>
      <c r="P33">
        <f t="shared" ref="P33:P96" si="36">SIN(K33)*SIN(J33)</f>
        <v>0.32677696140035928</v>
      </c>
      <c r="Q33">
        <f t="shared" ref="Q33:Q96" si="37">COS(J33)</f>
        <v>0.9156385791098598</v>
      </c>
      <c r="R33">
        <f t="shared" si="23"/>
        <v>1</v>
      </c>
      <c r="Z33" t="s">
        <v>34</v>
      </c>
      <c r="AG33" s="8">
        <f t="shared" si="24"/>
        <v>-0.27887770334294587</v>
      </c>
      <c r="AH33" s="8">
        <f t="shared" si="25"/>
        <v>-5.7525684760718232E-2</v>
      </c>
      <c r="AI33" s="8">
        <f t="shared" si="26"/>
        <v>0.95860211880163004</v>
      </c>
      <c r="AJ33" s="8"/>
      <c r="AK33" s="8"/>
      <c r="AL33" s="8"/>
      <c r="AN33" s="8">
        <f t="shared" ref="AN33:AN96" si="38">AG33^2+AH33^2+AI33^2</f>
        <v>1</v>
      </c>
      <c r="AO33" s="8">
        <f t="shared" ref="AO33:AO96" si="39">IF(ATAN2(AG33,AH33)&gt;=0,ATAN2(AG33,AH33),ATAN2(AG33,AH33)+2*PI())</f>
        <v>3.3450151635841103</v>
      </c>
      <c r="AP33" s="8">
        <f t="shared" ref="AP33:AP96" si="40">ACOS(AI33/AN33)</f>
        <v>0.28874455058849247</v>
      </c>
      <c r="AQ33" s="8"/>
      <c r="AR33" s="8">
        <f t="shared" ref="AR33:AR96" si="41">DEGREES(AO33)</f>
        <v>191.65525128063217</v>
      </c>
      <c r="AS33" s="8">
        <f t="shared" ref="AS33:AS96" si="42">90-DEGREES(AP33)</f>
        <v>73.456155893877693</v>
      </c>
      <c r="AX33" s="6"/>
      <c r="AY33" s="6"/>
    </row>
    <row r="34" spans="1:53">
      <c r="A34" s="19">
        <v>9.7430666670000008</v>
      </c>
      <c r="B34" s="19">
        <v>578.29079769999998</v>
      </c>
      <c r="C34" s="19">
        <v>-8.9776870350000006</v>
      </c>
      <c r="E34" s="9">
        <f t="shared" si="32"/>
        <v>381.70920230000002</v>
      </c>
      <c r="F34" s="9">
        <f t="shared" si="33"/>
        <v>531.02231296499997</v>
      </c>
      <c r="I34">
        <v>1</v>
      </c>
      <c r="J34">
        <f t="shared" si="22"/>
        <v>0.41245607720574023</v>
      </c>
      <c r="K34">
        <f t="shared" si="34"/>
        <v>0.9475511612940265</v>
      </c>
      <c r="O34">
        <f t="shared" si="35"/>
        <v>0.23397164100079812</v>
      </c>
      <c r="P34">
        <f t="shared" si="36"/>
        <v>0.32549428000117259</v>
      </c>
      <c r="Q34">
        <f t="shared" si="37"/>
        <v>0.91613904233686705</v>
      </c>
      <c r="R34">
        <f t="shared" si="23"/>
        <v>1</v>
      </c>
      <c r="Z34" t="s">
        <v>35</v>
      </c>
      <c r="AA34" t="s">
        <v>36</v>
      </c>
      <c r="AB34" t="s">
        <v>37</v>
      </c>
      <c r="AG34" s="8">
        <f t="shared" si="24"/>
        <v>-0.2775532995507175</v>
      </c>
      <c r="AH34" s="8">
        <f t="shared" si="25"/>
        <v>-5.7394655402627531E-2</v>
      </c>
      <c r="AI34" s="8">
        <f t="shared" si="26"/>
        <v>0.9589942749775533</v>
      </c>
      <c r="AJ34" s="8"/>
      <c r="AK34" s="8"/>
      <c r="AL34" s="8"/>
      <c r="AN34" s="8">
        <f t="shared" si="38"/>
        <v>0.99999999999999978</v>
      </c>
      <c r="AO34" s="8">
        <f t="shared" si="39"/>
        <v>3.3455064097203979</v>
      </c>
      <c r="AP34" s="8">
        <f t="shared" si="40"/>
        <v>0.28736414308052805</v>
      </c>
      <c r="AQ34" s="8"/>
      <c r="AR34" s="8">
        <f t="shared" si="41"/>
        <v>191.68339761094356</v>
      </c>
      <c r="AS34" s="8">
        <f t="shared" si="42"/>
        <v>73.535247418092226</v>
      </c>
      <c r="AX34" s="6"/>
      <c r="AY34" s="6"/>
    </row>
    <row r="35" spans="1:53">
      <c r="A35" s="19">
        <v>9.7764333329999999</v>
      </c>
      <c r="B35" s="19">
        <v>578.76330759999996</v>
      </c>
      <c r="C35" s="19">
        <v>-9.1351903159999992</v>
      </c>
      <c r="E35" s="9">
        <f t="shared" si="32"/>
        <v>381.23669240000004</v>
      </c>
      <c r="F35" s="9">
        <f t="shared" si="33"/>
        <v>530.86480968399997</v>
      </c>
      <c r="I35">
        <v>1</v>
      </c>
      <c r="J35">
        <f t="shared" si="22"/>
        <v>0.41222668213345759</v>
      </c>
      <c r="K35">
        <f t="shared" si="34"/>
        <v>0.94799754112943291</v>
      </c>
      <c r="O35">
        <f t="shared" si="35"/>
        <v>0.23370373016732235</v>
      </c>
      <c r="P35">
        <f t="shared" si="36"/>
        <v>0.32542797876219443</v>
      </c>
      <c r="Q35">
        <f t="shared" si="37"/>
        <v>0.91623097368765705</v>
      </c>
      <c r="R35">
        <f t="shared" si="23"/>
        <v>1</v>
      </c>
      <c r="Z35">
        <f>$T$22</f>
        <v>0.10831823570643494</v>
      </c>
      <c r="AA35">
        <f>$U$22</f>
        <v>-0.19365389968586141</v>
      </c>
      <c r="AB35">
        <f>$V$22</f>
        <v>0.97507195988291218</v>
      </c>
      <c r="AC35">
        <f>SQRT(Z35^2+AA35^2+AB35^2)</f>
        <v>1</v>
      </c>
      <c r="AG35" s="8">
        <f t="shared" si="24"/>
        <v>-0.27740364404379914</v>
      </c>
      <c r="AH35" s="8">
        <f t="shared" si="25"/>
        <v>-5.7642481944688892E-2</v>
      </c>
      <c r="AI35" s="8">
        <f t="shared" si="26"/>
        <v>0.95902271221617963</v>
      </c>
      <c r="AJ35" s="8"/>
      <c r="AK35" s="8"/>
      <c r="AL35" s="8"/>
      <c r="AN35" s="8">
        <f t="shared" si="38"/>
        <v>0.99999999999999989</v>
      </c>
      <c r="AO35" s="8">
        <f t="shared" si="39"/>
        <v>3.3464699452985291</v>
      </c>
      <c r="AP35" s="8">
        <f t="shared" si="40"/>
        <v>0.28726379193601992</v>
      </c>
      <c r="AQ35" s="8"/>
      <c r="AR35" s="8">
        <f t="shared" si="41"/>
        <v>191.73860413298118</v>
      </c>
      <c r="AS35" s="8">
        <f t="shared" si="42"/>
        <v>73.540997115141849</v>
      </c>
      <c r="AX35" s="6"/>
      <c r="AY35" s="6"/>
    </row>
    <row r="36" spans="1:53">
      <c r="A36" s="19">
        <v>9.8097999999999992</v>
      </c>
      <c r="B36" s="19">
        <v>579.07831409999994</v>
      </c>
      <c r="C36" s="19">
        <v>-9.1351903159999992</v>
      </c>
      <c r="E36" s="9">
        <f t="shared" si="32"/>
        <v>380.92168590000006</v>
      </c>
      <c r="F36" s="9">
        <f t="shared" si="33"/>
        <v>530.86480968399997</v>
      </c>
      <c r="I36">
        <v>1</v>
      </c>
      <c r="J36">
        <f t="shared" si="22"/>
        <v>0.41212226383720979</v>
      </c>
      <c r="K36">
        <f t="shared" si="34"/>
        <v>0.94838913521635659</v>
      </c>
      <c r="O36">
        <f t="shared" si="35"/>
        <v>0.23352049965619309</v>
      </c>
      <c r="P36">
        <f t="shared" si="36"/>
        <v>0.32544173827856493</v>
      </c>
      <c r="Q36">
        <f t="shared" si="37"/>
        <v>0.91627280393262134</v>
      </c>
      <c r="R36">
        <f t="shared" si="23"/>
        <v>1</v>
      </c>
      <c r="AG36" s="8">
        <f t="shared" si="24"/>
        <v>-0.27735984675298875</v>
      </c>
      <c r="AH36" s="8">
        <f t="shared" si="25"/>
        <v>-5.7825762170707687E-2</v>
      </c>
      <c r="AI36" s="8">
        <f t="shared" si="26"/>
        <v>0.9590243462178295</v>
      </c>
      <c r="AJ36" s="8"/>
      <c r="AK36" s="8"/>
      <c r="AL36" s="8"/>
      <c r="AN36" s="8">
        <f t="shared" si="38"/>
        <v>0.99999999999999989</v>
      </c>
      <c r="AO36" s="8">
        <f t="shared" si="39"/>
        <v>3.347134759275904</v>
      </c>
      <c r="AP36" s="8">
        <f t="shared" si="40"/>
        <v>0.28725802473101725</v>
      </c>
      <c r="AQ36" s="8"/>
      <c r="AR36" s="8">
        <f t="shared" si="41"/>
        <v>191.77669516804607</v>
      </c>
      <c r="AS36" s="8">
        <f t="shared" si="42"/>
        <v>73.541327551648095</v>
      </c>
      <c r="AX36" s="10"/>
      <c r="AY36" s="10"/>
      <c r="AZ36" s="8"/>
      <c r="BA36" s="8"/>
    </row>
    <row r="37" spans="1:53">
      <c r="A37" s="19">
        <v>9.8431666670000002</v>
      </c>
      <c r="B37" s="19">
        <v>580.65334689999997</v>
      </c>
      <c r="C37" s="19">
        <v>-10.395216570000001</v>
      </c>
      <c r="E37" s="9">
        <f t="shared" si="32"/>
        <v>379.34665310000003</v>
      </c>
      <c r="F37" s="9">
        <f t="shared" si="33"/>
        <v>529.60478343</v>
      </c>
      <c r="I37">
        <v>1</v>
      </c>
      <c r="J37">
        <f t="shared" si="22"/>
        <v>0.41101795886332942</v>
      </c>
      <c r="K37">
        <f t="shared" si="34"/>
        <v>0.94922587468662667</v>
      </c>
      <c r="O37">
        <f t="shared" si="35"/>
        <v>0.23265875602145225</v>
      </c>
      <c r="P37">
        <f t="shared" si="36"/>
        <v>0.32481422753808503</v>
      </c>
      <c r="Q37">
        <f t="shared" si="37"/>
        <v>0.9167145798095433</v>
      </c>
      <c r="R37">
        <f t="shared" si="23"/>
        <v>1</v>
      </c>
      <c r="AG37" s="8">
        <f t="shared" si="24"/>
        <v>-0.2764682245851951</v>
      </c>
      <c r="AH37" s="8">
        <f t="shared" si="25"/>
        <v>-5.8526007987997661E-2</v>
      </c>
      <c r="AI37" s="8">
        <f t="shared" si="26"/>
        <v>0.95923929610066483</v>
      </c>
      <c r="AJ37" s="8"/>
      <c r="AK37" s="8"/>
      <c r="AL37" s="8"/>
      <c r="AN37" s="8">
        <f t="shared" si="38"/>
        <v>1</v>
      </c>
      <c r="AO37" s="8">
        <f t="shared" si="39"/>
        <v>3.3502044715245662</v>
      </c>
      <c r="AP37" s="8">
        <f t="shared" si="40"/>
        <v>0.28649837548493351</v>
      </c>
      <c r="AQ37" s="8"/>
      <c r="AR37" s="8">
        <f t="shared" si="41"/>
        <v>191.95257672421403</v>
      </c>
      <c r="AS37" s="8">
        <f t="shared" si="42"/>
        <v>73.584852247358981</v>
      </c>
      <c r="AX37" s="10"/>
      <c r="AY37" s="10"/>
      <c r="AZ37" s="8"/>
      <c r="BA37" s="8"/>
    </row>
    <row r="38" spans="1:53" s="8" customFormat="1">
      <c r="A38" s="19">
        <v>9.8765333329999994</v>
      </c>
      <c r="B38" s="19">
        <v>581.12585679999995</v>
      </c>
      <c r="C38" s="19">
        <v>-11.49773954</v>
      </c>
      <c r="D38" s="3"/>
      <c r="E38" s="9">
        <f t="shared" si="32"/>
        <v>378.87414320000005</v>
      </c>
      <c r="F38" s="9">
        <f t="shared" si="33"/>
        <v>528.50226046</v>
      </c>
      <c r="G38"/>
      <c r="H38"/>
      <c r="I38">
        <v>1</v>
      </c>
      <c r="J38">
        <f t="shared" si="22"/>
        <v>0.41035126247282427</v>
      </c>
      <c r="K38">
        <f t="shared" si="34"/>
        <v>0.94882930675318589</v>
      </c>
      <c r="L38"/>
      <c r="M38"/>
      <c r="N38" s="3"/>
      <c r="O38">
        <f t="shared" si="35"/>
        <v>0.2324314077431133</v>
      </c>
      <c r="P38">
        <f t="shared" si="36"/>
        <v>0.32422514599865493</v>
      </c>
      <c r="Q38">
        <f t="shared" si="37"/>
        <v>0.91698074974162103</v>
      </c>
      <c r="R38">
        <f t="shared" si="23"/>
        <v>1</v>
      </c>
      <c r="S38" s="3"/>
      <c r="Y38" s="3"/>
      <c r="AF38" s="3"/>
      <c r="AG38" s="8">
        <f t="shared" si="24"/>
        <v>-0.27581352463712394</v>
      </c>
      <c r="AH38" s="8">
        <f t="shared" si="25"/>
        <v>-5.8611735468928908E-2</v>
      </c>
      <c r="AI38" s="8">
        <f t="shared" si="26"/>
        <v>0.95942251593996208</v>
      </c>
      <c r="AM38" s="3"/>
      <c r="AN38" s="8">
        <f t="shared" si="38"/>
        <v>0.99999999999999989</v>
      </c>
      <c r="AO38" s="8">
        <f t="shared" si="39"/>
        <v>3.350982769513204</v>
      </c>
      <c r="AP38" s="8">
        <f t="shared" si="40"/>
        <v>0.2858493128231443</v>
      </c>
      <c r="AR38" s="8">
        <f t="shared" si="41"/>
        <v>191.99716991416651</v>
      </c>
      <c r="AS38" s="8">
        <f t="shared" si="42"/>
        <v>73.622040798519038</v>
      </c>
      <c r="AX38" s="10"/>
      <c r="AY38" s="10"/>
    </row>
    <row r="39" spans="1:53">
      <c r="A39" s="19">
        <v>9.9099000000000004</v>
      </c>
      <c r="B39" s="19">
        <v>580.02333380000005</v>
      </c>
      <c r="C39" s="19">
        <v>-12.442759219999999</v>
      </c>
      <c r="E39" s="9">
        <f t="shared" si="32"/>
        <v>379.97666619999995</v>
      </c>
      <c r="F39" s="9">
        <f t="shared" si="33"/>
        <v>527.55724078000003</v>
      </c>
      <c r="I39">
        <v>1</v>
      </c>
      <c r="J39">
        <f t="shared" si="22"/>
        <v>0.4102806264745894</v>
      </c>
      <c r="K39">
        <f t="shared" si="34"/>
        <v>0.94660419879674385</v>
      </c>
      <c r="O39">
        <f t="shared" si="35"/>
        <v>0.23311441173701794</v>
      </c>
      <c r="P39">
        <f t="shared" si="36"/>
        <v>0.32365459982561967</v>
      </c>
      <c r="Q39">
        <f t="shared" si="37"/>
        <v>0.91700892637543174</v>
      </c>
      <c r="R39">
        <f t="shared" si="23"/>
        <v>1</v>
      </c>
      <c r="AG39" s="8">
        <f t="shared" si="24"/>
        <v>-0.27546243140156351</v>
      </c>
      <c r="AH39" s="8">
        <f t="shared" si="25"/>
        <v>-5.7807281761358881E-2</v>
      </c>
      <c r="AI39" s="8">
        <f t="shared" si="26"/>
        <v>0.95957217918283866</v>
      </c>
      <c r="AJ39" s="8"/>
      <c r="AK39" s="8"/>
      <c r="AL39" s="8"/>
      <c r="AN39" s="8">
        <f t="shared" si="38"/>
        <v>1</v>
      </c>
      <c r="AO39" s="8">
        <f t="shared" si="39"/>
        <v>3.3484463618527185</v>
      </c>
      <c r="AP39" s="8">
        <f t="shared" si="40"/>
        <v>0.28531805998716364</v>
      </c>
      <c r="AQ39" s="8"/>
      <c r="AR39" s="8">
        <f t="shared" si="41"/>
        <v>191.85184446009603</v>
      </c>
      <c r="AS39" s="8">
        <f t="shared" si="42"/>
        <v>73.652479343875072</v>
      </c>
      <c r="AX39" s="10"/>
      <c r="AY39" s="10"/>
      <c r="AZ39" s="8"/>
      <c r="BA39" s="8"/>
    </row>
    <row r="40" spans="1:53">
      <c r="A40" s="19">
        <v>9.9432666669999996</v>
      </c>
      <c r="B40" s="19">
        <v>582.07087650000005</v>
      </c>
      <c r="C40" s="19">
        <v>-12.442759219999999</v>
      </c>
      <c r="E40" s="9">
        <f t="shared" si="32"/>
        <v>377.92912349999995</v>
      </c>
      <c r="F40" s="9">
        <f t="shared" si="33"/>
        <v>527.55724078000003</v>
      </c>
      <c r="I40">
        <v>1</v>
      </c>
      <c r="J40">
        <f t="shared" si="22"/>
        <v>0.40960034023058001</v>
      </c>
      <c r="K40">
        <f t="shared" si="34"/>
        <v>0.94916437924982311</v>
      </c>
      <c r="O40">
        <f t="shared" si="35"/>
        <v>0.23192168634723281</v>
      </c>
      <c r="P40">
        <f t="shared" si="36"/>
        <v>0.32374315002053755</v>
      </c>
      <c r="Q40">
        <f t="shared" si="37"/>
        <v>0.9172800576795701</v>
      </c>
      <c r="R40">
        <f t="shared" si="23"/>
        <v>1</v>
      </c>
      <c r="AG40" s="8">
        <f t="shared" si="24"/>
        <v>-0.27517649407626804</v>
      </c>
      <c r="AH40" s="8">
        <f t="shared" si="25"/>
        <v>-5.8999799075757073E-2</v>
      </c>
      <c r="AI40" s="8">
        <f t="shared" si="26"/>
        <v>0.95958163843255873</v>
      </c>
      <c r="AJ40" s="8"/>
      <c r="AK40" s="8"/>
      <c r="AL40" s="8"/>
      <c r="AN40" s="8">
        <f t="shared" si="38"/>
        <v>1</v>
      </c>
      <c r="AO40" s="8">
        <f t="shared" si="39"/>
        <v>3.3528020578574198</v>
      </c>
      <c r="AP40" s="8">
        <f t="shared" si="40"/>
        <v>0.28528445058601748</v>
      </c>
      <c r="AQ40" s="8"/>
      <c r="AR40" s="8">
        <f t="shared" si="41"/>
        <v>192.1014074580074</v>
      </c>
      <c r="AS40" s="8">
        <f t="shared" si="42"/>
        <v>73.654405020712716</v>
      </c>
      <c r="AX40" s="8"/>
      <c r="AY40" s="8"/>
      <c r="AZ40" s="8"/>
      <c r="BA40" s="8"/>
    </row>
    <row r="41" spans="1:53">
      <c r="A41" s="19">
        <v>9.9766333330000005</v>
      </c>
      <c r="B41" s="19">
        <v>581.91337320000002</v>
      </c>
      <c r="C41" s="19">
        <v>-13.38777891</v>
      </c>
      <c r="E41" s="9">
        <f t="shared" si="32"/>
        <v>378.08662679999998</v>
      </c>
      <c r="F41" s="9">
        <f t="shared" si="33"/>
        <v>526.61222109000005</v>
      </c>
      <c r="I41">
        <v>1</v>
      </c>
      <c r="J41">
        <f t="shared" si="22"/>
        <v>0.40921510173571252</v>
      </c>
      <c r="K41">
        <f t="shared" si="34"/>
        <v>0.9481179473558381</v>
      </c>
      <c r="O41">
        <f t="shared" si="35"/>
        <v>0.23205422634756864</v>
      </c>
      <c r="P41">
        <f t="shared" si="36"/>
        <v>0.32321320800076164</v>
      </c>
      <c r="Q41">
        <f t="shared" si="37"/>
        <v>0.91743340805100826</v>
      </c>
      <c r="R41">
        <f t="shared" si="23"/>
        <v>1</v>
      </c>
      <c r="AG41" s="8">
        <f t="shared" si="24"/>
        <v>-0.27469318041079949</v>
      </c>
      <c r="AH41" s="8">
        <f t="shared" si="25"/>
        <v>-5.8745641849905078E-2</v>
      </c>
      <c r="AI41" s="8">
        <f t="shared" si="26"/>
        <v>0.95973569601189823</v>
      </c>
      <c r="AJ41" s="8"/>
      <c r="AK41" s="8"/>
      <c r="AL41" s="8"/>
      <c r="AN41" s="8">
        <f t="shared" si="38"/>
        <v>1.0000000000000002</v>
      </c>
      <c r="AO41" s="8">
        <f t="shared" si="39"/>
        <v>3.3522780854886132</v>
      </c>
      <c r="AP41" s="8">
        <f t="shared" si="40"/>
        <v>0.28473652960908735</v>
      </c>
      <c r="AQ41" s="8"/>
      <c r="AR41" s="8">
        <f t="shared" si="41"/>
        <v>192.07138605269333</v>
      </c>
      <c r="AS41" s="8">
        <f t="shared" si="42"/>
        <v>73.685798580197499</v>
      </c>
      <c r="AX41" s="10"/>
      <c r="AY41" s="10"/>
      <c r="AZ41" s="8"/>
      <c r="BA41" s="8"/>
    </row>
    <row r="42" spans="1:53">
      <c r="A42" s="19">
        <v>10.01</v>
      </c>
      <c r="B42" s="19">
        <v>581.75586989999999</v>
      </c>
      <c r="C42" s="19">
        <v>-12.915269070000001</v>
      </c>
      <c r="E42" s="9">
        <f t="shared" si="32"/>
        <v>378.24413010000001</v>
      </c>
      <c r="F42" s="9">
        <f t="shared" si="33"/>
        <v>527.08473092999998</v>
      </c>
      <c r="I42">
        <v>1</v>
      </c>
      <c r="J42">
        <f t="shared" si="22"/>
        <v>0.40948614619778195</v>
      </c>
      <c r="K42">
        <f t="shared" si="34"/>
        <v>0.94834550661268735</v>
      </c>
      <c r="O42">
        <f t="shared" si="35"/>
        <v>0.23212564048043538</v>
      </c>
      <c r="P42">
        <f t="shared" si="36"/>
        <v>0.32346802241778977</v>
      </c>
      <c r="Q42">
        <f t="shared" si="37"/>
        <v>0.91732552864545958</v>
      </c>
      <c r="R42">
        <f t="shared" si="23"/>
        <v>1</v>
      </c>
      <c r="AG42" s="8">
        <f t="shared" si="24"/>
        <v>-0.27496789687162498</v>
      </c>
      <c r="AH42" s="8">
        <f t="shared" si="25"/>
        <v>-5.8735098345871081E-2</v>
      </c>
      <c r="AI42" s="8">
        <f t="shared" si="26"/>
        <v>0.95965767016801162</v>
      </c>
      <c r="AJ42" s="8"/>
      <c r="AK42" s="8"/>
      <c r="AL42" s="8"/>
      <c r="AN42" s="8">
        <f t="shared" si="38"/>
        <v>1</v>
      </c>
      <c r="AO42" s="8">
        <f t="shared" si="39"/>
        <v>3.3520370867046956</v>
      </c>
      <c r="AP42" s="8">
        <f t="shared" si="40"/>
        <v>0.28501416428091919</v>
      </c>
      <c r="AQ42" s="8"/>
      <c r="AR42" s="8">
        <f t="shared" si="41"/>
        <v>192.05757783950705</v>
      </c>
      <c r="AS42" s="8">
        <f t="shared" si="42"/>
        <v>73.669891285255034</v>
      </c>
      <c r="AX42" s="10"/>
      <c r="AY42" s="10"/>
      <c r="AZ42" s="8"/>
      <c r="BA42" s="8"/>
    </row>
    <row r="43" spans="1:53">
      <c r="A43" s="19">
        <v>10.043366669999999</v>
      </c>
      <c r="B43" s="19">
        <v>582.07087650000005</v>
      </c>
      <c r="C43" s="19">
        <v>-14.805308439999999</v>
      </c>
      <c r="E43" s="9">
        <f t="shared" si="32"/>
        <v>377.92912349999995</v>
      </c>
      <c r="F43" s="9">
        <f t="shared" si="33"/>
        <v>525.19469156000002</v>
      </c>
      <c r="I43">
        <v>1</v>
      </c>
      <c r="J43">
        <f t="shared" si="22"/>
        <v>0.40850659942934059</v>
      </c>
      <c r="K43">
        <f t="shared" si="34"/>
        <v>0.94703798402672379</v>
      </c>
      <c r="O43">
        <f t="shared" si="35"/>
        <v>0.23202343049118238</v>
      </c>
      <c r="P43">
        <f t="shared" si="36"/>
        <v>0.32243472766265835</v>
      </c>
      <c r="Q43">
        <f t="shared" si="37"/>
        <v>0.91771508329121998</v>
      </c>
      <c r="R43">
        <f t="shared" si="23"/>
        <v>1</v>
      </c>
      <c r="AG43" s="8">
        <f t="shared" si="24"/>
        <v>-0.27391264014996275</v>
      </c>
      <c r="AH43" s="8">
        <f t="shared" si="25"/>
        <v>-5.8593680915141111E-2</v>
      </c>
      <c r="AI43" s="8">
        <f t="shared" si="26"/>
        <v>0.95996804432381588</v>
      </c>
      <c r="AJ43" s="8"/>
      <c r="AK43" s="8"/>
      <c r="AL43" s="8"/>
      <c r="AN43" s="8">
        <f t="shared" si="38"/>
        <v>1</v>
      </c>
      <c r="AO43" s="8">
        <f t="shared" si="39"/>
        <v>3.3523303286781734</v>
      </c>
      <c r="AP43" s="8">
        <f t="shared" si="40"/>
        <v>0.28390821430356539</v>
      </c>
      <c r="AQ43" s="8"/>
      <c r="AR43" s="8">
        <f t="shared" si="41"/>
        <v>192.07437936696343</v>
      </c>
      <c r="AS43" s="8">
        <f t="shared" si="42"/>
        <v>73.73325755130999</v>
      </c>
      <c r="AX43" s="8"/>
      <c r="AY43" s="8"/>
      <c r="AZ43" s="8"/>
      <c r="BA43" s="8"/>
    </row>
    <row r="44" spans="1:53">
      <c r="A44" s="19">
        <v>10.07673333</v>
      </c>
      <c r="B44" s="19">
        <v>582.85839290000001</v>
      </c>
      <c r="C44" s="19">
        <v>-15.59282485</v>
      </c>
      <c r="E44" s="9">
        <f t="shared" si="32"/>
        <v>377.14160709999999</v>
      </c>
      <c r="F44" s="9">
        <f t="shared" si="33"/>
        <v>524.40717515000006</v>
      </c>
      <c r="I44">
        <v>1</v>
      </c>
      <c r="J44">
        <f t="shared" si="22"/>
        <v>0.40787971192389849</v>
      </c>
      <c r="K44">
        <f t="shared" si="34"/>
        <v>0.94731546797128185</v>
      </c>
      <c r="O44">
        <f t="shared" si="35"/>
        <v>0.23159800582082227</v>
      </c>
      <c r="P44">
        <f t="shared" si="36"/>
        <v>0.32203197344563333</v>
      </c>
      <c r="Q44">
        <f t="shared" si="37"/>
        <v>0.91796392727521126</v>
      </c>
      <c r="R44">
        <f t="shared" si="23"/>
        <v>1</v>
      </c>
      <c r="AG44" s="8">
        <f t="shared" si="24"/>
        <v>-0.27338061767260202</v>
      </c>
      <c r="AH44" s="8">
        <f t="shared" si="25"/>
        <v>-5.8917238480766118E-2</v>
      </c>
      <c r="AI44" s="8">
        <f t="shared" si="26"/>
        <v>0.96009988901715171</v>
      </c>
      <c r="AJ44" s="8"/>
      <c r="AK44" s="8"/>
      <c r="AL44" s="8"/>
      <c r="AN44" s="8">
        <f t="shared" si="38"/>
        <v>0.99999999999999978</v>
      </c>
      <c r="AO44" s="8">
        <f t="shared" si="39"/>
        <v>3.3538596604477267</v>
      </c>
      <c r="AP44" s="8">
        <f t="shared" si="40"/>
        <v>0.28343714426983402</v>
      </c>
      <c r="AQ44" s="8"/>
      <c r="AR44" s="8">
        <f t="shared" si="41"/>
        <v>192.16200362283411</v>
      </c>
      <c r="AS44" s="8">
        <f t="shared" si="42"/>
        <v>73.760247876097878</v>
      </c>
      <c r="AX44" s="8"/>
      <c r="AY44" s="8"/>
      <c r="AZ44" s="8"/>
      <c r="BA44" s="8"/>
    </row>
    <row r="45" spans="1:53">
      <c r="A45" s="19">
        <v>10.110099999999999</v>
      </c>
      <c r="B45" s="19">
        <v>583.8034126</v>
      </c>
      <c r="C45" s="19">
        <v>-15.277818290000001</v>
      </c>
      <c r="E45" s="9">
        <f t="shared" si="32"/>
        <v>376.1965874</v>
      </c>
      <c r="F45" s="9">
        <f t="shared" si="33"/>
        <v>524.72218170999997</v>
      </c>
      <c r="I45">
        <v>1</v>
      </c>
      <c r="J45">
        <f t="shared" si="22"/>
        <v>0.40771122487259021</v>
      </c>
      <c r="K45">
        <f t="shared" si="34"/>
        <v>0.94878862583044765</v>
      </c>
      <c r="O45">
        <f t="shared" si="35"/>
        <v>0.23103322910463764</v>
      </c>
      <c r="P45">
        <f t="shared" si="36"/>
        <v>0.32224710187068462</v>
      </c>
      <c r="Q45">
        <f t="shared" si="37"/>
        <v>0.91803074697170606</v>
      </c>
      <c r="R45">
        <f t="shared" si="23"/>
        <v>1</v>
      </c>
      <c r="AG45" s="8">
        <f t="shared" si="24"/>
        <v>-0.2734168003377887</v>
      </c>
      <c r="AH45" s="8">
        <f t="shared" si="25"/>
        <v>-5.9522333760675353E-2</v>
      </c>
      <c r="AI45" s="8">
        <f t="shared" si="26"/>
        <v>0.96005226163825508</v>
      </c>
      <c r="AJ45" s="8"/>
      <c r="AK45" s="8"/>
      <c r="AL45" s="8"/>
      <c r="AN45" s="8">
        <f t="shared" si="38"/>
        <v>1</v>
      </c>
      <c r="AO45" s="8">
        <f t="shared" si="39"/>
        <v>3.355946324811887</v>
      </c>
      <c r="AP45" s="8">
        <f t="shared" si="40"/>
        <v>0.2836074007390994</v>
      </c>
      <c r="AQ45" s="8"/>
      <c r="AR45" s="8">
        <f t="shared" si="41"/>
        <v>192.28156068416084</v>
      </c>
      <c r="AS45" s="8">
        <f t="shared" si="42"/>
        <v>73.750492898974187</v>
      </c>
      <c r="AX45" s="8"/>
      <c r="AY45" s="8"/>
      <c r="AZ45" s="8"/>
      <c r="BA45" s="8"/>
    </row>
    <row r="46" spans="1:53">
      <c r="A46" s="19">
        <v>10.14346667</v>
      </c>
      <c r="B46" s="19">
        <v>582.85839290000001</v>
      </c>
      <c r="C46" s="19">
        <v>-16.695347819999999</v>
      </c>
      <c r="E46" s="9">
        <f t="shared" si="32"/>
        <v>377.14160709999999</v>
      </c>
      <c r="F46" s="9">
        <f t="shared" si="33"/>
        <v>523.30465217999995</v>
      </c>
      <c r="I46">
        <v>1</v>
      </c>
      <c r="J46">
        <f t="shared" si="22"/>
        <v>0.40736916370630005</v>
      </c>
      <c r="K46">
        <f t="shared" si="34"/>
        <v>0.94631751606427505</v>
      </c>
      <c r="O46">
        <f t="shared" si="35"/>
        <v>0.23164521625203199</v>
      </c>
      <c r="P46">
        <f t="shared" si="36"/>
        <v>0.3214204347593726</v>
      </c>
      <c r="Q46">
        <f t="shared" si="37"/>
        <v>0.91816632366181083</v>
      </c>
      <c r="R46">
        <f t="shared" si="23"/>
        <v>1</v>
      </c>
      <c r="AG46" s="8">
        <f t="shared" si="24"/>
        <v>-0.27278991210724896</v>
      </c>
      <c r="AH46" s="8">
        <f t="shared" si="25"/>
        <v>-5.872756509143108E-2</v>
      </c>
      <c r="AI46" s="8">
        <f t="shared" si="26"/>
        <v>0.96027950980480214</v>
      </c>
      <c r="AJ46" s="8"/>
      <c r="AK46" s="8"/>
      <c r="AL46" s="8"/>
      <c r="AN46" s="8">
        <f t="shared" si="38"/>
        <v>1</v>
      </c>
      <c r="AO46" s="8">
        <f t="shared" si="39"/>
        <v>3.3536411665761028</v>
      </c>
      <c r="AP46" s="8">
        <f t="shared" si="40"/>
        <v>0.28279414557793658</v>
      </c>
      <c r="AQ46" s="8"/>
      <c r="AR46" s="8">
        <f t="shared" si="41"/>
        <v>192.14948484614058</v>
      </c>
      <c r="AS46" s="8">
        <f t="shared" si="42"/>
        <v>73.797088987376043</v>
      </c>
    </row>
    <row r="47" spans="1:53">
      <c r="A47" s="19">
        <v>10.176833329999999</v>
      </c>
      <c r="B47" s="19">
        <v>583.8034126</v>
      </c>
      <c r="C47" s="19">
        <v>-17.640367510000001</v>
      </c>
      <c r="E47" s="9">
        <f t="shared" si="32"/>
        <v>376.1965874</v>
      </c>
      <c r="F47" s="9">
        <f t="shared" si="33"/>
        <v>522.35963248999997</v>
      </c>
      <c r="I47">
        <v>1</v>
      </c>
      <c r="J47">
        <f t="shared" si="22"/>
        <v>0.4066160628979153</v>
      </c>
      <c r="K47">
        <f t="shared" si="34"/>
        <v>0.94665016564890159</v>
      </c>
      <c r="O47">
        <f t="shared" si="35"/>
        <v>0.23113411812159412</v>
      </c>
      <c r="P47">
        <f t="shared" si="36"/>
        <v>0.32093627917342493</v>
      </c>
      <c r="Q47">
        <f t="shared" si="37"/>
        <v>0.91846443815232737</v>
      </c>
      <c r="R47">
        <f t="shared" si="23"/>
        <v>1</v>
      </c>
      <c r="AG47" s="8">
        <f t="shared" si="24"/>
        <v>-0.27215056108134306</v>
      </c>
      <c r="AH47" s="8">
        <f t="shared" si="25"/>
        <v>-5.9116029961996289E-2</v>
      </c>
      <c r="AI47" s="8">
        <f t="shared" si="26"/>
        <v>0.96043707087171648</v>
      </c>
      <c r="AJ47" s="8"/>
      <c r="AK47" s="8"/>
      <c r="AL47" s="8"/>
      <c r="AN47" s="8">
        <f t="shared" si="38"/>
        <v>1</v>
      </c>
      <c r="AO47" s="8">
        <f t="shared" si="39"/>
        <v>3.3554879505555597</v>
      </c>
      <c r="AP47" s="8">
        <f t="shared" si="40"/>
        <v>0.28222894160033962</v>
      </c>
      <c r="AQ47" s="8"/>
      <c r="AR47" s="8">
        <f t="shared" si="41"/>
        <v>192.25529777383582</v>
      </c>
      <c r="AS47" s="8">
        <f t="shared" si="42"/>
        <v>73.829472789856354</v>
      </c>
    </row>
    <row r="48" spans="1:53">
      <c r="A48" s="19">
        <v>10.2102</v>
      </c>
      <c r="B48" s="19">
        <v>584.74843229999999</v>
      </c>
      <c r="C48" s="19">
        <v>-17.167857659999999</v>
      </c>
      <c r="E48" s="9">
        <f t="shared" si="32"/>
        <v>375.25156770000001</v>
      </c>
      <c r="F48" s="9">
        <f t="shared" si="33"/>
        <v>522.83214234000002</v>
      </c>
      <c r="I48">
        <v>1</v>
      </c>
      <c r="J48">
        <f t="shared" si="22"/>
        <v>0.40652011601214272</v>
      </c>
      <c r="K48">
        <f t="shared" si="34"/>
        <v>0.94827081987484996</v>
      </c>
      <c r="O48">
        <f t="shared" si="35"/>
        <v>0.23056230301278732</v>
      </c>
      <c r="P48">
        <f t="shared" si="36"/>
        <v>0.3212388520209768</v>
      </c>
      <c r="Q48">
        <f t="shared" si="37"/>
        <v>0.918502381260759</v>
      </c>
      <c r="R48">
        <f t="shared" si="23"/>
        <v>1</v>
      </c>
      <c r="AG48" s="8">
        <f t="shared" si="24"/>
        <v>-0.27227112003104936</v>
      </c>
      <c r="AH48" s="8">
        <f t="shared" si="25"/>
        <v>-5.9748527798645021E-2</v>
      </c>
      <c r="AI48" s="8">
        <f t="shared" si="26"/>
        <v>0.96036375953225794</v>
      </c>
      <c r="AJ48" s="8"/>
      <c r="AK48" s="8"/>
      <c r="AL48" s="8"/>
      <c r="AN48" s="8">
        <f t="shared" si="38"/>
        <v>1</v>
      </c>
      <c r="AO48" s="8">
        <f t="shared" si="39"/>
        <v>3.3576134903440646</v>
      </c>
      <c r="AP48" s="8">
        <f t="shared" si="40"/>
        <v>0.28249206137667859</v>
      </c>
      <c r="AQ48" s="8"/>
      <c r="AR48" s="8">
        <f t="shared" si="41"/>
        <v>192.37708223290429</v>
      </c>
      <c r="AS48" s="8">
        <f t="shared" si="42"/>
        <v>73.814397137165713</v>
      </c>
    </row>
    <row r="49" spans="1:45">
      <c r="A49" s="19">
        <v>10.24356667</v>
      </c>
      <c r="B49" s="19">
        <v>585.37844540000003</v>
      </c>
      <c r="C49" s="19">
        <v>-18.90039376</v>
      </c>
      <c r="E49" s="9">
        <f t="shared" si="32"/>
        <v>374.62155459999997</v>
      </c>
      <c r="F49" s="9">
        <f t="shared" si="33"/>
        <v>521.09960623999996</v>
      </c>
      <c r="I49">
        <v>1</v>
      </c>
      <c r="J49">
        <f t="shared" si="22"/>
        <v>0.4055061332967056</v>
      </c>
      <c r="K49">
        <f t="shared" si="34"/>
        <v>0.94749424275760641</v>
      </c>
      <c r="O49">
        <f t="shared" si="35"/>
        <v>0.23026793710758967</v>
      </c>
      <c r="P49">
        <f t="shared" si="36"/>
        <v>0.32030332980862086</v>
      </c>
      <c r="Q49">
        <f t="shared" si="37"/>
        <v>0.91890285343649092</v>
      </c>
      <c r="R49">
        <f t="shared" si="23"/>
        <v>1</v>
      </c>
      <c r="AG49" s="8">
        <f t="shared" si="24"/>
        <v>-0.2712528563477109</v>
      </c>
      <c r="AH49" s="8">
        <f t="shared" si="25"/>
        <v>-5.9818123176141394E-2</v>
      </c>
      <c r="AI49" s="8">
        <f t="shared" si="26"/>
        <v>0.96064753164877914</v>
      </c>
      <c r="AJ49" s="8"/>
      <c r="AK49" s="8"/>
      <c r="AL49" s="8"/>
      <c r="AN49" s="8">
        <f t="shared" si="38"/>
        <v>1</v>
      </c>
      <c r="AO49" s="8">
        <f t="shared" si="39"/>
        <v>3.3586439723949186</v>
      </c>
      <c r="AP49" s="8">
        <f t="shared" si="40"/>
        <v>0.2814722523475901</v>
      </c>
      <c r="AQ49" s="8"/>
      <c r="AR49" s="8">
        <f t="shared" si="41"/>
        <v>192.43612450528221</v>
      </c>
      <c r="AS49" s="8">
        <f t="shared" si="42"/>
        <v>73.872827890441812</v>
      </c>
    </row>
    <row r="50" spans="1:45">
      <c r="A50" s="19">
        <v>10.27693333</v>
      </c>
      <c r="B50" s="19">
        <v>585.69345190000001</v>
      </c>
      <c r="C50" s="19">
        <v>-19.05789704</v>
      </c>
      <c r="E50" s="9">
        <f t="shared" si="32"/>
        <v>374.30654809999999</v>
      </c>
      <c r="F50" s="9">
        <f t="shared" si="33"/>
        <v>520.94210296000006</v>
      </c>
      <c r="I50">
        <v>1</v>
      </c>
      <c r="J50">
        <f t="shared" si="22"/>
        <v>0.40532793009165086</v>
      </c>
      <c r="K50">
        <f t="shared" si="34"/>
        <v>0.94774964525043304</v>
      </c>
      <c r="O50">
        <f t="shared" si="35"/>
        <v>0.23009056873388639</v>
      </c>
      <c r="P50">
        <f t="shared" si="36"/>
        <v>0.32022914201188457</v>
      </c>
      <c r="Q50">
        <f t="shared" si="37"/>
        <v>0.91897313714060702</v>
      </c>
      <c r="R50">
        <f t="shared" si="23"/>
        <v>1</v>
      </c>
      <c r="AG50" s="8">
        <f t="shared" si="24"/>
        <v>-0.27112391360432492</v>
      </c>
      <c r="AH50" s="8">
        <f t="shared" si="25"/>
        <v>-5.997486481373418E-2</v>
      </c>
      <c r="AI50" s="8">
        <f t="shared" si="26"/>
        <v>0.96067415863155636</v>
      </c>
      <c r="AJ50" s="8"/>
      <c r="AK50" s="8"/>
      <c r="AL50" s="8"/>
      <c r="AN50" s="8">
        <f t="shared" si="38"/>
        <v>0.99999999999999989</v>
      </c>
      <c r="AO50" s="8">
        <f t="shared" si="39"/>
        <v>3.3592952008913652</v>
      </c>
      <c r="AP50" s="8">
        <f t="shared" si="40"/>
        <v>0.2813763767215558</v>
      </c>
      <c r="AQ50" s="8"/>
      <c r="AR50" s="8">
        <f t="shared" si="41"/>
        <v>192.47343714962724</v>
      </c>
      <c r="AS50" s="8">
        <f t="shared" si="42"/>
        <v>73.878321159171747</v>
      </c>
    </row>
    <row r="51" spans="1:45">
      <c r="A51" s="19">
        <v>10.3103</v>
      </c>
      <c r="B51" s="19">
        <v>585.53594869999995</v>
      </c>
      <c r="C51" s="19">
        <v>-20.160420009999999</v>
      </c>
      <c r="E51" s="9">
        <f t="shared" si="32"/>
        <v>374.46405130000005</v>
      </c>
      <c r="F51" s="9">
        <f t="shared" si="33"/>
        <v>519.83957998999995</v>
      </c>
      <c r="I51">
        <v>1</v>
      </c>
      <c r="J51">
        <f t="shared" si="22"/>
        <v>0.40486878537312299</v>
      </c>
      <c r="K51">
        <f t="shared" si="34"/>
        <v>0.94654583336811315</v>
      </c>
      <c r="O51">
        <f t="shared" si="35"/>
        <v>0.23022925290137114</v>
      </c>
      <c r="P51">
        <f t="shared" si="36"/>
        <v>0.31960952650639723</v>
      </c>
      <c r="Q51">
        <f t="shared" si="37"/>
        <v>0.91915409027803008</v>
      </c>
      <c r="R51">
        <f t="shared" si="23"/>
        <v>1</v>
      </c>
      <c r="AG51" s="8">
        <f t="shared" si="24"/>
        <v>-0.27055398366497102</v>
      </c>
      <c r="AH51" s="8">
        <f t="shared" si="25"/>
        <v>-5.9693219382212462E-2</v>
      </c>
      <c r="AI51" s="8">
        <f t="shared" si="26"/>
        <v>0.96085236195931878</v>
      </c>
      <c r="AJ51" s="8"/>
      <c r="AK51" s="8"/>
      <c r="AL51" s="8"/>
      <c r="AN51" s="8">
        <f t="shared" si="38"/>
        <v>1</v>
      </c>
      <c r="AO51" s="8">
        <f t="shared" si="39"/>
        <v>3.358746945572519</v>
      </c>
      <c r="AP51" s="8">
        <f t="shared" si="40"/>
        <v>0.2807339005144498</v>
      </c>
      <c r="AQ51" s="8"/>
      <c r="AR51" s="8">
        <f t="shared" si="41"/>
        <v>192.44202443376176</v>
      </c>
      <c r="AS51" s="8">
        <f t="shared" si="42"/>
        <v>73.915132334276493</v>
      </c>
    </row>
    <row r="52" spans="1:45">
      <c r="A52" s="19">
        <v>10.343666669999999</v>
      </c>
      <c r="B52" s="19">
        <v>586.16596179999999</v>
      </c>
      <c r="C52" s="19">
        <v>-20.47542657</v>
      </c>
      <c r="E52" s="9">
        <f t="shared" si="32"/>
        <v>373.83403820000001</v>
      </c>
      <c r="F52" s="9">
        <f t="shared" si="33"/>
        <v>519.52457343000003</v>
      </c>
      <c r="I52">
        <v>1</v>
      </c>
      <c r="J52">
        <f t="shared" si="22"/>
        <v>0.4045120115465039</v>
      </c>
      <c r="K52">
        <f t="shared" si="34"/>
        <v>0.94705685299189557</v>
      </c>
      <c r="O52">
        <f t="shared" si="35"/>
        <v>0.22987434582472907</v>
      </c>
      <c r="P52">
        <f t="shared" si="36"/>
        <v>0.31946093521104274</v>
      </c>
      <c r="Q52">
        <f t="shared" si="37"/>
        <v>0.91929456432948564</v>
      </c>
      <c r="R52">
        <f t="shared" si="23"/>
        <v>1</v>
      </c>
      <c r="AG52" s="8">
        <f t="shared" si="24"/>
        <v>-0.27029585423019131</v>
      </c>
      <c r="AH52" s="8">
        <f t="shared" si="25"/>
        <v>-6.0006778374557562E-2</v>
      </c>
      <c r="AI52" s="8">
        <f t="shared" si="26"/>
        <v>0.96090547804405713</v>
      </c>
      <c r="AJ52" s="8"/>
      <c r="AK52" s="8"/>
      <c r="AL52" s="8"/>
      <c r="AN52" s="8">
        <f t="shared" si="38"/>
        <v>1</v>
      </c>
      <c r="AO52" s="8">
        <f t="shared" si="39"/>
        <v>3.3600536988015204</v>
      </c>
      <c r="AP52" s="8">
        <f t="shared" si="40"/>
        <v>0.28054212406533874</v>
      </c>
      <c r="AQ52" s="8"/>
      <c r="AR52" s="8">
        <f t="shared" si="41"/>
        <v>192.51689587864863</v>
      </c>
      <c r="AS52" s="8">
        <f t="shared" si="42"/>
        <v>73.926120315420562</v>
      </c>
    </row>
    <row r="53" spans="1:45">
      <c r="A53" s="19">
        <v>10.37703333</v>
      </c>
      <c r="B53" s="19">
        <v>586.16596179999999</v>
      </c>
      <c r="C53" s="19">
        <v>-20.002916729999999</v>
      </c>
      <c r="E53" s="9">
        <f t="shared" si="32"/>
        <v>373.83403820000001</v>
      </c>
      <c r="F53" s="9">
        <f t="shared" si="33"/>
        <v>519.99708326999996</v>
      </c>
      <c r="I53">
        <v>1</v>
      </c>
      <c r="J53">
        <f t="shared" si="22"/>
        <v>0.40473143414757839</v>
      </c>
      <c r="K53">
        <f t="shared" si="34"/>
        <v>0.94748778466494232</v>
      </c>
      <c r="O53">
        <f t="shared" si="35"/>
        <v>0.22985439857031909</v>
      </c>
      <c r="P53">
        <f t="shared" si="36"/>
        <v>0.31972374000197706</v>
      </c>
      <c r="Q53">
        <f t="shared" si="37"/>
        <v>0.91920818400241899</v>
      </c>
      <c r="R53">
        <f t="shared" si="23"/>
        <v>1</v>
      </c>
      <c r="AG53" s="8">
        <f t="shared" si="24"/>
        <v>-0.27054973881839711</v>
      </c>
      <c r="AH53" s="8">
        <f t="shared" si="25"/>
        <v>-6.0088086737972585E-2</v>
      </c>
      <c r="AI53" s="8">
        <f t="shared" si="26"/>
        <v>0.96082894453563739</v>
      </c>
      <c r="AJ53" s="8"/>
      <c r="AK53" s="8"/>
      <c r="AL53" s="8"/>
      <c r="AN53" s="8">
        <f t="shared" si="38"/>
        <v>1</v>
      </c>
      <c r="AO53" s="8">
        <f t="shared" si="39"/>
        <v>3.3601415673185895</v>
      </c>
      <c r="AP53" s="8">
        <f t="shared" si="40"/>
        <v>0.28081840898618515</v>
      </c>
      <c r="AQ53" s="8"/>
      <c r="AR53" s="8">
        <f t="shared" si="41"/>
        <v>192.52193037382875</v>
      </c>
      <c r="AS53" s="8">
        <f t="shared" si="42"/>
        <v>73.910290355512956</v>
      </c>
    </row>
    <row r="54" spans="1:45">
      <c r="A54" s="19">
        <v>10.410399999999999</v>
      </c>
      <c r="B54" s="19">
        <v>586.95347819999995</v>
      </c>
      <c r="C54" s="19">
        <v>-22.050459379999999</v>
      </c>
      <c r="E54" s="9">
        <f t="shared" si="32"/>
        <v>373.04652180000005</v>
      </c>
      <c r="F54" s="9">
        <f t="shared" si="33"/>
        <v>517.94954061999999</v>
      </c>
      <c r="I54">
        <v>1</v>
      </c>
      <c r="J54">
        <f t="shared" si="22"/>
        <v>0.40351714579917419</v>
      </c>
      <c r="K54">
        <f t="shared" si="34"/>
        <v>0.94661708077220497</v>
      </c>
      <c r="O54">
        <f t="shared" si="35"/>
        <v>0.22948019366933425</v>
      </c>
      <c r="P54">
        <f t="shared" si="36"/>
        <v>0.31861752877069793</v>
      </c>
      <c r="Q54">
        <f t="shared" si="37"/>
        <v>0.91968565883868081</v>
      </c>
      <c r="R54">
        <f t="shared" si="23"/>
        <v>1</v>
      </c>
      <c r="AG54" s="8">
        <f t="shared" si="24"/>
        <v>-0.26933779515682343</v>
      </c>
      <c r="AH54" s="8">
        <f t="shared" si="25"/>
        <v>-6.0195531935483451E-2</v>
      </c>
      <c r="AI54" s="8">
        <f t="shared" si="26"/>
        <v>0.96116265534771239</v>
      </c>
      <c r="AJ54" s="8"/>
      <c r="AK54" s="8"/>
      <c r="AL54" s="8"/>
      <c r="AN54" s="8">
        <f t="shared" si="38"/>
        <v>1.0000000000000002</v>
      </c>
      <c r="AO54" s="8">
        <f t="shared" si="39"/>
        <v>3.3614737350367503</v>
      </c>
      <c r="AP54" s="8">
        <f t="shared" si="40"/>
        <v>0.27961177031687368</v>
      </c>
      <c r="AQ54" s="8"/>
      <c r="AR54" s="8">
        <f t="shared" si="41"/>
        <v>192.59825796168295</v>
      </c>
      <c r="AS54" s="8">
        <f t="shared" si="42"/>
        <v>73.979425658661796</v>
      </c>
    </row>
    <row r="55" spans="1:45">
      <c r="A55" s="19">
        <v>10.44376667</v>
      </c>
      <c r="B55" s="19">
        <v>587.58349129999999</v>
      </c>
      <c r="C55" s="19">
        <v>-22.680472510000001</v>
      </c>
      <c r="E55" s="9">
        <f t="shared" si="32"/>
        <v>372.41650870000001</v>
      </c>
      <c r="F55" s="9">
        <f t="shared" si="33"/>
        <v>517.31952749000004</v>
      </c>
      <c r="I55">
        <v>1</v>
      </c>
      <c r="J55">
        <f t="shared" si="22"/>
        <v>0.40301355251213461</v>
      </c>
      <c r="K55">
        <f t="shared" si="34"/>
        <v>0.94684145187009172</v>
      </c>
      <c r="O55">
        <f t="shared" si="35"/>
        <v>0.22913807658962723</v>
      </c>
      <c r="P55">
        <f t="shared" si="36"/>
        <v>0.31829309051066079</v>
      </c>
      <c r="Q55">
        <f t="shared" si="37"/>
        <v>0.91988328085142324</v>
      </c>
      <c r="R55">
        <f t="shared" si="23"/>
        <v>1</v>
      </c>
      <c r="AG55" s="8">
        <f t="shared" si="24"/>
        <v>-0.26890969867244557</v>
      </c>
      <c r="AH55" s="8">
        <f t="shared" si="25"/>
        <v>-6.0455080121504884E-2</v>
      </c>
      <c r="AI55" s="8">
        <f t="shared" si="26"/>
        <v>0.96126622599953904</v>
      </c>
      <c r="AJ55" s="8"/>
      <c r="AK55" s="8"/>
      <c r="AL55" s="8"/>
      <c r="AN55" s="8">
        <f t="shared" si="38"/>
        <v>0.99999999999999989</v>
      </c>
      <c r="AO55" s="8">
        <f t="shared" si="39"/>
        <v>3.36273152087109</v>
      </c>
      <c r="AP55" s="8">
        <f t="shared" si="40"/>
        <v>0.27923624498856525</v>
      </c>
      <c r="AQ55" s="8"/>
      <c r="AR55" s="8">
        <f t="shared" si="41"/>
        <v>192.67032378152194</v>
      </c>
      <c r="AS55" s="8">
        <f t="shared" si="42"/>
        <v>74.000941675074131</v>
      </c>
    </row>
    <row r="56" spans="1:45">
      <c r="A56" s="19">
        <v>10.477133329999999</v>
      </c>
      <c r="B56" s="19">
        <v>587.58349129999999</v>
      </c>
      <c r="C56" s="19">
        <v>-22.680472510000001</v>
      </c>
      <c r="E56" s="9">
        <f t="shared" si="32"/>
        <v>372.41650870000001</v>
      </c>
      <c r="F56" s="9">
        <f t="shared" si="33"/>
        <v>517.31952749000004</v>
      </c>
      <c r="I56">
        <v>1</v>
      </c>
      <c r="J56">
        <f t="shared" si="22"/>
        <v>0.40301355251213461</v>
      </c>
      <c r="K56">
        <f t="shared" si="34"/>
        <v>0.94684145187009172</v>
      </c>
      <c r="O56">
        <f t="shared" si="35"/>
        <v>0.22913807658962723</v>
      </c>
      <c r="P56">
        <f t="shared" si="36"/>
        <v>0.31829309051066079</v>
      </c>
      <c r="Q56">
        <f t="shared" si="37"/>
        <v>0.91988328085142324</v>
      </c>
      <c r="R56">
        <f t="shared" si="23"/>
        <v>1</v>
      </c>
      <c r="AG56" s="8">
        <f t="shared" si="24"/>
        <v>-0.26890969867244557</v>
      </c>
      <c r="AH56" s="8">
        <f t="shared" si="25"/>
        <v>-6.0455080121504884E-2</v>
      </c>
      <c r="AI56" s="8">
        <f t="shared" si="26"/>
        <v>0.96126622599953904</v>
      </c>
      <c r="AJ56" s="8"/>
      <c r="AK56" s="8"/>
      <c r="AL56" s="8"/>
      <c r="AN56" s="8">
        <f t="shared" si="38"/>
        <v>0.99999999999999989</v>
      </c>
      <c r="AO56" s="8">
        <f t="shared" si="39"/>
        <v>3.36273152087109</v>
      </c>
      <c r="AP56" s="8">
        <f t="shared" si="40"/>
        <v>0.27923624498856525</v>
      </c>
      <c r="AQ56" s="8"/>
      <c r="AR56" s="8">
        <f t="shared" si="41"/>
        <v>192.67032378152194</v>
      </c>
      <c r="AS56" s="8">
        <f t="shared" si="42"/>
        <v>74.000941675074131</v>
      </c>
    </row>
    <row r="57" spans="1:45">
      <c r="A57" s="19">
        <v>10.5105</v>
      </c>
      <c r="B57" s="19">
        <v>588.68601430000001</v>
      </c>
      <c r="C57" s="19">
        <v>-23.78299548</v>
      </c>
      <c r="E57" s="9">
        <f t="shared" si="32"/>
        <v>371.31398569999999</v>
      </c>
      <c r="F57" s="9">
        <f t="shared" si="33"/>
        <v>516.21700452000005</v>
      </c>
      <c r="I57">
        <v>1</v>
      </c>
      <c r="J57">
        <f t="shared" si="22"/>
        <v>0.40213180824776018</v>
      </c>
      <c r="K57">
        <f t="shared" si="34"/>
        <v>0.94723559464527818</v>
      </c>
      <c r="O57">
        <f t="shared" si="35"/>
        <v>0.22853889065700572</v>
      </c>
      <c r="P57">
        <f t="shared" si="36"/>
        <v>0.31772479921238617</v>
      </c>
      <c r="Q57">
        <f t="shared" si="37"/>
        <v>0.9202287364686641</v>
      </c>
      <c r="R57">
        <f t="shared" si="23"/>
        <v>1</v>
      </c>
      <c r="AG57" s="8">
        <f t="shared" si="24"/>
        <v>-0.26815993456578135</v>
      </c>
      <c r="AH57" s="8">
        <f t="shared" si="25"/>
        <v>-6.0909505832963548E-2</v>
      </c>
      <c r="AI57" s="8">
        <f t="shared" si="26"/>
        <v>0.96144697284502378</v>
      </c>
      <c r="AJ57" s="8"/>
      <c r="AK57" s="8"/>
      <c r="AL57" s="8"/>
      <c r="AN57" s="8">
        <f t="shared" si="38"/>
        <v>0.99999999999999989</v>
      </c>
      <c r="AO57" s="8">
        <f t="shared" si="39"/>
        <v>3.364941831120166</v>
      </c>
      <c r="AP57" s="8">
        <f t="shared" si="40"/>
        <v>0.27857971424069872</v>
      </c>
      <c r="AQ57" s="8"/>
      <c r="AR57" s="8">
        <f t="shared" si="41"/>
        <v>192.79696523020851</v>
      </c>
      <c r="AS57" s="8">
        <f t="shared" si="42"/>
        <v>74.038558116047454</v>
      </c>
    </row>
    <row r="58" spans="1:45">
      <c r="A58" s="19">
        <v>10.54386667</v>
      </c>
      <c r="B58" s="19">
        <v>588.52851099999998</v>
      </c>
      <c r="C58" s="19">
        <v>-24.728015169999999</v>
      </c>
      <c r="E58" s="9">
        <f t="shared" si="32"/>
        <v>371.47148900000002</v>
      </c>
      <c r="F58" s="9">
        <f t="shared" si="33"/>
        <v>515.27198482999995</v>
      </c>
      <c r="I58">
        <v>1</v>
      </c>
      <c r="J58">
        <f t="shared" si="22"/>
        <v>0.40174494056339083</v>
      </c>
      <c r="K58">
        <f t="shared" si="34"/>
        <v>0.94616558153792185</v>
      </c>
      <c r="O58">
        <f t="shared" si="35"/>
        <v>0.2286705203754705</v>
      </c>
      <c r="P58">
        <f t="shared" si="36"/>
        <v>0.31719126876511816</v>
      </c>
      <c r="Q58">
        <f t="shared" si="37"/>
        <v>0.92038008025510099</v>
      </c>
      <c r="R58">
        <f t="shared" si="23"/>
        <v>1</v>
      </c>
      <c r="AG58" s="8">
        <f t="shared" si="24"/>
        <v>-0.26767316137810793</v>
      </c>
      <c r="AH58" s="8">
        <f t="shared" si="25"/>
        <v>-6.0654725250173486E-2</v>
      </c>
      <c r="AI58" s="8">
        <f t="shared" si="26"/>
        <v>0.96159871203255842</v>
      </c>
      <c r="AJ58" s="8"/>
      <c r="AK58" s="8"/>
      <c r="AL58" s="8"/>
      <c r="AN58" s="8">
        <f t="shared" si="38"/>
        <v>0.99999999999999989</v>
      </c>
      <c r="AO58" s="8">
        <f t="shared" si="39"/>
        <v>3.3644294295321657</v>
      </c>
      <c r="AP58" s="8">
        <f t="shared" si="40"/>
        <v>0.27802738277282191</v>
      </c>
      <c r="AQ58" s="8"/>
      <c r="AR58" s="8">
        <f t="shared" si="41"/>
        <v>192.76760678180031</v>
      </c>
      <c r="AS58" s="8">
        <f t="shared" si="42"/>
        <v>74.070204378049056</v>
      </c>
    </row>
    <row r="59" spans="1:45">
      <c r="A59" s="19">
        <v>10.57723333</v>
      </c>
      <c r="B59" s="19">
        <v>589.47353069999997</v>
      </c>
      <c r="C59" s="19">
        <v>-25.673034850000001</v>
      </c>
      <c r="E59" s="9">
        <f t="shared" si="32"/>
        <v>370.52646930000003</v>
      </c>
      <c r="F59" s="9">
        <f t="shared" si="33"/>
        <v>514.32696514999998</v>
      </c>
      <c r="I59">
        <v>1</v>
      </c>
      <c r="J59">
        <f t="shared" si="22"/>
        <v>0.40098832773320703</v>
      </c>
      <c r="K59">
        <f t="shared" si="34"/>
        <v>0.94650307440776926</v>
      </c>
      <c r="O59">
        <f t="shared" si="35"/>
        <v>0.22815634641026375</v>
      </c>
      <c r="P59">
        <f t="shared" si="36"/>
        <v>0.31670331528701673</v>
      </c>
      <c r="Q59">
        <f t="shared" si="37"/>
        <v>0.9206756712756845</v>
      </c>
      <c r="R59">
        <f t="shared" si="23"/>
        <v>1</v>
      </c>
      <c r="AG59" s="8">
        <f t="shared" si="24"/>
        <v>-0.26702958846029967</v>
      </c>
      <c r="AH59" s="8">
        <f t="shared" si="25"/>
        <v>-6.104442462686295E-2</v>
      </c>
      <c r="AI59" s="8">
        <f t="shared" si="26"/>
        <v>0.9617529709383269</v>
      </c>
      <c r="AJ59" s="8"/>
      <c r="AK59" s="8"/>
      <c r="AL59" s="8"/>
      <c r="AN59" s="8">
        <f t="shared" si="38"/>
        <v>1</v>
      </c>
      <c r="AO59" s="8">
        <f t="shared" si="39"/>
        <v>3.3663361731950605</v>
      </c>
      <c r="AP59" s="8">
        <f t="shared" si="40"/>
        <v>0.27746478173658451</v>
      </c>
      <c r="AQ59" s="8"/>
      <c r="AR59" s="8">
        <f t="shared" si="41"/>
        <v>192.87685514629749</v>
      </c>
      <c r="AS59" s="8">
        <f t="shared" si="42"/>
        <v>74.102439042975149</v>
      </c>
    </row>
    <row r="60" spans="1:45">
      <c r="A60" s="19">
        <v>10.6106</v>
      </c>
      <c r="B60" s="19">
        <v>589.631034</v>
      </c>
      <c r="C60" s="19">
        <v>-26.618054539999999</v>
      </c>
      <c r="E60" s="9">
        <f t="shared" si="32"/>
        <v>370.368966</v>
      </c>
      <c r="F60" s="9">
        <f t="shared" si="33"/>
        <v>513.38194546</v>
      </c>
      <c r="I60">
        <v>1</v>
      </c>
      <c r="J60">
        <f t="shared" si="22"/>
        <v>0.40049558136986041</v>
      </c>
      <c r="K60">
        <f t="shared" si="34"/>
        <v>0.94583235040362545</v>
      </c>
      <c r="O60">
        <f t="shared" si="35"/>
        <v>0.22810326614158868</v>
      </c>
      <c r="P60">
        <f t="shared" si="36"/>
        <v>0.31618226495129442</v>
      </c>
      <c r="Q60">
        <f t="shared" si="37"/>
        <v>0.92086789242855516</v>
      </c>
      <c r="R60">
        <f t="shared" si="23"/>
        <v>1</v>
      </c>
      <c r="AG60" s="8">
        <f t="shared" si="24"/>
        <v>-0.26649748017840769</v>
      </c>
      <c r="AH60" s="8">
        <f t="shared" si="25"/>
        <v>-6.0973734008908306E-2</v>
      </c>
      <c r="AI60" s="8">
        <f t="shared" si="26"/>
        <v>0.96190503523974247</v>
      </c>
      <c r="AJ60" s="8"/>
      <c r="AK60" s="8"/>
      <c r="AL60" s="8"/>
      <c r="AN60" s="8">
        <f t="shared" si="38"/>
        <v>1</v>
      </c>
      <c r="AO60" s="8">
        <f t="shared" si="39"/>
        <v>3.3665178623187666</v>
      </c>
      <c r="AP60" s="8">
        <f t="shared" si="40"/>
        <v>0.27690909483849335</v>
      </c>
      <c r="AQ60" s="8"/>
      <c r="AR60" s="8">
        <f t="shared" si="41"/>
        <v>192.88726516626929</v>
      </c>
      <c r="AS60" s="8">
        <f t="shared" si="42"/>
        <v>74.134277556966481</v>
      </c>
    </row>
    <row r="61" spans="1:45">
      <c r="A61" s="19">
        <v>10.643966669999999</v>
      </c>
      <c r="B61" s="19">
        <v>589.78853730000003</v>
      </c>
      <c r="C61" s="19">
        <v>-27.248067670000001</v>
      </c>
      <c r="E61" s="9">
        <f t="shared" si="32"/>
        <v>370.21146269999997</v>
      </c>
      <c r="F61" s="9">
        <f t="shared" si="33"/>
        <v>512.75193233000005</v>
      </c>
      <c r="I61">
        <v>1</v>
      </c>
      <c r="J61">
        <f t="shared" si="22"/>
        <v>0.40014942015847199</v>
      </c>
      <c r="K61">
        <f t="shared" si="34"/>
        <v>0.94545149107692328</v>
      </c>
      <c r="O61">
        <f t="shared" si="35"/>
        <v>0.22803705703379315</v>
      </c>
      <c r="P61">
        <f t="shared" si="36"/>
        <v>0.31583690246694218</v>
      </c>
      <c r="Q61">
        <f t="shared" si="37"/>
        <v>0.9210027967707014</v>
      </c>
      <c r="R61">
        <f t="shared" si="23"/>
        <v>1</v>
      </c>
      <c r="AG61" s="8">
        <f t="shared" si="24"/>
        <v>-0.26613510889489655</v>
      </c>
      <c r="AH61" s="8">
        <f t="shared" si="25"/>
        <v>-6.0957289680412557E-2</v>
      </c>
      <c r="AI61" s="8">
        <f t="shared" si="26"/>
        <v>0.96200639948407818</v>
      </c>
      <c r="AJ61" s="8"/>
      <c r="AK61" s="8"/>
      <c r="AL61" s="8"/>
      <c r="AN61" s="8">
        <f t="shared" si="38"/>
        <v>1</v>
      </c>
      <c r="AO61" s="8">
        <f t="shared" si="39"/>
        <v>3.3667551679160717</v>
      </c>
      <c r="AP61" s="8">
        <f t="shared" si="40"/>
        <v>0.2765380763241434</v>
      </c>
      <c r="AQ61" s="8"/>
      <c r="AR61" s="8">
        <f t="shared" si="41"/>
        <v>192.9008617754497</v>
      </c>
      <c r="AS61" s="8">
        <f t="shared" si="42"/>
        <v>74.155535351959955</v>
      </c>
    </row>
    <row r="62" spans="1:45">
      <c r="A62" s="19">
        <v>10.67733333</v>
      </c>
      <c r="B62" s="19">
        <v>590.41855039999996</v>
      </c>
      <c r="C62" s="19">
        <v>-26.933061110000001</v>
      </c>
      <c r="E62" s="9">
        <f t="shared" si="32"/>
        <v>369.58144960000004</v>
      </c>
      <c r="F62" s="9">
        <f t="shared" si="33"/>
        <v>513.06693888999996</v>
      </c>
      <c r="I62">
        <v>1</v>
      </c>
      <c r="J62">
        <f t="shared" si="22"/>
        <v>0.40008453349872158</v>
      </c>
      <c r="K62">
        <f t="shared" si="34"/>
        <v>0.94655091595196439</v>
      </c>
      <c r="O62">
        <f t="shared" si="35"/>
        <v>0.22765475056121226</v>
      </c>
      <c r="P62">
        <f t="shared" si="36"/>
        <v>0.31603893031055325</v>
      </c>
      <c r="Q62">
        <f t="shared" si="37"/>
        <v>0.92102807181707202</v>
      </c>
      <c r="R62">
        <f t="shared" si="23"/>
        <v>1</v>
      </c>
      <c r="AG62" s="8">
        <f t="shared" si="24"/>
        <v>-0.26621546803413421</v>
      </c>
      <c r="AH62" s="8">
        <f t="shared" si="25"/>
        <v>-6.1380068777006372E-2</v>
      </c>
      <c r="AI62" s="8">
        <f t="shared" si="26"/>
        <v>0.96195728165875272</v>
      </c>
      <c r="AJ62" s="8"/>
      <c r="AK62" s="8"/>
      <c r="AL62" s="8"/>
      <c r="AN62" s="8">
        <f t="shared" si="38"/>
        <v>1</v>
      </c>
      <c r="AO62" s="8">
        <f t="shared" si="39"/>
        <v>3.368197942972571</v>
      </c>
      <c r="AP62" s="8">
        <f t="shared" si="40"/>
        <v>0.27671792039200072</v>
      </c>
      <c r="AQ62" s="8"/>
      <c r="AR62" s="8">
        <f t="shared" si="41"/>
        <v>192.98352669697385</v>
      </c>
      <c r="AS62" s="8">
        <f t="shared" si="42"/>
        <v>74.145231045901255</v>
      </c>
    </row>
    <row r="63" spans="1:45">
      <c r="A63" s="19">
        <v>10.710699999999999</v>
      </c>
      <c r="B63" s="19">
        <v>590.73355690000005</v>
      </c>
      <c r="C63" s="19">
        <v>-27.248067670000001</v>
      </c>
      <c r="E63" s="9">
        <f t="shared" si="32"/>
        <v>369.26644309999995</v>
      </c>
      <c r="F63" s="9">
        <f t="shared" si="33"/>
        <v>512.75193233000005</v>
      </c>
      <c r="I63">
        <v>1</v>
      </c>
      <c r="J63">
        <f t="shared" si="22"/>
        <v>0.39983205109965414</v>
      </c>
      <c r="K63">
        <f t="shared" si="34"/>
        <v>0.94666404028945772</v>
      </c>
      <c r="O63">
        <f t="shared" si="35"/>
        <v>0.22748309334874456</v>
      </c>
      <c r="P63">
        <f t="shared" si="36"/>
        <v>0.31587596941590218</v>
      </c>
      <c r="Q63">
        <f t="shared" si="37"/>
        <v>0.92112638339483599</v>
      </c>
      <c r="R63">
        <f t="shared" si="23"/>
        <v>1</v>
      </c>
      <c r="AG63" s="8">
        <f t="shared" si="24"/>
        <v>-0.26600059651868752</v>
      </c>
      <c r="AH63" s="8">
        <f t="shared" si="25"/>
        <v>-6.1510080778834492E-2</v>
      </c>
      <c r="AI63" s="8">
        <f t="shared" si="26"/>
        <v>0.96200841608287579</v>
      </c>
      <c r="AJ63" s="8"/>
      <c r="AK63" s="8"/>
      <c r="AL63" s="8"/>
      <c r="AN63" s="8">
        <f t="shared" si="38"/>
        <v>0.99999999999999978</v>
      </c>
      <c r="AO63" s="8">
        <f t="shared" si="39"/>
        <v>3.3688387887993487</v>
      </c>
      <c r="AP63" s="8">
        <f t="shared" si="40"/>
        <v>0.27653069014699483</v>
      </c>
      <c r="AQ63" s="8"/>
      <c r="AR63" s="8">
        <f t="shared" si="41"/>
        <v>193.02024445816679</v>
      </c>
      <c r="AS63" s="8">
        <f t="shared" si="42"/>
        <v>74.155958548737303</v>
      </c>
    </row>
    <row r="64" spans="1:45">
      <c r="A64" s="19">
        <v>10.74406667</v>
      </c>
      <c r="B64" s="19">
        <v>590.10354380000001</v>
      </c>
      <c r="C64" s="19">
        <v>-28.50809392</v>
      </c>
      <c r="E64" s="9">
        <f t="shared" si="32"/>
        <v>369.89645619999999</v>
      </c>
      <c r="F64" s="9">
        <f t="shared" si="33"/>
        <v>511.49190607999998</v>
      </c>
      <c r="I64">
        <v>1</v>
      </c>
      <c r="J64">
        <f t="shared" si="22"/>
        <v>0.39945696406162051</v>
      </c>
      <c r="K64">
        <f t="shared" si="34"/>
        <v>0.94468758948547782</v>
      </c>
      <c r="O64">
        <f t="shared" si="35"/>
        <v>0.22790448275724703</v>
      </c>
      <c r="P64">
        <f t="shared" si="36"/>
        <v>0.31514575588864691</v>
      </c>
      <c r="Q64">
        <f t="shared" si="37"/>
        <v>0.92127232634250178</v>
      </c>
      <c r="R64">
        <f t="shared" ref="R64:R90" si="43">SQRT(O64^2+P64^2+Q64^2)</f>
        <v>1</v>
      </c>
      <c r="AG64" s="8">
        <f t="shared" si="24"/>
        <v>-0.26540995052394262</v>
      </c>
      <c r="AH64" s="8">
        <f t="shared" si="25"/>
        <v>-6.0924365226561056E-2</v>
      </c>
      <c r="AI64" s="8">
        <f t="shared" si="26"/>
        <v>0.96220880264349018</v>
      </c>
      <c r="AJ64" s="8"/>
      <c r="AK64" s="8"/>
      <c r="AL64" s="8"/>
      <c r="AN64" s="8">
        <f t="shared" si="38"/>
        <v>1</v>
      </c>
      <c r="AO64" s="8">
        <f t="shared" si="39"/>
        <v>3.3672318586682679</v>
      </c>
      <c r="AP64" s="8">
        <f t="shared" si="40"/>
        <v>0.27579577504464869</v>
      </c>
      <c r="AQ64" s="8"/>
      <c r="AR64" s="8">
        <f t="shared" si="41"/>
        <v>192.92817414368346</v>
      </c>
      <c r="AS64" s="8">
        <f t="shared" si="42"/>
        <v>74.198066082402164</v>
      </c>
    </row>
    <row r="65" spans="1:45">
      <c r="A65" s="19">
        <v>10.777433329999999</v>
      </c>
      <c r="B65" s="19">
        <v>590.17139450000002</v>
      </c>
      <c r="C65" s="19">
        <v>-29.266517740000001</v>
      </c>
      <c r="E65" s="9">
        <f t="shared" si="32"/>
        <v>369.82860549999998</v>
      </c>
      <c r="F65" s="9">
        <f t="shared" si="33"/>
        <v>510.73348226000002</v>
      </c>
      <c r="I65">
        <v>1</v>
      </c>
      <c r="J65">
        <f t="shared" si="22"/>
        <v>0.39908111034721999</v>
      </c>
      <c r="K65">
        <f t="shared" si="34"/>
        <v>0.94406997148658556</v>
      </c>
      <c r="O65">
        <f t="shared" si="35"/>
        <v>0.22789598048837703</v>
      </c>
      <c r="P65">
        <f t="shared" si="36"/>
        <v>0.31472445878144983</v>
      </c>
      <c r="Q65">
        <f t="shared" si="37"/>
        <v>0.92141843758520747</v>
      </c>
      <c r="R65">
        <f t="shared" si="43"/>
        <v>1</v>
      </c>
      <c r="AG65" s="8">
        <f t="shared" si="24"/>
        <v>-0.26499055701000407</v>
      </c>
      <c r="AH65" s="8">
        <f t="shared" si="25"/>
        <v>-6.0833282401326488E-2</v>
      </c>
      <c r="AI65" s="8">
        <f t="shared" si="26"/>
        <v>0.96233014940186112</v>
      </c>
      <c r="AJ65" s="8"/>
      <c r="AK65" s="8"/>
      <c r="AL65" s="8"/>
      <c r="AN65" s="8">
        <f t="shared" si="38"/>
        <v>1.0000000000000002</v>
      </c>
      <c r="AO65" s="8">
        <f t="shared" si="39"/>
        <v>3.3672504573255191</v>
      </c>
      <c r="AP65" s="8">
        <f t="shared" si="40"/>
        <v>0.27534980819679755</v>
      </c>
      <c r="AQ65" s="8"/>
      <c r="AR65" s="8">
        <f t="shared" si="41"/>
        <v>192.92923976824855</v>
      </c>
      <c r="AS65" s="8">
        <f t="shared" si="42"/>
        <v>74.223618100586776</v>
      </c>
    </row>
    <row r="66" spans="1:45">
      <c r="A66" s="19">
        <v>10.8108</v>
      </c>
      <c r="B66" s="19">
        <v>590.94409959999996</v>
      </c>
      <c r="C66" s="19">
        <v>-30.300734340000002</v>
      </c>
      <c r="E66" s="9">
        <f t="shared" si="32"/>
        <v>369.05590040000004</v>
      </c>
      <c r="F66" s="9">
        <f t="shared" si="33"/>
        <v>509.69926565999998</v>
      </c>
      <c r="I66">
        <v>1</v>
      </c>
      <c r="J66">
        <f t="shared" si="22"/>
        <v>0.39833914916939644</v>
      </c>
      <c r="K66">
        <f t="shared" si="34"/>
        <v>0.944100624815852</v>
      </c>
      <c r="O66">
        <f t="shared" si="35"/>
        <v>0.22748532510681216</v>
      </c>
      <c r="P66">
        <f t="shared" si="36"/>
        <v>0.31417761653369436</v>
      </c>
      <c r="Q66">
        <f t="shared" si="37"/>
        <v>0.92170648914405229</v>
      </c>
      <c r="R66">
        <f t="shared" si="43"/>
        <v>1</v>
      </c>
      <c r="AG66" s="8">
        <f t="shared" si="24"/>
        <v>-0.26432131563111461</v>
      </c>
      <c r="AH66" s="8">
        <f t="shared" si="25"/>
        <v>-6.1107104895169226E-2</v>
      </c>
      <c r="AI66" s="8">
        <f t="shared" si="26"/>
        <v>0.96249683835032285</v>
      </c>
      <c r="AJ66" s="8"/>
      <c r="AK66" s="8"/>
      <c r="AL66" s="8"/>
      <c r="AN66" s="8">
        <f t="shared" si="38"/>
        <v>1</v>
      </c>
      <c r="AO66" s="8">
        <f t="shared" si="39"/>
        <v>3.3687861465653732</v>
      </c>
      <c r="AP66" s="8">
        <f t="shared" si="40"/>
        <v>0.27473605208336482</v>
      </c>
      <c r="AQ66" s="8"/>
      <c r="AR66" s="8">
        <f t="shared" si="41"/>
        <v>193.01722828033584</v>
      </c>
      <c r="AS66" s="8">
        <f t="shared" si="42"/>
        <v>74.258783735536824</v>
      </c>
    </row>
    <row r="67" spans="1:45">
      <c r="A67" s="19">
        <v>10.84416667</v>
      </c>
      <c r="B67" s="19">
        <v>591.15557379999996</v>
      </c>
      <c r="C67" s="19">
        <v>-30.650772060000001</v>
      </c>
      <c r="E67" s="9">
        <f t="shared" si="32"/>
        <v>368.84442620000004</v>
      </c>
      <c r="F67" s="9">
        <f t="shared" si="33"/>
        <v>509.34922793999999</v>
      </c>
      <c r="I67">
        <v>1</v>
      </c>
      <c r="J67">
        <f t="shared" si="22"/>
        <v>0.39810480798972958</v>
      </c>
      <c r="K67">
        <f t="shared" si="34"/>
        <v>0.94404656081424365</v>
      </c>
      <c r="O67">
        <f t="shared" si="35"/>
        <v>0.22737562055216082</v>
      </c>
      <c r="P67">
        <f t="shared" si="36"/>
        <v>0.31399036708724298</v>
      </c>
      <c r="Q67">
        <f t="shared" si="37"/>
        <v>0.92179736198089557</v>
      </c>
      <c r="R67">
        <f t="shared" si="43"/>
        <v>1</v>
      </c>
      <c r="AG67" s="8">
        <f t="shared" si="24"/>
        <v>-0.26410182969095941</v>
      </c>
      <c r="AH67" s="8">
        <f t="shared" si="25"/>
        <v>-6.117051183406437E-2</v>
      </c>
      <c r="AI67" s="8">
        <f t="shared" si="26"/>
        <v>0.96255305933535229</v>
      </c>
      <c r="AJ67" s="8"/>
      <c r="AK67" s="8"/>
      <c r="AL67" s="8"/>
      <c r="AN67" s="8">
        <f t="shared" si="38"/>
        <v>1.0000000000000002</v>
      </c>
      <c r="AO67" s="8">
        <f t="shared" si="39"/>
        <v>3.3691963942867025</v>
      </c>
      <c r="AP67" s="8">
        <f t="shared" si="40"/>
        <v>0.27452874231317304</v>
      </c>
      <c r="AQ67" s="8"/>
      <c r="AR67" s="8">
        <f t="shared" si="41"/>
        <v>193.04073374332287</v>
      </c>
      <c r="AS67" s="8">
        <f t="shared" si="42"/>
        <v>74.27066171042064</v>
      </c>
    </row>
    <row r="68" spans="1:45">
      <c r="A68" s="19">
        <v>10.87753333</v>
      </c>
      <c r="B68" s="19">
        <v>592.01636680000001</v>
      </c>
      <c r="C68" s="19">
        <v>-31.371742600000001</v>
      </c>
      <c r="E68" s="9">
        <f t="shared" si="32"/>
        <v>367.98363319999999</v>
      </c>
      <c r="F68" s="9">
        <f t="shared" si="33"/>
        <v>508.6282574</v>
      </c>
      <c r="I68">
        <v>1</v>
      </c>
      <c r="J68">
        <f t="shared" si="22"/>
        <v>0.3974785481380162</v>
      </c>
      <c r="K68">
        <f t="shared" si="34"/>
        <v>0.94448353927013684</v>
      </c>
      <c r="O68">
        <f t="shared" si="35"/>
        <v>0.22689996529214343</v>
      </c>
      <c r="P68">
        <f t="shared" si="36"/>
        <v>0.3136219210269578</v>
      </c>
      <c r="Q68">
        <f t="shared" si="37"/>
        <v>0.92203996464458349</v>
      </c>
      <c r="R68">
        <f t="shared" si="43"/>
        <v>1</v>
      </c>
      <c r="AG68" s="8">
        <f t="shared" si="24"/>
        <v>-0.26358879375661265</v>
      </c>
      <c r="AH68" s="8">
        <f t="shared" si="25"/>
        <v>-6.1550112123738829E-2</v>
      </c>
      <c r="AI68" s="8">
        <f t="shared" si="26"/>
        <v>0.96266948196330038</v>
      </c>
      <c r="AJ68" s="8"/>
      <c r="AK68" s="8"/>
      <c r="AL68" s="8"/>
      <c r="AN68" s="8">
        <f t="shared" si="38"/>
        <v>1</v>
      </c>
      <c r="AO68" s="8">
        <f t="shared" si="39"/>
        <v>3.370990300722303</v>
      </c>
      <c r="AP68" s="8">
        <f t="shared" si="40"/>
        <v>0.27409895852362731</v>
      </c>
      <c r="AQ68" s="8"/>
      <c r="AR68" s="8">
        <f t="shared" si="41"/>
        <v>193.14351701092414</v>
      </c>
      <c r="AS68" s="8">
        <f t="shared" si="42"/>
        <v>74.295286507664756</v>
      </c>
    </row>
    <row r="69" spans="1:45">
      <c r="A69" s="19">
        <v>10.9109</v>
      </c>
      <c r="B69" s="19">
        <v>592.18868329999998</v>
      </c>
      <c r="C69" s="19">
        <v>-32.614076449999999</v>
      </c>
      <c r="E69" s="9">
        <f t="shared" si="32"/>
        <v>367.81131670000002</v>
      </c>
      <c r="F69" s="9">
        <f t="shared" si="33"/>
        <v>507.38592355000003</v>
      </c>
      <c r="I69">
        <v>1</v>
      </c>
      <c r="J69">
        <f t="shared" si="22"/>
        <v>0.39684131614026719</v>
      </c>
      <c r="K69">
        <f t="shared" si="34"/>
        <v>0.94354430391733202</v>
      </c>
      <c r="O69">
        <f t="shared" si="35"/>
        <v>0.22684953580444589</v>
      </c>
      <c r="P69">
        <f t="shared" si="36"/>
        <v>0.31293289794263573</v>
      </c>
      <c r="Q69">
        <f t="shared" si="37"/>
        <v>0.92228644655038239</v>
      </c>
      <c r="R69">
        <f t="shared" si="43"/>
        <v>1</v>
      </c>
      <c r="AG69" s="8">
        <f t="shared" si="24"/>
        <v>-0.26289163078397038</v>
      </c>
      <c r="AH69" s="8">
        <f t="shared" si="25"/>
        <v>-6.1436694748423032E-2</v>
      </c>
      <c r="AI69" s="8">
        <f t="shared" si="26"/>
        <v>0.96286734444685251</v>
      </c>
      <c r="AJ69" s="8"/>
      <c r="AK69" s="8"/>
      <c r="AL69" s="8"/>
      <c r="AN69" s="8">
        <f t="shared" si="38"/>
        <v>1</v>
      </c>
      <c r="AO69" s="8">
        <f t="shared" si="39"/>
        <v>3.3711683999755162</v>
      </c>
      <c r="AP69" s="8">
        <f t="shared" si="40"/>
        <v>0.27336702181051153</v>
      </c>
      <c r="AQ69" s="8"/>
      <c r="AR69" s="8">
        <f t="shared" si="41"/>
        <v>193.15372134646771</v>
      </c>
      <c r="AS69" s="8">
        <f t="shared" si="42"/>
        <v>74.337223392196961</v>
      </c>
    </row>
    <row r="70" spans="1:45">
      <c r="A70" s="19">
        <v>10.944266669999999</v>
      </c>
      <c r="B70" s="19">
        <v>592.62375610000004</v>
      </c>
      <c r="C70" s="19">
        <v>-32.676197420000001</v>
      </c>
      <c r="E70" s="9">
        <f t="shared" si="32"/>
        <v>367.37624389999996</v>
      </c>
      <c r="F70" s="9">
        <f t="shared" si="33"/>
        <v>507.32380258000001</v>
      </c>
      <c r="I70">
        <v>1</v>
      </c>
      <c r="J70">
        <f t="shared" si="22"/>
        <v>0.39666540202139239</v>
      </c>
      <c r="K70">
        <f t="shared" si="34"/>
        <v>0.94404846649547702</v>
      </c>
      <c r="O70">
        <f t="shared" si="35"/>
        <v>0.22659657653226475</v>
      </c>
      <c r="P70">
        <f t="shared" si="36"/>
        <v>0.31291581523504869</v>
      </c>
      <c r="Q70">
        <f t="shared" si="37"/>
        <v>0.9223544243291959</v>
      </c>
      <c r="R70">
        <f t="shared" si="43"/>
        <v>1</v>
      </c>
      <c r="AG70" s="8">
        <f t="shared" si="24"/>
        <v>-0.26279570636067118</v>
      </c>
      <c r="AH70" s="8">
        <f t="shared" si="25"/>
        <v>-6.1680800831393795E-2</v>
      </c>
      <c r="AI70" s="8">
        <f t="shared" si="26"/>
        <v>0.96287792348105783</v>
      </c>
      <c r="AJ70" s="8"/>
      <c r="AK70" s="8"/>
      <c r="AL70" s="8"/>
      <c r="AN70" s="8">
        <f t="shared" si="38"/>
        <v>1</v>
      </c>
      <c r="AO70" s="8">
        <f t="shared" si="39"/>
        <v>3.3721298476085093</v>
      </c>
      <c r="AP70" s="8">
        <f t="shared" si="40"/>
        <v>0.2733278338291818</v>
      </c>
      <c r="AQ70" s="8"/>
      <c r="AR70" s="8">
        <f t="shared" si="41"/>
        <v>193.20880823806104</v>
      </c>
      <c r="AS70" s="8">
        <f t="shared" si="42"/>
        <v>74.339468698134795</v>
      </c>
    </row>
    <row r="71" spans="1:45">
      <c r="A71" s="19">
        <v>10.97763333</v>
      </c>
      <c r="B71" s="19">
        <v>592.92464319999999</v>
      </c>
      <c r="C71" s="19">
        <v>-33.369661729999997</v>
      </c>
      <c r="E71" s="9">
        <f t="shared" si="32"/>
        <v>367.07535680000001</v>
      </c>
      <c r="F71" s="9">
        <f t="shared" si="33"/>
        <v>506.63033826999998</v>
      </c>
      <c r="I71">
        <v>1</v>
      </c>
      <c r="J71">
        <f t="shared" si="22"/>
        <v>0.39624037149074454</v>
      </c>
      <c r="K71">
        <f t="shared" si="34"/>
        <v>0.94378788922592571</v>
      </c>
      <c r="O71">
        <f t="shared" si="35"/>
        <v>0.22644807408179035</v>
      </c>
      <c r="P71">
        <f t="shared" si="36"/>
        <v>0.31253927088097966</v>
      </c>
      <c r="Q71">
        <f t="shared" si="37"/>
        <v>0.92251854935379685</v>
      </c>
      <c r="R71">
        <f t="shared" si="43"/>
        <v>1</v>
      </c>
      <c r="AG71" s="8">
        <f t="shared" si="24"/>
        <v>-0.26237696070783056</v>
      </c>
      <c r="AH71" s="8">
        <f t="shared" si="25"/>
        <v>-6.1737402232830321E-2</v>
      </c>
      <c r="AI71" s="8">
        <f t="shared" si="26"/>
        <v>0.96298848573348128</v>
      </c>
      <c r="AJ71" s="8"/>
      <c r="AK71" s="8"/>
      <c r="AL71" s="8"/>
      <c r="AN71" s="8">
        <f t="shared" si="38"/>
        <v>1</v>
      </c>
      <c r="AO71" s="8">
        <f t="shared" si="39"/>
        <v>3.3726892678853466</v>
      </c>
      <c r="AP71" s="8">
        <f t="shared" si="40"/>
        <v>0.27291794912122369</v>
      </c>
      <c r="AQ71" s="8"/>
      <c r="AR71" s="8">
        <f t="shared" si="41"/>
        <v>193.24086065889787</v>
      </c>
      <c r="AS71" s="8">
        <f t="shared" si="42"/>
        <v>74.362953361987749</v>
      </c>
    </row>
    <row r="72" spans="1:45">
      <c r="A72" s="19">
        <v>11.010999999999999</v>
      </c>
      <c r="B72" s="19">
        <v>593.97018820000005</v>
      </c>
      <c r="C72" s="19">
        <v>-34.23555932</v>
      </c>
      <c r="E72" s="9">
        <f t="shared" si="32"/>
        <v>366.02981179999995</v>
      </c>
      <c r="F72" s="9">
        <f t="shared" si="33"/>
        <v>505.76444068000001</v>
      </c>
      <c r="I72">
        <v>1</v>
      </c>
      <c r="J72">
        <f t="shared" si="22"/>
        <v>0.39548305518092602</v>
      </c>
      <c r="K72">
        <f t="shared" si="34"/>
        <v>0.94433027843901984</v>
      </c>
      <c r="O72">
        <f t="shared" si="35"/>
        <v>0.2258688564336917</v>
      </c>
      <c r="P72">
        <f t="shared" si="36"/>
        <v>0.3120959882459971</v>
      </c>
      <c r="Q72">
        <f t="shared" si="37"/>
        <v>0.9228105730940076</v>
      </c>
      <c r="R72">
        <f t="shared" si="43"/>
        <v>1</v>
      </c>
      <c r="AG72" s="8">
        <f t="shared" si="24"/>
        <v>-0.26175771790113345</v>
      </c>
      <c r="AH72" s="8">
        <f t="shared" si="25"/>
        <v>-6.2200619791357589E-2</v>
      </c>
      <c r="AI72" s="8">
        <f t="shared" si="26"/>
        <v>0.9631271878712393</v>
      </c>
      <c r="AJ72" s="8"/>
      <c r="AK72" s="8"/>
      <c r="AL72" s="8"/>
      <c r="AN72" s="8">
        <f t="shared" si="38"/>
        <v>0.99999999999999978</v>
      </c>
      <c r="AO72" s="8">
        <f t="shared" si="39"/>
        <v>3.3748923752068336</v>
      </c>
      <c r="AP72" s="8">
        <f t="shared" si="40"/>
        <v>0.27240289171693388</v>
      </c>
      <c r="AQ72" s="8"/>
      <c r="AR72" s="8">
        <f t="shared" si="41"/>
        <v>193.36708941023343</v>
      </c>
      <c r="AS72" s="8">
        <f t="shared" si="42"/>
        <v>74.392463977460523</v>
      </c>
    </row>
    <row r="73" spans="1:45">
      <c r="A73" s="19">
        <v>11.04436667</v>
      </c>
      <c r="B73" s="19">
        <v>594.09073179999996</v>
      </c>
      <c r="C73" s="19">
        <v>-34.612718399999999</v>
      </c>
      <c r="E73" s="9">
        <f t="shared" si="32"/>
        <v>365.90926820000004</v>
      </c>
      <c r="F73" s="9">
        <f t="shared" si="33"/>
        <v>505.38728159999999</v>
      </c>
      <c r="I73">
        <v>1</v>
      </c>
      <c r="J73">
        <f t="shared" si="22"/>
        <v>0.3952662406680823</v>
      </c>
      <c r="K73">
        <f t="shared" si="34"/>
        <v>0.94413239201487831</v>
      </c>
      <c r="O73">
        <f t="shared" si="35"/>
        <v>0.22581327092229408</v>
      </c>
      <c r="P73">
        <f t="shared" si="36"/>
        <v>0.31188921696906752</v>
      </c>
      <c r="Q73">
        <f t="shared" si="37"/>
        <v>0.92289408006216866</v>
      </c>
      <c r="R73">
        <f t="shared" si="43"/>
        <v>1</v>
      </c>
      <c r="AG73" s="8">
        <f t="shared" si="24"/>
        <v>-0.26153590941302923</v>
      </c>
      <c r="AH73" s="8">
        <f t="shared" si="25"/>
        <v>-6.2206187904479196E-2</v>
      </c>
      <c r="AI73" s="8">
        <f t="shared" si="26"/>
        <v>0.96318708373497841</v>
      </c>
      <c r="AJ73" s="8"/>
      <c r="AK73" s="8"/>
      <c r="AL73" s="8"/>
      <c r="AN73" s="8">
        <f t="shared" si="38"/>
        <v>1</v>
      </c>
      <c r="AO73" s="8">
        <f t="shared" si="39"/>
        <v>3.3751032763406457</v>
      </c>
      <c r="AP73" s="8">
        <f t="shared" si="40"/>
        <v>0.27218018021670187</v>
      </c>
      <c r="AQ73" s="8"/>
      <c r="AR73" s="8">
        <f t="shared" si="41"/>
        <v>193.3791731550954</v>
      </c>
      <c r="AS73" s="8">
        <f t="shared" si="42"/>
        <v>74.40522440647284</v>
      </c>
    </row>
    <row r="74" spans="1:45">
      <c r="A74" s="19">
        <v>11.077733329999999</v>
      </c>
      <c r="B74" s="19">
        <v>594.34886310000002</v>
      </c>
      <c r="C74" s="19">
        <v>-35.500426589999996</v>
      </c>
      <c r="E74" s="9">
        <f t="shared" si="32"/>
        <v>365.65113689999998</v>
      </c>
      <c r="F74" s="9">
        <f t="shared" si="33"/>
        <v>504.49957340999998</v>
      </c>
      <c r="I74">
        <v>1</v>
      </c>
      <c r="J74">
        <f t="shared" si="22"/>
        <v>0.39476449645951056</v>
      </c>
      <c r="K74">
        <f t="shared" si="34"/>
        <v>0.94363243585128831</v>
      </c>
      <c r="O74">
        <f t="shared" si="35"/>
        <v>0.22569739999732957</v>
      </c>
      <c r="P74">
        <f t="shared" si="36"/>
        <v>0.31140130722344511</v>
      </c>
      <c r="Q74">
        <f t="shared" si="37"/>
        <v>0.92308716245757361</v>
      </c>
      <c r="R74">
        <f t="shared" si="43"/>
        <v>1</v>
      </c>
      <c r="AG74" s="8">
        <f t="shared" si="24"/>
        <v>-0.26101731696574321</v>
      </c>
      <c r="AH74" s="8">
        <f t="shared" si="25"/>
        <v>-6.2204285788203431E-2</v>
      </c>
      <c r="AI74" s="8">
        <f t="shared" si="26"/>
        <v>0.96332787101463224</v>
      </c>
      <c r="AJ74" s="8"/>
      <c r="AK74" s="8"/>
      <c r="AL74" s="8"/>
      <c r="AN74" s="8">
        <f t="shared" si="38"/>
        <v>0.99999999999999967</v>
      </c>
      <c r="AO74" s="8">
        <f t="shared" si="39"/>
        <v>3.3755435928671109</v>
      </c>
      <c r="AP74" s="8">
        <f t="shared" si="40"/>
        <v>0.27165598808348235</v>
      </c>
      <c r="AQ74" s="8"/>
      <c r="AR74" s="8">
        <f t="shared" si="41"/>
        <v>193.40440143371171</v>
      </c>
      <c r="AS74" s="8">
        <f t="shared" si="42"/>
        <v>74.43525840336028</v>
      </c>
    </row>
    <row r="75" spans="1:45">
      <c r="A75" s="19">
        <v>11.1111</v>
      </c>
      <c r="B75" s="19">
        <v>594.1343564</v>
      </c>
      <c r="C75" s="19">
        <v>-36.26441998</v>
      </c>
      <c r="E75" s="9">
        <f t="shared" si="32"/>
        <v>365.8656436</v>
      </c>
      <c r="F75" s="9">
        <f t="shared" si="33"/>
        <v>503.73558001999999</v>
      </c>
      <c r="I75">
        <v>1</v>
      </c>
      <c r="J75">
        <f t="shared" si="22"/>
        <v>0.39448053664781563</v>
      </c>
      <c r="K75">
        <f t="shared" si="34"/>
        <v>0.94263331262506767</v>
      </c>
      <c r="O75">
        <f t="shared" si="35"/>
        <v>0.22585436937554476</v>
      </c>
      <c r="P75">
        <f t="shared" si="36"/>
        <v>0.31096355656128999</v>
      </c>
      <c r="Q75">
        <f t="shared" si="37"/>
        <v>0.92319633357413655</v>
      </c>
      <c r="R75">
        <f t="shared" si="43"/>
        <v>1</v>
      </c>
      <c r="AG75" s="8">
        <f t="shared" si="24"/>
        <v>-0.26063355043576825</v>
      </c>
      <c r="AH75" s="8">
        <f t="shared" si="25"/>
        <v>-6.194663116881019E-2</v>
      </c>
      <c r="AI75" s="8">
        <f t="shared" si="26"/>
        <v>0.963448372915789</v>
      </c>
      <c r="AJ75" s="8"/>
      <c r="AK75" s="8"/>
      <c r="AL75" s="8"/>
      <c r="AN75" s="8">
        <f t="shared" si="38"/>
        <v>1</v>
      </c>
      <c r="AO75" s="8">
        <f t="shared" si="39"/>
        <v>3.3749401086088642</v>
      </c>
      <c r="AP75" s="8">
        <f t="shared" si="40"/>
        <v>0.27120653955697094</v>
      </c>
      <c r="AQ75" s="8"/>
      <c r="AR75" s="8">
        <f t="shared" si="41"/>
        <v>193.3698243327116</v>
      </c>
      <c r="AS75" s="8">
        <f t="shared" si="42"/>
        <v>74.461009907037749</v>
      </c>
    </row>
    <row r="76" spans="1:45">
      <c r="A76" s="19">
        <v>11.14446667</v>
      </c>
      <c r="B76" s="19">
        <v>595.09930469999995</v>
      </c>
      <c r="C76" s="19">
        <v>-36.824453769999998</v>
      </c>
      <c r="E76" s="9">
        <f t="shared" si="32"/>
        <v>364.90069530000005</v>
      </c>
      <c r="F76" s="9">
        <f t="shared" si="33"/>
        <v>503.17554623000001</v>
      </c>
      <c r="I76">
        <v>1</v>
      </c>
      <c r="J76">
        <f t="shared" si="22"/>
        <v>0.39389210735175723</v>
      </c>
      <c r="K76">
        <f t="shared" si="34"/>
        <v>0.94335993258803552</v>
      </c>
      <c r="O76">
        <f t="shared" si="35"/>
        <v>0.22530940023950874</v>
      </c>
      <c r="P76">
        <f t="shared" si="36"/>
        <v>0.31068776244194918</v>
      </c>
      <c r="Q76">
        <f t="shared" si="37"/>
        <v>0.92342232398427959</v>
      </c>
      <c r="R76">
        <f t="shared" si="43"/>
        <v>1</v>
      </c>
      <c r="AG76" s="8">
        <f t="shared" si="24"/>
        <v>-0.26019072228615475</v>
      </c>
      <c r="AH76" s="8">
        <f t="shared" si="25"/>
        <v>-6.2415708708761411E-2</v>
      </c>
      <c r="AI76" s="8">
        <f t="shared" si="26"/>
        <v>0.96353778718978744</v>
      </c>
      <c r="AJ76" s="8"/>
      <c r="AK76" s="8"/>
      <c r="AL76" s="8"/>
      <c r="AN76" s="8">
        <f t="shared" si="38"/>
        <v>1</v>
      </c>
      <c r="AO76" s="8">
        <f t="shared" si="39"/>
        <v>3.3770283760848328</v>
      </c>
      <c r="AP76" s="8">
        <f t="shared" si="40"/>
        <v>0.27087257171458323</v>
      </c>
      <c r="AQ76" s="8"/>
      <c r="AR76" s="8">
        <f t="shared" si="41"/>
        <v>193.48947324557903</v>
      </c>
      <c r="AS76" s="8">
        <f t="shared" si="42"/>
        <v>74.480144854899663</v>
      </c>
    </row>
    <row r="77" spans="1:45">
      <c r="A77" s="19">
        <v>11.17783333</v>
      </c>
      <c r="B77" s="19">
        <v>595.13138879999997</v>
      </c>
      <c r="C77" s="19">
        <v>-37.436172089999999</v>
      </c>
      <c r="E77" s="9">
        <f t="shared" si="32"/>
        <v>364.86861120000003</v>
      </c>
      <c r="F77" s="9">
        <f t="shared" si="33"/>
        <v>502.56382790999999</v>
      </c>
      <c r="I77">
        <v>1</v>
      </c>
      <c r="J77">
        <f t="shared" si="22"/>
        <v>0.39359551431468887</v>
      </c>
      <c r="K77">
        <f t="shared" si="34"/>
        <v>0.9428235012730305</v>
      </c>
      <c r="O77">
        <f t="shared" si="35"/>
        <v>0.2253151141570181</v>
      </c>
      <c r="P77">
        <f t="shared" si="36"/>
        <v>0.31034521134694315</v>
      </c>
      <c r="Q77">
        <f t="shared" si="37"/>
        <v>0.92353611143605596</v>
      </c>
      <c r="R77">
        <f t="shared" si="43"/>
        <v>1</v>
      </c>
      <c r="AG77" s="8">
        <f t="shared" si="24"/>
        <v>-0.25985387085379413</v>
      </c>
      <c r="AH77" s="8">
        <f t="shared" si="25"/>
        <v>-6.2328893911265795E-2</v>
      </c>
      <c r="AI77" s="8">
        <f t="shared" si="26"/>
        <v>0.96363430552575169</v>
      </c>
      <c r="AJ77" s="8"/>
      <c r="AK77" s="8"/>
      <c r="AL77" s="8"/>
      <c r="AN77" s="8">
        <f t="shared" si="38"/>
        <v>0.99999999999999989</v>
      </c>
      <c r="AO77" s="8">
        <f t="shared" si="39"/>
        <v>3.3770065083487975</v>
      </c>
      <c r="AP77" s="8">
        <f t="shared" si="40"/>
        <v>0.27051161840029203</v>
      </c>
      <c r="AQ77" s="8"/>
      <c r="AR77" s="8">
        <f t="shared" si="41"/>
        <v>193.48822031659671</v>
      </c>
      <c r="AS77" s="8">
        <f t="shared" si="42"/>
        <v>74.500825956409813</v>
      </c>
    </row>
    <row r="78" spans="1:45">
      <c r="A78" s="19">
        <v>11.2112</v>
      </c>
      <c r="B78" s="19">
        <v>596.13588909999999</v>
      </c>
      <c r="C78" s="19">
        <v>-38.279792479999998</v>
      </c>
      <c r="E78" s="9">
        <f t="shared" si="32"/>
        <v>363.86411090000001</v>
      </c>
      <c r="F78" s="9">
        <f t="shared" si="33"/>
        <v>501.72020752000003</v>
      </c>
      <c r="I78">
        <v>1</v>
      </c>
      <c r="J78">
        <f t="shared" si="22"/>
        <v>0.39286073659857806</v>
      </c>
      <c r="K78">
        <f t="shared" si="34"/>
        <v>0.9433353492369726</v>
      </c>
      <c r="O78">
        <f t="shared" si="35"/>
        <v>0.2247577778762872</v>
      </c>
      <c r="P78">
        <f t="shared" si="36"/>
        <v>0.30991107828388159</v>
      </c>
      <c r="Q78">
        <f t="shared" si="37"/>
        <v>0.9238176577880699</v>
      </c>
      <c r="R78">
        <f t="shared" si="43"/>
        <v>1</v>
      </c>
      <c r="AG78" s="8">
        <f t="shared" si="24"/>
        <v>-0.25925072839218277</v>
      </c>
      <c r="AH78" s="8">
        <f t="shared" si="25"/>
        <v>-6.2772424052080292E-2</v>
      </c>
      <c r="AI78" s="8">
        <f t="shared" si="26"/>
        <v>0.96376796097751072</v>
      </c>
      <c r="AJ78" s="8"/>
      <c r="AK78" s="8"/>
      <c r="AL78" s="8"/>
      <c r="AN78" s="8">
        <f t="shared" si="38"/>
        <v>1</v>
      </c>
      <c r="AO78" s="8">
        <f t="shared" si="39"/>
        <v>3.3791508171731337</v>
      </c>
      <c r="AP78" s="8">
        <f t="shared" si="40"/>
        <v>0.27001100481464468</v>
      </c>
      <c r="AQ78" s="8"/>
      <c r="AR78" s="8">
        <f t="shared" si="41"/>
        <v>193.61108016220382</v>
      </c>
      <c r="AS78" s="8">
        <f t="shared" si="42"/>
        <v>74.529509002034303</v>
      </c>
    </row>
    <row r="79" spans="1:45">
      <c r="A79" s="19">
        <v>11.244566669999999</v>
      </c>
      <c r="B79" s="19">
        <v>596.25972639999998</v>
      </c>
      <c r="C79" s="19">
        <v>-38.514174490000002</v>
      </c>
      <c r="E79" s="9">
        <f t="shared" si="32"/>
        <v>363.74027360000002</v>
      </c>
      <c r="F79" s="9">
        <f t="shared" si="33"/>
        <v>501.48582550999998</v>
      </c>
      <c r="I79">
        <v>1</v>
      </c>
      <c r="J79">
        <f t="shared" si="22"/>
        <v>0.39270917188579824</v>
      </c>
      <c r="K79">
        <f t="shared" si="34"/>
        <v>0.94327505214798668</v>
      </c>
      <c r="O79">
        <f t="shared" si="35"/>
        <v>0.22469425135078172</v>
      </c>
      <c r="P79">
        <f t="shared" si="36"/>
        <v>0.30978417927378549</v>
      </c>
      <c r="Q79">
        <f t="shared" si="37"/>
        <v>0.92387567111683311</v>
      </c>
      <c r="R79">
        <f t="shared" si="43"/>
        <v>1</v>
      </c>
      <c r="AG79" s="8">
        <f t="shared" si="24"/>
        <v>-0.25910546197356532</v>
      </c>
      <c r="AH79" s="8">
        <f t="shared" si="25"/>
        <v>-6.2804604059279623E-2</v>
      </c>
      <c r="AI79" s="8">
        <f t="shared" si="26"/>
        <v>0.96380492906211179</v>
      </c>
      <c r="AJ79" s="8"/>
      <c r="AK79" s="8"/>
      <c r="AL79" s="8"/>
      <c r="AN79" s="8">
        <f t="shared" si="38"/>
        <v>1</v>
      </c>
      <c r="AO79" s="8">
        <f t="shared" si="39"/>
        <v>3.3793963525589352</v>
      </c>
      <c r="AP79" s="8">
        <f t="shared" si="40"/>
        <v>0.26987237895439753</v>
      </c>
      <c r="AQ79" s="8"/>
      <c r="AR79" s="8">
        <f t="shared" si="41"/>
        <v>193.62514830353138</v>
      </c>
      <c r="AS79" s="8">
        <f t="shared" si="42"/>
        <v>74.537451678757847</v>
      </c>
    </row>
    <row r="80" spans="1:45">
      <c r="A80" s="19">
        <v>11.27793333</v>
      </c>
      <c r="B80" s="19">
        <v>596.65749349999999</v>
      </c>
      <c r="C80" s="19">
        <v>-39.504319709999997</v>
      </c>
      <c r="E80" s="9">
        <f t="shared" si="32"/>
        <v>363.34250650000001</v>
      </c>
      <c r="F80" s="9">
        <f t="shared" si="33"/>
        <v>500.49568029</v>
      </c>
      <c r="I80">
        <v>1</v>
      </c>
      <c r="J80">
        <f t="shared" si="22"/>
        <v>0.39211125950135434</v>
      </c>
      <c r="K80">
        <f t="shared" si="34"/>
        <v>0.94285568758835625</v>
      </c>
      <c r="O80">
        <f t="shared" si="35"/>
        <v>0.22449958219227906</v>
      </c>
      <c r="P80">
        <f t="shared" si="36"/>
        <v>0.30924284691184478</v>
      </c>
      <c r="Q80">
        <f t="shared" si="37"/>
        <v>0.92410432269811915</v>
      </c>
      <c r="R80">
        <f t="shared" si="43"/>
        <v>1</v>
      </c>
      <c r="AG80" s="8">
        <f t="shared" si="24"/>
        <v>-0.25850962992834564</v>
      </c>
      <c r="AH80" s="8">
        <f t="shared" si="25"/>
        <v>-6.2866993833587737E-2</v>
      </c>
      <c r="AI80" s="8">
        <f t="shared" si="26"/>
        <v>0.9639608458441854</v>
      </c>
      <c r="AJ80" s="8"/>
      <c r="AK80" s="8"/>
      <c r="AL80" s="8"/>
      <c r="AN80" s="8">
        <f t="shared" si="38"/>
        <v>1</v>
      </c>
      <c r="AO80" s="8">
        <f t="shared" si="39"/>
        <v>3.3801518414029745</v>
      </c>
      <c r="AP80" s="8">
        <f t="shared" si="40"/>
        <v>0.2692869437850407</v>
      </c>
      <c r="AQ80" s="8"/>
      <c r="AR80" s="8">
        <f t="shared" si="41"/>
        <v>193.66843462576404</v>
      </c>
      <c r="AS80" s="8">
        <f t="shared" si="42"/>
        <v>74.570994643140509</v>
      </c>
    </row>
    <row r="81" spans="1:45">
      <c r="A81" s="19">
        <v>11.311299999999999</v>
      </c>
      <c r="B81" s="19">
        <v>596.94835760000001</v>
      </c>
      <c r="C81" s="19">
        <v>-40.510735169999997</v>
      </c>
      <c r="E81" s="9">
        <f t="shared" si="32"/>
        <v>363.05164239999999</v>
      </c>
      <c r="F81" s="9">
        <f t="shared" si="33"/>
        <v>499.48926483000002</v>
      </c>
      <c r="I81">
        <v>1</v>
      </c>
      <c r="J81">
        <f t="shared" si="22"/>
        <v>0.39154184905442102</v>
      </c>
      <c r="K81">
        <f t="shared" si="34"/>
        <v>0.94227937237463255</v>
      </c>
      <c r="O81">
        <f t="shared" si="35"/>
        <v>0.22436835592930141</v>
      </c>
      <c r="P81">
        <f t="shared" si="36"/>
        <v>0.30868772390999805</v>
      </c>
      <c r="Q81">
        <f t="shared" si="37"/>
        <v>0.92432176754896733</v>
      </c>
      <c r="R81">
        <f t="shared" si="43"/>
        <v>1</v>
      </c>
      <c r="AG81" s="8">
        <f t="shared" si="24"/>
        <v>-0.25792001307340506</v>
      </c>
      <c r="AH81" s="8">
        <f t="shared" si="25"/>
        <v>-6.2863830327360232E-2</v>
      </c>
      <c r="AI81" s="8">
        <f t="shared" si="26"/>
        <v>0.96411897901285371</v>
      </c>
      <c r="AJ81" s="8"/>
      <c r="AK81" s="8"/>
      <c r="AL81" s="8"/>
      <c r="AN81" s="8">
        <f t="shared" si="38"/>
        <v>1</v>
      </c>
      <c r="AO81" s="8">
        <f t="shared" si="39"/>
        <v>3.3806650970609406</v>
      </c>
      <c r="AP81" s="8">
        <f t="shared" si="40"/>
        <v>0.26869191536686854</v>
      </c>
      <c r="AQ81" s="8"/>
      <c r="AR81" s="8">
        <f t="shared" si="41"/>
        <v>193.69784200877672</v>
      </c>
      <c r="AS81" s="8">
        <f t="shared" si="42"/>
        <v>74.605087260192121</v>
      </c>
    </row>
    <row r="82" spans="1:45">
      <c r="A82" s="19">
        <v>11.344666670000001</v>
      </c>
      <c r="B82" s="19">
        <v>597.14179779999995</v>
      </c>
      <c r="C82" s="19">
        <v>-40.996603649999997</v>
      </c>
      <c r="E82" s="9">
        <f t="shared" si="32"/>
        <v>362.85820220000005</v>
      </c>
      <c r="F82" s="9">
        <f t="shared" si="33"/>
        <v>499.00339635</v>
      </c>
      <c r="I82">
        <v>1</v>
      </c>
      <c r="J82">
        <f t="shared" si="22"/>
        <v>0.39124887393092256</v>
      </c>
      <c r="K82">
        <f t="shared" si="34"/>
        <v>0.94206998239388151</v>
      </c>
      <c r="O82">
        <f t="shared" si="35"/>
        <v>0.2242737139880068</v>
      </c>
      <c r="P82">
        <f t="shared" si="36"/>
        <v>0.30842170388740314</v>
      </c>
      <c r="Q82">
        <f t="shared" si="37"/>
        <v>0.92443353129644568</v>
      </c>
      <c r="R82">
        <f t="shared" si="43"/>
        <v>1</v>
      </c>
      <c r="AG82" s="8">
        <f t="shared" si="24"/>
        <v>-0.25762756795328073</v>
      </c>
      <c r="AH82" s="8">
        <f t="shared" si="25"/>
        <v>-6.2893419884005514E-2</v>
      </c>
      <c r="AI82" s="8">
        <f t="shared" si="26"/>
        <v>0.96419523643594707</v>
      </c>
      <c r="AJ82" s="8"/>
      <c r="AK82" s="8"/>
      <c r="AL82" s="8"/>
      <c r="AN82" s="8">
        <f t="shared" si="38"/>
        <v>1</v>
      </c>
      <c r="AO82" s="8">
        <f t="shared" si="39"/>
        <v>3.3810346365290918</v>
      </c>
      <c r="AP82" s="8">
        <f t="shared" si="40"/>
        <v>0.26840451153697242</v>
      </c>
      <c r="AQ82" s="8"/>
      <c r="AR82" s="8">
        <f t="shared" si="41"/>
        <v>193.71901506066527</v>
      </c>
      <c r="AS82" s="8">
        <f t="shared" si="42"/>
        <v>74.621554286661066</v>
      </c>
    </row>
    <row r="83" spans="1:45">
      <c r="A83" s="19">
        <v>11.378033329999999</v>
      </c>
      <c r="B83" s="19">
        <v>598.00657890000002</v>
      </c>
      <c r="C83" s="19">
        <v>-41.492985249999997</v>
      </c>
      <c r="E83" s="9">
        <f t="shared" si="32"/>
        <v>361.99342109999998</v>
      </c>
      <c r="F83" s="9">
        <f t="shared" si="33"/>
        <v>498.50701475</v>
      </c>
      <c r="I83">
        <v>1</v>
      </c>
      <c r="J83">
        <f t="shared" si="22"/>
        <v>0.39072262602742075</v>
      </c>
      <c r="K83">
        <f t="shared" si="34"/>
        <v>0.94273140464537108</v>
      </c>
      <c r="O83">
        <f t="shared" si="35"/>
        <v>0.22378379029701465</v>
      </c>
      <c r="P83">
        <f t="shared" si="36"/>
        <v>0.30817628925799501</v>
      </c>
      <c r="Q83">
        <f t="shared" si="37"/>
        <v>0.92463408434876249</v>
      </c>
      <c r="R83">
        <f t="shared" si="43"/>
        <v>1</v>
      </c>
      <c r="AG83" s="8">
        <f t="shared" si="24"/>
        <v>-0.25723215291842072</v>
      </c>
      <c r="AH83" s="8">
        <f t="shared" si="25"/>
        <v>-6.3315374204500591E-2</v>
      </c>
      <c r="AI83" s="8">
        <f t="shared" si="26"/>
        <v>0.96427318893262726</v>
      </c>
      <c r="AJ83" s="8"/>
      <c r="AK83" s="8"/>
      <c r="AL83" s="8"/>
      <c r="AN83" s="8">
        <f t="shared" si="38"/>
        <v>0.99999999999999989</v>
      </c>
      <c r="AO83" s="8">
        <f t="shared" si="39"/>
        <v>3.3829360130112338</v>
      </c>
      <c r="AP83" s="8">
        <f t="shared" si="40"/>
        <v>0.26811040846373979</v>
      </c>
      <c r="AQ83" s="8"/>
      <c r="AR83" s="8">
        <f t="shared" si="41"/>
        <v>193.82795590835744</v>
      </c>
      <c r="AS83" s="8">
        <f t="shared" si="42"/>
        <v>74.638405151499128</v>
      </c>
    </row>
    <row r="84" spans="1:45">
      <c r="A84" s="19">
        <v>11.4114</v>
      </c>
      <c r="B84" s="19">
        <v>598.28756339999995</v>
      </c>
      <c r="C84" s="19">
        <v>-42.479507750000003</v>
      </c>
      <c r="E84" s="9">
        <f t="shared" si="32"/>
        <v>361.71243660000005</v>
      </c>
      <c r="F84" s="9">
        <f t="shared" si="33"/>
        <v>497.52049225000002</v>
      </c>
      <c r="I84">
        <v>1</v>
      </c>
      <c r="J84">
        <f t="shared" si="22"/>
        <v>0.39016528928024147</v>
      </c>
      <c r="K84">
        <f t="shared" si="34"/>
        <v>0.94215866672267878</v>
      </c>
      <c r="O84">
        <f t="shared" si="35"/>
        <v>0.22365718515498254</v>
      </c>
      <c r="P84">
        <f t="shared" si="36"/>
        <v>0.30763120532847144</v>
      </c>
      <c r="Q84">
        <f t="shared" si="37"/>
        <v>0.92484620615359703</v>
      </c>
      <c r="R84">
        <f t="shared" si="43"/>
        <v>1</v>
      </c>
      <c r="AG84" s="8">
        <f t="shared" si="24"/>
        <v>-0.25665399204496664</v>
      </c>
      <c r="AH84" s="8">
        <f t="shared" si="25"/>
        <v>-6.3309900411400027E-2</v>
      </c>
      <c r="AI84" s="8">
        <f t="shared" si="26"/>
        <v>0.96442759441923931</v>
      </c>
      <c r="AJ84" s="8"/>
      <c r="AK84" s="8"/>
      <c r="AL84" s="8"/>
      <c r="AN84" s="8">
        <f t="shared" si="38"/>
        <v>1</v>
      </c>
      <c r="AO84" s="8">
        <f t="shared" si="39"/>
        <v>3.3834386456529026</v>
      </c>
      <c r="AP84" s="8">
        <f t="shared" si="40"/>
        <v>0.2675269282682915</v>
      </c>
      <c r="AQ84" s="8"/>
      <c r="AR84" s="8">
        <f t="shared" si="41"/>
        <v>193.85675463737059</v>
      </c>
      <c r="AS84" s="8">
        <f t="shared" si="42"/>
        <v>74.671836104127777</v>
      </c>
    </row>
    <row r="85" spans="1:45">
      <c r="A85" s="19">
        <v>11.44476667</v>
      </c>
      <c r="B85" s="19">
        <v>598.86993859999995</v>
      </c>
      <c r="C85" s="19">
        <v>-42.601832330000001</v>
      </c>
      <c r="E85" s="9">
        <f t="shared" si="32"/>
        <v>361.13006140000005</v>
      </c>
      <c r="F85" s="9">
        <f t="shared" si="33"/>
        <v>497.39816767000002</v>
      </c>
      <c r="I85">
        <v>1</v>
      </c>
      <c r="J85">
        <f t="shared" si="22"/>
        <v>0.38990989004943677</v>
      </c>
      <c r="K85">
        <f t="shared" si="34"/>
        <v>0.94280797397839333</v>
      </c>
      <c r="O85">
        <f t="shared" si="35"/>
        <v>0.22331860884331509</v>
      </c>
      <c r="P85">
        <f t="shared" si="36"/>
        <v>0.3075852129691421</v>
      </c>
      <c r="Q85">
        <f t="shared" si="37"/>
        <v>0.92494331486151837</v>
      </c>
      <c r="R85">
        <f t="shared" si="43"/>
        <v>1</v>
      </c>
      <c r="AG85" s="8">
        <f t="shared" si="24"/>
        <v>-0.25650291654646412</v>
      </c>
      <c r="AH85" s="8">
        <f t="shared" si="25"/>
        <v>-6.3630823728476546E-2</v>
      </c>
      <c r="AI85" s="8">
        <f t="shared" si="26"/>
        <v>0.96444666626765485</v>
      </c>
      <c r="AJ85" s="8"/>
      <c r="AK85" s="8"/>
      <c r="AL85" s="8"/>
      <c r="AN85" s="8">
        <f t="shared" si="38"/>
        <v>1</v>
      </c>
      <c r="AO85" s="8">
        <f t="shared" si="39"/>
        <v>3.3847545561985162</v>
      </c>
      <c r="AP85" s="8">
        <f t="shared" si="40"/>
        <v>0.26745477179077159</v>
      </c>
      <c r="AQ85" s="8"/>
      <c r="AR85" s="8">
        <f t="shared" si="41"/>
        <v>193.93215075785099</v>
      </c>
      <c r="AS85" s="8">
        <f t="shared" si="42"/>
        <v>74.675970365754196</v>
      </c>
    </row>
    <row r="86" spans="1:45">
      <c r="A86" s="19">
        <v>11.47813333</v>
      </c>
      <c r="B86" s="19">
        <v>599.26920629999995</v>
      </c>
      <c r="C86" s="19">
        <v>-43.658221310000002</v>
      </c>
      <c r="E86" s="9">
        <f t="shared" si="32"/>
        <v>360.73079370000005</v>
      </c>
      <c r="F86" s="9">
        <f t="shared" si="33"/>
        <v>496.34177869000001</v>
      </c>
      <c r="I86">
        <v>1</v>
      </c>
      <c r="J86">
        <f t="shared" si="22"/>
        <v>0.38927917847549498</v>
      </c>
      <c r="K86">
        <f t="shared" si="34"/>
        <v>0.9423230245646339</v>
      </c>
      <c r="O86">
        <f t="shared" si="35"/>
        <v>0.22312473065533764</v>
      </c>
      <c r="P86">
        <f t="shared" si="36"/>
        <v>0.30700491229839094</v>
      </c>
      <c r="Q86">
        <f t="shared" si="37"/>
        <v>0.92518286754275791</v>
      </c>
      <c r="R86">
        <f t="shared" si="43"/>
        <v>1</v>
      </c>
      <c r="AG86" s="8">
        <f t="shared" si="24"/>
        <v>-0.25586902618984281</v>
      </c>
      <c r="AH86" s="8">
        <f t="shared" si="25"/>
        <v>-6.3682810275265123E-2</v>
      </c>
      <c r="AI86" s="8">
        <f t="shared" si="26"/>
        <v>0.96461160117018396</v>
      </c>
      <c r="AJ86" s="8"/>
      <c r="AK86" s="8"/>
      <c r="AL86" s="8"/>
      <c r="AN86" s="8">
        <f t="shared" si="38"/>
        <v>1</v>
      </c>
      <c r="AO86" s="8">
        <f t="shared" si="39"/>
        <v>3.3855247496898491</v>
      </c>
      <c r="AP86" s="8">
        <f t="shared" si="40"/>
        <v>0.26682996214757093</v>
      </c>
      <c r="AQ86" s="8"/>
      <c r="AR86" s="8">
        <f t="shared" si="41"/>
        <v>193.97627959431281</v>
      </c>
      <c r="AS86" s="8">
        <f t="shared" si="42"/>
        <v>74.71176932130868</v>
      </c>
    </row>
    <row r="87" spans="1:45">
      <c r="A87" s="19">
        <v>11.5115</v>
      </c>
      <c r="B87" s="19">
        <v>599.80132330000004</v>
      </c>
      <c r="C87" s="19">
        <v>-44.448128490000002</v>
      </c>
      <c r="E87" s="9">
        <f t="shared" si="32"/>
        <v>360.19867669999996</v>
      </c>
      <c r="F87" s="9">
        <f t="shared" si="33"/>
        <v>495.55187151000001</v>
      </c>
      <c r="I87">
        <v>1</v>
      </c>
      <c r="J87">
        <f t="shared" si="22"/>
        <v>0.3887278401374486</v>
      </c>
      <c r="K87">
        <f t="shared" si="34"/>
        <v>0.94226760539792587</v>
      </c>
      <c r="O87">
        <f t="shared" si="35"/>
        <v>0.22284180097185505</v>
      </c>
      <c r="P87">
        <f t="shared" si="36"/>
        <v>0.30657989233601679</v>
      </c>
      <c r="Q87">
        <f t="shared" si="37"/>
        <v>0.92539197173676435</v>
      </c>
      <c r="R87">
        <f t="shared" si="43"/>
        <v>1</v>
      </c>
      <c r="AG87" s="8">
        <f t="shared" si="24"/>
        <v>-0.25536083314273883</v>
      </c>
      <c r="AH87" s="8">
        <f t="shared" si="25"/>
        <v>-6.3858943161079443E-2</v>
      </c>
      <c r="AI87" s="8">
        <f t="shared" si="26"/>
        <v>0.96473461650082626</v>
      </c>
      <c r="AJ87" s="8"/>
      <c r="AK87" s="8"/>
      <c r="AL87" s="8"/>
      <c r="AN87" s="8">
        <f t="shared" si="38"/>
        <v>1</v>
      </c>
      <c r="AO87" s="8">
        <f t="shared" si="39"/>
        <v>3.3866403661447619</v>
      </c>
      <c r="AP87" s="8">
        <f t="shared" si="40"/>
        <v>0.26636302165156578</v>
      </c>
      <c r="AQ87" s="8"/>
      <c r="AR87" s="8">
        <f t="shared" si="41"/>
        <v>194.04019970873466</v>
      </c>
      <c r="AS87" s="8">
        <f t="shared" si="42"/>
        <v>74.738523041013508</v>
      </c>
    </row>
    <row r="88" spans="1:45">
      <c r="A88" s="19">
        <v>11.544866669999999</v>
      </c>
      <c r="B88" s="19">
        <v>600.08339339999998</v>
      </c>
      <c r="C88" s="19">
        <v>-44.928932359999997</v>
      </c>
      <c r="E88" s="9">
        <f t="shared" si="32"/>
        <v>359.91660660000002</v>
      </c>
      <c r="F88" s="9">
        <f t="shared" si="33"/>
        <v>495.07106764000002</v>
      </c>
      <c r="I88">
        <v>1</v>
      </c>
      <c r="J88">
        <f t="shared" si="22"/>
        <v>0.38840638400207383</v>
      </c>
      <c r="K88">
        <f t="shared" si="34"/>
        <v>0.94217852062582408</v>
      </c>
      <c r="O88">
        <f t="shared" si="35"/>
        <v>0.2226941779600341</v>
      </c>
      <c r="P88">
        <f t="shared" si="36"/>
        <v>0.30631941515945116</v>
      </c>
      <c r="Q88">
        <f t="shared" si="37"/>
        <v>0.92551375948663051</v>
      </c>
      <c r="R88">
        <f t="shared" si="43"/>
        <v>1</v>
      </c>
      <c r="AG88" s="8">
        <f t="shared" si="24"/>
        <v>-0.25505743782248413</v>
      </c>
      <c r="AH88" s="8">
        <f t="shared" si="25"/>
        <v>-6.3941599784039627E-2</v>
      </c>
      <c r="AI88" s="8">
        <f t="shared" si="26"/>
        <v>0.96480939839353108</v>
      </c>
      <c r="AJ88" s="8"/>
      <c r="AK88" s="8"/>
      <c r="AL88" s="8"/>
      <c r="AN88" s="8">
        <f t="shared" si="38"/>
        <v>1</v>
      </c>
      <c r="AO88" s="8">
        <f t="shared" si="39"/>
        <v>3.3872252366084887</v>
      </c>
      <c r="AP88" s="8">
        <f t="shared" si="40"/>
        <v>0.26607877426242266</v>
      </c>
      <c r="AQ88" s="8"/>
      <c r="AR88" s="8">
        <f t="shared" si="41"/>
        <v>194.07371031786806</v>
      </c>
      <c r="AS88" s="8">
        <f t="shared" si="42"/>
        <v>74.754809216749024</v>
      </c>
    </row>
    <row r="89" spans="1:45">
      <c r="A89" s="19">
        <v>11.57823333</v>
      </c>
      <c r="B89" s="19">
        <v>600.38914450000004</v>
      </c>
      <c r="C89" s="19">
        <v>-45.523217930000001</v>
      </c>
      <c r="E89" s="9">
        <f t="shared" si="32"/>
        <v>359.61085549999996</v>
      </c>
      <c r="F89" s="9">
        <f t="shared" si="33"/>
        <v>494.47678207000001</v>
      </c>
      <c r="I89">
        <v>1</v>
      </c>
      <c r="J89">
        <f t="shared" si="22"/>
        <v>0.38802357271425469</v>
      </c>
      <c r="K89">
        <f t="shared" si="34"/>
        <v>0.94201144544930937</v>
      </c>
      <c r="O89">
        <f t="shared" si="35"/>
        <v>0.22253695263885884</v>
      </c>
      <c r="P89">
        <f t="shared" si="36"/>
        <v>0.3059956465427861</v>
      </c>
      <c r="Q89">
        <f t="shared" si="37"/>
        <v>0.92565866765621152</v>
      </c>
      <c r="R89">
        <f t="shared" si="43"/>
        <v>1</v>
      </c>
      <c r="AG89" s="8">
        <f t="shared" si="24"/>
        <v>-0.254688530997142</v>
      </c>
      <c r="AH89" s="8">
        <f t="shared" si="25"/>
        <v>-6.4018569946725126E-2</v>
      </c>
      <c r="AI89" s="8">
        <f t="shared" si="26"/>
        <v>0.96490174364050874</v>
      </c>
      <c r="AJ89" s="8"/>
      <c r="AK89" s="8"/>
      <c r="AL89" s="8"/>
      <c r="AN89" s="8">
        <f t="shared" si="38"/>
        <v>1</v>
      </c>
      <c r="AO89" s="8">
        <f t="shared" si="39"/>
        <v>3.3878511310682162</v>
      </c>
      <c r="AP89" s="8">
        <f t="shared" si="40"/>
        <v>0.26572735862921082</v>
      </c>
      <c r="AQ89" s="8"/>
      <c r="AR89" s="8">
        <f t="shared" si="41"/>
        <v>194.10957142883109</v>
      </c>
      <c r="AS89" s="8">
        <f t="shared" si="42"/>
        <v>74.774943849386986</v>
      </c>
    </row>
    <row r="90" spans="1:45">
      <c r="A90" s="19">
        <v>11.611599999999999</v>
      </c>
      <c r="B90" s="19">
        <v>600.91585299999997</v>
      </c>
      <c r="C90" s="19">
        <v>-46.233823559999998</v>
      </c>
      <c r="E90" s="9">
        <f t="shared" si="32"/>
        <v>359.08414700000003</v>
      </c>
      <c r="F90" s="9">
        <f t="shared" si="33"/>
        <v>493.76617643999998</v>
      </c>
      <c r="I90">
        <v>1</v>
      </c>
      <c r="J90">
        <f t="shared" si="22"/>
        <v>0.38751073548036613</v>
      </c>
      <c r="K90">
        <f t="shared" si="34"/>
        <v>0.94202458180990767</v>
      </c>
      <c r="O90">
        <f t="shared" si="35"/>
        <v>0.22225370082278448</v>
      </c>
      <c r="P90">
        <f t="shared" si="36"/>
        <v>0.30561460585701089</v>
      </c>
      <c r="Q90">
        <f t="shared" si="37"/>
        <v>0.92585258284320837</v>
      </c>
      <c r="R90">
        <f t="shared" si="43"/>
        <v>1</v>
      </c>
      <c r="AG90" s="8">
        <f t="shared" si="24"/>
        <v>-0.25422376589533446</v>
      </c>
      <c r="AH90" s="8">
        <f t="shared" si="25"/>
        <v>-6.4205352377510586E-2</v>
      </c>
      <c r="AI90" s="8">
        <f t="shared" si="26"/>
        <v>0.96501189090087058</v>
      </c>
      <c r="AJ90" s="8"/>
      <c r="AK90" s="8"/>
      <c r="AL90" s="8"/>
      <c r="AN90" s="8">
        <f t="shared" si="38"/>
        <v>0.99999999999999989</v>
      </c>
      <c r="AO90" s="8">
        <f t="shared" si="39"/>
        <v>3.3889740894631606</v>
      </c>
      <c r="AP90" s="8">
        <f t="shared" si="40"/>
        <v>0.26530760394118302</v>
      </c>
      <c r="AQ90" s="8"/>
      <c r="AR90" s="8">
        <f t="shared" si="41"/>
        <v>194.17391220543018</v>
      </c>
      <c r="AS90" s="8">
        <f t="shared" si="42"/>
        <v>74.798994021441814</v>
      </c>
    </row>
    <row r="91" spans="1:45">
      <c r="A91" s="19">
        <v>11.644966670000001</v>
      </c>
      <c r="B91" s="19">
        <v>601.12953879999998</v>
      </c>
      <c r="C91" s="19">
        <v>-46.626261630000002</v>
      </c>
      <c r="E91" s="9">
        <f t="shared" si="32"/>
        <v>358.87046120000002</v>
      </c>
      <c r="F91" s="9">
        <f t="shared" si="33"/>
        <v>493.37373837000001</v>
      </c>
      <c r="I91">
        <v>1</v>
      </c>
      <c r="J91">
        <f t="shared" si="22"/>
        <v>0.387253765305623</v>
      </c>
      <c r="K91">
        <f t="shared" si="34"/>
        <v>0.94192952206620295</v>
      </c>
      <c r="O91">
        <f t="shared" si="35"/>
        <v>0.22214279480722415</v>
      </c>
      <c r="P91">
        <f t="shared" si="36"/>
        <v>0.30540106521868288</v>
      </c>
      <c r="Q91">
        <f t="shared" si="37"/>
        <v>0.92594965742124946</v>
      </c>
      <c r="R91">
        <f t="shared" ref="R91:R154" si="44">SQRT(O91^2+P91^2+Q91^2)</f>
        <v>1</v>
      </c>
      <c r="AG91" s="8">
        <f t="shared" si="24"/>
        <v>-0.25397823171879258</v>
      </c>
      <c r="AH91" s="8">
        <f t="shared" si="25"/>
        <v>-6.4263136665049445E-2</v>
      </c>
      <c r="AI91" s="8">
        <f t="shared" si="26"/>
        <v>0.96507269523024242</v>
      </c>
      <c r="AJ91" s="8"/>
      <c r="AK91" s="8"/>
      <c r="AL91" s="8"/>
      <c r="AN91" s="8">
        <f t="shared" si="38"/>
        <v>0.99999999999999989</v>
      </c>
      <c r="AO91" s="8">
        <f t="shared" si="39"/>
        <v>3.3894174329602329</v>
      </c>
      <c r="AP91" s="8">
        <f t="shared" si="40"/>
        <v>0.26507560974306132</v>
      </c>
      <c r="AQ91" s="8"/>
      <c r="AR91" s="8">
        <f t="shared" si="41"/>
        <v>194.199313916687</v>
      </c>
      <c r="AS91" s="8">
        <f t="shared" si="42"/>
        <v>74.812286309865698</v>
      </c>
    </row>
    <row r="92" spans="1:45">
      <c r="A92" s="19">
        <v>11.678333329999999</v>
      </c>
      <c r="B92" s="19">
        <v>601.54493950000005</v>
      </c>
      <c r="C92" s="19">
        <v>-47.639955139999998</v>
      </c>
      <c r="E92" s="9">
        <f t="shared" si="32"/>
        <v>358.45506049999995</v>
      </c>
      <c r="F92" s="9">
        <f t="shared" si="33"/>
        <v>492.36004486000002</v>
      </c>
      <c r="I92">
        <v>1</v>
      </c>
      <c r="J92">
        <f t="shared" si="22"/>
        <v>0.38663641073871574</v>
      </c>
      <c r="K92">
        <f t="shared" si="34"/>
        <v>0.94150203156781498</v>
      </c>
      <c r="O92">
        <f t="shared" si="35"/>
        <v>0.22193683600458516</v>
      </c>
      <c r="P92">
        <f t="shared" si="36"/>
        <v>0.30484387744137881</v>
      </c>
      <c r="Q92">
        <f t="shared" si="37"/>
        <v>0.92618262303434495</v>
      </c>
      <c r="R92">
        <f t="shared" si="44"/>
        <v>1</v>
      </c>
      <c r="AG92" s="8">
        <f t="shared" si="24"/>
        <v>-0.25336360910098471</v>
      </c>
      <c r="AH92" s="8">
        <f t="shared" si="25"/>
        <v>-6.433210785047197E-2</v>
      </c>
      <c r="AI92" s="8">
        <f t="shared" si="26"/>
        <v>0.9652296418380647</v>
      </c>
      <c r="AJ92" s="8"/>
      <c r="AK92" s="8"/>
      <c r="AL92" s="8"/>
      <c r="AN92" s="8">
        <f t="shared" si="38"/>
        <v>1</v>
      </c>
      <c r="AO92" s="8">
        <f t="shared" si="39"/>
        <v>3.3902499713049625</v>
      </c>
      <c r="AP92" s="8">
        <f t="shared" si="40"/>
        <v>0.26447587375025394</v>
      </c>
      <c r="AQ92" s="8"/>
      <c r="AR92" s="8">
        <f t="shared" si="41"/>
        <v>194.24701485012281</v>
      </c>
      <c r="AS92" s="8">
        <f t="shared" si="42"/>
        <v>74.846648651075654</v>
      </c>
    </row>
    <row r="93" spans="1:45">
      <c r="A93" s="19">
        <v>11.7117</v>
      </c>
      <c r="B93" s="19">
        <v>601.90577210000004</v>
      </c>
      <c r="C93" s="19">
        <v>-48.281203570000002</v>
      </c>
      <c r="E93" s="9">
        <f t="shared" si="32"/>
        <v>358.09422789999996</v>
      </c>
      <c r="F93" s="9">
        <f t="shared" si="33"/>
        <v>491.71879643</v>
      </c>
      <c r="I93">
        <v>1</v>
      </c>
      <c r="J93">
        <f t="shared" si="22"/>
        <v>0.38621224804725751</v>
      </c>
      <c r="K93">
        <f t="shared" si="34"/>
        <v>0.94136112913974146</v>
      </c>
      <c r="O93">
        <f t="shared" si="35"/>
        <v>0.22174849964355556</v>
      </c>
      <c r="P93">
        <f t="shared" si="36"/>
        <v>0.30449500957981634</v>
      </c>
      <c r="Q93">
        <f t="shared" si="37"/>
        <v>0.92634248096846972</v>
      </c>
      <c r="R93">
        <f t="shared" si="44"/>
        <v>1</v>
      </c>
      <c r="AG93" s="8">
        <f t="shared" si="24"/>
        <v>-0.25296029320048941</v>
      </c>
      <c r="AH93" s="8">
        <f t="shared" si="25"/>
        <v>-6.4433426309246422E-2</v>
      </c>
      <c r="AI93" s="8">
        <f t="shared" si="26"/>
        <v>0.96532866094298342</v>
      </c>
      <c r="AJ93" s="8"/>
      <c r="AK93" s="8"/>
      <c r="AL93" s="8"/>
      <c r="AN93" s="8">
        <f t="shared" si="38"/>
        <v>1.0000000000000002</v>
      </c>
      <c r="AO93" s="8">
        <f t="shared" si="39"/>
        <v>3.3910064123164321</v>
      </c>
      <c r="AP93" s="8">
        <f t="shared" si="40"/>
        <v>0.26409681038292732</v>
      </c>
      <c r="AQ93" s="8"/>
      <c r="AR93" s="8">
        <f t="shared" si="41"/>
        <v>194.29035572753062</v>
      </c>
      <c r="AS93" s="8">
        <f t="shared" si="42"/>
        <v>74.868367382191479</v>
      </c>
    </row>
    <row r="94" spans="1:45">
      <c r="A94" s="19">
        <v>11.74506667</v>
      </c>
      <c r="B94" s="19">
        <v>602.27534219999995</v>
      </c>
      <c r="C94" s="19">
        <v>-49.334883230000003</v>
      </c>
      <c r="E94" s="9">
        <f t="shared" si="32"/>
        <v>357.72465780000005</v>
      </c>
      <c r="F94" s="9">
        <f t="shared" si="33"/>
        <v>490.66511677</v>
      </c>
      <c r="I94">
        <v>1</v>
      </c>
      <c r="J94">
        <f t="shared" si="22"/>
        <v>0.38559139157127709</v>
      </c>
      <c r="K94">
        <f t="shared" si="34"/>
        <v>0.94083159812551953</v>
      </c>
      <c r="O94">
        <f t="shared" si="35"/>
        <v>0.22157084943402522</v>
      </c>
      <c r="P94">
        <f t="shared" si="36"/>
        <v>0.30391275619349845</v>
      </c>
      <c r="Q94">
        <f t="shared" si="37"/>
        <v>0.92657616810705623</v>
      </c>
      <c r="R94">
        <f t="shared" si="44"/>
        <v>1</v>
      </c>
      <c r="AG94" s="8">
        <f t="shared" si="24"/>
        <v>-0.25232981688275136</v>
      </c>
      <c r="AH94" s="8">
        <f t="shared" si="25"/>
        <v>-6.446854018729932E-2</v>
      </c>
      <c r="AI94" s="8">
        <f t="shared" si="26"/>
        <v>0.96549131059685656</v>
      </c>
      <c r="AJ94" s="8"/>
      <c r="AK94" s="8"/>
      <c r="AL94" s="8"/>
      <c r="AN94" s="8">
        <f t="shared" si="38"/>
        <v>1</v>
      </c>
      <c r="AO94" s="8">
        <f t="shared" si="39"/>
        <v>3.3917346223123062</v>
      </c>
      <c r="AP94" s="8">
        <f t="shared" si="40"/>
        <v>0.26347300159213138</v>
      </c>
      <c r="AQ94" s="8"/>
      <c r="AR94" s="8">
        <f t="shared" si="41"/>
        <v>194.33207908689343</v>
      </c>
      <c r="AS94" s="8">
        <f t="shared" si="42"/>
        <v>74.904108993127252</v>
      </c>
    </row>
    <row r="95" spans="1:45">
      <c r="A95" s="19">
        <v>11.77843333</v>
      </c>
      <c r="B95" s="19">
        <v>602.32298519999995</v>
      </c>
      <c r="C95" s="19">
        <v>-49.630592139999997</v>
      </c>
      <c r="E95" s="9">
        <f t="shared" si="32"/>
        <v>357.67701480000005</v>
      </c>
      <c r="F95" s="9">
        <f t="shared" si="33"/>
        <v>490.36940786000002</v>
      </c>
      <c r="I95">
        <v>1</v>
      </c>
      <c r="J95">
        <f t="shared" si="22"/>
        <v>0.38543630953743097</v>
      </c>
      <c r="K95">
        <f t="shared" si="34"/>
        <v>0.94060800829323432</v>
      </c>
      <c r="O95">
        <f t="shared" si="35"/>
        <v>0.22155411382562998</v>
      </c>
      <c r="P95">
        <f t="shared" si="36"/>
        <v>0.30374711013054789</v>
      </c>
      <c r="Q95">
        <f t="shared" si="37"/>
        <v>0.92663448442969176</v>
      </c>
      <c r="R95">
        <f t="shared" si="44"/>
        <v>1</v>
      </c>
      <c r="AG95" s="8">
        <f t="shared" si="24"/>
        <v>-0.25216099760495569</v>
      </c>
      <c r="AH95" s="8">
        <f t="shared" si="25"/>
        <v>-6.4445396563271723E-2</v>
      </c>
      <c r="AI95" s="8">
        <f t="shared" si="26"/>
        <v>0.96553696052956783</v>
      </c>
      <c r="AJ95" s="8"/>
      <c r="AK95" s="8"/>
      <c r="AL95" s="8"/>
      <c r="AN95" s="8">
        <f t="shared" si="38"/>
        <v>1</v>
      </c>
      <c r="AO95" s="8">
        <f t="shared" si="39"/>
        <v>3.3918090325289936</v>
      </c>
      <c r="AP95" s="8">
        <f t="shared" si="40"/>
        <v>0.26329766138262789</v>
      </c>
      <c r="AQ95" s="8"/>
      <c r="AR95" s="8">
        <f t="shared" si="41"/>
        <v>194.33634247826228</v>
      </c>
      <c r="AS95" s="8">
        <f t="shared" si="42"/>
        <v>74.914155247110742</v>
      </c>
    </row>
    <row r="96" spans="1:45">
      <c r="A96" s="19">
        <v>11.8118</v>
      </c>
      <c r="B96" s="19">
        <v>602.51853080000001</v>
      </c>
      <c r="C96" s="19">
        <v>-50.184839369999999</v>
      </c>
      <c r="E96" s="9">
        <f t="shared" si="32"/>
        <v>357.48146919999999</v>
      </c>
      <c r="F96" s="9">
        <f t="shared" si="33"/>
        <v>489.81516062999998</v>
      </c>
      <c r="I96">
        <v>1</v>
      </c>
      <c r="J96">
        <f t="shared" ref="J96:J159" si="45">ATAN((SQRT(E96^2+F96^2)^$B$16)/($F$24))</f>
        <v>0.38510924110410116</v>
      </c>
      <c r="K96">
        <f t="shared" si="34"/>
        <v>0.94032991835650026</v>
      </c>
      <c r="O96">
        <f t="shared" si="35"/>
        <v>0.22145989441698152</v>
      </c>
      <c r="P96">
        <f t="shared" si="36"/>
        <v>0.30344066225225375</v>
      </c>
      <c r="Q96">
        <f t="shared" si="37"/>
        <v>0.92675740064848311</v>
      </c>
      <c r="R96">
        <f t="shared" si="44"/>
        <v>1</v>
      </c>
      <c r="AG96" s="8">
        <f t="shared" ref="AG96:AG159" si="46">$O96*$Z$27+$P96*$Z$31+$Q96*$Z$35</f>
        <v>-0.25182897194140302</v>
      </c>
      <c r="AH96" s="8">
        <f t="shared" ref="AH96:AH159" si="47">$O96*$AA$27+$P96*$AA$31+$Q96*$AA$35</f>
        <v>-6.4464534392994335E-2</v>
      </c>
      <c r="AI96" s="8">
        <f t="shared" ref="AI96:AI159" si="48">$AB$27*$O96+$P96*$AB$31+$AB$35*$Q96</f>
        <v>0.96562233440223944</v>
      </c>
      <c r="AJ96" s="8"/>
      <c r="AK96" s="8"/>
      <c r="AL96" s="8"/>
      <c r="AN96" s="8">
        <f t="shared" si="38"/>
        <v>0.99999999999999978</v>
      </c>
      <c r="AO96" s="8">
        <f t="shared" si="39"/>
        <v>3.3921966312958585</v>
      </c>
      <c r="AP96" s="8">
        <f t="shared" si="40"/>
        <v>0.26296943605972789</v>
      </c>
      <c r="AQ96" s="8"/>
      <c r="AR96" s="8">
        <f t="shared" si="41"/>
        <v>194.35855025174811</v>
      </c>
      <c r="AS96" s="8">
        <f t="shared" si="42"/>
        <v>74.932961172842226</v>
      </c>
    </row>
    <row r="97" spans="1:45">
      <c r="A97" s="19">
        <v>11.845166669999999</v>
      </c>
      <c r="B97" s="19">
        <v>603.84636780000005</v>
      </c>
      <c r="C97" s="19">
        <v>-51.280566589999999</v>
      </c>
      <c r="E97" s="9">
        <f t="shared" ref="E97:E160" si="49">-(B97-($B$15/2))</f>
        <v>356.15363219999995</v>
      </c>
      <c r="F97" s="9">
        <f t="shared" ref="F97:F160" si="50">(($C$15/2)+C97)</f>
        <v>488.71943341000002</v>
      </c>
      <c r="I97">
        <v>1</v>
      </c>
      <c r="J97">
        <f t="shared" si="45"/>
        <v>0.38413990772986673</v>
      </c>
      <c r="K97">
        <f t="shared" ref="K97:K160" si="51">ATAN2(E97,F97)</f>
        <v>0.94103537816903127</v>
      </c>
      <c r="O97">
        <f t="shared" ref="O97:O160" si="52">COS(K97)*SIN(J97)</f>
        <v>0.22071659335072127</v>
      </c>
      <c r="P97">
        <f t="shared" ref="P97:P160" si="53">SIN(K97)*SIN(J97)</f>
        <v>0.3028706678638497</v>
      </c>
      <c r="Q97">
        <f t="shared" ref="Q97:Q160" si="54">COS(J97)</f>
        <v>0.9271211053402667</v>
      </c>
      <c r="R97">
        <f t="shared" si="44"/>
        <v>1</v>
      </c>
      <c r="AG97" s="8">
        <f t="shared" si="46"/>
        <v>-0.25103442133161352</v>
      </c>
      <c r="AH97" s="8">
        <f t="shared" si="47"/>
        <v>-6.5056491971756947E-2</v>
      </c>
      <c r="AI97" s="8">
        <f t="shared" si="48"/>
        <v>0.96578950716966816</v>
      </c>
      <c r="AJ97" s="8"/>
      <c r="AK97" s="8"/>
      <c r="AL97" s="8"/>
      <c r="AN97" s="8">
        <f t="shared" ref="AN97:AN160" si="55">AG97^2+AH97^2+AI97^2</f>
        <v>0.99999999999999989</v>
      </c>
      <c r="AO97" s="8">
        <f t="shared" ref="AO97:AO160" si="56">IF(ATAN2(AG97,AH97)&gt;=0,ATAN2(AG97,AH97),ATAN2(AG97,AH97)+2*PI())</f>
        <v>3.3951678096007138</v>
      </c>
      <c r="AP97" s="8">
        <f t="shared" ref="AP97:AP160" si="57">ACOS(AI97/AN97)</f>
        <v>0.2623255678177312</v>
      </c>
      <c r="AQ97" s="8"/>
      <c r="AR97" s="8">
        <f t="shared" ref="AR97:AR160" si="58">DEGREES(AO97)</f>
        <v>194.52878622879717</v>
      </c>
      <c r="AS97" s="8">
        <f t="shared" ref="AS97:AS160" si="59">90-DEGREES(AP97)</f>
        <v>74.969852105671151</v>
      </c>
    </row>
    <row r="98" spans="1:45">
      <c r="A98" s="19">
        <v>11.87853333</v>
      </c>
      <c r="B98" s="19">
        <v>603.84442060000003</v>
      </c>
      <c r="C98" s="19">
        <v>-51.66821461</v>
      </c>
      <c r="E98" s="9">
        <f t="shared" si="49"/>
        <v>356.15557939999997</v>
      </c>
      <c r="F98" s="9">
        <f t="shared" si="50"/>
        <v>488.33178538999999</v>
      </c>
      <c r="I98">
        <v>1</v>
      </c>
      <c r="J98">
        <f t="shared" si="45"/>
        <v>0.3839584268108775</v>
      </c>
      <c r="K98">
        <f t="shared" si="51"/>
        <v>0.94065504271335632</v>
      </c>
      <c r="O98">
        <f t="shared" si="52"/>
        <v>0.22073262056662338</v>
      </c>
      <c r="P98">
        <f t="shared" si="53"/>
        <v>0.30265075413588383</v>
      </c>
      <c r="Q98">
        <f t="shared" si="54"/>
        <v>0.92718910220017792</v>
      </c>
      <c r="R98">
        <f t="shared" si="44"/>
        <v>1</v>
      </c>
      <c r="AG98" s="8">
        <f t="shared" si="46"/>
        <v>-0.2508222462830122</v>
      </c>
      <c r="AH98" s="8">
        <f t="shared" si="47"/>
        <v>-6.498824385375504E-2</v>
      </c>
      <c r="AI98" s="8">
        <f t="shared" si="48"/>
        <v>0.96584922681045249</v>
      </c>
      <c r="AJ98" s="8"/>
      <c r="AK98" s="8"/>
      <c r="AL98" s="8"/>
      <c r="AN98" s="8">
        <f t="shared" si="55"/>
        <v>1</v>
      </c>
      <c r="AO98" s="8">
        <f t="shared" si="56"/>
        <v>3.3951182617877578</v>
      </c>
      <c r="AP98" s="8">
        <f t="shared" si="57"/>
        <v>0.26209518219553218</v>
      </c>
      <c r="AQ98" s="8"/>
      <c r="AR98" s="8">
        <f t="shared" si="58"/>
        <v>194.52594734823069</v>
      </c>
      <c r="AS98" s="8">
        <f t="shared" si="59"/>
        <v>74.983052229483647</v>
      </c>
    </row>
    <row r="99" spans="1:45">
      <c r="A99" s="19">
        <v>11.911899999999999</v>
      </c>
      <c r="B99" s="19">
        <v>604.2627195</v>
      </c>
      <c r="C99" s="19">
        <v>-52.522911180000001</v>
      </c>
      <c r="E99" s="9">
        <f t="shared" si="49"/>
        <v>355.7372805</v>
      </c>
      <c r="F99" s="9">
        <f t="shared" si="50"/>
        <v>487.47708882000001</v>
      </c>
      <c r="I99">
        <v>1</v>
      </c>
      <c r="J99">
        <f t="shared" si="45"/>
        <v>0.38341340770114646</v>
      </c>
      <c r="K99">
        <f t="shared" si="51"/>
        <v>0.94038050742284851</v>
      </c>
      <c r="O99">
        <f t="shared" si="52"/>
        <v>0.22051778208957071</v>
      </c>
      <c r="P99">
        <f t="shared" si="53"/>
        <v>0.30218189753678926</v>
      </c>
      <c r="Q99">
        <f t="shared" si="54"/>
        <v>0.92739312515424766</v>
      </c>
      <c r="R99">
        <f t="shared" si="44"/>
        <v>1</v>
      </c>
      <c r="AG99" s="8">
        <f t="shared" si="46"/>
        <v>-0.25029232518919553</v>
      </c>
      <c r="AH99" s="8">
        <f t="shared" si="47"/>
        <v>-6.5086591367979216E-2</v>
      </c>
      <c r="AI99" s="8">
        <f t="shared" si="48"/>
        <v>0.96598006582718043</v>
      </c>
      <c r="AJ99" s="8"/>
      <c r="AK99" s="8"/>
      <c r="AL99" s="8"/>
      <c r="AN99" s="8">
        <f t="shared" si="55"/>
        <v>1.0000000000000002</v>
      </c>
      <c r="AO99" s="8">
        <f t="shared" si="56"/>
        <v>3.3960003312705918</v>
      </c>
      <c r="AP99" s="8">
        <f t="shared" si="57"/>
        <v>0.26158974029925375</v>
      </c>
      <c r="AQ99" s="8"/>
      <c r="AR99" s="8">
        <f t="shared" si="58"/>
        <v>194.57648620683435</v>
      </c>
      <c r="AS99" s="8">
        <f t="shared" si="59"/>
        <v>75.012011916929495</v>
      </c>
    </row>
    <row r="100" spans="1:45">
      <c r="A100" s="19">
        <v>11.945266670000001</v>
      </c>
      <c r="B100" s="19">
        <v>605.06342849999999</v>
      </c>
      <c r="C100" s="19">
        <v>-53.521029839999997</v>
      </c>
      <c r="E100" s="9">
        <f t="shared" si="49"/>
        <v>354.93657150000001</v>
      </c>
      <c r="F100" s="9">
        <f t="shared" si="50"/>
        <v>486.47897016000002</v>
      </c>
      <c r="I100">
        <v>1</v>
      </c>
      <c r="J100">
        <f t="shared" si="45"/>
        <v>0.38266952693062861</v>
      </c>
      <c r="K100">
        <f t="shared" si="51"/>
        <v>0.94047753041815974</v>
      </c>
      <c r="O100">
        <f t="shared" si="52"/>
        <v>0.22008179056192087</v>
      </c>
      <c r="P100">
        <f t="shared" si="53"/>
        <v>0.30164590357951343</v>
      </c>
      <c r="Q100">
        <f t="shared" si="54"/>
        <v>0.92767114556655128</v>
      </c>
      <c r="R100">
        <f t="shared" si="44"/>
        <v>1</v>
      </c>
      <c r="AG100" s="8">
        <f t="shared" si="46"/>
        <v>-0.24962725845299005</v>
      </c>
      <c r="AH100" s="8">
        <f t="shared" si="47"/>
        <v>-6.5385397543616969E-2</v>
      </c>
      <c r="AI100" s="8">
        <f t="shared" si="48"/>
        <v>0.96613196905252396</v>
      </c>
      <c r="AJ100" s="8"/>
      <c r="AK100" s="8"/>
      <c r="AL100" s="8"/>
      <c r="AN100" s="8">
        <f t="shared" si="55"/>
        <v>0.99999999999999978</v>
      </c>
      <c r="AO100" s="8">
        <f t="shared" si="56"/>
        <v>3.397769639912473</v>
      </c>
      <c r="AP100" s="8">
        <f t="shared" si="57"/>
        <v>0.26100172595255233</v>
      </c>
      <c r="AQ100" s="8"/>
      <c r="AR100" s="8">
        <f t="shared" si="58"/>
        <v>194.67786012467016</v>
      </c>
      <c r="AS100" s="8">
        <f t="shared" si="59"/>
        <v>75.045702657288629</v>
      </c>
    </row>
    <row r="101" spans="1:45">
      <c r="A101" s="19">
        <v>11.978633329999999</v>
      </c>
      <c r="B101" s="19">
        <v>605.21887649999996</v>
      </c>
      <c r="C101" s="19">
        <v>-53.658938999999997</v>
      </c>
      <c r="E101" s="9">
        <f t="shared" si="49"/>
        <v>354.78112350000004</v>
      </c>
      <c r="F101" s="9">
        <f t="shared" si="50"/>
        <v>486.34106100000002</v>
      </c>
      <c r="I101">
        <v>1</v>
      </c>
      <c r="J101">
        <f t="shared" si="45"/>
        <v>0.38255133598247404</v>
      </c>
      <c r="K101">
        <f t="shared" si="51"/>
        <v>0.94055110764341188</v>
      </c>
      <c r="O101">
        <f t="shared" si="52"/>
        <v>0.21999497723244801</v>
      </c>
      <c r="P101">
        <f t="shared" si="53"/>
        <v>0.30157351548580796</v>
      </c>
      <c r="Q101">
        <f t="shared" si="54"/>
        <v>0.92771527137911547</v>
      </c>
      <c r="R101">
        <f t="shared" si="44"/>
        <v>1</v>
      </c>
      <c r="AG101" s="8">
        <f t="shared" si="46"/>
        <v>-0.24952874336193295</v>
      </c>
      <c r="AH101" s="8">
        <f t="shared" si="47"/>
        <v>-6.545309623715756E-2</v>
      </c>
      <c r="AI101" s="8">
        <f t="shared" si="48"/>
        <v>0.96615283388767437</v>
      </c>
      <c r="AJ101" s="8"/>
      <c r="AK101" s="8"/>
      <c r="AL101" s="8"/>
      <c r="AN101" s="8">
        <f t="shared" si="55"/>
        <v>1</v>
      </c>
      <c r="AO101" s="8">
        <f t="shared" si="56"/>
        <v>3.3981202676567395</v>
      </c>
      <c r="AP101" s="8">
        <f t="shared" si="57"/>
        <v>0.26092085744973192</v>
      </c>
      <c r="AQ101" s="8"/>
      <c r="AR101" s="8">
        <f t="shared" si="58"/>
        <v>194.69794961459684</v>
      </c>
      <c r="AS101" s="8">
        <f t="shared" si="59"/>
        <v>75.05033608119578</v>
      </c>
    </row>
    <row r="102" spans="1:45">
      <c r="A102" s="19">
        <v>12.012</v>
      </c>
      <c r="B102" s="19">
        <v>605.50869209999996</v>
      </c>
      <c r="C102" s="19">
        <v>-54.497754780000001</v>
      </c>
      <c r="E102" s="9">
        <f t="shared" si="49"/>
        <v>354.49130790000004</v>
      </c>
      <c r="F102" s="9">
        <f t="shared" si="50"/>
        <v>485.50224522000002</v>
      </c>
      <c r="I102">
        <v>1</v>
      </c>
      <c r="J102">
        <f t="shared" si="45"/>
        <v>0.38205732614971938</v>
      </c>
      <c r="K102">
        <f t="shared" si="51"/>
        <v>0.94011824604734018</v>
      </c>
      <c r="O102">
        <f t="shared" si="52"/>
        <v>0.21985521300063932</v>
      </c>
      <c r="P102">
        <f t="shared" si="53"/>
        <v>0.3011080868737197</v>
      </c>
      <c r="Q102">
        <f t="shared" si="54"/>
        <v>0.92789956640559546</v>
      </c>
      <c r="R102">
        <f t="shared" si="44"/>
        <v>1</v>
      </c>
      <c r="AG102" s="8">
        <f t="shared" si="46"/>
        <v>-0.24902567938206024</v>
      </c>
      <c r="AH102" s="8">
        <f t="shared" si="47"/>
        <v>-6.5478587343296021E-2</v>
      </c>
      <c r="AI102" s="8">
        <f t="shared" si="48"/>
        <v>0.96628089374044324</v>
      </c>
      <c r="AJ102" s="8"/>
      <c r="AK102" s="8"/>
      <c r="AL102" s="8"/>
      <c r="AN102" s="8">
        <f t="shared" si="55"/>
        <v>1</v>
      </c>
      <c r="AO102" s="8">
        <f t="shared" si="56"/>
        <v>3.3987117309335191</v>
      </c>
      <c r="AP102" s="8">
        <f t="shared" si="57"/>
        <v>0.2604239820438754</v>
      </c>
      <c r="AQ102" s="8"/>
      <c r="AR102" s="8">
        <f t="shared" si="58"/>
        <v>194.73183796409327</v>
      </c>
      <c r="AS102" s="8">
        <f t="shared" si="59"/>
        <v>75.078804944895211</v>
      </c>
    </row>
    <row r="103" spans="1:45">
      <c r="A103" s="19">
        <v>12.04536667</v>
      </c>
      <c r="B103" s="19">
        <v>606.05015130000004</v>
      </c>
      <c r="C103" s="19">
        <v>-55.318501429999998</v>
      </c>
      <c r="E103" s="9">
        <f t="shared" si="49"/>
        <v>353.94984869999996</v>
      </c>
      <c r="F103" s="9">
        <f t="shared" si="50"/>
        <v>484.68149857000003</v>
      </c>
      <c r="I103">
        <v>1</v>
      </c>
      <c r="J103">
        <f t="shared" si="45"/>
        <v>0.38148520736718639</v>
      </c>
      <c r="K103">
        <f t="shared" si="51"/>
        <v>0.94004044954681787</v>
      </c>
      <c r="O103">
        <f t="shared" si="52"/>
        <v>0.21956551882021458</v>
      </c>
      <c r="P103">
        <f t="shared" si="53"/>
        <v>0.30066221270313304</v>
      </c>
      <c r="Q103">
        <f t="shared" si="54"/>
        <v>0.92811271772218806</v>
      </c>
      <c r="R103">
        <f t="shared" si="44"/>
        <v>1</v>
      </c>
      <c r="AG103" s="8">
        <f t="shared" si="46"/>
        <v>-0.24849525837479128</v>
      </c>
      <c r="AH103" s="8">
        <f t="shared" si="47"/>
        <v>-6.5655515715597496E-2</v>
      </c>
      <c r="AI103" s="8">
        <f t="shared" si="48"/>
        <v>0.96640543242542087</v>
      </c>
      <c r="AJ103" s="8"/>
      <c r="AK103" s="8"/>
      <c r="AL103" s="8"/>
      <c r="AN103" s="8">
        <f t="shared" si="55"/>
        <v>1</v>
      </c>
      <c r="AO103" s="8">
        <f t="shared" si="56"/>
        <v>3.3999022721680809</v>
      </c>
      <c r="AP103" s="8">
        <f t="shared" si="57"/>
        <v>0.25993987862033796</v>
      </c>
      <c r="AQ103" s="8"/>
      <c r="AR103" s="8">
        <f t="shared" si="58"/>
        <v>194.80005095216998</v>
      </c>
      <c r="AS103" s="8">
        <f t="shared" si="59"/>
        <v>75.106542027911729</v>
      </c>
    </row>
    <row r="104" spans="1:45">
      <c r="A104" s="19">
        <v>12.07873333</v>
      </c>
      <c r="B104" s="19">
        <v>606.21508919999997</v>
      </c>
      <c r="C104" s="19">
        <v>-55.637062059999998</v>
      </c>
      <c r="E104" s="9">
        <f t="shared" si="49"/>
        <v>353.78491080000003</v>
      </c>
      <c r="F104" s="9">
        <f t="shared" si="50"/>
        <v>484.36293793999999</v>
      </c>
      <c r="I104">
        <v>1</v>
      </c>
      <c r="J104">
        <f t="shared" si="45"/>
        <v>0.38127862350752639</v>
      </c>
      <c r="K104">
        <f t="shared" si="51"/>
        <v>0.93994930063469428</v>
      </c>
      <c r="O104">
        <f t="shared" si="52"/>
        <v>0.21947982851604042</v>
      </c>
      <c r="P104">
        <f t="shared" si="53"/>
        <v>0.30048736199123594</v>
      </c>
      <c r="Q104">
        <f t="shared" si="54"/>
        <v>0.92818960894750235</v>
      </c>
      <c r="R104">
        <f t="shared" si="44"/>
        <v>1</v>
      </c>
      <c r="AG104" s="8">
        <f t="shared" si="46"/>
        <v>-0.24829595561298454</v>
      </c>
      <c r="AH104" s="8">
        <f t="shared" si="47"/>
        <v>-6.569754774279353E-2</v>
      </c>
      <c r="AI104" s="8">
        <f t="shared" si="48"/>
        <v>0.96645380161020533</v>
      </c>
      <c r="AJ104" s="8"/>
      <c r="AK104" s="8"/>
      <c r="AL104" s="8"/>
      <c r="AN104" s="8">
        <f t="shared" si="55"/>
        <v>1</v>
      </c>
      <c r="AO104" s="8">
        <f t="shared" si="56"/>
        <v>3.4002587142049165</v>
      </c>
      <c r="AP104" s="8">
        <f t="shared" si="57"/>
        <v>0.2597516214856046</v>
      </c>
      <c r="AQ104" s="8"/>
      <c r="AR104" s="8">
        <f t="shared" si="58"/>
        <v>194.82047357652169</v>
      </c>
      <c r="AS104" s="8">
        <f t="shared" si="59"/>
        <v>75.117328367195185</v>
      </c>
    </row>
    <row r="105" spans="1:45">
      <c r="A105" s="19">
        <v>12.1121</v>
      </c>
      <c r="B105" s="19">
        <v>606.87179289999995</v>
      </c>
      <c r="C105" s="19">
        <v>-56.523192520000002</v>
      </c>
      <c r="E105" s="9">
        <f t="shared" si="49"/>
        <v>353.12820710000005</v>
      </c>
      <c r="F105" s="9">
        <f t="shared" si="50"/>
        <v>483.47680747999999</v>
      </c>
      <c r="I105">
        <v>1</v>
      </c>
      <c r="J105">
        <f t="shared" si="45"/>
        <v>0.380635753945335</v>
      </c>
      <c r="K105">
        <f t="shared" si="51"/>
        <v>0.93996206372078872</v>
      </c>
      <c r="O105">
        <f t="shared" si="52"/>
        <v>0.21912400036987667</v>
      </c>
      <c r="P105">
        <f t="shared" si="53"/>
        <v>0.30000824066448323</v>
      </c>
      <c r="Q105">
        <f t="shared" si="54"/>
        <v>0.92842863376530127</v>
      </c>
      <c r="R105">
        <f t="shared" si="44"/>
        <v>1</v>
      </c>
      <c r="AG105" s="8">
        <f t="shared" si="46"/>
        <v>-0.24771217470034751</v>
      </c>
      <c r="AH105" s="8">
        <f t="shared" si="47"/>
        <v>-6.5931166879005007E-2</v>
      </c>
      <c r="AI105" s="8">
        <f t="shared" si="48"/>
        <v>0.9665876885928133</v>
      </c>
      <c r="AJ105" s="8"/>
      <c r="AK105" s="8"/>
      <c r="AL105" s="8"/>
      <c r="AN105" s="8">
        <f t="shared" si="55"/>
        <v>1.0000000000000002</v>
      </c>
      <c r="AO105" s="8">
        <f t="shared" si="56"/>
        <v>3.4017223127566205</v>
      </c>
      <c r="AP105" s="8">
        <f t="shared" si="57"/>
        <v>0.25922982468653921</v>
      </c>
      <c r="AQ105" s="8"/>
      <c r="AR105" s="8">
        <f t="shared" si="58"/>
        <v>194.90433159643578</v>
      </c>
      <c r="AS105" s="8">
        <f t="shared" si="59"/>
        <v>75.147225121545063</v>
      </c>
    </row>
    <row r="106" spans="1:45">
      <c r="A106" s="19">
        <v>12.145466669999999</v>
      </c>
      <c r="B106" s="19">
        <v>607.17029739999998</v>
      </c>
      <c r="C106" s="19">
        <v>-57.333500290000003</v>
      </c>
      <c r="E106" s="9">
        <f t="shared" si="49"/>
        <v>352.82970260000002</v>
      </c>
      <c r="F106" s="9">
        <f t="shared" si="50"/>
        <v>482.66649970999998</v>
      </c>
      <c r="I106">
        <v>1</v>
      </c>
      <c r="J106">
        <f t="shared" si="45"/>
        <v>0.38015153895327336</v>
      </c>
      <c r="K106">
        <f t="shared" si="51"/>
        <v>0.93956585850573615</v>
      </c>
      <c r="O106">
        <f t="shared" si="52"/>
        <v>0.21897752016531594</v>
      </c>
      <c r="P106">
        <f t="shared" si="53"/>
        <v>0.29955843398250503</v>
      </c>
      <c r="Q106">
        <f t="shared" si="54"/>
        <v>0.92860841601409028</v>
      </c>
      <c r="R106">
        <f t="shared" si="44"/>
        <v>1</v>
      </c>
      <c r="AG106" s="8">
        <f t="shared" si="46"/>
        <v>-0.24722255449099173</v>
      </c>
      <c r="AH106" s="8">
        <f t="shared" si="47"/>
        <v>-6.5966773403936682E-2</v>
      </c>
      <c r="AI106" s="8">
        <f t="shared" si="48"/>
        <v>0.96671060476112614</v>
      </c>
      <c r="AJ106" s="8"/>
      <c r="AK106" s="8"/>
      <c r="AL106" s="8"/>
      <c r="AN106" s="8">
        <f t="shared" si="55"/>
        <v>0.99999999999999989</v>
      </c>
      <c r="AO106" s="8">
        <f t="shared" si="56"/>
        <v>3.4023489606126547</v>
      </c>
      <c r="AP106" s="8">
        <f t="shared" si="57"/>
        <v>0.25874987879694533</v>
      </c>
      <c r="AQ106" s="8"/>
      <c r="AR106" s="8">
        <f t="shared" si="58"/>
        <v>194.94023587382748</v>
      </c>
      <c r="AS106" s="8">
        <f t="shared" si="59"/>
        <v>75.174723995413444</v>
      </c>
    </row>
    <row r="107" spans="1:45">
      <c r="A107" s="19">
        <v>12.17883333</v>
      </c>
      <c r="B107" s="19">
        <v>608.04854569999998</v>
      </c>
      <c r="C107" s="19">
        <v>-57.656598289999998</v>
      </c>
      <c r="E107" s="9">
        <f t="shared" si="49"/>
        <v>351.95145430000002</v>
      </c>
      <c r="F107" s="9">
        <f t="shared" si="50"/>
        <v>482.34340171000002</v>
      </c>
      <c r="I107">
        <v>1</v>
      </c>
      <c r="J107">
        <f t="shared" si="45"/>
        <v>0.37969717368965988</v>
      </c>
      <c r="K107">
        <f t="shared" si="51"/>
        <v>0.94043395690057063</v>
      </c>
      <c r="O107">
        <f t="shared" si="52"/>
        <v>0.21846866907725199</v>
      </c>
      <c r="P107">
        <f t="shared" si="53"/>
        <v>0.29940754533707864</v>
      </c>
      <c r="Q107">
        <f t="shared" si="54"/>
        <v>0.9287769174709497</v>
      </c>
      <c r="R107">
        <f t="shared" si="44"/>
        <v>1</v>
      </c>
      <c r="AG107" s="8">
        <f t="shared" si="46"/>
        <v>-0.24691520445844178</v>
      </c>
      <c r="AH107" s="8">
        <f t="shared" si="47"/>
        <v>-6.6428752258491458E-2</v>
      </c>
      <c r="AI107" s="8">
        <f t="shared" si="48"/>
        <v>0.96675752010554628</v>
      </c>
      <c r="AJ107" s="8"/>
      <c r="AK107" s="8"/>
      <c r="AL107" s="8"/>
      <c r="AN107" s="8">
        <f t="shared" si="55"/>
        <v>0.99999999999999978</v>
      </c>
      <c r="AO107" s="8">
        <f t="shared" si="56"/>
        <v>3.4044045370980265</v>
      </c>
      <c r="AP107" s="8">
        <f t="shared" si="57"/>
        <v>0.25856646067941491</v>
      </c>
      <c r="AQ107" s="8"/>
      <c r="AR107" s="8">
        <f t="shared" si="58"/>
        <v>195.0580117309056</v>
      </c>
      <c r="AS107" s="8">
        <f t="shared" si="59"/>
        <v>75.18523307943417</v>
      </c>
    </row>
    <row r="108" spans="1:45">
      <c r="A108" s="19">
        <v>12.212199999999999</v>
      </c>
      <c r="B108" s="19">
        <v>608.14784259999999</v>
      </c>
      <c r="C108" s="19">
        <v>-58.611339280000003</v>
      </c>
      <c r="E108" s="9">
        <f t="shared" si="49"/>
        <v>351.85215740000001</v>
      </c>
      <c r="F108" s="9">
        <f t="shared" si="50"/>
        <v>481.38866072000002</v>
      </c>
      <c r="I108">
        <v>1</v>
      </c>
      <c r="J108">
        <f t="shared" si="45"/>
        <v>0.37921306755387135</v>
      </c>
      <c r="K108">
        <f t="shared" si="51"/>
        <v>0.93962467791062154</v>
      </c>
      <c r="O108">
        <f t="shared" si="52"/>
        <v>0.21844555547981653</v>
      </c>
      <c r="P108">
        <f t="shared" si="53"/>
        <v>0.29886761010567942</v>
      </c>
      <c r="Q108">
        <f t="shared" si="54"/>
        <v>0.92895623735504029</v>
      </c>
      <c r="R108">
        <f t="shared" si="44"/>
        <v>1</v>
      </c>
      <c r="AG108" s="8">
        <f t="shared" si="46"/>
        <v>-0.24637507690514515</v>
      </c>
      <c r="AH108" s="8">
        <f t="shared" si="47"/>
        <v>-6.6321886404404715E-2</v>
      </c>
      <c r="AI108" s="8">
        <f t="shared" si="48"/>
        <v>0.96690264704557771</v>
      </c>
      <c r="AJ108" s="8"/>
      <c r="AK108" s="8"/>
      <c r="AL108" s="8"/>
      <c r="AN108" s="8">
        <f t="shared" si="55"/>
        <v>0.99999999999999989</v>
      </c>
      <c r="AO108" s="8">
        <f t="shared" si="56"/>
        <v>3.4045500502449384</v>
      </c>
      <c r="AP108" s="8">
        <f t="shared" si="57"/>
        <v>0.25799827185754709</v>
      </c>
      <c r="AQ108" s="8"/>
      <c r="AR108" s="8">
        <f t="shared" si="58"/>
        <v>195.06634902008733</v>
      </c>
      <c r="AS108" s="8">
        <f t="shared" si="59"/>
        <v>75.217787900893711</v>
      </c>
    </row>
    <row r="109" spans="1:45">
      <c r="A109" s="19">
        <v>12.245566670000001</v>
      </c>
      <c r="B109" s="19">
        <v>608.58910479999997</v>
      </c>
      <c r="C109" s="19">
        <v>-59.383445639999998</v>
      </c>
      <c r="E109" s="9">
        <f t="shared" si="49"/>
        <v>351.41089520000003</v>
      </c>
      <c r="F109" s="9">
        <f t="shared" si="50"/>
        <v>480.61655436000001</v>
      </c>
      <c r="I109">
        <v>1</v>
      </c>
      <c r="J109">
        <f t="shared" si="45"/>
        <v>0.37869717179720697</v>
      </c>
      <c r="K109">
        <f t="shared" si="51"/>
        <v>0.93945778403322822</v>
      </c>
      <c r="O109">
        <f t="shared" si="52"/>
        <v>0.21821254002744231</v>
      </c>
      <c r="P109">
        <f t="shared" si="53"/>
        <v>0.29844424444052603</v>
      </c>
      <c r="Q109">
        <f t="shared" si="54"/>
        <v>0.92914709294874054</v>
      </c>
      <c r="R109">
        <f t="shared" si="44"/>
        <v>1</v>
      </c>
      <c r="AG109" s="8">
        <f t="shared" si="46"/>
        <v>-0.24588470117031888</v>
      </c>
      <c r="AH109" s="8">
        <f t="shared" si="47"/>
        <v>-6.6448396925483655E-2</v>
      </c>
      <c r="AI109" s="8">
        <f t="shared" si="48"/>
        <v>0.96701878175990785</v>
      </c>
      <c r="AJ109" s="8"/>
      <c r="AK109" s="8"/>
      <c r="AL109" s="8"/>
      <c r="AN109" s="8">
        <f t="shared" si="55"/>
        <v>0.99999999999999989</v>
      </c>
      <c r="AO109" s="8">
        <f t="shared" si="56"/>
        <v>3.4055301203277155</v>
      </c>
      <c r="AP109" s="8">
        <f t="shared" si="57"/>
        <v>0.25754270821704517</v>
      </c>
      <c r="AQ109" s="8"/>
      <c r="AR109" s="8">
        <f t="shared" si="58"/>
        <v>195.12250289945749</v>
      </c>
      <c r="AS109" s="8">
        <f t="shared" si="59"/>
        <v>75.243889774794084</v>
      </c>
    </row>
    <row r="110" spans="1:45">
      <c r="A110" s="19">
        <v>12.278933329999999</v>
      </c>
      <c r="B110" s="19">
        <v>608.9814642</v>
      </c>
      <c r="C110" s="19">
        <v>-59.945725039999999</v>
      </c>
      <c r="E110" s="9">
        <f t="shared" si="49"/>
        <v>351.0185358</v>
      </c>
      <c r="F110" s="9">
        <f t="shared" si="50"/>
        <v>480.05427495999999</v>
      </c>
      <c r="I110">
        <v>1</v>
      </c>
      <c r="J110">
        <f t="shared" si="45"/>
        <v>0.37829687095144476</v>
      </c>
      <c r="K110">
        <f t="shared" si="51"/>
        <v>0.93943231848004649</v>
      </c>
      <c r="O110">
        <f t="shared" si="52"/>
        <v>0.21800058725694466</v>
      </c>
      <c r="P110">
        <f t="shared" si="53"/>
        <v>0.29813842627420245</v>
      </c>
      <c r="Q110">
        <f t="shared" si="54"/>
        <v>0.9292950138327275</v>
      </c>
      <c r="R110">
        <f t="shared" si="44"/>
        <v>1</v>
      </c>
      <c r="AG110" s="8">
        <f t="shared" si="46"/>
        <v>-0.24551691835015846</v>
      </c>
      <c r="AH110" s="8">
        <f t="shared" si="47"/>
        <v>-6.6582455913573771E-2</v>
      </c>
      <c r="AI110" s="8">
        <f t="shared" si="48"/>
        <v>0.96710300349464262</v>
      </c>
      <c r="AJ110" s="8"/>
      <c r="AK110" s="8"/>
      <c r="AL110" s="8"/>
      <c r="AN110" s="8">
        <f t="shared" si="55"/>
        <v>1</v>
      </c>
      <c r="AO110" s="8">
        <f t="shared" si="56"/>
        <v>3.4064160413956541</v>
      </c>
      <c r="AP110" s="8">
        <f t="shared" si="57"/>
        <v>0.25721183664479819</v>
      </c>
      <c r="AQ110" s="8"/>
      <c r="AR110" s="8">
        <f t="shared" si="58"/>
        <v>195.1732624376321</v>
      </c>
      <c r="AS110" s="8">
        <f t="shared" si="59"/>
        <v>75.262847319444688</v>
      </c>
    </row>
    <row r="111" spans="1:45">
      <c r="A111" s="19">
        <v>12.3123</v>
      </c>
      <c r="B111" s="19">
        <v>609.15425549999998</v>
      </c>
      <c r="C111" s="19">
        <v>-60.547345749999998</v>
      </c>
      <c r="E111" s="9">
        <f t="shared" si="49"/>
        <v>350.84574450000002</v>
      </c>
      <c r="F111" s="9">
        <f t="shared" si="50"/>
        <v>479.45265425000002</v>
      </c>
      <c r="I111">
        <v>1</v>
      </c>
      <c r="J111">
        <f t="shared" si="45"/>
        <v>0.37795363354760841</v>
      </c>
      <c r="K111">
        <f t="shared" si="51"/>
        <v>0.93906938395448536</v>
      </c>
      <c r="O111">
        <f t="shared" si="52"/>
        <v>0.21792040116566563</v>
      </c>
      <c r="P111">
        <f t="shared" si="53"/>
        <v>0.29780185848628177</v>
      </c>
      <c r="Q111">
        <f t="shared" si="54"/>
        <v>0.92942172980725601</v>
      </c>
      <c r="R111">
        <f t="shared" si="44"/>
        <v>1</v>
      </c>
      <c r="AG111" s="8">
        <f t="shared" si="46"/>
        <v>-0.24515981323436287</v>
      </c>
      <c r="AH111" s="8">
        <f t="shared" si="47"/>
        <v>-6.6580129259140391E-2</v>
      </c>
      <c r="AI111" s="8">
        <f t="shared" si="48"/>
        <v>0.96719375120124129</v>
      </c>
      <c r="AJ111" s="8"/>
      <c r="AK111" s="8"/>
      <c r="AL111" s="8"/>
      <c r="AN111" s="8">
        <f t="shared" si="55"/>
        <v>1.0000000000000002</v>
      </c>
      <c r="AO111" s="8">
        <f t="shared" si="56"/>
        <v>3.4067751296512041</v>
      </c>
      <c r="AP111" s="8">
        <f t="shared" si="57"/>
        <v>0.256854860834276</v>
      </c>
      <c r="AQ111" s="8"/>
      <c r="AR111" s="8">
        <f t="shared" si="58"/>
        <v>195.19383667914784</v>
      </c>
      <c r="AS111" s="8">
        <f t="shared" si="59"/>
        <v>75.283300526775875</v>
      </c>
    </row>
    <row r="112" spans="1:45">
      <c r="A112" s="19">
        <v>12.34566667</v>
      </c>
      <c r="B112" s="19">
        <v>609.40805220000004</v>
      </c>
      <c r="C112" s="19">
        <v>-61.359227709999999</v>
      </c>
      <c r="E112" s="9">
        <f t="shared" si="49"/>
        <v>350.59194779999996</v>
      </c>
      <c r="F112" s="9">
        <f t="shared" si="50"/>
        <v>478.64077228999997</v>
      </c>
      <c r="I112">
        <v>1</v>
      </c>
      <c r="J112">
        <f t="shared" si="45"/>
        <v>0.37748324855601662</v>
      </c>
      <c r="K112">
        <f t="shared" si="51"/>
        <v>0.93860649947518626</v>
      </c>
      <c r="O112">
        <f t="shared" si="52"/>
        <v>0.21779986274251409</v>
      </c>
      <c r="P112">
        <f t="shared" si="53"/>
        <v>0.29734822822343482</v>
      </c>
      <c r="Q112">
        <f t="shared" si="54"/>
        <v>0.92959520812110796</v>
      </c>
      <c r="R112">
        <f t="shared" si="44"/>
        <v>1</v>
      </c>
      <c r="AG112" s="8">
        <f t="shared" si="46"/>
        <v>-0.24467464942121359</v>
      </c>
      <c r="AH112" s="8">
        <f t="shared" si="47"/>
        <v>-6.6589146296358939E-2</v>
      </c>
      <c r="AI112" s="8">
        <f t="shared" si="48"/>
        <v>0.96731597811993586</v>
      </c>
      <c r="AJ112" s="8"/>
      <c r="AK112" s="8"/>
      <c r="AL112" s="8"/>
      <c r="AN112" s="8">
        <f t="shared" si="55"/>
        <v>0.99999999999999989</v>
      </c>
      <c r="AO112" s="8">
        <f t="shared" si="56"/>
        <v>3.4073108949958932</v>
      </c>
      <c r="AP112" s="8">
        <f t="shared" si="57"/>
        <v>0.25637328649032098</v>
      </c>
      <c r="AQ112" s="8"/>
      <c r="AR112" s="8">
        <f t="shared" si="58"/>
        <v>195.22453377220791</v>
      </c>
      <c r="AS112" s="8">
        <f t="shared" si="59"/>
        <v>75.310892704206282</v>
      </c>
    </row>
    <row r="113" spans="1:45">
      <c r="A113" s="19">
        <v>12.37903333</v>
      </c>
      <c r="B113" s="19">
        <v>610.01338840000005</v>
      </c>
      <c r="C113" s="19">
        <v>-61.95988329</v>
      </c>
      <c r="E113" s="9">
        <f t="shared" si="49"/>
        <v>349.98661159999995</v>
      </c>
      <c r="F113" s="9">
        <f t="shared" si="50"/>
        <v>478.04011671000001</v>
      </c>
      <c r="I113">
        <v>1</v>
      </c>
      <c r="J113">
        <f t="shared" si="45"/>
        <v>0.37699091978787624</v>
      </c>
      <c r="K113">
        <f t="shared" si="51"/>
        <v>0.93883167978201698</v>
      </c>
      <c r="O113">
        <f t="shared" si="52"/>
        <v>0.21746251606142811</v>
      </c>
      <c r="P113">
        <f t="shared" si="53"/>
        <v>0.29702795224883216</v>
      </c>
      <c r="Q113">
        <f t="shared" si="54"/>
        <v>0.92977655901356138</v>
      </c>
      <c r="R113">
        <f t="shared" si="44"/>
        <v>1</v>
      </c>
      <c r="AG113" s="8">
        <f t="shared" si="46"/>
        <v>-0.24425364188928611</v>
      </c>
      <c r="AH113" s="8">
        <f t="shared" si="47"/>
        <v>-6.6842348795610185E-2</v>
      </c>
      <c r="AI113" s="8">
        <f t="shared" si="48"/>
        <v>0.96740490945172808</v>
      </c>
      <c r="AJ113" s="8"/>
      <c r="AK113" s="8"/>
      <c r="AL113" s="8"/>
      <c r="AN113" s="8">
        <f t="shared" si="55"/>
        <v>0.99999999999999978</v>
      </c>
      <c r="AO113" s="8">
        <f t="shared" si="56"/>
        <v>3.4087122591477339</v>
      </c>
      <c r="AP113" s="8">
        <f t="shared" si="57"/>
        <v>0.25602234007911839</v>
      </c>
      <c r="AQ113" s="8"/>
      <c r="AR113" s="8">
        <f t="shared" si="58"/>
        <v>195.30482602366931</v>
      </c>
      <c r="AS113" s="8">
        <f t="shared" si="59"/>
        <v>75.331000452403458</v>
      </c>
    </row>
    <row r="114" spans="1:45">
      <c r="A114" s="19">
        <v>12.4124</v>
      </c>
      <c r="B114" s="19">
        <v>610.9908021</v>
      </c>
      <c r="C114" s="19">
        <v>-63.064581060000002</v>
      </c>
      <c r="E114" s="9">
        <f t="shared" si="49"/>
        <v>349.0091979</v>
      </c>
      <c r="F114" s="9">
        <f t="shared" si="50"/>
        <v>476.93541893999998</v>
      </c>
      <c r="I114">
        <v>1</v>
      </c>
      <c r="J114">
        <f t="shared" si="45"/>
        <v>0.37613196194920484</v>
      </c>
      <c r="K114">
        <f t="shared" si="51"/>
        <v>0.93906191020842733</v>
      </c>
      <c r="O114">
        <f t="shared" si="52"/>
        <v>0.21692241283771072</v>
      </c>
      <c r="P114">
        <f t="shared" si="53"/>
        <v>0.29643339621631554</v>
      </c>
      <c r="Q114">
        <f t="shared" si="54"/>
        <v>0.93009241928763542</v>
      </c>
      <c r="R114">
        <f t="shared" si="44"/>
        <v>1</v>
      </c>
      <c r="AG114" s="8">
        <f t="shared" si="46"/>
        <v>-0.24349896147119016</v>
      </c>
      <c r="AH114" s="8">
        <f t="shared" si="47"/>
        <v>-6.7227960260553388E-2</v>
      </c>
      <c r="AI114" s="8">
        <f t="shared" si="48"/>
        <v>0.96756842503342222</v>
      </c>
      <c r="AJ114" s="8"/>
      <c r="AK114" s="8"/>
      <c r="AL114" s="8"/>
      <c r="AN114" s="8">
        <f t="shared" si="55"/>
        <v>0.99999999999999989</v>
      </c>
      <c r="AO114" s="8">
        <f t="shared" si="56"/>
        <v>3.410973212991256</v>
      </c>
      <c r="AP114" s="8">
        <f t="shared" si="57"/>
        <v>0.2553758336622387</v>
      </c>
      <c r="AQ114" s="8"/>
      <c r="AR114" s="8">
        <f t="shared" si="58"/>
        <v>195.434369136577</v>
      </c>
      <c r="AS114" s="8">
        <f t="shared" si="59"/>
        <v>75.36804254151879</v>
      </c>
    </row>
    <row r="115" spans="1:45">
      <c r="A115" s="19">
        <v>12.445766669999999</v>
      </c>
      <c r="B115" s="19">
        <v>610.99787779999997</v>
      </c>
      <c r="C115" s="19">
        <v>-63.359860269999999</v>
      </c>
      <c r="E115" s="9">
        <f t="shared" si="49"/>
        <v>349.00212220000003</v>
      </c>
      <c r="F115" s="9">
        <f t="shared" si="50"/>
        <v>476.64013972999999</v>
      </c>
      <c r="I115">
        <v>1</v>
      </c>
      <c r="J115">
        <f t="shared" si="45"/>
        <v>0.37599011741508948</v>
      </c>
      <c r="K115">
        <f t="shared" si="51"/>
        <v>0.93877640030407239</v>
      </c>
      <c r="O115">
        <f t="shared" si="52"/>
        <v>0.21692909631432927</v>
      </c>
      <c r="P115">
        <f t="shared" si="53"/>
        <v>0.29626500299477126</v>
      </c>
      <c r="Q115">
        <f t="shared" si="54"/>
        <v>0.93014451305845836</v>
      </c>
      <c r="R115">
        <f t="shared" si="44"/>
        <v>1</v>
      </c>
      <c r="AG115" s="8">
        <f t="shared" si="46"/>
        <v>-0.243334893698927</v>
      </c>
      <c r="AH115" s="8">
        <f t="shared" si="47"/>
        <v>-6.7180922803020987E-2</v>
      </c>
      <c r="AI115" s="8">
        <f t="shared" si="48"/>
        <v>0.96761296659349616</v>
      </c>
      <c r="AJ115" s="8"/>
      <c r="AK115" s="8"/>
      <c r="AL115" s="8"/>
      <c r="AN115" s="8">
        <f t="shared" si="55"/>
        <v>0.99999999999999989</v>
      </c>
      <c r="AO115" s="8">
        <f t="shared" si="56"/>
        <v>3.4109665697084872</v>
      </c>
      <c r="AP115" s="8">
        <f t="shared" si="57"/>
        <v>0.25519944802601935</v>
      </c>
      <c r="AQ115" s="8"/>
      <c r="AR115" s="8">
        <f t="shared" si="58"/>
        <v>195.43398850451223</v>
      </c>
      <c r="AS115" s="8">
        <f t="shared" si="59"/>
        <v>75.378148694040888</v>
      </c>
    </row>
    <row r="116" spans="1:45">
      <c r="A116" s="19">
        <v>12.47913333</v>
      </c>
      <c r="B116" s="19">
        <v>611.05405829999995</v>
      </c>
      <c r="C116" s="19">
        <v>-63.983049469999997</v>
      </c>
      <c r="E116" s="9">
        <f t="shared" si="49"/>
        <v>348.94594170000005</v>
      </c>
      <c r="F116" s="9">
        <f t="shared" si="50"/>
        <v>476.01695053000003</v>
      </c>
      <c r="I116">
        <v>1</v>
      </c>
      <c r="J116">
        <f t="shared" si="45"/>
        <v>0.37567652432591686</v>
      </c>
      <c r="K116">
        <f t="shared" si="51"/>
        <v>0.93822942022275013</v>
      </c>
      <c r="O116">
        <f t="shared" si="52"/>
        <v>0.21691865400588878</v>
      </c>
      <c r="P116">
        <f t="shared" si="53"/>
        <v>0.29591103908504163</v>
      </c>
      <c r="Q116">
        <f t="shared" si="54"/>
        <v>0.93025961671561586</v>
      </c>
      <c r="R116">
        <f t="shared" si="44"/>
        <v>1</v>
      </c>
      <c r="AG116" s="8">
        <f t="shared" si="46"/>
        <v>-0.24298241555261513</v>
      </c>
      <c r="AH116" s="8">
        <f t="shared" si="47"/>
        <v>-6.7105993718678203E-2</v>
      </c>
      <c r="AI116" s="8">
        <f t="shared" si="48"/>
        <v>0.96770673829381026</v>
      </c>
      <c r="AJ116" s="8"/>
      <c r="AK116" s="8"/>
      <c r="AL116" s="8"/>
      <c r="AN116" s="8">
        <f t="shared" si="55"/>
        <v>1</v>
      </c>
      <c r="AO116" s="8">
        <f t="shared" si="56"/>
        <v>3.411052167297886</v>
      </c>
      <c r="AP116" s="8">
        <f t="shared" si="57"/>
        <v>0.25482771949711669</v>
      </c>
      <c r="AQ116" s="8"/>
      <c r="AR116" s="8">
        <f t="shared" si="58"/>
        <v>195.43889288512128</v>
      </c>
      <c r="AS116" s="8">
        <f t="shared" si="59"/>
        <v>75.399447169871607</v>
      </c>
    </row>
    <row r="117" spans="1:45">
      <c r="A117" s="19">
        <v>12.512499999999999</v>
      </c>
      <c r="B117" s="19">
        <v>611.44030629999997</v>
      </c>
      <c r="C117" s="19">
        <v>-64.784071440000005</v>
      </c>
      <c r="E117" s="9">
        <f t="shared" si="49"/>
        <v>348.55969370000003</v>
      </c>
      <c r="F117" s="9">
        <f t="shared" si="50"/>
        <v>475.21592856000001</v>
      </c>
      <c r="I117">
        <v>1</v>
      </c>
      <c r="J117">
        <f t="shared" si="45"/>
        <v>0.37516472274385754</v>
      </c>
      <c r="K117">
        <f t="shared" si="51"/>
        <v>0.93795442898253156</v>
      </c>
      <c r="O117">
        <f t="shared" si="52"/>
        <v>0.21671840143520041</v>
      </c>
      <c r="P117">
        <f t="shared" si="53"/>
        <v>0.29546742849363361</v>
      </c>
      <c r="Q117">
        <f t="shared" si="54"/>
        <v>0.9304472758725939</v>
      </c>
      <c r="R117">
        <f t="shared" si="44"/>
        <v>1</v>
      </c>
      <c r="AG117" s="8">
        <f t="shared" si="46"/>
        <v>-0.24248247354501845</v>
      </c>
      <c r="AH117" s="8">
        <f t="shared" si="47"/>
        <v>-6.7195187493934549E-2</v>
      </c>
      <c r="AI117" s="8">
        <f t="shared" si="48"/>
        <v>0.96782594344290251</v>
      </c>
      <c r="AJ117" s="8"/>
      <c r="AK117" s="8"/>
      <c r="AL117" s="8"/>
      <c r="AN117" s="8">
        <f t="shared" si="55"/>
        <v>1</v>
      </c>
      <c r="AO117" s="8">
        <f t="shared" si="56"/>
        <v>3.4119227836841945</v>
      </c>
      <c r="AP117" s="8">
        <f t="shared" si="57"/>
        <v>0.25435440083244609</v>
      </c>
      <c r="AQ117" s="8"/>
      <c r="AR117" s="8">
        <f t="shared" si="58"/>
        <v>195.48877552963168</v>
      </c>
      <c r="AS117" s="8">
        <f t="shared" si="59"/>
        <v>75.426566331722</v>
      </c>
    </row>
    <row r="118" spans="1:45">
      <c r="A118" s="19">
        <v>12.545866670000001</v>
      </c>
      <c r="B118" s="19">
        <v>611.98015299999997</v>
      </c>
      <c r="C118" s="19">
        <v>-65.460847430000001</v>
      </c>
      <c r="E118" s="9">
        <f t="shared" si="49"/>
        <v>348.01984700000003</v>
      </c>
      <c r="F118" s="9">
        <f t="shared" si="50"/>
        <v>474.53915257</v>
      </c>
      <c r="I118">
        <v>1</v>
      </c>
      <c r="J118">
        <f t="shared" si="45"/>
        <v>0.3746582086679528</v>
      </c>
      <c r="K118">
        <f t="shared" si="51"/>
        <v>0.9380139620573773</v>
      </c>
      <c r="O118">
        <f t="shared" si="52"/>
        <v>0.21642206982527862</v>
      </c>
      <c r="P118">
        <f t="shared" si="53"/>
        <v>0.29510025505049164</v>
      </c>
      <c r="Q118">
        <f t="shared" si="54"/>
        <v>0.93063275633392417</v>
      </c>
      <c r="R118">
        <f t="shared" si="44"/>
        <v>1</v>
      </c>
      <c r="AG118" s="8">
        <f t="shared" si="46"/>
        <v>-0.24202808752630967</v>
      </c>
      <c r="AH118" s="8">
        <f t="shared" si="47"/>
        <v>-6.7396735376617112E-2</v>
      </c>
      <c r="AI118" s="8">
        <f t="shared" si="48"/>
        <v>0.96792566083813036</v>
      </c>
      <c r="AJ118" s="8"/>
      <c r="AK118" s="8"/>
      <c r="AL118" s="8"/>
      <c r="AN118" s="8">
        <f t="shared" si="55"/>
        <v>1.0000000000000002</v>
      </c>
      <c r="AO118" s="8">
        <f t="shared" si="56"/>
        <v>3.413178857419259</v>
      </c>
      <c r="AP118" s="8">
        <f t="shared" si="57"/>
        <v>0.25395779776750449</v>
      </c>
      <c r="AQ118" s="8"/>
      <c r="AR118" s="8">
        <f t="shared" si="58"/>
        <v>195.56074325340811</v>
      </c>
      <c r="AS118" s="8">
        <f t="shared" si="59"/>
        <v>75.449290013485111</v>
      </c>
    </row>
    <row r="119" spans="1:45">
      <c r="A119" s="19">
        <v>12.579233329999999</v>
      </c>
      <c r="B119" s="19">
        <v>612.43444790000001</v>
      </c>
      <c r="C119" s="19">
        <v>-66.266380749999996</v>
      </c>
      <c r="E119" s="9">
        <f t="shared" si="49"/>
        <v>347.56555209999999</v>
      </c>
      <c r="F119" s="9">
        <f t="shared" si="50"/>
        <v>473.73361925</v>
      </c>
      <c r="I119">
        <v>1</v>
      </c>
      <c r="J119">
        <f t="shared" si="45"/>
        <v>0.37412031861094686</v>
      </c>
      <c r="K119">
        <f t="shared" si="51"/>
        <v>0.93782666464066355</v>
      </c>
      <c r="O119">
        <f t="shared" si="52"/>
        <v>0.21618119340567532</v>
      </c>
      <c r="P119">
        <f t="shared" si="53"/>
        <v>0.29465606860943805</v>
      </c>
      <c r="Q119">
        <f t="shared" si="54"/>
        <v>0.93082946496623542</v>
      </c>
      <c r="R119">
        <f t="shared" si="44"/>
        <v>1</v>
      </c>
      <c r="AG119" s="8">
        <f t="shared" si="46"/>
        <v>-0.24151500667823123</v>
      </c>
      <c r="AH119" s="8">
        <f t="shared" si="47"/>
        <v>-6.7525424620752061E-2</v>
      </c>
      <c r="AI119" s="8">
        <f t="shared" si="48"/>
        <v>0.9680448432686376</v>
      </c>
      <c r="AJ119" s="8"/>
      <c r="AK119" s="8"/>
      <c r="AL119" s="8"/>
      <c r="AN119" s="8">
        <f t="shared" si="55"/>
        <v>1</v>
      </c>
      <c r="AO119" s="8">
        <f t="shared" si="56"/>
        <v>3.4142220600088384</v>
      </c>
      <c r="AP119" s="8">
        <f t="shared" si="57"/>
        <v>0.25348298054780494</v>
      </c>
      <c r="AQ119" s="8"/>
      <c r="AR119" s="8">
        <f t="shared" si="58"/>
        <v>195.62051435896814</v>
      </c>
      <c r="AS119" s="8">
        <f t="shared" si="59"/>
        <v>75.476495036214033</v>
      </c>
    </row>
    <row r="120" spans="1:45">
      <c r="A120" s="19">
        <v>12.6126</v>
      </c>
      <c r="B120" s="19">
        <v>612.91921319999994</v>
      </c>
      <c r="C120" s="19">
        <v>-66.769195229999994</v>
      </c>
      <c r="E120" s="9">
        <f t="shared" si="49"/>
        <v>347.08078680000006</v>
      </c>
      <c r="F120" s="9">
        <f t="shared" si="50"/>
        <v>473.23080477000002</v>
      </c>
      <c r="I120">
        <v>1</v>
      </c>
      <c r="J120">
        <f t="shared" si="45"/>
        <v>0.37371471383528004</v>
      </c>
      <c r="K120">
        <f t="shared" si="51"/>
        <v>0.93798584577693245</v>
      </c>
      <c r="O120">
        <f t="shared" si="52"/>
        <v>0.21591098175177145</v>
      </c>
      <c r="P120">
        <f t="shared" si="53"/>
        <v>0.29438600907617735</v>
      </c>
      <c r="Q120">
        <f t="shared" si="54"/>
        <v>0.93097761821602731</v>
      </c>
      <c r="R120">
        <f t="shared" si="44"/>
        <v>1</v>
      </c>
      <c r="AG120" s="8">
        <f t="shared" si="46"/>
        <v>-0.24116459575867577</v>
      </c>
      <c r="AH120" s="8">
        <f t="shared" si="47"/>
        <v>-6.7724711669681609E-2</v>
      </c>
      <c r="AI120" s="8">
        <f t="shared" si="48"/>
        <v>0.96811827850826826</v>
      </c>
      <c r="AJ120" s="8"/>
      <c r="AK120" s="8"/>
      <c r="AL120" s="8"/>
      <c r="AN120" s="8">
        <f t="shared" si="55"/>
        <v>0.99999999999999989</v>
      </c>
      <c r="AO120" s="8">
        <f t="shared" si="56"/>
        <v>3.4153649238009991</v>
      </c>
      <c r="AP120" s="8">
        <f t="shared" si="57"/>
        <v>0.25318998419206618</v>
      </c>
      <c r="AQ120" s="8"/>
      <c r="AR120" s="8">
        <f t="shared" si="58"/>
        <v>195.68599563081725</v>
      </c>
      <c r="AS120" s="8">
        <f t="shared" si="59"/>
        <v>75.493282490810572</v>
      </c>
    </row>
    <row r="121" spans="1:45">
      <c r="A121" s="19">
        <v>12.64596667</v>
      </c>
      <c r="B121" s="19">
        <v>613.63437539999995</v>
      </c>
      <c r="C121" s="19">
        <v>-67.559568089999999</v>
      </c>
      <c r="E121" s="9">
        <f t="shared" si="49"/>
        <v>346.36562460000005</v>
      </c>
      <c r="F121" s="9">
        <f t="shared" si="50"/>
        <v>472.44043191000003</v>
      </c>
      <c r="I121">
        <v>1</v>
      </c>
      <c r="J121">
        <f t="shared" si="45"/>
        <v>0.37309315136579224</v>
      </c>
      <c r="K121">
        <f t="shared" si="51"/>
        <v>0.93817233609861528</v>
      </c>
      <c r="O121">
        <f t="shared" si="52"/>
        <v>0.21551389550092609</v>
      </c>
      <c r="P121">
        <f t="shared" si="53"/>
        <v>0.29395953478538162</v>
      </c>
      <c r="Q121">
        <f t="shared" si="54"/>
        <v>0.93120435606518615</v>
      </c>
      <c r="R121">
        <f t="shared" si="44"/>
        <v>1</v>
      </c>
      <c r="AG121" s="8">
        <f t="shared" si="46"/>
        <v>-0.24062048190589397</v>
      </c>
      <c r="AH121" s="8">
        <f t="shared" si="47"/>
        <v>-6.8010370036556286E-2</v>
      </c>
      <c r="AI121" s="8">
        <f t="shared" si="48"/>
        <v>0.96823363567625864</v>
      </c>
      <c r="AJ121" s="8"/>
      <c r="AK121" s="8"/>
      <c r="AL121" s="8"/>
      <c r="AN121" s="8">
        <f t="shared" si="55"/>
        <v>1</v>
      </c>
      <c r="AO121" s="8">
        <f t="shared" si="56"/>
        <v>3.4170531225502421</v>
      </c>
      <c r="AP121" s="8">
        <f t="shared" si="57"/>
        <v>0.25272905403305113</v>
      </c>
      <c r="AQ121" s="8"/>
      <c r="AR121" s="8">
        <f t="shared" si="58"/>
        <v>195.78272229412815</v>
      </c>
      <c r="AS121" s="8">
        <f t="shared" si="59"/>
        <v>75.519691843572431</v>
      </c>
    </row>
    <row r="122" spans="1:45">
      <c r="A122" s="19">
        <v>12.67933333</v>
      </c>
      <c r="B122" s="19">
        <v>613.68908429999999</v>
      </c>
      <c r="C122" s="19">
        <v>-68.392454420000007</v>
      </c>
      <c r="E122" s="9">
        <f t="shared" si="49"/>
        <v>346.31091570000001</v>
      </c>
      <c r="F122" s="9">
        <f t="shared" si="50"/>
        <v>471.60754557999996</v>
      </c>
      <c r="I122">
        <v>1</v>
      </c>
      <c r="J122">
        <f t="shared" si="45"/>
        <v>0.37268035856832776</v>
      </c>
      <c r="K122">
        <f t="shared" si="51"/>
        <v>0.9374060885830886</v>
      </c>
      <c r="O122">
        <f t="shared" si="52"/>
        <v>0.21551154391512903</v>
      </c>
      <c r="P122">
        <f t="shared" si="53"/>
        <v>0.29348445475514756</v>
      </c>
      <c r="Q122">
        <f t="shared" si="54"/>
        <v>0.93135473867715468</v>
      </c>
      <c r="R122">
        <f t="shared" si="44"/>
        <v>1</v>
      </c>
      <c r="AG122" s="8">
        <f t="shared" si="46"/>
        <v>-0.24015117431072164</v>
      </c>
      <c r="AH122" s="8">
        <f t="shared" si="47"/>
        <v>-6.7898120631632988E-2</v>
      </c>
      <c r="AI122" s="8">
        <f t="shared" si="48"/>
        <v>0.96835802195875542</v>
      </c>
      <c r="AJ122" s="8"/>
      <c r="AK122" s="8"/>
      <c r="AL122" s="8"/>
      <c r="AN122" s="8">
        <f t="shared" si="55"/>
        <v>0.99999999999999989</v>
      </c>
      <c r="AO122" s="8">
        <f t="shared" si="56"/>
        <v>3.4171317769735077</v>
      </c>
      <c r="AP122" s="8">
        <f t="shared" si="57"/>
        <v>0.2522311228706724</v>
      </c>
      <c r="AQ122" s="8"/>
      <c r="AR122" s="8">
        <f t="shared" si="58"/>
        <v>195.7872288606213</v>
      </c>
      <c r="AS122" s="8">
        <f t="shared" si="59"/>
        <v>75.548221197664773</v>
      </c>
    </row>
    <row r="123" spans="1:45">
      <c r="A123" s="19">
        <v>12.7127</v>
      </c>
      <c r="B123" s="19">
        <v>614.04907549999996</v>
      </c>
      <c r="C123" s="19">
        <v>-68.934715690000004</v>
      </c>
      <c r="E123" s="9">
        <f t="shared" si="49"/>
        <v>345.95092450000004</v>
      </c>
      <c r="F123" s="9">
        <f t="shared" si="50"/>
        <v>471.06528430999998</v>
      </c>
      <c r="I123">
        <v>1</v>
      </c>
      <c r="J123">
        <f t="shared" si="45"/>
        <v>0.37229896468939222</v>
      </c>
      <c r="K123">
        <f t="shared" si="51"/>
        <v>0.93735340349613006</v>
      </c>
      <c r="O123">
        <f t="shared" si="52"/>
        <v>0.21531673137289475</v>
      </c>
      <c r="P123">
        <f t="shared" si="53"/>
        <v>0.29318677910014529</v>
      </c>
      <c r="Q123">
        <f t="shared" si="54"/>
        <v>0.93149354144394114</v>
      </c>
      <c r="R123">
        <f t="shared" si="44"/>
        <v>1</v>
      </c>
      <c r="AG123" s="8">
        <f t="shared" si="46"/>
        <v>-0.23979703071068298</v>
      </c>
      <c r="AH123" s="8">
        <f t="shared" si="47"/>
        <v>-6.8016876332083059E-2</v>
      </c>
      <c r="AI123" s="8">
        <f t="shared" si="48"/>
        <v>0.9684374469197099</v>
      </c>
      <c r="AJ123" s="8"/>
      <c r="AK123" s="8"/>
      <c r="AL123" s="8"/>
      <c r="AN123" s="8">
        <f t="shared" si="55"/>
        <v>1</v>
      </c>
      <c r="AO123" s="8">
        <f t="shared" si="56"/>
        <v>3.4179767951223234</v>
      </c>
      <c r="AP123" s="8">
        <f t="shared" si="57"/>
        <v>0.2519126726475851</v>
      </c>
      <c r="AQ123" s="8"/>
      <c r="AR123" s="8">
        <f t="shared" si="58"/>
        <v>195.83564483416041</v>
      </c>
      <c r="AS123" s="8">
        <f t="shared" si="59"/>
        <v>75.566467051432682</v>
      </c>
    </row>
    <row r="124" spans="1:45">
      <c r="A124" s="19">
        <v>12.746066669999999</v>
      </c>
      <c r="B124" s="19">
        <v>614.30116899999996</v>
      </c>
      <c r="C124" s="19">
        <v>-69.533105309999996</v>
      </c>
      <c r="E124" s="9">
        <f t="shared" si="49"/>
        <v>345.69883100000004</v>
      </c>
      <c r="F124" s="9">
        <f t="shared" si="50"/>
        <v>470.46689469</v>
      </c>
      <c r="I124">
        <v>1</v>
      </c>
      <c r="J124">
        <f t="shared" si="45"/>
        <v>0.37192840651664827</v>
      </c>
      <c r="K124">
        <f t="shared" si="51"/>
        <v>0.93709473717959968</v>
      </c>
      <c r="O124">
        <f t="shared" si="52"/>
        <v>0.21518815932349822</v>
      </c>
      <c r="P124">
        <f t="shared" si="53"/>
        <v>0.29285289972815437</v>
      </c>
      <c r="Q124">
        <f t="shared" si="54"/>
        <v>0.93162827093630873</v>
      </c>
      <c r="R124">
        <f t="shared" si="44"/>
        <v>1</v>
      </c>
      <c r="AG124" s="8">
        <f t="shared" si="46"/>
        <v>-0.2394277886142272</v>
      </c>
      <c r="AH124" s="8">
        <f t="shared" si="47"/>
        <v>-6.8062075880062439E-2</v>
      </c>
      <c r="AI124" s="8">
        <f t="shared" si="48"/>
        <v>0.96852562581802537</v>
      </c>
      <c r="AJ124" s="8"/>
      <c r="AK124" s="8"/>
      <c r="AL124" s="8"/>
      <c r="AN124" s="8">
        <f t="shared" si="55"/>
        <v>1.0000000000000002</v>
      </c>
      <c r="AO124" s="8">
        <f t="shared" si="56"/>
        <v>3.4185562827504778</v>
      </c>
      <c r="AP124" s="8">
        <f t="shared" si="57"/>
        <v>0.25155866179087849</v>
      </c>
      <c r="AQ124" s="8"/>
      <c r="AR124" s="8">
        <f t="shared" si="58"/>
        <v>195.8688470295337</v>
      </c>
      <c r="AS124" s="8">
        <f t="shared" si="59"/>
        <v>75.586750379423776</v>
      </c>
    </row>
    <row r="125" spans="1:45">
      <c r="A125" s="19">
        <v>12.77943333</v>
      </c>
      <c r="B125" s="19">
        <v>615.35293950000005</v>
      </c>
      <c r="C125" s="19">
        <v>-70.406197599999999</v>
      </c>
      <c r="E125" s="9">
        <f t="shared" si="49"/>
        <v>344.64706049999995</v>
      </c>
      <c r="F125" s="9">
        <f t="shared" si="50"/>
        <v>469.59380240000002</v>
      </c>
      <c r="I125">
        <v>1</v>
      </c>
      <c r="J125">
        <f t="shared" si="45"/>
        <v>0.37114983173955146</v>
      </c>
      <c r="K125">
        <f t="shared" si="51"/>
        <v>0.93766225216396304</v>
      </c>
      <c r="O125">
        <f t="shared" si="52"/>
        <v>0.21459269477638465</v>
      </c>
      <c r="P125">
        <f t="shared" si="53"/>
        <v>0.29239013198345587</v>
      </c>
      <c r="Q125">
        <f t="shared" si="54"/>
        <v>0.93191093247547352</v>
      </c>
      <c r="R125">
        <f t="shared" si="44"/>
        <v>1</v>
      </c>
      <c r="AG125" s="8">
        <f t="shared" si="46"/>
        <v>-0.23878636382864721</v>
      </c>
      <c r="AH125" s="8">
        <f t="shared" si="47"/>
        <v>-6.8532756466491263E-2</v>
      </c>
      <c r="AI125" s="8">
        <f t="shared" si="48"/>
        <v>0.96865078007535688</v>
      </c>
      <c r="AJ125" s="8"/>
      <c r="AK125" s="8"/>
      <c r="AL125" s="8"/>
      <c r="AN125" s="8">
        <f t="shared" si="55"/>
        <v>0.99999999999999989</v>
      </c>
      <c r="AO125" s="8">
        <f t="shared" si="56"/>
        <v>3.4210847278814618</v>
      </c>
      <c r="AP125" s="8">
        <f t="shared" si="57"/>
        <v>0.25105536749291391</v>
      </c>
      <c r="AQ125" s="8"/>
      <c r="AR125" s="8">
        <f t="shared" si="58"/>
        <v>196.01371626426948</v>
      </c>
      <c r="AS125" s="8">
        <f t="shared" si="59"/>
        <v>75.615587018550144</v>
      </c>
    </row>
    <row r="126" spans="1:45">
      <c r="A126" s="19">
        <v>12.812799999999999</v>
      </c>
      <c r="B126" s="19">
        <v>615.27411480000001</v>
      </c>
      <c r="C126" s="19">
        <v>-70.714732150000003</v>
      </c>
      <c r="E126" s="9">
        <f t="shared" si="49"/>
        <v>344.72588519999999</v>
      </c>
      <c r="F126" s="9">
        <f t="shared" si="50"/>
        <v>469.28526784999997</v>
      </c>
      <c r="I126">
        <v>1</v>
      </c>
      <c r="J126">
        <f t="shared" si="45"/>
        <v>0.37103118437251342</v>
      </c>
      <c r="K126">
        <f t="shared" si="51"/>
        <v>0.93723961471167372</v>
      </c>
      <c r="O126">
        <f t="shared" si="52"/>
        <v>0.21465079074700044</v>
      </c>
      <c r="P126">
        <f t="shared" si="53"/>
        <v>0.29221029854337266</v>
      </c>
      <c r="Q126">
        <f t="shared" si="54"/>
        <v>0.93195395779881773</v>
      </c>
      <c r="R126">
        <f t="shared" si="44"/>
        <v>1</v>
      </c>
      <c r="AG126" s="8">
        <f t="shared" si="46"/>
        <v>-0.2386270792829269</v>
      </c>
      <c r="AH126" s="8">
        <f t="shared" si="47"/>
        <v>-6.8432518897114075E-2</v>
      </c>
      <c r="AI126" s="8">
        <f t="shared" si="48"/>
        <v>0.96869711850004792</v>
      </c>
      <c r="AJ126" s="8"/>
      <c r="AK126" s="8"/>
      <c r="AL126" s="8"/>
      <c r="AN126" s="8">
        <f t="shared" si="55"/>
        <v>1</v>
      </c>
      <c r="AO126" s="8">
        <f t="shared" si="56"/>
        <v>3.4208736204592034</v>
      </c>
      <c r="AP126" s="8">
        <f t="shared" si="57"/>
        <v>0.25086877181743494</v>
      </c>
      <c r="AQ126" s="8"/>
      <c r="AR126" s="8">
        <f t="shared" si="58"/>
        <v>196.00162069995017</v>
      </c>
      <c r="AS126" s="8">
        <f t="shared" si="59"/>
        <v>75.626278163230481</v>
      </c>
    </row>
    <row r="127" spans="1:45">
      <c r="A127" s="19">
        <v>12.846166670000001</v>
      </c>
      <c r="B127" s="19">
        <v>615.60323340000002</v>
      </c>
      <c r="C127" s="19">
        <v>-71.534449510000002</v>
      </c>
      <c r="E127" s="9">
        <f t="shared" si="49"/>
        <v>344.39676659999998</v>
      </c>
      <c r="F127" s="9">
        <f t="shared" si="50"/>
        <v>468.46555049</v>
      </c>
      <c r="I127">
        <v>1</v>
      </c>
      <c r="J127">
        <f t="shared" si="45"/>
        <v>0.37052872493017303</v>
      </c>
      <c r="K127">
        <f t="shared" si="51"/>
        <v>0.93686117416716475</v>
      </c>
      <c r="O127">
        <f t="shared" si="52"/>
        <v>0.2144839674135843</v>
      </c>
      <c r="P127">
        <f t="shared" si="53"/>
        <v>0.29175172246139208</v>
      </c>
      <c r="Q127">
        <f t="shared" si="54"/>
        <v>0.93213602020485153</v>
      </c>
      <c r="R127">
        <f t="shared" si="44"/>
        <v>1</v>
      </c>
      <c r="AG127" s="8">
        <f t="shared" si="46"/>
        <v>-0.23812304824747965</v>
      </c>
      <c r="AH127" s="8">
        <f t="shared" si="47"/>
        <v>-6.8484904556425016E-2</v>
      </c>
      <c r="AI127" s="8">
        <f t="shared" si="48"/>
        <v>0.96881743984159674</v>
      </c>
      <c r="AJ127" s="8"/>
      <c r="AK127" s="8"/>
      <c r="AL127" s="8"/>
      <c r="AN127" s="8">
        <f t="shared" si="55"/>
        <v>1.0000000000000002</v>
      </c>
      <c r="AO127" s="8">
        <f t="shared" si="56"/>
        <v>3.4216376157564148</v>
      </c>
      <c r="AP127" s="8">
        <f t="shared" si="57"/>
        <v>0.25038362593224783</v>
      </c>
      <c r="AQ127" s="8"/>
      <c r="AR127" s="8">
        <f t="shared" si="58"/>
        <v>196.04539440604825</v>
      </c>
      <c r="AS127" s="8">
        <f t="shared" si="59"/>
        <v>75.654074974899842</v>
      </c>
    </row>
    <row r="128" spans="1:45">
      <c r="A128" s="19">
        <v>12.879533329999999</v>
      </c>
      <c r="B128" s="19">
        <v>616.59816890000002</v>
      </c>
      <c r="C128" s="19">
        <v>-72.355030880000001</v>
      </c>
      <c r="E128" s="9">
        <f t="shared" si="49"/>
        <v>343.40183109999998</v>
      </c>
      <c r="F128" s="9">
        <f t="shared" si="50"/>
        <v>467.64496911999998</v>
      </c>
      <c r="I128">
        <v>1</v>
      </c>
      <c r="J128">
        <f t="shared" si="45"/>
        <v>0.36979394798498105</v>
      </c>
      <c r="K128">
        <f t="shared" si="51"/>
        <v>0.93740509516512527</v>
      </c>
      <c r="O128">
        <f t="shared" si="52"/>
        <v>0.21391980115930342</v>
      </c>
      <c r="P128">
        <f t="shared" si="53"/>
        <v>0.29131620669246627</v>
      </c>
      <c r="Q128">
        <f t="shared" si="54"/>
        <v>0.93240183740181271</v>
      </c>
      <c r="R128">
        <f t="shared" si="44"/>
        <v>1</v>
      </c>
      <c r="AG128" s="8">
        <f t="shared" si="46"/>
        <v>-0.23751834098901931</v>
      </c>
      <c r="AH128" s="8">
        <f t="shared" si="47"/>
        <v>-6.8931345721394144E-2</v>
      </c>
      <c r="AI128" s="8">
        <f t="shared" si="48"/>
        <v>0.96893421204479191</v>
      </c>
      <c r="AJ128" s="8"/>
      <c r="AK128" s="8"/>
      <c r="AL128" s="8"/>
      <c r="AN128" s="8">
        <f t="shared" si="55"/>
        <v>1.0000000000000002</v>
      </c>
      <c r="AO128" s="8">
        <f t="shared" si="56"/>
        <v>3.4240482315449094</v>
      </c>
      <c r="AP128" s="8">
        <f t="shared" si="57"/>
        <v>0.24991190887306902</v>
      </c>
      <c r="AQ128" s="8"/>
      <c r="AR128" s="8">
        <f t="shared" si="58"/>
        <v>196.18351251675659</v>
      </c>
      <c r="AS128" s="8">
        <f t="shared" si="59"/>
        <v>75.681102371515109</v>
      </c>
    </row>
    <row r="129" spans="1:45">
      <c r="A129" s="19">
        <v>12.9129</v>
      </c>
      <c r="B129" s="19">
        <v>616.76512130000003</v>
      </c>
      <c r="C129" s="19">
        <v>-72.741025640000004</v>
      </c>
      <c r="E129" s="9">
        <f t="shared" si="49"/>
        <v>343.23487869999997</v>
      </c>
      <c r="F129" s="9">
        <f t="shared" si="50"/>
        <v>467.25897436000002</v>
      </c>
      <c r="I129">
        <v>1</v>
      </c>
      <c r="J129">
        <f t="shared" si="45"/>
        <v>0.36955296838948137</v>
      </c>
      <c r="K129">
        <f t="shared" si="51"/>
        <v>0.93724314423999444</v>
      </c>
      <c r="O129">
        <f t="shared" si="52"/>
        <v>0.21383395198029334</v>
      </c>
      <c r="P129">
        <f t="shared" si="53"/>
        <v>0.2911004658503471</v>
      </c>
      <c r="Q129">
        <f t="shared" si="54"/>
        <v>0.93248890597272016</v>
      </c>
      <c r="R129">
        <f t="shared" si="44"/>
        <v>1</v>
      </c>
      <c r="AG129" s="8">
        <f t="shared" si="46"/>
        <v>-0.23727895698743418</v>
      </c>
      <c r="AH129" s="8">
        <f t="shared" si="47"/>
        <v>-6.8963140155473293E-2</v>
      </c>
      <c r="AI129" s="8">
        <f t="shared" si="48"/>
        <v>0.96899059947496491</v>
      </c>
      <c r="AJ129" s="8"/>
      <c r="AK129" s="8"/>
      <c r="AL129" s="8"/>
      <c r="AN129" s="8">
        <f t="shared" si="55"/>
        <v>1</v>
      </c>
      <c r="AO129" s="8">
        <f t="shared" si="56"/>
        <v>3.4244418185612715</v>
      </c>
      <c r="AP129" s="8">
        <f t="shared" si="57"/>
        <v>0.24968381185434074</v>
      </c>
      <c r="AQ129" s="8"/>
      <c r="AR129" s="8">
        <f t="shared" si="58"/>
        <v>196.20606339166528</v>
      </c>
      <c r="AS129" s="8">
        <f t="shared" si="59"/>
        <v>75.694171368007758</v>
      </c>
    </row>
    <row r="130" spans="1:45">
      <c r="A130" s="19">
        <v>12.94626667</v>
      </c>
      <c r="B130" s="19">
        <v>616.94896970000002</v>
      </c>
      <c r="C130" s="19">
        <v>-73.384377540000003</v>
      </c>
      <c r="E130" s="9">
        <f t="shared" si="49"/>
        <v>343.05103029999998</v>
      </c>
      <c r="F130" s="9">
        <f t="shared" si="50"/>
        <v>466.61562246</v>
      </c>
      <c r="I130">
        <v>1</v>
      </c>
      <c r="J130">
        <f t="shared" si="45"/>
        <v>0.3691841294080615</v>
      </c>
      <c r="K130">
        <f t="shared" si="51"/>
        <v>0.93684134238296235</v>
      </c>
      <c r="O130">
        <f t="shared" si="52"/>
        <v>0.21374715790493334</v>
      </c>
      <c r="P130">
        <f t="shared" si="53"/>
        <v>0.29073739568030205</v>
      </c>
      <c r="Q130">
        <f t="shared" si="54"/>
        <v>0.93262206667041658</v>
      </c>
      <c r="R130">
        <f t="shared" si="44"/>
        <v>1</v>
      </c>
      <c r="AG130" s="8">
        <f t="shared" si="46"/>
        <v>-0.23689403104361084</v>
      </c>
      <c r="AH130" s="8">
        <f t="shared" si="47"/>
        <v>-6.8960220362055596E-2</v>
      </c>
      <c r="AI130" s="8">
        <f t="shared" si="48"/>
        <v>0.96908498392221787</v>
      </c>
      <c r="AJ130" s="8"/>
      <c r="AK130" s="8"/>
      <c r="AL130" s="8"/>
      <c r="AN130" s="8">
        <f t="shared" si="55"/>
        <v>0.99999999999999978</v>
      </c>
      <c r="AO130" s="8">
        <f t="shared" si="56"/>
        <v>3.4248658750780256</v>
      </c>
      <c r="AP130" s="8">
        <f t="shared" si="57"/>
        <v>0.24930155298423107</v>
      </c>
      <c r="AQ130" s="8"/>
      <c r="AR130" s="8">
        <f t="shared" si="58"/>
        <v>196.23036004035029</v>
      </c>
      <c r="AS130" s="8">
        <f t="shared" si="59"/>
        <v>75.716073187946492</v>
      </c>
    </row>
    <row r="131" spans="1:45">
      <c r="A131" s="19">
        <v>12.97963333</v>
      </c>
      <c r="B131" s="19">
        <v>617.12476149999998</v>
      </c>
      <c r="C131" s="19">
        <v>-74.150741379999999</v>
      </c>
      <c r="E131" s="9">
        <f t="shared" si="49"/>
        <v>342.87523850000002</v>
      </c>
      <c r="F131" s="9">
        <f t="shared" si="50"/>
        <v>465.84925862</v>
      </c>
      <c r="I131">
        <v>1</v>
      </c>
      <c r="J131">
        <f t="shared" si="45"/>
        <v>0.36875977394725373</v>
      </c>
      <c r="K131">
        <f t="shared" si="51"/>
        <v>0.93630141189267391</v>
      </c>
      <c r="O131">
        <f t="shared" si="52"/>
        <v>0.21366948856109827</v>
      </c>
      <c r="P131">
        <f t="shared" si="53"/>
        <v>0.29030318220515705</v>
      </c>
      <c r="Q131">
        <f t="shared" si="54"/>
        <v>0.93277511333632723</v>
      </c>
      <c r="R131">
        <f t="shared" si="44"/>
        <v>1</v>
      </c>
      <c r="AG131" s="8">
        <f t="shared" si="46"/>
        <v>-0.23644182001092812</v>
      </c>
      <c r="AH131" s="8">
        <f t="shared" si="47"/>
        <v>-6.8931135725148154E-2</v>
      </c>
      <c r="AI131" s="8">
        <f t="shared" si="48"/>
        <v>0.96919748466324496</v>
      </c>
      <c r="AJ131" s="8"/>
      <c r="AK131" s="8"/>
      <c r="AL131" s="8"/>
      <c r="AN131" s="8">
        <f t="shared" si="55"/>
        <v>0.99999999999999989</v>
      </c>
      <c r="AO131" s="8">
        <f t="shared" si="56"/>
        <v>3.4252656863091291</v>
      </c>
      <c r="AP131" s="8">
        <f t="shared" si="57"/>
        <v>0.24884517167191533</v>
      </c>
      <c r="AQ131" s="8"/>
      <c r="AR131" s="8">
        <f t="shared" si="58"/>
        <v>196.25326753649446</v>
      </c>
      <c r="AS131" s="8">
        <f t="shared" si="59"/>
        <v>75.742221910990821</v>
      </c>
    </row>
    <row r="132" spans="1:45">
      <c r="A132" s="19">
        <v>13.013</v>
      </c>
      <c r="B132" s="19">
        <v>617.25242730000002</v>
      </c>
      <c r="C132" s="19">
        <v>-74.720631740000002</v>
      </c>
      <c r="E132" s="9">
        <f t="shared" si="49"/>
        <v>342.74757269999998</v>
      </c>
      <c r="F132" s="9">
        <f t="shared" si="50"/>
        <v>465.27936826000001</v>
      </c>
      <c r="I132">
        <v>1</v>
      </c>
      <c r="J132">
        <f t="shared" si="45"/>
        <v>0.36844525643007692</v>
      </c>
      <c r="K132">
        <f t="shared" si="51"/>
        <v>0.93589476939559857</v>
      </c>
      <c r="O132">
        <f t="shared" si="52"/>
        <v>0.21361351025633465</v>
      </c>
      <c r="P132">
        <f t="shared" si="53"/>
        <v>0.2899800524360312</v>
      </c>
      <c r="Q132">
        <f t="shared" si="54"/>
        <v>0.93288843782371078</v>
      </c>
      <c r="R132">
        <f t="shared" si="44"/>
        <v>1</v>
      </c>
      <c r="AG132" s="8">
        <f t="shared" si="46"/>
        <v>-0.23610587901701943</v>
      </c>
      <c r="AH132" s="8">
        <f t="shared" si="47"/>
        <v>-6.8907681864241482E-2</v>
      </c>
      <c r="AI132" s="8">
        <f t="shared" si="48"/>
        <v>0.96928104555577543</v>
      </c>
      <c r="AJ132" s="8"/>
      <c r="AK132" s="8"/>
      <c r="AL132" s="8"/>
      <c r="AN132" s="8">
        <f t="shared" si="55"/>
        <v>1.0000000000000002</v>
      </c>
      <c r="AO132" s="8">
        <f t="shared" si="56"/>
        <v>3.4255564211895551</v>
      </c>
      <c r="AP132" s="8">
        <f t="shared" si="57"/>
        <v>0.248505659325164</v>
      </c>
      <c r="AQ132" s="8"/>
      <c r="AR132" s="8">
        <f t="shared" si="58"/>
        <v>196.26992541810012</v>
      </c>
      <c r="AS132" s="8">
        <f t="shared" si="59"/>
        <v>75.76167453555226</v>
      </c>
    </row>
    <row r="133" spans="1:45">
      <c r="A133" s="19">
        <v>13.046366669999999</v>
      </c>
      <c r="B133" s="19">
        <v>618.03226749999999</v>
      </c>
      <c r="C133" s="19">
        <v>-75.737965950000003</v>
      </c>
      <c r="E133" s="9">
        <f t="shared" si="49"/>
        <v>341.96773250000001</v>
      </c>
      <c r="F133" s="9">
        <f t="shared" si="50"/>
        <v>464.26203405000001</v>
      </c>
      <c r="I133">
        <v>1</v>
      </c>
      <c r="J133">
        <f t="shared" si="45"/>
        <v>0.36769096311803329</v>
      </c>
      <c r="K133">
        <f t="shared" si="51"/>
        <v>0.93593724799188738</v>
      </c>
      <c r="O133">
        <f t="shared" si="52"/>
        <v>0.21318380911241561</v>
      </c>
      <c r="P133">
        <f t="shared" si="53"/>
        <v>0.28942247890320177</v>
      </c>
      <c r="Q133">
        <f t="shared" si="54"/>
        <v>0.93315984281249842</v>
      </c>
      <c r="R133">
        <f t="shared" si="44"/>
        <v>1</v>
      </c>
      <c r="AG133" s="8">
        <f t="shared" si="46"/>
        <v>-0.23542277970572062</v>
      </c>
      <c r="AH133" s="8">
        <f t="shared" si="47"/>
        <v>-6.9192814466381258E-2</v>
      </c>
      <c r="AI133" s="8">
        <f t="shared" si="48"/>
        <v>0.96942687667603511</v>
      </c>
      <c r="AJ133" s="8"/>
      <c r="AK133" s="8"/>
      <c r="AL133" s="8"/>
      <c r="AN133" s="8">
        <f t="shared" si="55"/>
        <v>0.99999999999999989</v>
      </c>
      <c r="AO133" s="8">
        <f t="shared" si="56"/>
        <v>3.4274518175948421</v>
      </c>
      <c r="AP133" s="8">
        <f t="shared" si="57"/>
        <v>0.24791204899284947</v>
      </c>
      <c r="AQ133" s="8"/>
      <c r="AR133" s="8">
        <f t="shared" si="58"/>
        <v>196.37852363262732</v>
      </c>
      <c r="AS133" s="8">
        <f t="shared" si="59"/>
        <v>75.795685902269241</v>
      </c>
    </row>
    <row r="134" spans="1:45">
      <c r="A134" s="19">
        <v>13.07973333</v>
      </c>
      <c r="B134" s="19">
        <v>618.83300659999998</v>
      </c>
      <c r="C134" s="19">
        <v>-76.546144119999994</v>
      </c>
      <c r="E134" s="9">
        <f t="shared" si="49"/>
        <v>341.16699340000002</v>
      </c>
      <c r="F134" s="9">
        <f t="shared" si="50"/>
        <v>463.45385587999999</v>
      </c>
      <c r="I134">
        <v>1</v>
      </c>
      <c r="J134">
        <f t="shared" si="45"/>
        <v>0.36702815824713159</v>
      </c>
      <c r="K134">
        <f t="shared" si="51"/>
        <v>0.93622468822132476</v>
      </c>
      <c r="O134">
        <f t="shared" si="52"/>
        <v>0.21273389318638108</v>
      </c>
      <c r="P134">
        <f t="shared" si="53"/>
        <v>0.2889855847162745</v>
      </c>
      <c r="Q134">
        <f t="shared" si="54"/>
        <v>0.93339789078182422</v>
      </c>
      <c r="R134">
        <f t="shared" si="44"/>
        <v>1</v>
      </c>
      <c r="AG134" s="8">
        <f t="shared" si="46"/>
        <v>-0.23485242072436036</v>
      </c>
      <c r="AH134" s="8">
        <f t="shared" si="47"/>
        <v>-6.9526823803856372E-2</v>
      </c>
      <c r="AI134" s="8">
        <f t="shared" si="48"/>
        <v>0.96954131487608897</v>
      </c>
      <c r="AJ134" s="8"/>
      <c r="AK134" s="8"/>
      <c r="AL134" s="8"/>
      <c r="AN134" s="8">
        <f t="shared" si="55"/>
        <v>1</v>
      </c>
      <c r="AO134" s="8">
        <f t="shared" si="56"/>
        <v>3.4294168305401196</v>
      </c>
      <c r="AP134" s="8">
        <f t="shared" si="57"/>
        <v>0.247445247918749</v>
      </c>
      <c r="AQ134" s="8"/>
      <c r="AR134" s="8">
        <f t="shared" si="58"/>
        <v>196.49111058108031</v>
      </c>
      <c r="AS134" s="8">
        <f t="shared" si="59"/>
        <v>75.822431633687358</v>
      </c>
    </row>
    <row r="135" spans="1:45">
      <c r="A135" s="19">
        <v>13.113099999999999</v>
      </c>
      <c r="B135" s="19">
        <v>619.10731539999995</v>
      </c>
      <c r="C135" s="19">
        <v>-77.083646540000004</v>
      </c>
      <c r="E135" s="9">
        <f t="shared" si="49"/>
        <v>340.89268460000005</v>
      </c>
      <c r="F135" s="9">
        <f t="shared" si="50"/>
        <v>462.91635345999998</v>
      </c>
      <c r="I135">
        <v>1</v>
      </c>
      <c r="J135">
        <f t="shared" si="45"/>
        <v>0.36667737674005207</v>
      </c>
      <c r="K135">
        <f t="shared" si="51"/>
        <v>0.93605467152523603</v>
      </c>
      <c r="O135">
        <f t="shared" si="52"/>
        <v>0.21258886008183014</v>
      </c>
      <c r="P135">
        <f t="shared" si="53"/>
        <v>0.28868574874457409</v>
      </c>
      <c r="Q135">
        <f t="shared" si="54"/>
        <v>0.93352370887990455</v>
      </c>
      <c r="R135">
        <f t="shared" si="44"/>
        <v>1</v>
      </c>
      <c r="AG135" s="8">
        <f t="shared" si="46"/>
        <v>-0.23451185365711097</v>
      </c>
      <c r="AH135" s="8">
        <f t="shared" si="47"/>
        <v>-6.9595949577782854E-2</v>
      </c>
      <c r="AI135" s="8">
        <f t="shared" si="48"/>
        <v>0.96961878813102242</v>
      </c>
      <c r="AJ135" s="8"/>
      <c r="AK135" s="8"/>
      <c r="AL135" s="8"/>
      <c r="AN135" s="8">
        <f t="shared" si="55"/>
        <v>1</v>
      </c>
      <c r="AO135" s="8">
        <f t="shared" si="56"/>
        <v>3.4300829951802885</v>
      </c>
      <c r="AP135" s="8">
        <f t="shared" si="57"/>
        <v>0.24712873908613853</v>
      </c>
      <c r="AQ135" s="8"/>
      <c r="AR135" s="8">
        <f t="shared" si="58"/>
        <v>196.52927900342283</v>
      </c>
      <c r="AS135" s="8">
        <f t="shared" si="59"/>
        <v>75.840566253974558</v>
      </c>
    </row>
    <row r="136" spans="1:45">
      <c r="A136" s="19">
        <v>13.146466670000001</v>
      </c>
      <c r="B136" s="19">
        <v>619.22313169999995</v>
      </c>
      <c r="C136" s="19">
        <v>-77.756688609999998</v>
      </c>
      <c r="E136" s="9">
        <f t="shared" si="49"/>
        <v>340.77686830000005</v>
      </c>
      <c r="F136" s="9">
        <f t="shared" si="50"/>
        <v>462.24331139000003</v>
      </c>
      <c r="I136">
        <v>1</v>
      </c>
      <c r="J136">
        <f t="shared" si="45"/>
        <v>0.36631762483065389</v>
      </c>
      <c r="K136">
        <f t="shared" si="51"/>
        <v>0.93552211743837244</v>
      </c>
      <c r="O136">
        <f t="shared" si="52"/>
        <v>0.21254327189025032</v>
      </c>
      <c r="P136">
        <f t="shared" si="53"/>
        <v>0.28830215590139097</v>
      </c>
      <c r="Q136">
        <f t="shared" si="54"/>
        <v>0.93365262516462577</v>
      </c>
      <c r="R136">
        <f t="shared" si="44"/>
        <v>1</v>
      </c>
      <c r="AG136" s="8">
        <f t="shared" si="46"/>
        <v>-0.2341196235151039</v>
      </c>
      <c r="AH136" s="8">
        <f t="shared" si="47"/>
        <v>-6.9547545728075588E-2</v>
      </c>
      <c r="AI136" s="8">
        <f t="shared" si="48"/>
        <v>0.96971704159942829</v>
      </c>
      <c r="AJ136" s="8"/>
      <c r="AK136" s="8"/>
      <c r="AL136" s="8"/>
      <c r="AN136" s="8">
        <f t="shared" si="55"/>
        <v>1.0000000000000002</v>
      </c>
      <c r="AO136" s="8">
        <f t="shared" si="56"/>
        <v>3.4303499062973106</v>
      </c>
      <c r="AP136" s="8">
        <f t="shared" si="57"/>
        <v>0.2467267628376284</v>
      </c>
      <c r="AQ136" s="8"/>
      <c r="AR136" s="8">
        <f t="shared" si="58"/>
        <v>196.54457188393332</v>
      </c>
      <c r="AS136" s="8">
        <f t="shared" si="59"/>
        <v>75.863597796478686</v>
      </c>
    </row>
    <row r="137" spans="1:45">
      <c r="A137" s="19">
        <v>13.179833329999999</v>
      </c>
      <c r="B137" s="19">
        <v>619.71363069999995</v>
      </c>
      <c r="C137" s="19">
        <v>-78.668390040000006</v>
      </c>
      <c r="E137" s="9">
        <f t="shared" si="49"/>
        <v>340.28636930000005</v>
      </c>
      <c r="F137" s="9">
        <f t="shared" si="50"/>
        <v>461.33160995999998</v>
      </c>
      <c r="I137">
        <v>1</v>
      </c>
      <c r="J137">
        <f t="shared" si="45"/>
        <v>0.36571352078467051</v>
      </c>
      <c r="K137">
        <f t="shared" si="51"/>
        <v>0.93526709151296505</v>
      </c>
      <c r="O137">
        <f t="shared" si="52"/>
        <v>0.21228194450198057</v>
      </c>
      <c r="P137">
        <f t="shared" si="53"/>
        <v>0.2877939878226502</v>
      </c>
      <c r="Q137">
        <f t="shared" si="54"/>
        <v>0.93386883265884524</v>
      </c>
      <c r="R137">
        <f t="shared" si="44"/>
        <v>1</v>
      </c>
      <c r="AG137" s="8">
        <f t="shared" si="46"/>
        <v>-0.23353766571854112</v>
      </c>
      <c r="AH137" s="8">
        <f t="shared" si="47"/>
        <v>-6.9679764406297806E-2</v>
      </c>
      <c r="AI137" s="8">
        <f t="shared" si="48"/>
        <v>0.96984786906144083</v>
      </c>
      <c r="AJ137" s="8"/>
      <c r="AK137" s="8"/>
      <c r="AL137" s="8"/>
      <c r="AN137" s="8">
        <f t="shared" si="55"/>
        <v>0.99999999999999989</v>
      </c>
      <c r="AO137" s="8">
        <f t="shared" si="56"/>
        <v>3.4315499486511305</v>
      </c>
      <c r="AP137" s="8">
        <f t="shared" si="57"/>
        <v>0.24619052130284125</v>
      </c>
      <c r="AQ137" s="8"/>
      <c r="AR137" s="8">
        <f t="shared" si="58"/>
        <v>196.61332924604415</v>
      </c>
      <c r="AS137" s="8">
        <f t="shared" si="59"/>
        <v>75.89432217322161</v>
      </c>
    </row>
    <row r="138" spans="1:45">
      <c r="A138" s="19">
        <v>13.213200000000001</v>
      </c>
      <c r="B138" s="19">
        <v>619.97238909999999</v>
      </c>
      <c r="C138" s="19">
        <v>-79.242803570000007</v>
      </c>
      <c r="E138" s="9">
        <f t="shared" si="49"/>
        <v>340.02761090000001</v>
      </c>
      <c r="F138" s="9">
        <f t="shared" si="50"/>
        <v>460.75719643000002</v>
      </c>
      <c r="I138">
        <v>1</v>
      </c>
      <c r="J138">
        <f t="shared" si="45"/>
        <v>0.36535038743302994</v>
      </c>
      <c r="K138">
        <f t="shared" si="51"/>
        <v>0.93503529456605849</v>
      </c>
      <c r="O138">
        <f t="shared" si="52"/>
        <v>0.21214726913728835</v>
      </c>
      <c r="P138">
        <f t="shared" si="53"/>
        <v>0.28747189294202585</v>
      </c>
      <c r="Q138">
        <f t="shared" si="54"/>
        <v>0.93399863327840016</v>
      </c>
      <c r="R138">
        <f t="shared" si="44"/>
        <v>1</v>
      </c>
      <c r="AG138" s="8">
        <f t="shared" si="46"/>
        <v>-0.23317843375294983</v>
      </c>
      <c r="AH138" s="8">
        <f t="shared" si="47"/>
        <v>-6.9733267307312594E-2</v>
      </c>
      <c r="AI138" s="8">
        <f t="shared" si="48"/>
        <v>0.96993045599319549</v>
      </c>
      <c r="AJ138" s="8"/>
      <c r="AK138" s="8"/>
      <c r="AL138" s="8"/>
      <c r="AN138" s="8">
        <f t="shared" si="55"/>
        <v>1</v>
      </c>
      <c r="AO138" s="8">
        <f t="shared" si="56"/>
        <v>3.4321826076967064</v>
      </c>
      <c r="AP138" s="8">
        <f t="shared" si="57"/>
        <v>0.2458514202642692</v>
      </c>
      <c r="AQ138" s="8"/>
      <c r="AR138" s="8">
        <f t="shared" si="58"/>
        <v>196.64957793922642</v>
      </c>
      <c r="AS138" s="8">
        <f t="shared" si="59"/>
        <v>75.913751231560298</v>
      </c>
    </row>
    <row r="139" spans="1:45">
      <c r="A139" s="19">
        <v>13.24656667</v>
      </c>
      <c r="B139" s="19">
        <v>620.42715269999997</v>
      </c>
      <c r="C139" s="19">
        <v>-79.525048799999993</v>
      </c>
      <c r="E139" s="9">
        <f t="shared" si="49"/>
        <v>339.57284730000003</v>
      </c>
      <c r="F139" s="9">
        <f t="shared" si="50"/>
        <v>460.47495120000002</v>
      </c>
      <c r="I139">
        <v>1</v>
      </c>
      <c r="J139">
        <f t="shared" si="45"/>
        <v>0.36505720353970517</v>
      </c>
      <c r="K139">
        <f t="shared" si="51"/>
        <v>0.9353819172132708</v>
      </c>
      <c r="O139">
        <f t="shared" si="52"/>
        <v>0.21188507988098287</v>
      </c>
      <c r="P139">
        <f t="shared" si="53"/>
        <v>0.2873250102120391</v>
      </c>
      <c r="Q139">
        <f t="shared" si="54"/>
        <v>0.93410334087320401</v>
      </c>
      <c r="R139">
        <f t="shared" si="44"/>
        <v>1</v>
      </c>
      <c r="AG139" s="8">
        <f t="shared" si="46"/>
        <v>-0.23295230409967604</v>
      </c>
      <c r="AH139" s="8">
        <f t="shared" si="47"/>
        <v>-6.9953876411117347E-2</v>
      </c>
      <c r="AI139" s="8">
        <f t="shared" si="48"/>
        <v>0.96996890630045984</v>
      </c>
      <c r="AJ139" s="8"/>
      <c r="AK139" s="8"/>
      <c r="AL139" s="8"/>
      <c r="AN139" s="8">
        <f t="shared" si="55"/>
        <v>1</v>
      </c>
      <c r="AO139" s="8">
        <f t="shared" si="56"/>
        <v>3.4333179587048046</v>
      </c>
      <c r="AP139" s="8">
        <f t="shared" si="57"/>
        <v>0.24569338728487855</v>
      </c>
      <c r="AQ139" s="8"/>
      <c r="AR139" s="8">
        <f t="shared" si="58"/>
        <v>196.71462876025637</v>
      </c>
      <c r="AS139" s="8">
        <f t="shared" si="59"/>
        <v>75.922805854303249</v>
      </c>
    </row>
    <row r="140" spans="1:45">
      <c r="A140" s="19">
        <v>13.27993333</v>
      </c>
      <c r="B140" s="19">
        <v>621.0151826</v>
      </c>
      <c r="C140" s="19">
        <v>-80.554834330000006</v>
      </c>
      <c r="E140" s="9">
        <f t="shared" si="49"/>
        <v>338.9848174</v>
      </c>
      <c r="F140" s="9">
        <f t="shared" si="50"/>
        <v>459.44516566999999</v>
      </c>
      <c r="I140">
        <v>1</v>
      </c>
      <c r="J140">
        <f t="shared" si="45"/>
        <v>0.36436231005343472</v>
      </c>
      <c r="K140">
        <f t="shared" si="51"/>
        <v>0.93514034794898682</v>
      </c>
      <c r="O140">
        <f t="shared" si="52"/>
        <v>0.21156905582682903</v>
      </c>
      <c r="P140">
        <f t="shared" si="53"/>
        <v>0.28675142636344786</v>
      </c>
      <c r="Q140">
        <f t="shared" si="54"/>
        <v>0.93435119419577572</v>
      </c>
      <c r="R140">
        <f t="shared" si="44"/>
        <v>1</v>
      </c>
      <c r="AG140" s="8">
        <f t="shared" si="46"/>
        <v>-0.23228900066775196</v>
      </c>
      <c r="AH140" s="8">
        <f t="shared" si="47"/>
        <v>-7.0123507299526558E-2</v>
      </c>
      <c r="AI140" s="8">
        <f t="shared" si="48"/>
        <v>0.97011572190785067</v>
      </c>
      <c r="AJ140" s="8"/>
      <c r="AK140" s="8"/>
      <c r="AL140" s="8"/>
      <c r="AN140" s="8">
        <f t="shared" si="55"/>
        <v>0.99999999999999989</v>
      </c>
      <c r="AO140" s="8">
        <f t="shared" si="56"/>
        <v>3.434773734462107</v>
      </c>
      <c r="AP140" s="8">
        <f t="shared" si="57"/>
        <v>0.24508904825893607</v>
      </c>
      <c r="AQ140" s="8"/>
      <c r="AR140" s="8">
        <f t="shared" si="58"/>
        <v>196.79803856706727</v>
      </c>
      <c r="AS140" s="8">
        <f t="shared" si="59"/>
        <v>75.957431929884805</v>
      </c>
    </row>
    <row r="141" spans="1:45">
      <c r="A141" s="19">
        <v>13.3133</v>
      </c>
      <c r="B141" s="19">
        <v>621.54475769999999</v>
      </c>
      <c r="C141" s="19">
        <v>-81.214051940000004</v>
      </c>
      <c r="E141" s="9">
        <f t="shared" si="49"/>
        <v>338.45524230000001</v>
      </c>
      <c r="F141" s="9">
        <f t="shared" si="50"/>
        <v>458.78594806000001</v>
      </c>
      <c r="I141">
        <v>1</v>
      </c>
      <c r="J141">
        <f t="shared" si="45"/>
        <v>0.363863618664646</v>
      </c>
      <c r="K141">
        <f t="shared" si="51"/>
        <v>0.93520131523111205</v>
      </c>
      <c r="O141">
        <f t="shared" si="52"/>
        <v>0.21127493074936629</v>
      </c>
      <c r="P141">
        <f t="shared" si="53"/>
        <v>0.2863893280141368</v>
      </c>
      <c r="Q141">
        <f t="shared" si="54"/>
        <v>0.9345287884471305</v>
      </c>
      <c r="R141">
        <f t="shared" si="44"/>
        <v>1</v>
      </c>
      <c r="AG141" s="8">
        <f t="shared" si="46"/>
        <v>-0.23184093173648845</v>
      </c>
      <c r="AH141" s="8">
        <f t="shared" si="47"/>
        <v>-7.0323002143449623E-2</v>
      </c>
      <c r="AI141" s="8">
        <f t="shared" si="48"/>
        <v>0.97020846097170754</v>
      </c>
      <c r="AJ141" s="8"/>
      <c r="AK141" s="8"/>
      <c r="AL141" s="8"/>
      <c r="AN141" s="8">
        <f t="shared" si="55"/>
        <v>1</v>
      </c>
      <c r="AO141" s="8">
        <f t="shared" si="56"/>
        <v>3.4360965218484081</v>
      </c>
      <c r="AP141" s="8">
        <f t="shared" si="57"/>
        <v>0.24470655157981902</v>
      </c>
      <c r="AQ141" s="8"/>
      <c r="AR141" s="8">
        <f t="shared" si="58"/>
        <v>196.87382870149546</v>
      </c>
      <c r="AS141" s="8">
        <f t="shared" si="59"/>
        <v>75.979347375275978</v>
      </c>
    </row>
    <row r="142" spans="1:45">
      <c r="A142" s="19">
        <v>13.346666669999999</v>
      </c>
      <c r="B142" s="19">
        <v>622.11063679999995</v>
      </c>
      <c r="C142" s="19">
        <v>-82.105150069999993</v>
      </c>
      <c r="E142" s="9">
        <f t="shared" si="49"/>
        <v>337.88936320000005</v>
      </c>
      <c r="F142" s="9">
        <f t="shared" si="50"/>
        <v>457.89484993000002</v>
      </c>
      <c r="I142">
        <v>1</v>
      </c>
      <c r="J142">
        <f t="shared" si="45"/>
        <v>0.36324181547060191</v>
      </c>
      <c r="K142">
        <f t="shared" si="51"/>
        <v>0.93507192319511423</v>
      </c>
      <c r="O142">
        <f t="shared" si="52"/>
        <v>0.21096691455645619</v>
      </c>
      <c r="P142">
        <f t="shared" si="53"/>
        <v>0.2858943612967324</v>
      </c>
      <c r="Q142">
        <f t="shared" si="54"/>
        <v>0.93474989978135992</v>
      </c>
      <c r="R142">
        <f t="shared" si="44"/>
        <v>1</v>
      </c>
      <c r="AG142" s="8">
        <f t="shared" si="46"/>
        <v>-0.23125766871788189</v>
      </c>
      <c r="AH142" s="8">
        <f t="shared" si="47"/>
        <v>-7.0503737705487637E-2</v>
      </c>
      <c r="AI142" s="8">
        <f t="shared" si="48"/>
        <v>0.9703345369658477</v>
      </c>
      <c r="AJ142" s="8"/>
      <c r="AK142" s="8"/>
      <c r="AL142" s="8"/>
      <c r="AN142" s="8">
        <f t="shared" si="55"/>
        <v>0.99999999999999989</v>
      </c>
      <c r="AO142" s="8">
        <f t="shared" si="56"/>
        <v>3.4375121674998628</v>
      </c>
      <c r="AP142" s="8">
        <f t="shared" si="57"/>
        <v>0.24418561710482156</v>
      </c>
      <c r="AQ142" s="8"/>
      <c r="AR142" s="8">
        <f t="shared" si="58"/>
        <v>196.95493922260985</v>
      </c>
      <c r="AS142" s="8">
        <f t="shared" si="59"/>
        <v>76.009194722096197</v>
      </c>
    </row>
    <row r="143" spans="1:45">
      <c r="A143" s="19">
        <v>13.38003333</v>
      </c>
      <c r="B143" s="19">
        <v>622.25552849999997</v>
      </c>
      <c r="C143" s="19">
        <v>-82.528512480000003</v>
      </c>
      <c r="E143" s="9">
        <f t="shared" si="49"/>
        <v>337.74447150000003</v>
      </c>
      <c r="F143" s="9">
        <f t="shared" si="50"/>
        <v>457.47148751999998</v>
      </c>
      <c r="I143">
        <v>1</v>
      </c>
      <c r="J143">
        <f t="shared" si="45"/>
        <v>0.36298978815972738</v>
      </c>
      <c r="K143">
        <f t="shared" si="51"/>
        <v>0.93483488398502035</v>
      </c>
      <c r="O143">
        <f t="shared" si="52"/>
        <v>0.21089474557448487</v>
      </c>
      <c r="P143">
        <f t="shared" si="53"/>
        <v>0.28565481039446572</v>
      </c>
      <c r="Q143">
        <f t="shared" si="54"/>
        <v>0.93483941700570972</v>
      </c>
      <c r="R143">
        <f t="shared" si="44"/>
        <v>1</v>
      </c>
      <c r="AG143" s="8">
        <f t="shared" si="46"/>
        <v>-0.23099925859935311</v>
      </c>
      <c r="AH143" s="8">
        <f t="shared" si="47"/>
        <v>-7.0516042401165893E-2</v>
      </c>
      <c r="AI143" s="8">
        <f t="shared" si="48"/>
        <v>0.97039519284187836</v>
      </c>
      <c r="AJ143" s="8"/>
      <c r="AK143" s="8"/>
      <c r="AL143" s="8"/>
      <c r="AN143" s="8">
        <f t="shared" si="55"/>
        <v>1</v>
      </c>
      <c r="AO143" s="8">
        <f t="shared" si="56"/>
        <v>3.4378729093051907</v>
      </c>
      <c r="AP143" s="8">
        <f t="shared" si="57"/>
        <v>0.24393460414036339</v>
      </c>
      <c r="AQ143" s="8"/>
      <c r="AR143" s="8">
        <f t="shared" si="58"/>
        <v>196.97560820554907</v>
      </c>
      <c r="AS143" s="8">
        <f t="shared" si="59"/>
        <v>76.023576705562718</v>
      </c>
    </row>
    <row r="144" spans="1:45">
      <c r="A144" s="19">
        <v>13.413399999999999</v>
      </c>
      <c r="B144" s="19">
        <v>622.76081069999998</v>
      </c>
      <c r="C144" s="19">
        <v>-83.242263679999994</v>
      </c>
      <c r="E144" s="9">
        <f t="shared" si="49"/>
        <v>337.23918930000002</v>
      </c>
      <c r="F144" s="9">
        <f t="shared" si="50"/>
        <v>456.75773631999999</v>
      </c>
      <c r="I144">
        <v>1</v>
      </c>
      <c r="J144">
        <f t="shared" si="45"/>
        <v>0.36247319370265796</v>
      </c>
      <c r="K144">
        <f t="shared" si="51"/>
        <v>0.93480417873569266</v>
      </c>
      <c r="O144">
        <f t="shared" si="52"/>
        <v>0.21061663793225144</v>
      </c>
      <c r="P144">
        <f t="shared" si="53"/>
        <v>0.28525978541505237</v>
      </c>
      <c r="Q144">
        <f t="shared" si="54"/>
        <v>0.93502271985822527</v>
      </c>
      <c r="R144">
        <f t="shared" si="44"/>
        <v>1</v>
      </c>
      <c r="AG144" s="8">
        <f t="shared" si="46"/>
        <v>-0.23052379810301329</v>
      </c>
      <c r="AH144" s="8">
        <f t="shared" si="47"/>
        <v>-7.0691742328222382E-2</v>
      </c>
      <c r="AI144" s="8">
        <f t="shared" si="48"/>
        <v>0.97049546937363984</v>
      </c>
      <c r="AJ144" s="8"/>
      <c r="AK144" s="8"/>
      <c r="AL144" s="8"/>
      <c r="AN144" s="8">
        <f t="shared" si="55"/>
        <v>1</v>
      </c>
      <c r="AO144" s="8">
        <f t="shared" si="56"/>
        <v>3.4391455662718298</v>
      </c>
      <c r="AP144" s="8">
        <f t="shared" si="57"/>
        <v>0.24351907238821213</v>
      </c>
      <c r="AQ144" s="8"/>
      <c r="AR144" s="8">
        <f t="shared" si="58"/>
        <v>197.0485260785054</v>
      </c>
      <c r="AS144" s="8">
        <f t="shared" si="59"/>
        <v>76.047384921214672</v>
      </c>
    </row>
    <row r="145" spans="1:45">
      <c r="A145" s="19">
        <v>13.446766670000001</v>
      </c>
      <c r="B145" s="19">
        <v>622.98394489999998</v>
      </c>
      <c r="C145" s="19">
        <v>-83.856390219999994</v>
      </c>
      <c r="E145" s="9">
        <f t="shared" si="49"/>
        <v>337.01605510000002</v>
      </c>
      <c r="F145" s="9">
        <f t="shared" si="50"/>
        <v>456.14360978000002</v>
      </c>
      <c r="I145">
        <v>1</v>
      </c>
      <c r="J145">
        <f t="shared" si="45"/>
        <v>0.36210287274379677</v>
      </c>
      <c r="K145">
        <f t="shared" si="51"/>
        <v>0.93447750618813596</v>
      </c>
      <c r="O145">
        <f t="shared" si="52"/>
        <v>0.21050403856806504</v>
      </c>
      <c r="P145">
        <f t="shared" si="53"/>
        <v>0.28491245616537259</v>
      </c>
      <c r="Q145">
        <f t="shared" si="54"/>
        <v>0.93515396703877018</v>
      </c>
      <c r="R145">
        <f t="shared" si="44"/>
        <v>1</v>
      </c>
      <c r="AG145" s="8">
        <f t="shared" si="46"/>
        <v>-0.23014669193928361</v>
      </c>
      <c r="AH145" s="8">
        <f t="shared" si="47"/>
        <v>-7.0717294635142494E-2</v>
      </c>
      <c r="AI145" s="8">
        <f t="shared" si="48"/>
        <v>0.97058310536959735</v>
      </c>
      <c r="AJ145" s="8"/>
      <c r="AK145" s="8"/>
      <c r="AL145" s="8"/>
      <c r="AN145" s="8">
        <f t="shared" si="55"/>
        <v>1</v>
      </c>
      <c r="AO145" s="8">
        <f t="shared" si="56"/>
        <v>3.4397062344311085</v>
      </c>
      <c r="AP145" s="8">
        <f t="shared" si="57"/>
        <v>0.24315535130762411</v>
      </c>
      <c r="AQ145" s="8"/>
      <c r="AR145" s="8">
        <f t="shared" si="58"/>
        <v>197.08064999773944</v>
      </c>
      <c r="AS145" s="8">
        <f t="shared" si="59"/>
        <v>76.06822460405229</v>
      </c>
    </row>
    <row r="146" spans="1:45">
      <c r="A146" s="19">
        <v>13.480133329999999</v>
      </c>
      <c r="B146" s="19">
        <v>623.18252719999998</v>
      </c>
      <c r="C146" s="19">
        <v>-84.356637680000006</v>
      </c>
      <c r="E146" s="9">
        <f t="shared" si="49"/>
        <v>336.81747280000002</v>
      </c>
      <c r="F146" s="9">
        <f t="shared" si="50"/>
        <v>455.64336231999999</v>
      </c>
      <c r="I146">
        <v>1</v>
      </c>
      <c r="J146">
        <f t="shared" si="45"/>
        <v>0.36179526150935182</v>
      </c>
      <c r="K146">
        <f t="shared" si="51"/>
        <v>0.93423475229615016</v>
      </c>
      <c r="O146">
        <f t="shared" si="52"/>
        <v>0.21040218883851797</v>
      </c>
      <c r="P146">
        <f t="shared" si="53"/>
        <v>0.28463001032846036</v>
      </c>
      <c r="Q146">
        <f t="shared" si="54"/>
        <v>0.9352628914654858</v>
      </c>
      <c r="R146">
        <f t="shared" si="44"/>
        <v>1</v>
      </c>
      <c r="AG146" s="8">
        <f t="shared" si="46"/>
        <v>-0.22983685457824382</v>
      </c>
      <c r="AH146" s="8">
        <f t="shared" si="47"/>
        <v>-7.074809808123593E-2</v>
      </c>
      <c r="AI146" s="8">
        <f t="shared" si="48"/>
        <v>0.97065427774026058</v>
      </c>
      <c r="AJ146" s="8"/>
      <c r="AK146" s="8"/>
      <c r="AL146" s="8"/>
      <c r="AN146" s="8">
        <f t="shared" si="55"/>
        <v>0.99999999999999989</v>
      </c>
      <c r="AO146" s="8">
        <f t="shared" si="56"/>
        <v>3.4402071069080851</v>
      </c>
      <c r="AP146" s="8">
        <f t="shared" si="57"/>
        <v>0.24285956732952241</v>
      </c>
      <c r="AQ146" s="8"/>
      <c r="AR146" s="8">
        <f t="shared" si="58"/>
        <v>197.10934787674447</v>
      </c>
      <c r="AS146" s="8">
        <f t="shared" si="59"/>
        <v>76.085171777645115</v>
      </c>
    </row>
    <row r="147" spans="1:45">
      <c r="A147" s="19">
        <v>13.513500000000001</v>
      </c>
      <c r="B147" s="19">
        <v>624.08481849999998</v>
      </c>
      <c r="C147" s="19">
        <v>-85.294304159999996</v>
      </c>
      <c r="E147" s="9">
        <f t="shared" si="49"/>
        <v>335.91518150000002</v>
      </c>
      <c r="F147" s="9">
        <f t="shared" si="50"/>
        <v>454.70569583999998</v>
      </c>
      <c r="I147">
        <v>1</v>
      </c>
      <c r="J147">
        <f t="shared" si="45"/>
        <v>0.36103213645989185</v>
      </c>
      <c r="K147">
        <f t="shared" si="51"/>
        <v>0.93453226378051624</v>
      </c>
      <c r="O147">
        <f t="shared" si="52"/>
        <v>0.20989334748034214</v>
      </c>
      <c r="P147">
        <f t="shared" si="53"/>
        <v>0.28411844975882961</v>
      </c>
      <c r="Q147">
        <f t="shared" si="54"/>
        <v>0.93553273015439486</v>
      </c>
      <c r="R147">
        <f t="shared" si="44"/>
        <v>1</v>
      </c>
      <c r="AG147" s="8">
        <f t="shared" si="46"/>
        <v>-0.22917511773368654</v>
      </c>
      <c r="AH147" s="8">
        <f t="shared" si="47"/>
        <v>-7.1120699202357779E-2</v>
      </c>
      <c r="AI147" s="8">
        <f t="shared" si="48"/>
        <v>0.97078350395786939</v>
      </c>
      <c r="AJ147" s="8"/>
      <c r="AK147" s="8"/>
      <c r="AL147" s="8"/>
      <c r="AN147" s="8">
        <f t="shared" si="55"/>
        <v>1</v>
      </c>
      <c r="AO147" s="8">
        <f t="shared" si="56"/>
        <v>3.4425024870413936</v>
      </c>
      <c r="AP147" s="8">
        <f t="shared" si="57"/>
        <v>0.24232161376056438</v>
      </c>
      <c r="AQ147" s="8"/>
      <c r="AR147" s="8">
        <f t="shared" si="58"/>
        <v>197.24086347076121</v>
      </c>
      <c r="AS147" s="8">
        <f t="shared" si="59"/>
        <v>76.115994246720405</v>
      </c>
    </row>
    <row r="148" spans="1:45">
      <c r="A148" s="19">
        <v>13.54686667</v>
      </c>
      <c r="B148" s="19">
        <v>624.38436109999998</v>
      </c>
      <c r="C148" s="19">
        <v>-86.153729609999999</v>
      </c>
      <c r="E148" s="9">
        <f t="shared" si="49"/>
        <v>335.61563890000002</v>
      </c>
      <c r="F148" s="9">
        <f t="shared" si="50"/>
        <v>453.84627038999997</v>
      </c>
      <c r="I148">
        <v>1</v>
      </c>
      <c r="J148">
        <f t="shared" si="45"/>
        <v>0.36051785993178198</v>
      </c>
      <c r="K148">
        <f t="shared" si="51"/>
        <v>0.9340543948063339</v>
      </c>
      <c r="O148">
        <f t="shared" si="52"/>
        <v>0.20974300179367217</v>
      </c>
      <c r="P148">
        <f t="shared" si="53"/>
        <v>0.28363123785427741</v>
      </c>
      <c r="Q148">
        <f t="shared" si="54"/>
        <v>0.93571426948178471</v>
      </c>
      <c r="R148">
        <f t="shared" si="44"/>
        <v>1</v>
      </c>
      <c r="AG148" s="8">
        <f t="shared" si="46"/>
        <v>-0.22864858714876468</v>
      </c>
      <c r="AH148" s="8">
        <f t="shared" si="47"/>
        <v>-7.1148950266376715E-2</v>
      </c>
      <c r="AI148" s="8">
        <f t="shared" si="48"/>
        <v>0.97090558267571336</v>
      </c>
      <c r="AJ148" s="8"/>
      <c r="AK148" s="8"/>
      <c r="AL148" s="8"/>
      <c r="AN148" s="8">
        <f t="shared" si="55"/>
        <v>1</v>
      </c>
      <c r="AO148" s="8">
        <f t="shared" si="56"/>
        <v>3.4432668639600759</v>
      </c>
      <c r="AP148" s="8">
        <f t="shared" si="57"/>
        <v>0.24181233673340019</v>
      </c>
      <c r="AQ148" s="8"/>
      <c r="AR148" s="8">
        <f t="shared" si="58"/>
        <v>197.28465904215892</v>
      </c>
      <c r="AS148" s="8">
        <f t="shared" si="59"/>
        <v>76.145173670979887</v>
      </c>
    </row>
    <row r="149" spans="1:45">
      <c r="A149" s="19">
        <v>13.58023333</v>
      </c>
      <c r="B149" s="19">
        <v>625.11042870000006</v>
      </c>
      <c r="C149" s="19">
        <v>-86.593366970000005</v>
      </c>
      <c r="E149" s="9">
        <f t="shared" si="49"/>
        <v>334.88957129999994</v>
      </c>
      <c r="F149" s="9">
        <f t="shared" si="50"/>
        <v>453.40663302999997</v>
      </c>
      <c r="I149">
        <v>1</v>
      </c>
      <c r="J149">
        <f t="shared" si="45"/>
        <v>0.36005316828064676</v>
      </c>
      <c r="K149">
        <f t="shared" si="51"/>
        <v>0.9346263320016226</v>
      </c>
      <c r="O149">
        <f t="shared" si="52"/>
        <v>0.20932239161059976</v>
      </c>
      <c r="P149">
        <f t="shared" si="53"/>
        <v>0.2834013625134022</v>
      </c>
      <c r="Q149">
        <f t="shared" si="54"/>
        <v>0.9358780925398168</v>
      </c>
      <c r="R149">
        <f t="shared" si="44"/>
        <v>1</v>
      </c>
      <c r="AG149" s="8">
        <f t="shared" si="46"/>
        <v>-0.22829175618631248</v>
      </c>
      <c r="AH149" s="8">
        <f t="shared" si="47"/>
        <v>-7.1503792519424791E-2</v>
      </c>
      <c r="AI149" s="8">
        <f t="shared" si="48"/>
        <v>0.97096348114267839</v>
      </c>
      <c r="AJ149" s="8"/>
      <c r="AK149" s="8"/>
      <c r="AL149" s="8"/>
      <c r="AN149" s="8">
        <f t="shared" si="55"/>
        <v>1</v>
      </c>
      <c r="AO149" s="8">
        <f t="shared" si="56"/>
        <v>3.4451263443199749</v>
      </c>
      <c r="AP149" s="8">
        <f t="shared" si="57"/>
        <v>0.24157043311874427</v>
      </c>
      <c r="AQ149" s="8"/>
      <c r="AR149" s="8">
        <f t="shared" si="58"/>
        <v>197.39119941886861</v>
      </c>
      <c r="AS149" s="8">
        <f t="shared" si="59"/>
        <v>76.159033727148625</v>
      </c>
    </row>
    <row r="150" spans="1:45">
      <c r="A150" s="19">
        <v>13.6136</v>
      </c>
      <c r="B150" s="19">
        <v>625.22118509999996</v>
      </c>
      <c r="C150" s="19">
        <v>-87.261826790000001</v>
      </c>
      <c r="E150" s="9">
        <f t="shared" si="49"/>
        <v>334.77881490000004</v>
      </c>
      <c r="F150" s="9">
        <f t="shared" si="50"/>
        <v>452.73817321000001</v>
      </c>
      <c r="I150">
        <v>1</v>
      </c>
      <c r="J150">
        <f t="shared" si="45"/>
        <v>0.35969590909346366</v>
      </c>
      <c r="K150">
        <f t="shared" si="51"/>
        <v>0.93407923417013794</v>
      </c>
      <c r="O150">
        <f t="shared" si="52"/>
        <v>0.20927860375169979</v>
      </c>
      <c r="P150">
        <f t="shared" si="53"/>
        <v>0.2830179465889614</v>
      </c>
      <c r="Q150">
        <f t="shared" si="54"/>
        <v>0.93600390379544185</v>
      </c>
      <c r="R150">
        <f t="shared" si="44"/>
        <v>1</v>
      </c>
      <c r="AG150" s="8">
        <f t="shared" si="46"/>
        <v>-0.22790054536463566</v>
      </c>
      <c r="AH150" s="8">
        <f t="shared" si="47"/>
        <v>-7.1453160458737119E-2</v>
      </c>
      <c r="AI150" s="8">
        <f t="shared" si="48"/>
        <v>0.97105910596778788</v>
      </c>
      <c r="AJ150" s="8"/>
      <c r="AK150" s="8"/>
      <c r="AL150" s="8"/>
      <c r="AN150" s="8">
        <f t="shared" si="55"/>
        <v>0.99999999999999989</v>
      </c>
      <c r="AO150" s="8">
        <f t="shared" si="56"/>
        <v>3.4454136218888625</v>
      </c>
      <c r="AP150" s="8">
        <f t="shared" si="57"/>
        <v>0.24117038537478108</v>
      </c>
      <c r="AQ150" s="8"/>
      <c r="AR150" s="8">
        <f t="shared" si="58"/>
        <v>197.40765921111466</v>
      </c>
      <c r="AS150" s="8">
        <f t="shared" si="59"/>
        <v>76.181954774481454</v>
      </c>
    </row>
    <row r="151" spans="1:45">
      <c r="A151" s="19">
        <v>13.646966669999999</v>
      </c>
      <c r="B151" s="19">
        <v>625.37071149999997</v>
      </c>
      <c r="C151" s="19">
        <v>-88.450016730000002</v>
      </c>
      <c r="E151" s="9">
        <f t="shared" si="49"/>
        <v>334.62928850000003</v>
      </c>
      <c r="F151" s="9">
        <f t="shared" si="50"/>
        <v>451.54998326999998</v>
      </c>
      <c r="I151">
        <v>1</v>
      </c>
      <c r="J151">
        <f t="shared" si="45"/>
        <v>0.35907759916241977</v>
      </c>
      <c r="K151">
        <f t="shared" si="51"/>
        <v>0.93303618402379584</v>
      </c>
      <c r="O151">
        <f t="shared" si="52"/>
        <v>0.20922907115317213</v>
      </c>
      <c r="P151">
        <f t="shared" si="53"/>
        <v>0.28233447228219088</v>
      </c>
      <c r="Q151">
        <f t="shared" si="54"/>
        <v>0.9362213635383021</v>
      </c>
      <c r="R151">
        <f t="shared" si="44"/>
        <v>1</v>
      </c>
      <c r="AG151" s="8">
        <f t="shared" si="46"/>
        <v>-0.2272120656084772</v>
      </c>
      <c r="AH151" s="8">
        <f t="shared" si="47"/>
        <v>-7.133496250927078E-2</v>
      </c>
      <c r="AI151" s="8">
        <f t="shared" si="48"/>
        <v>0.97122911836792147</v>
      </c>
      <c r="AJ151" s="8"/>
      <c r="AK151" s="8"/>
      <c r="AL151" s="8"/>
      <c r="AN151" s="8">
        <f t="shared" si="55"/>
        <v>1</v>
      </c>
      <c r="AO151" s="8">
        <f t="shared" si="56"/>
        <v>3.4458049214921398</v>
      </c>
      <c r="AP151" s="8">
        <f t="shared" si="57"/>
        <v>0.24045752470221582</v>
      </c>
      <c r="AQ151" s="8"/>
      <c r="AR151" s="8">
        <f t="shared" si="58"/>
        <v>197.43007902690758</v>
      </c>
      <c r="AS151" s="8">
        <f t="shared" si="59"/>
        <v>76.222798682400295</v>
      </c>
    </row>
    <row r="152" spans="1:45">
      <c r="A152" s="19">
        <v>13.68033333</v>
      </c>
      <c r="B152" s="19">
        <v>625.64460540000005</v>
      </c>
      <c r="C152" s="19">
        <v>-88.826153129999994</v>
      </c>
      <c r="E152" s="9">
        <f t="shared" si="49"/>
        <v>334.35539459999995</v>
      </c>
      <c r="F152" s="9">
        <f t="shared" si="50"/>
        <v>451.17384687000003</v>
      </c>
      <c r="I152">
        <v>1</v>
      </c>
      <c r="J152">
        <f t="shared" si="45"/>
        <v>0.35880194150209144</v>
      </c>
      <c r="K152">
        <f t="shared" si="51"/>
        <v>0.93302924681788046</v>
      </c>
      <c r="O152">
        <f t="shared" si="52"/>
        <v>0.20907736225263548</v>
      </c>
      <c r="P152">
        <f t="shared" si="53"/>
        <v>0.28212566432135588</v>
      </c>
      <c r="Q152">
        <f t="shared" si="54"/>
        <v>0.93631819704879915</v>
      </c>
      <c r="R152">
        <f t="shared" si="44"/>
        <v>1</v>
      </c>
      <c r="AG152" s="8">
        <f t="shared" si="46"/>
        <v>-0.22695940225964398</v>
      </c>
      <c r="AH152" s="8">
        <f t="shared" si="47"/>
        <v>-7.1432214429128546E-2</v>
      </c>
      <c r="AI152" s="8">
        <f t="shared" si="48"/>
        <v>0.97128104504705337</v>
      </c>
      <c r="AJ152" s="8"/>
      <c r="AK152" s="8"/>
      <c r="AL152" s="8"/>
      <c r="AN152" s="8">
        <f t="shared" si="55"/>
        <v>1</v>
      </c>
      <c r="AO152" s="8">
        <f t="shared" si="56"/>
        <v>3.446512970111089</v>
      </c>
      <c r="AP152" s="8">
        <f t="shared" si="57"/>
        <v>0.24023938302864201</v>
      </c>
      <c r="AQ152" s="8"/>
      <c r="AR152" s="8">
        <f t="shared" si="58"/>
        <v>197.47064722446345</v>
      </c>
      <c r="AS152" s="8">
        <f t="shared" si="59"/>
        <v>76.235297279631993</v>
      </c>
    </row>
    <row r="153" spans="1:45">
      <c r="A153" s="19">
        <v>13.713699999999999</v>
      </c>
      <c r="B153" s="19">
        <v>626.3229116</v>
      </c>
      <c r="C153" s="19">
        <v>-89.56634176</v>
      </c>
      <c r="E153" s="9">
        <f t="shared" si="49"/>
        <v>333.6770884</v>
      </c>
      <c r="F153" s="9">
        <f t="shared" si="50"/>
        <v>450.43365824</v>
      </c>
      <c r="I153">
        <v>1</v>
      </c>
      <c r="J153">
        <f t="shared" si="45"/>
        <v>0.35821016005970996</v>
      </c>
      <c r="K153">
        <f t="shared" si="51"/>
        <v>0.93321523697001252</v>
      </c>
      <c r="O153">
        <f t="shared" si="52"/>
        <v>0.20869502203622103</v>
      </c>
      <c r="P153">
        <f t="shared" si="53"/>
        <v>0.28171925942833909</v>
      </c>
      <c r="Q153">
        <f t="shared" si="54"/>
        <v>0.93652583874896345</v>
      </c>
      <c r="R153">
        <f t="shared" si="44"/>
        <v>1</v>
      </c>
      <c r="AG153" s="8">
        <f t="shared" si="46"/>
        <v>-0.22644068032440523</v>
      </c>
      <c r="AH153" s="8">
        <f t="shared" si="47"/>
        <v>-7.170647612589838E-2</v>
      </c>
      <c r="AI153" s="8">
        <f t="shared" si="48"/>
        <v>0.97138190202197328</v>
      </c>
      <c r="AJ153" s="8"/>
      <c r="AK153" s="8"/>
      <c r="AL153" s="8"/>
      <c r="AN153" s="8">
        <f t="shared" si="55"/>
        <v>1</v>
      </c>
      <c r="AO153" s="8">
        <f t="shared" si="56"/>
        <v>3.4482700193178282</v>
      </c>
      <c r="AP153" s="8">
        <f t="shared" si="57"/>
        <v>0.23981513132907106</v>
      </c>
      <c r="AQ153" s="8"/>
      <c r="AR153" s="8">
        <f t="shared" si="58"/>
        <v>197.5713187284064</v>
      </c>
      <c r="AS153" s="8">
        <f t="shared" si="59"/>
        <v>76.259605111468659</v>
      </c>
    </row>
    <row r="154" spans="1:45">
      <c r="A154" s="19">
        <v>13.747066670000001</v>
      </c>
      <c r="B154" s="19">
        <v>626.67301399999997</v>
      </c>
      <c r="C154" s="19">
        <v>-90.156334139999998</v>
      </c>
      <c r="E154" s="9">
        <f t="shared" si="49"/>
        <v>333.32698600000003</v>
      </c>
      <c r="F154" s="9">
        <f t="shared" si="50"/>
        <v>449.84366585999999</v>
      </c>
      <c r="I154">
        <v>1</v>
      </c>
      <c r="J154">
        <f t="shared" si="45"/>
        <v>0.35780555032820804</v>
      </c>
      <c r="K154">
        <f t="shared" si="51"/>
        <v>0.93309043452957874</v>
      </c>
      <c r="O154">
        <f t="shared" si="52"/>
        <v>0.20850456668306216</v>
      </c>
      <c r="P154">
        <f t="shared" si="53"/>
        <v>0.28138873408005288</v>
      </c>
      <c r="Q154">
        <f t="shared" si="54"/>
        <v>0.93666761767722806</v>
      </c>
      <c r="R154">
        <f t="shared" si="44"/>
        <v>1</v>
      </c>
      <c r="AG154" s="8">
        <f t="shared" si="46"/>
        <v>-0.2260561818813373</v>
      </c>
      <c r="AH154" s="8">
        <f t="shared" si="47"/>
        <v>-7.1811814318283873E-2</v>
      </c>
      <c r="AI154" s="8">
        <f t="shared" si="48"/>
        <v>0.97146367197005778</v>
      </c>
      <c r="AJ154" s="8"/>
      <c r="AK154" s="8"/>
      <c r="AL154" s="8"/>
      <c r="AN154" s="8">
        <f t="shared" si="55"/>
        <v>1</v>
      </c>
      <c r="AO154" s="8">
        <f t="shared" si="56"/>
        <v>3.4491827984561652</v>
      </c>
      <c r="AP154" s="8">
        <f t="shared" si="57"/>
        <v>0.23947062753431481</v>
      </c>
      <c r="AQ154" s="8"/>
      <c r="AR154" s="8">
        <f t="shared" si="58"/>
        <v>197.6236171206607</v>
      </c>
      <c r="AS154" s="8">
        <f t="shared" si="59"/>
        <v>76.279343724934435</v>
      </c>
    </row>
    <row r="155" spans="1:45">
      <c r="A155" s="19">
        <v>13.780433329999999</v>
      </c>
      <c r="B155" s="19">
        <v>627.11165319999998</v>
      </c>
      <c r="C155" s="19">
        <v>-90.859102390000004</v>
      </c>
      <c r="E155" s="9">
        <f t="shared" si="49"/>
        <v>332.88834680000002</v>
      </c>
      <c r="F155" s="9">
        <f t="shared" si="50"/>
        <v>449.14089761000002</v>
      </c>
      <c r="I155">
        <v>1</v>
      </c>
      <c r="J155">
        <f t="shared" si="45"/>
        <v>0.35731582048764776</v>
      </c>
      <c r="K155">
        <f t="shared" si="51"/>
        <v>0.93297244059470452</v>
      </c>
      <c r="O155">
        <f t="shared" si="52"/>
        <v>0.20826460175099482</v>
      </c>
      <c r="P155">
        <f t="shared" si="53"/>
        <v>0.2809955682438775</v>
      </c>
      <c r="Q155">
        <f t="shared" si="54"/>
        <v>0.93683901834029093</v>
      </c>
      <c r="R155">
        <f t="shared" ref="R155:R218" si="60">SQRT(O155^2+P155^2+Q155^2)</f>
        <v>1</v>
      </c>
      <c r="AG155" s="8">
        <f t="shared" si="46"/>
        <v>-0.22559468200028276</v>
      </c>
      <c r="AH155" s="8">
        <f t="shared" si="47"/>
        <v>-7.1950169958032578E-2</v>
      </c>
      <c r="AI155" s="8">
        <f t="shared" si="48"/>
        <v>0.97156070962971808</v>
      </c>
      <c r="AJ155" s="8"/>
      <c r="AK155" s="8"/>
      <c r="AL155" s="8"/>
      <c r="AN155" s="8">
        <f t="shared" si="55"/>
        <v>0.99999999999999978</v>
      </c>
      <c r="AO155" s="8">
        <f t="shared" si="56"/>
        <v>3.4503297489332767</v>
      </c>
      <c r="AP155" s="8">
        <f t="shared" si="57"/>
        <v>0.23906116779055453</v>
      </c>
      <c r="AQ155" s="8"/>
      <c r="AR155" s="8">
        <f t="shared" si="58"/>
        <v>197.6893325423097</v>
      </c>
      <c r="AS155" s="8">
        <f t="shared" si="59"/>
        <v>76.302804040132415</v>
      </c>
    </row>
    <row r="156" spans="1:45">
      <c r="A156" s="19">
        <v>13.813800000000001</v>
      </c>
      <c r="B156" s="19">
        <v>627.96646499999997</v>
      </c>
      <c r="C156" s="19">
        <v>-91.597994220000004</v>
      </c>
      <c r="E156" s="9">
        <f t="shared" si="49"/>
        <v>332.03353500000003</v>
      </c>
      <c r="F156" s="9">
        <f t="shared" si="50"/>
        <v>448.40200577999997</v>
      </c>
      <c r="I156">
        <v>1</v>
      </c>
      <c r="J156">
        <f t="shared" si="45"/>
        <v>0.3566616868183326</v>
      </c>
      <c r="K156">
        <f t="shared" si="51"/>
        <v>0.93341473315892376</v>
      </c>
      <c r="O156">
        <f t="shared" si="52"/>
        <v>0.20777557084750184</v>
      </c>
      <c r="P156">
        <f t="shared" si="53"/>
        <v>0.28059509928749909</v>
      </c>
      <c r="Q156">
        <f t="shared" si="54"/>
        <v>0.93706760824117341</v>
      </c>
      <c r="R156">
        <f t="shared" si="60"/>
        <v>1</v>
      </c>
      <c r="AG156" s="8">
        <f t="shared" si="46"/>
        <v>-0.22504885061071495</v>
      </c>
      <c r="AH156" s="8">
        <f t="shared" si="47"/>
        <v>-7.232986388903459E-2</v>
      </c>
      <c r="AI156" s="8">
        <f t="shared" si="48"/>
        <v>0.97165909949353624</v>
      </c>
      <c r="AJ156" s="8"/>
      <c r="AK156" s="8"/>
      <c r="AL156" s="8"/>
      <c r="AN156" s="8">
        <f t="shared" si="55"/>
        <v>0.99999999999999989</v>
      </c>
      <c r="AO156" s="8">
        <f t="shared" si="56"/>
        <v>3.4525616682642744</v>
      </c>
      <c r="AP156" s="8">
        <f t="shared" si="57"/>
        <v>0.23864529874171514</v>
      </c>
      <c r="AQ156" s="8"/>
      <c r="AR156" s="8">
        <f t="shared" si="58"/>
        <v>197.81721210018955</v>
      </c>
      <c r="AS156" s="8">
        <f t="shared" si="59"/>
        <v>76.326631581461029</v>
      </c>
    </row>
    <row r="157" spans="1:45">
      <c r="A157" s="19">
        <v>13.84716667</v>
      </c>
      <c r="B157" s="19">
        <v>628.33443480000005</v>
      </c>
      <c r="C157" s="19">
        <v>-92.363139820000001</v>
      </c>
      <c r="E157" s="9">
        <f t="shared" si="49"/>
        <v>331.66556519999995</v>
      </c>
      <c r="F157" s="9">
        <f t="shared" si="50"/>
        <v>447.63686017999999</v>
      </c>
      <c r="I157">
        <v>1</v>
      </c>
      <c r="J157">
        <f t="shared" si="45"/>
        <v>0.35616676414487719</v>
      </c>
      <c r="K157">
        <f t="shared" si="51"/>
        <v>0.93312823828997737</v>
      </c>
      <c r="O157">
        <f t="shared" si="52"/>
        <v>0.207579829219777</v>
      </c>
      <c r="P157">
        <f t="shared" si="53"/>
        <v>0.28016288918208621</v>
      </c>
      <c r="Q157">
        <f t="shared" si="54"/>
        <v>0.93724029470901127</v>
      </c>
      <c r="R157">
        <f t="shared" si="60"/>
        <v>1</v>
      </c>
      <c r="AG157" s="8">
        <f t="shared" si="46"/>
        <v>-0.22456267459480117</v>
      </c>
      <c r="AH157" s="8">
        <f t="shared" si="47"/>
        <v>-7.2415392934514849E-2</v>
      </c>
      <c r="AI157" s="8">
        <f t="shared" si="48"/>
        <v>0.97176520623295071</v>
      </c>
      <c r="AJ157" s="8"/>
      <c r="AK157" s="8"/>
      <c r="AL157" s="8"/>
      <c r="AN157" s="8">
        <f t="shared" si="55"/>
        <v>0.99999999999999989</v>
      </c>
      <c r="AO157" s="8">
        <f t="shared" si="56"/>
        <v>3.4535372466205669</v>
      </c>
      <c r="AP157" s="8">
        <f t="shared" si="57"/>
        <v>0.23819601422364323</v>
      </c>
      <c r="AQ157" s="8"/>
      <c r="AR157" s="8">
        <f t="shared" si="58"/>
        <v>197.8731086225894</v>
      </c>
      <c r="AS157" s="8">
        <f t="shared" si="59"/>
        <v>76.352373688147111</v>
      </c>
    </row>
    <row r="158" spans="1:45">
      <c r="A158" s="19">
        <v>13.88053333</v>
      </c>
      <c r="B158" s="19">
        <v>628.25085000000001</v>
      </c>
      <c r="C158" s="19">
        <v>-92.814578679999997</v>
      </c>
      <c r="E158" s="9">
        <f t="shared" si="49"/>
        <v>331.74914999999999</v>
      </c>
      <c r="F158" s="9">
        <f t="shared" si="50"/>
        <v>447.18542131999999</v>
      </c>
      <c r="I158">
        <v>1</v>
      </c>
      <c r="J158">
        <f t="shared" si="45"/>
        <v>0.35598102656888636</v>
      </c>
      <c r="K158">
        <f t="shared" si="51"/>
        <v>0.93252495508604327</v>
      </c>
      <c r="O158">
        <f t="shared" si="52"/>
        <v>0.20764508671556575</v>
      </c>
      <c r="P158">
        <f t="shared" si="53"/>
        <v>0.27989779502955231</v>
      </c>
      <c r="Q158">
        <f t="shared" si="54"/>
        <v>0.93730504228905109</v>
      </c>
      <c r="R158">
        <f t="shared" si="60"/>
        <v>1</v>
      </c>
      <c r="AG158" s="8">
        <f t="shared" si="46"/>
        <v>-0.22432190311485622</v>
      </c>
      <c r="AH158" s="8">
        <f t="shared" si="47"/>
        <v>-7.2286912320928445E-2</v>
      </c>
      <c r="AI158" s="8">
        <f t="shared" si="48"/>
        <v>0.9718303792792421</v>
      </c>
      <c r="AJ158" s="8"/>
      <c r="AK158" s="8"/>
      <c r="AL158" s="8"/>
      <c r="AN158" s="8">
        <f t="shared" si="55"/>
        <v>1</v>
      </c>
      <c r="AO158" s="8">
        <f t="shared" si="56"/>
        <v>3.4533319491627474</v>
      </c>
      <c r="AP158" s="8">
        <f t="shared" si="57"/>
        <v>0.23791964138770227</v>
      </c>
      <c r="AQ158" s="8"/>
      <c r="AR158" s="8">
        <f t="shared" si="58"/>
        <v>197.86134594471159</v>
      </c>
      <c r="AS158" s="8">
        <f t="shared" si="59"/>
        <v>76.36820868521859</v>
      </c>
    </row>
    <row r="159" spans="1:45">
      <c r="A159" s="19">
        <v>13.9139</v>
      </c>
      <c r="B159" s="19">
        <v>629.09182710000005</v>
      </c>
      <c r="C159" s="19">
        <v>-93.788507260000003</v>
      </c>
      <c r="E159" s="9">
        <f t="shared" si="49"/>
        <v>330.90817289999995</v>
      </c>
      <c r="F159" s="9">
        <f t="shared" si="50"/>
        <v>446.21149273999998</v>
      </c>
      <c r="I159">
        <v>1</v>
      </c>
      <c r="J159">
        <f t="shared" si="45"/>
        <v>0.35521895022994299</v>
      </c>
      <c r="K159">
        <f t="shared" si="51"/>
        <v>0.93269621171339201</v>
      </c>
      <c r="O159">
        <f t="shared" si="52"/>
        <v>0.2071716028516</v>
      </c>
      <c r="P159">
        <f t="shared" si="53"/>
        <v>0.27935952548892418</v>
      </c>
      <c r="Q159">
        <f t="shared" si="54"/>
        <v>0.9375703613545503</v>
      </c>
      <c r="R159">
        <f t="shared" si="60"/>
        <v>1</v>
      </c>
      <c r="AG159" s="8">
        <f t="shared" si="46"/>
        <v>-0.22364533013981613</v>
      </c>
      <c r="AH159" s="8">
        <f t="shared" si="47"/>
        <v>-7.2617565328831263E-2</v>
      </c>
      <c r="AI159" s="8">
        <f t="shared" si="48"/>
        <v>0.97196165331373308</v>
      </c>
      <c r="AJ159" s="8"/>
      <c r="AK159" s="8"/>
      <c r="AL159" s="8"/>
      <c r="AN159" s="8">
        <f t="shared" si="55"/>
        <v>0.99999999999999978</v>
      </c>
      <c r="AO159" s="8">
        <f t="shared" si="56"/>
        <v>3.4555528922452599</v>
      </c>
      <c r="AP159" s="8">
        <f t="shared" si="57"/>
        <v>0.23736200233746119</v>
      </c>
      <c r="AQ159" s="8"/>
      <c r="AR159" s="8">
        <f t="shared" si="58"/>
        <v>197.98859660987833</v>
      </c>
      <c r="AS159" s="8">
        <f t="shared" si="59"/>
        <v>76.400159049289087</v>
      </c>
    </row>
    <row r="160" spans="1:45">
      <c r="A160" s="19">
        <v>13.947266669999999</v>
      </c>
      <c r="B160" s="19">
        <v>629.11442390000002</v>
      </c>
      <c r="C160" s="19">
        <v>-94.338161589999999</v>
      </c>
      <c r="E160" s="9">
        <f t="shared" si="49"/>
        <v>330.88557609999998</v>
      </c>
      <c r="F160" s="9">
        <f t="shared" si="50"/>
        <v>445.66183840999997</v>
      </c>
      <c r="I160">
        <v>1</v>
      </c>
      <c r="J160">
        <f t="shared" ref="J160:J223" si="61">ATAN((SQRT(E160^2+F160^2)^$B$16)/($F$24))</f>
        <v>0.35494871744707018</v>
      </c>
      <c r="K160">
        <f t="shared" si="51"/>
        <v>0.93213904963047256</v>
      </c>
      <c r="O160">
        <f t="shared" si="52"/>
        <v>0.20717617788032933</v>
      </c>
      <c r="P160">
        <f t="shared" si="53"/>
        <v>0.2790406200148195</v>
      </c>
      <c r="Q160">
        <f t="shared" si="54"/>
        <v>0.93766431290768615</v>
      </c>
      <c r="R160">
        <f t="shared" si="60"/>
        <v>1</v>
      </c>
      <c r="AG160" s="8">
        <f t="shared" ref="AG160:AG223" si="62">$O160*$Z$27+$P160*$Z$31+$Q160*$Z$35</f>
        <v>-0.22333281592403431</v>
      </c>
      <c r="AH160" s="8">
        <f t="shared" ref="AH160:AH223" si="63">$O160*$AA$27+$P160*$AA$31+$Q160*$AA$35</f>
        <v>-7.2535117807140906E-2</v>
      </c>
      <c r="AI160" s="8">
        <f t="shared" ref="AI160:AI223" si="64">$AB$27*$O160+$P160*$AB$31+$AB$35*$Q160</f>
        <v>0.97203966483685511</v>
      </c>
      <c r="AJ160" s="8"/>
      <c r="AK160" s="8"/>
      <c r="AL160" s="8"/>
      <c r="AN160" s="8">
        <f t="shared" si="55"/>
        <v>1</v>
      </c>
      <c r="AO160" s="8">
        <f t="shared" si="56"/>
        <v>3.4556299554360681</v>
      </c>
      <c r="AP160" s="8">
        <f t="shared" si="57"/>
        <v>0.23703000742429969</v>
      </c>
      <c r="AQ160" s="8"/>
      <c r="AR160" s="8">
        <f t="shared" si="58"/>
        <v>197.99301200546745</v>
      </c>
      <c r="AS160" s="8">
        <f t="shared" si="59"/>
        <v>76.419180956633056</v>
      </c>
    </row>
    <row r="161" spans="1:45">
      <c r="A161" s="19">
        <v>13.98063333</v>
      </c>
      <c r="B161" s="19">
        <v>629.79507839999997</v>
      </c>
      <c r="C161" s="19">
        <v>-95.279011670000003</v>
      </c>
      <c r="E161" s="9">
        <f t="shared" ref="E161:E224" si="65">-(B161-($B$15/2))</f>
        <v>330.20492160000003</v>
      </c>
      <c r="F161" s="9">
        <f t="shared" ref="F161:F224" si="66">(($C$15/2)+C161)</f>
        <v>444.72098833000001</v>
      </c>
      <c r="I161">
        <v>1</v>
      </c>
      <c r="J161">
        <f t="shared" si="61"/>
        <v>0.35425865895490982</v>
      </c>
      <c r="K161">
        <f t="shared" ref="K161:K224" si="67">ATAN2(E161,F161)</f>
        <v>0.93211312070014618</v>
      </c>
      <c r="O161">
        <f t="shared" ref="O161:O224" si="68">COS(K161)*SIN(J161)</f>
        <v>0.20679763621372765</v>
      </c>
      <c r="P161">
        <f t="shared" ref="P161:P224" si="69">SIN(K161)*SIN(J161)</f>
        <v>0.27851568267260118</v>
      </c>
      <c r="Q161">
        <f t="shared" ref="Q161:Q224" si="70">COS(J161)</f>
        <v>0.93790391414143792</v>
      </c>
      <c r="R161">
        <f t="shared" si="60"/>
        <v>1</v>
      </c>
      <c r="AG161" s="8">
        <f t="shared" si="62"/>
        <v>-0.22269885742444009</v>
      </c>
      <c r="AH161" s="8">
        <f t="shared" si="63"/>
        <v>-7.2776203314166302E-2</v>
      </c>
      <c r="AI161" s="8">
        <f t="shared" si="64"/>
        <v>0.97216708601609425</v>
      </c>
      <c r="AJ161" s="8"/>
      <c r="AK161" s="8"/>
      <c r="AL161" s="8"/>
      <c r="AN161" s="8">
        <f t="shared" ref="AN161:AN224" si="71">AG161^2+AH161^2+AI161^2</f>
        <v>1</v>
      </c>
      <c r="AO161" s="8">
        <f t="shared" ref="AO161:AO224" si="72">IF(ATAN2(AG161,AH161)&gt;=0,ATAN2(AG161,AH161),ATAN2(AG161,AH161)+2*PI())</f>
        <v>3.457444493742253</v>
      </c>
      <c r="AP161" s="8">
        <f t="shared" ref="AP161:AP224" si="73">ACOS(AI161/AN161)</f>
        <v>0.23648675554994991</v>
      </c>
      <c r="AQ161" s="8"/>
      <c r="AR161" s="8">
        <f t="shared" ref="AR161:AR224" si="74">DEGREES(AO161)</f>
        <v>198.09697739217665</v>
      </c>
      <c r="AS161" s="8">
        <f t="shared" ref="AS161:AS224" si="75">90-DEGREES(AP161)</f>
        <v>76.450306996245871</v>
      </c>
    </row>
    <row r="162" spans="1:45">
      <c r="A162" s="19">
        <v>14.013999999999999</v>
      </c>
      <c r="B162" s="19">
        <v>630.04768360000003</v>
      </c>
      <c r="C162" s="19">
        <v>-95.808080790000005</v>
      </c>
      <c r="E162" s="9">
        <f t="shared" si="65"/>
        <v>329.95231639999997</v>
      </c>
      <c r="F162" s="9">
        <f t="shared" si="66"/>
        <v>444.19191920999998</v>
      </c>
      <c r="I162">
        <v>1</v>
      </c>
      <c r="J162">
        <f t="shared" si="61"/>
        <v>0.35391660879123527</v>
      </c>
      <c r="K162">
        <f t="shared" si="67"/>
        <v>0.93190965007796889</v>
      </c>
      <c r="O162">
        <f t="shared" si="68"/>
        <v>0.2066629898129074</v>
      </c>
      <c r="P162">
        <f t="shared" si="69"/>
        <v>0.27821604975000563</v>
      </c>
      <c r="Q162">
        <f t="shared" si="70"/>
        <v>0.93802251481672472</v>
      </c>
      <c r="R162">
        <f t="shared" si="60"/>
        <v>1</v>
      </c>
      <c r="AG162" s="8">
        <f t="shared" si="62"/>
        <v>-0.2223622339953466</v>
      </c>
      <c r="AH162" s="8">
        <f t="shared" si="63"/>
        <v>-7.283429814416191E-2</v>
      </c>
      <c r="AI162" s="8">
        <f t="shared" si="64"/>
        <v>0.97223978621862928</v>
      </c>
      <c r="AJ162" s="8"/>
      <c r="AK162" s="8"/>
      <c r="AL162" s="8"/>
      <c r="AN162" s="8">
        <f t="shared" si="71"/>
        <v>0.99999999999999989</v>
      </c>
      <c r="AO162" s="8">
        <f t="shared" si="72"/>
        <v>3.4581273747225492</v>
      </c>
      <c r="AP162" s="8">
        <f t="shared" si="73"/>
        <v>0.2361762536223897</v>
      </c>
      <c r="AQ162" s="8"/>
      <c r="AR162" s="8">
        <f t="shared" si="74"/>
        <v>198.13610359025739</v>
      </c>
      <c r="AS162" s="8">
        <f t="shared" si="75"/>
        <v>76.468097446225755</v>
      </c>
    </row>
    <row r="163" spans="1:45">
      <c r="A163" s="19">
        <v>14.047366670000001</v>
      </c>
      <c r="B163" s="19">
        <v>630.86227459999998</v>
      </c>
      <c r="C163" s="19">
        <v>-96.258074629999996</v>
      </c>
      <c r="E163" s="9">
        <f t="shared" si="65"/>
        <v>329.13772540000002</v>
      </c>
      <c r="F163" s="9">
        <f t="shared" si="66"/>
        <v>443.74192536999999</v>
      </c>
      <c r="I163">
        <v>1</v>
      </c>
      <c r="J163">
        <f t="shared" si="61"/>
        <v>0.35341300854409041</v>
      </c>
      <c r="K163">
        <f t="shared" si="67"/>
        <v>0.93260756887307106</v>
      </c>
      <c r="O163">
        <f t="shared" si="68"/>
        <v>0.2061873196789239</v>
      </c>
      <c r="P163">
        <f t="shared" si="69"/>
        <v>0.27798076963074669</v>
      </c>
      <c r="Q163">
        <f t="shared" si="70"/>
        <v>0.93819693077685928</v>
      </c>
      <c r="R163">
        <f t="shared" si="60"/>
        <v>1</v>
      </c>
      <c r="AG163" s="8">
        <f t="shared" si="62"/>
        <v>-0.22198337331035134</v>
      </c>
      <c r="AH163" s="8">
        <f t="shared" si="63"/>
        <v>-7.3240949684884274E-2</v>
      </c>
      <c r="AI163" s="8">
        <f t="shared" si="64"/>
        <v>0.97229581160417089</v>
      </c>
      <c r="AJ163" s="8"/>
      <c r="AK163" s="8"/>
      <c r="AL163" s="8"/>
      <c r="AN163" s="8">
        <f t="shared" si="71"/>
        <v>0.99999999999999989</v>
      </c>
      <c r="AO163" s="8">
        <f t="shared" si="72"/>
        <v>3.460285112046372</v>
      </c>
      <c r="AP163" s="8">
        <f t="shared" si="73"/>
        <v>0.23593669610905277</v>
      </c>
      <c r="AQ163" s="8"/>
      <c r="AR163" s="8">
        <f t="shared" si="74"/>
        <v>198.25973283221029</v>
      </c>
      <c r="AS163" s="8">
        <f t="shared" si="75"/>
        <v>76.481823080690603</v>
      </c>
    </row>
    <row r="164" spans="1:45">
      <c r="A164" s="19">
        <v>14.080733329999999</v>
      </c>
      <c r="B164" s="19">
        <v>630.94499340000004</v>
      </c>
      <c r="C164" s="19">
        <v>-96.836868569999993</v>
      </c>
      <c r="E164" s="9">
        <f t="shared" si="65"/>
        <v>329.05500659999996</v>
      </c>
      <c r="F164" s="9">
        <f t="shared" si="66"/>
        <v>443.16313143000002</v>
      </c>
      <c r="I164">
        <v>1</v>
      </c>
      <c r="J164">
        <f t="shared" si="61"/>
        <v>0.35310720816768509</v>
      </c>
      <c r="K164">
        <f t="shared" si="67"/>
        <v>0.93210324078619422</v>
      </c>
      <c r="O164">
        <f t="shared" si="68"/>
        <v>0.20615644225843058</v>
      </c>
      <c r="P164">
        <f t="shared" si="69"/>
        <v>0.27764638945844289</v>
      </c>
      <c r="Q164">
        <f t="shared" si="70"/>
        <v>0.93830272499659562</v>
      </c>
      <c r="R164">
        <f t="shared" si="60"/>
        <v>1</v>
      </c>
      <c r="AG164" s="8">
        <f t="shared" si="62"/>
        <v>-0.2216447097865169</v>
      </c>
      <c r="AH164" s="8">
        <f t="shared" si="63"/>
        <v>-7.3189209375641454E-2</v>
      </c>
      <c r="AI164" s="8">
        <f t="shared" si="64"/>
        <v>0.97237696509873117</v>
      </c>
      <c r="AJ164" s="8"/>
      <c r="AK164" s="8"/>
      <c r="AL164" s="8"/>
      <c r="AN164" s="8">
        <f t="shared" si="71"/>
        <v>0.99999999999999978</v>
      </c>
      <c r="AO164" s="8">
        <f t="shared" si="72"/>
        <v>3.4605292119127702</v>
      </c>
      <c r="AP164" s="8">
        <f t="shared" si="73"/>
        <v>0.23558927003541275</v>
      </c>
      <c r="AQ164" s="8"/>
      <c r="AR164" s="8">
        <f t="shared" si="74"/>
        <v>198.27371872433463</v>
      </c>
      <c r="AS164" s="8">
        <f t="shared" si="75"/>
        <v>76.501729128402985</v>
      </c>
    </row>
    <row r="165" spans="1:45">
      <c r="A165" s="19">
        <v>14.114100000000001</v>
      </c>
      <c r="B165" s="19">
        <v>631.1066131</v>
      </c>
      <c r="C165" s="19">
        <v>-97.638505760000001</v>
      </c>
      <c r="E165" s="9">
        <f t="shared" si="65"/>
        <v>328.8933869</v>
      </c>
      <c r="F165" s="9">
        <f t="shared" si="66"/>
        <v>442.36149424000001</v>
      </c>
      <c r="I165">
        <v>1</v>
      </c>
      <c r="J165">
        <f t="shared" si="61"/>
        <v>0.3526669931373268</v>
      </c>
      <c r="K165">
        <f t="shared" si="67"/>
        <v>0.93147168439577166</v>
      </c>
      <c r="O165">
        <f t="shared" si="68"/>
        <v>0.2060852797677368</v>
      </c>
      <c r="P165">
        <f t="shared" si="69"/>
        <v>0.27718463164673773</v>
      </c>
      <c r="Q165">
        <f t="shared" si="70"/>
        <v>0.93845486702447012</v>
      </c>
      <c r="R165">
        <f t="shared" si="60"/>
        <v>1</v>
      </c>
      <c r="AG165" s="8">
        <f t="shared" si="62"/>
        <v>-0.22116823013050146</v>
      </c>
      <c r="AH165" s="8">
        <f t="shared" si="63"/>
        <v>-7.3145552518567969E-2</v>
      </c>
      <c r="AI165" s="8">
        <f t="shared" si="64"/>
        <v>0.97248873624720955</v>
      </c>
      <c r="AJ165" s="8"/>
      <c r="AK165" s="8"/>
      <c r="AL165" s="8"/>
      <c r="AN165" s="8">
        <f t="shared" si="71"/>
        <v>0.99999999999999978</v>
      </c>
      <c r="AO165" s="8">
        <f t="shared" si="72"/>
        <v>3.4609926089032204</v>
      </c>
      <c r="AP165" s="8">
        <f t="shared" si="73"/>
        <v>0.23510994193330248</v>
      </c>
      <c r="AQ165" s="8"/>
      <c r="AR165" s="8">
        <f t="shared" si="74"/>
        <v>198.30026941612647</v>
      </c>
      <c r="AS165" s="8">
        <f t="shared" si="75"/>
        <v>76.529192605655908</v>
      </c>
    </row>
    <row r="166" spans="1:45">
      <c r="A166" s="19">
        <v>14.14746667</v>
      </c>
      <c r="B166" s="19">
        <v>631.60796319999997</v>
      </c>
      <c r="C166" s="19">
        <v>-98.608349110000006</v>
      </c>
      <c r="E166" s="9">
        <f t="shared" si="65"/>
        <v>328.39203680000003</v>
      </c>
      <c r="F166" s="9">
        <f t="shared" si="66"/>
        <v>441.39165088999999</v>
      </c>
      <c r="I166">
        <v>1</v>
      </c>
      <c r="J166">
        <f t="shared" si="61"/>
        <v>0.35202569352981988</v>
      </c>
      <c r="K166">
        <f t="shared" si="67"/>
        <v>0.93115117764745214</v>
      </c>
      <c r="O166">
        <f t="shared" si="68"/>
        <v>0.20581482709986451</v>
      </c>
      <c r="P166">
        <f t="shared" si="69"/>
        <v>0.27663565534805046</v>
      </c>
      <c r="Q166">
        <f t="shared" si="70"/>
        <v>0.9386761801260366</v>
      </c>
      <c r="R166">
        <f t="shared" si="60"/>
        <v>1</v>
      </c>
      <c r="AG166" s="8">
        <f t="shared" si="62"/>
        <v>-0.22054425584205015</v>
      </c>
      <c r="AH166" s="8">
        <f t="shared" si="63"/>
        <v>-7.3274945154424995E-2</v>
      </c>
      <c r="AI166" s="8">
        <f t="shared" si="64"/>
        <v>0.97262069360449677</v>
      </c>
      <c r="AJ166" s="8"/>
      <c r="AK166" s="8"/>
      <c r="AL166" s="8"/>
      <c r="AN166" s="8">
        <f t="shared" si="71"/>
        <v>1</v>
      </c>
      <c r="AO166" s="8">
        <f t="shared" si="72"/>
        <v>3.4623642821477811</v>
      </c>
      <c r="AP166" s="8">
        <f t="shared" si="73"/>
        <v>0.23454280815059381</v>
      </c>
      <c r="AQ166" s="8"/>
      <c r="AR166" s="8">
        <f t="shared" si="74"/>
        <v>198.37886050391083</v>
      </c>
      <c r="AS166" s="8">
        <f t="shared" si="75"/>
        <v>76.561686977824408</v>
      </c>
    </row>
    <row r="167" spans="1:45">
      <c r="A167" s="19">
        <v>14.18083333</v>
      </c>
      <c r="B167" s="19">
        <v>632.38015289999998</v>
      </c>
      <c r="C167" s="19">
        <v>-99.141279319999995</v>
      </c>
      <c r="E167" s="9">
        <f t="shared" si="65"/>
        <v>327.61984710000002</v>
      </c>
      <c r="F167" s="9">
        <f t="shared" si="66"/>
        <v>440.85872068000003</v>
      </c>
      <c r="I167">
        <v>1</v>
      </c>
      <c r="J167">
        <f t="shared" si="61"/>
        <v>0.35149666556797687</v>
      </c>
      <c r="K167">
        <f t="shared" si="67"/>
        <v>0.9316999516315998</v>
      </c>
      <c r="O167">
        <f t="shared" si="68"/>
        <v>0.20536675808011495</v>
      </c>
      <c r="P167">
        <f t="shared" si="69"/>
        <v>0.2763499435056006</v>
      </c>
      <c r="Q167">
        <f t="shared" si="70"/>
        <v>0.93885845759630604</v>
      </c>
      <c r="R167">
        <f t="shared" si="60"/>
        <v>1</v>
      </c>
      <c r="AG167" s="8">
        <f t="shared" si="62"/>
        <v>-0.22012441358281293</v>
      </c>
      <c r="AH167" s="8">
        <f t="shared" si="63"/>
        <v>-7.3642116916864106E-2</v>
      </c>
      <c r="AI167" s="8">
        <f t="shared" si="64"/>
        <v>0.97268806981520306</v>
      </c>
      <c r="AJ167" s="8"/>
      <c r="AK167" s="8"/>
      <c r="AL167" s="8"/>
      <c r="AN167" s="8">
        <f t="shared" si="71"/>
        <v>0.99999999999999967</v>
      </c>
      <c r="AO167" s="8">
        <f t="shared" si="72"/>
        <v>3.4644357421416574</v>
      </c>
      <c r="AP167" s="8">
        <f t="shared" si="73"/>
        <v>0.23425271512375612</v>
      </c>
      <c r="AQ167" s="8"/>
      <c r="AR167" s="8">
        <f t="shared" si="74"/>
        <v>198.49754641899014</v>
      </c>
      <c r="AS167" s="8">
        <f t="shared" si="75"/>
        <v>76.578308083928391</v>
      </c>
    </row>
    <row r="168" spans="1:45">
      <c r="A168" s="19">
        <v>14.2142</v>
      </c>
      <c r="B168" s="19">
        <v>632.64787820000004</v>
      </c>
      <c r="C168" s="19">
        <v>-99.844829290000007</v>
      </c>
      <c r="E168" s="9">
        <f t="shared" si="65"/>
        <v>327.35212179999996</v>
      </c>
      <c r="F168" s="9">
        <f t="shared" si="66"/>
        <v>440.15517070999999</v>
      </c>
      <c r="I168">
        <v>1</v>
      </c>
      <c r="J168">
        <f t="shared" si="61"/>
        <v>0.35106519435747141</v>
      </c>
      <c r="K168">
        <f t="shared" si="67"/>
        <v>0.93132666787110141</v>
      </c>
      <c r="O168">
        <f t="shared" si="68"/>
        <v>0.20522813581323587</v>
      </c>
      <c r="P168">
        <f t="shared" si="69"/>
        <v>0.27594818893081607</v>
      </c>
      <c r="Q168">
        <f t="shared" si="70"/>
        <v>0.93900692718234335</v>
      </c>
      <c r="R168">
        <f t="shared" si="60"/>
        <v>1</v>
      </c>
      <c r="AG168" s="8">
        <f t="shared" si="62"/>
        <v>-0.21968618361034581</v>
      </c>
      <c r="AH168" s="8">
        <f t="shared" si="63"/>
        <v>-7.3678846344201521E-2</v>
      </c>
      <c r="AI168" s="8">
        <f t="shared" si="64"/>
        <v>0.97278435859758206</v>
      </c>
      <c r="AJ168" s="8"/>
      <c r="AK168" s="8"/>
      <c r="AL168" s="8"/>
      <c r="AN168" s="8">
        <f t="shared" si="71"/>
        <v>1</v>
      </c>
      <c r="AO168" s="8">
        <f t="shared" si="72"/>
        <v>3.4651860972653958</v>
      </c>
      <c r="AP168" s="8">
        <f t="shared" si="73"/>
        <v>0.23383752379609257</v>
      </c>
      <c r="AQ168" s="8"/>
      <c r="AR168" s="8">
        <f t="shared" si="74"/>
        <v>198.54053860071636</v>
      </c>
      <c r="AS168" s="8">
        <f t="shared" si="75"/>
        <v>76.602096794693935</v>
      </c>
    </row>
    <row r="169" spans="1:45">
      <c r="A169" s="19">
        <v>14.247566669999999</v>
      </c>
      <c r="B169" s="19">
        <v>633.03918729999998</v>
      </c>
      <c r="C169" s="19">
        <v>-100.43494560000001</v>
      </c>
      <c r="E169" s="9">
        <f t="shared" si="65"/>
        <v>326.96081270000002</v>
      </c>
      <c r="F169" s="9">
        <f t="shared" si="66"/>
        <v>439.56505440000001</v>
      </c>
      <c r="I169">
        <v>1</v>
      </c>
      <c r="J169">
        <f t="shared" si="61"/>
        <v>0.35064390868259215</v>
      </c>
      <c r="K169">
        <f t="shared" si="67"/>
        <v>0.93125698888692798</v>
      </c>
      <c r="O169">
        <f t="shared" si="68"/>
        <v>0.20501124644696164</v>
      </c>
      <c r="P169">
        <f t="shared" si="69"/>
        <v>0.27561645370558657</v>
      </c>
      <c r="Q169">
        <f t="shared" si="70"/>
        <v>0.93915172324657925</v>
      </c>
      <c r="R169">
        <f t="shared" si="60"/>
        <v>1</v>
      </c>
      <c r="AG169" s="8">
        <f t="shared" si="62"/>
        <v>-0.21929265151618987</v>
      </c>
      <c r="AH169" s="8">
        <f t="shared" si="63"/>
        <v>-7.3809075874142122E-2</v>
      </c>
      <c r="AI169" s="8">
        <f t="shared" si="64"/>
        <v>0.97286327575338349</v>
      </c>
      <c r="AJ169" s="8"/>
      <c r="AK169" s="8"/>
      <c r="AL169" s="8"/>
      <c r="AN169" s="8">
        <f t="shared" si="71"/>
        <v>0.99999999999999978</v>
      </c>
      <c r="AO169" s="8">
        <f t="shared" si="72"/>
        <v>3.4662605346053774</v>
      </c>
      <c r="AP169" s="8">
        <f t="shared" si="73"/>
        <v>0.23349669744953361</v>
      </c>
      <c r="AQ169" s="8"/>
      <c r="AR169" s="8">
        <f t="shared" si="74"/>
        <v>198.60209932564857</v>
      </c>
      <c r="AS169" s="8">
        <f t="shared" si="75"/>
        <v>76.621624705898626</v>
      </c>
    </row>
    <row r="170" spans="1:45">
      <c r="A170" s="19">
        <v>14.28093333</v>
      </c>
      <c r="B170" s="19">
        <v>633.66214960000002</v>
      </c>
      <c r="C170" s="19">
        <v>-101.4085827</v>
      </c>
      <c r="E170" s="9">
        <f t="shared" si="65"/>
        <v>326.33785039999998</v>
      </c>
      <c r="F170" s="9">
        <f t="shared" si="66"/>
        <v>438.59141729999999</v>
      </c>
      <c r="I170">
        <v>1</v>
      </c>
      <c r="J170">
        <f t="shared" si="61"/>
        <v>0.34995662558528129</v>
      </c>
      <c r="K170">
        <f t="shared" si="67"/>
        <v>0.93110837341947217</v>
      </c>
      <c r="O170">
        <f t="shared" si="68"/>
        <v>0.20466685060078132</v>
      </c>
      <c r="P170">
        <f t="shared" si="69"/>
        <v>0.27506807429569324</v>
      </c>
      <c r="Q170">
        <f t="shared" si="70"/>
        <v>0.93938758495544128</v>
      </c>
      <c r="R170">
        <f t="shared" si="60"/>
        <v>1</v>
      </c>
      <c r="AG170" s="8">
        <f t="shared" si="62"/>
        <v>-0.21864653666433126</v>
      </c>
      <c r="AH170" s="8">
        <f t="shared" si="63"/>
        <v>-7.4010482514807255E-2</v>
      </c>
      <c r="AI170" s="8">
        <f t="shared" si="64"/>
        <v>0.97299339179802169</v>
      </c>
      <c r="AJ170" s="8"/>
      <c r="AK170" s="8"/>
      <c r="AL170" s="8"/>
      <c r="AN170" s="8">
        <f t="shared" si="71"/>
        <v>0.99999999999999989</v>
      </c>
      <c r="AO170" s="8">
        <f t="shared" si="72"/>
        <v>3.4679803559952176</v>
      </c>
      <c r="AP170" s="8">
        <f t="shared" si="73"/>
        <v>0.23293368497804345</v>
      </c>
      <c r="AQ170" s="8"/>
      <c r="AR170" s="8">
        <f t="shared" si="74"/>
        <v>198.70063783280273</v>
      </c>
      <c r="AS170" s="8">
        <f t="shared" si="75"/>
        <v>76.653882944328245</v>
      </c>
    </row>
    <row r="171" spans="1:45">
      <c r="A171" s="19">
        <v>14.314299999999999</v>
      </c>
      <c r="B171" s="19">
        <v>634.14991740000005</v>
      </c>
      <c r="C171" s="19">
        <v>-101.8386421</v>
      </c>
      <c r="E171" s="9">
        <f t="shared" si="65"/>
        <v>325.85008259999995</v>
      </c>
      <c r="F171" s="9">
        <f t="shared" si="66"/>
        <v>438.16135789999998</v>
      </c>
      <c r="I171">
        <v>1</v>
      </c>
      <c r="J171">
        <f t="shared" si="61"/>
        <v>0.34957727173673736</v>
      </c>
      <c r="K171">
        <f t="shared" si="67"/>
        <v>0.93135488394189136</v>
      </c>
      <c r="O171">
        <f t="shared" si="68"/>
        <v>0.20438636543586292</v>
      </c>
      <c r="P171">
        <f t="shared" si="69"/>
        <v>0.27483254477353114</v>
      </c>
      <c r="Q171">
        <f t="shared" si="70"/>
        <v>0.93951758150511633</v>
      </c>
      <c r="R171">
        <f t="shared" si="60"/>
        <v>1</v>
      </c>
      <c r="AG171" s="8">
        <f t="shared" si="62"/>
        <v>-0.21832803393881742</v>
      </c>
      <c r="AH171" s="8">
        <f t="shared" si="63"/>
        <v>-7.4226277192341539E-2</v>
      </c>
      <c r="AI171" s="8">
        <f t="shared" si="64"/>
        <v>0.97304847226157043</v>
      </c>
      <c r="AJ171" s="8"/>
      <c r="AK171" s="8"/>
      <c r="AL171" s="8"/>
      <c r="AN171" s="8">
        <f t="shared" si="71"/>
        <v>1</v>
      </c>
      <c r="AO171" s="8">
        <f t="shared" si="72"/>
        <v>3.4693095876996369</v>
      </c>
      <c r="AP171" s="8">
        <f t="shared" si="73"/>
        <v>0.23269494875152419</v>
      </c>
      <c r="AQ171" s="8"/>
      <c r="AR171" s="8">
        <f t="shared" si="74"/>
        <v>198.77679719946093</v>
      </c>
      <c r="AS171" s="8">
        <f t="shared" si="75"/>
        <v>76.667561522524679</v>
      </c>
    </row>
    <row r="172" spans="1:45">
      <c r="A172" s="19">
        <v>14.347666670000001</v>
      </c>
      <c r="B172" s="19">
        <v>634.34088910000003</v>
      </c>
      <c r="C172" s="19">
        <v>-102.6086825</v>
      </c>
      <c r="E172" s="9">
        <f t="shared" si="65"/>
        <v>325.65911089999997</v>
      </c>
      <c r="F172" s="9">
        <f t="shared" si="66"/>
        <v>437.39131750000001</v>
      </c>
      <c r="I172">
        <v>1</v>
      </c>
      <c r="J172">
        <f t="shared" si="61"/>
        <v>0.34914079120566333</v>
      </c>
      <c r="K172">
        <f t="shared" si="67"/>
        <v>0.93079322679487142</v>
      </c>
      <c r="O172">
        <f t="shared" si="68"/>
        <v>0.20429577577389715</v>
      </c>
      <c r="P172">
        <f t="shared" si="69"/>
        <v>0.2743887566310661</v>
      </c>
      <c r="Q172">
        <f t="shared" si="70"/>
        <v>0.93966698688173522</v>
      </c>
      <c r="R172">
        <f t="shared" si="60"/>
        <v>1</v>
      </c>
      <c r="AG172" s="8">
        <f t="shared" si="62"/>
        <v>-0.21786340819161362</v>
      </c>
      <c r="AH172" s="8">
        <f t="shared" si="63"/>
        <v>-7.4205653413643782E-2</v>
      </c>
      <c r="AI172" s="8">
        <f t="shared" si="64"/>
        <v>0.97315417913740088</v>
      </c>
      <c r="AJ172" s="8"/>
      <c r="AK172" s="8"/>
      <c r="AL172" s="8"/>
      <c r="AN172" s="8">
        <f t="shared" si="71"/>
        <v>1</v>
      </c>
      <c r="AO172" s="8">
        <f t="shared" si="72"/>
        <v>3.4698745509080586</v>
      </c>
      <c r="AP172" s="8">
        <f t="shared" si="73"/>
        <v>0.23223610659442095</v>
      </c>
      <c r="AQ172" s="8"/>
      <c r="AR172" s="8">
        <f t="shared" si="74"/>
        <v>198.80916720688367</v>
      </c>
      <c r="AS172" s="8">
        <f t="shared" si="75"/>
        <v>76.693851241589371</v>
      </c>
    </row>
    <row r="173" spans="1:45">
      <c r="A173" s="19">
        <v>14.381033329999999</v>
      </c>
      <c r="B173" s="19">
        <v>634.77444190000006</v>
      </c>
      <c r="C173" s="19">
        <v>-103.5474253</v>
      </c>
      <c r="E173" s="9">
        <f t="shared" si="65"/>
        <v>325.22555809999994</v>
      </c>
      <c r="F173" s="9">
        <f t="shared" si="66"/>
        <v>436.45257470000001</v>
      </c>
      <c r="I173">
        <v>1</v>
      </c>
      <c r="J173">
        <f t="shared" si="61"/>
        <v>0.34853704984870493</v>
      </c>
      <c r="K173">
        <f t="shared" si="67"/>
        <v>0.9304021461539782</v>
      </c>
      <c r="O173">
        <f t="shared" si="68"/>
        <v>0.20406405328197944</v>
      </c>
      <c r="P173">
        <f t="shared" si="69"/>
        <v>0.27385388153059159</v>
      </c>
      <c r="Q173">
        <f t="shared" si="70"/>
        <v>0.93987334983430515</v>
      </c>
      <c r="R173">
        <f t="shared" si="60"/>
        <v>1</v>
      </c>
      <c r="AG173" s="8">
        <f t="shared" si="62"/>
        <v>-0.21726554880995932</v>
      </c>
      <c r="AH173" s="8">
        <f t="shared" si="63"/>
        <v>-7.430026267018984E-2</v>
      </c>
      <c r="AI173" s="8">
        <f t="shared" si="64"/>
        <v>0.97328061332148597</v>
      </c>
      <c r="AJ173" s="8"/>
      <c r="AK173" s="8"/>
      <c r="AL173" s="8"/>
      <c r="AN173" s="8">
        <f t="shared" si="71"/>
        <v>0.99999999999999989</v>
      </c>
      <c r="AO173" s="8">
        <f t="shared" si="72"/>
        <v>3.4711040536688085</v>
      </c>
      <c r="AP173" s="8">
        <f t="shared" si="73"/>
        <v>0.23168612146884571</v>
      </c>
      <c r="AQ173" s="8"/>
      <c r="AR173" s="8">
        <f t="shared" si="74"/>
        <v>198.87961252597432</v>
      </c>
      <c r="AS173" s="8">
        <f t="shared" si="75"/>
        <v>76.725363068079815</v>
      </c>
    </row>
    <row r="174" spans="1:45">
      <c r="A174" s="19">
        <v>14.414400000000001</v>
      </c>
      <c r="B174" s="19">
        <v>634.90559670000005</v>
      </c>
      <c r="C174" s="19">
        <v>-103.9903351</v>
      </c>
      <c r="E174" s="9">
        <f t="shared" si="65"/>
        <v>325.09440329999995</v>
      </c>
      <c r="F174" s="9">
        <f t="shared" si="66"/>
        <v>436.00966490000002</v>
      </c>
      <c r="I174">
        <v>1</v>
      </c>
      <c r="J174">
        <f t="shared" si="61"/>
        <v>0.34827831529307435</v>
      </c>
      <c r="K174">
        <f t="shared" si="67"/>
        <v>0.93010891997415868</v>
      </c>
      <c r="O174">
        <f t="shared" si="68"/>
        <v>0.20399898013643031</v>
      </c>
      <c r="P174">
        <f t="shared" si="69"/>
        <v>0.27359907173531689</v>
      </c>
      <c r="Q174">
        <f t="shared" si="70"/>
        <v>0.93996168222373255</v>
      </c>
      <c r="R174">
        <f t="shared" si="60"/>
        <v>1</v>
      </c>
      <c r="AG174" s="8">
        <f t="shared" si="62"/>
        <v>-0.21699476630647363</v>
      </c>
      <c r="AH174" s="8">
        <f t="shared" si="63"/>
        <v>-7.4301103737132349E-2</v>
      </c>
      <c r="AI174" s="8">
        <f t="shared" si="64"/>
        <v>0.97334095638632334</v>
      </c>
      <c r="AJ174" s="8"/>
      <c r="AK174" s="8"/>
      <c r="AL174" s="8"/>
      <c r="AN174" s="8">
        <f t="shared" si="71"/>
        <v>0.99999999999999978</v>
      </c>
      <c r="AO174" s="8">
        <f t="shared" si="72"/>
        <v>3.4714895379420492</v>
      </c>
      <c r="AP174" s="8">
        <f t="shared" si="73"/>
        <v>0.23142317836385629</v>
      </c>
      <c r="AQ174" s="8"/>
      <c r="AR174" s="8">
        <f t="shared" si="74"/>
        <v>198.90169914789968</v>
      </c>
      <c r="AS174" s="8">
        <f t="shared" si="75"/>
        <v>76.740428598247775</v>
      </c>
    </row>
    <row r="175" spans="1:45">
      <c r="A175" s="19">
        <v>14.44776667</v>
      </c>
      <c r="B175" s="19">
        <v>635.93154389999995</v>
      </c>
      <c r="C175" s="19">
        <v>-104.5835723</v>
      </c>
      <c r="E175" s="9">
        <f t="shared" si="65"/>
        <v>324.06845610000005</v>
      </c>
      <c r="F175" s="9">
        <f t="shared" si="66"/>
        <v>435.41642769999999</v>
      </c>
      <c r="I175">
        <v>1</v>
      </c>
      <c r="J175">
        <f t="shared" si="61"/>
        <v>0.34762834673698728</v>
      </c>
      <c r="K175">
        <f t="shared" si="67"/>
        <v>0.93097093194803482</v>
      </c>
      <c r="O175">
        <f t="shared" si="68"/>
        <v>0.20339824736113088</v>
      </c>
      <c r="P175">
        <f t="shared" si="69"/>
        <v>0.27328466130963419</v>
      </c>
      <c r="Q175">
        <f t="shared" si="70"/>
        <v>0.94018330492691626</v>
      </c>
      <c r="R175">
        <f t="shared" si="60"/>
        <v>1</v>
      </c>
      <c r="AG175" s="8">
        <f t="shared" si="62"/>
        <v>-0.21649970554841536</v>
      </c>
      <c r="AH175" s="8">
        <f t="shared" si="63"/>
        <v>-7.4809713850356327E-2</v>
      </c>
      <c r="AI175" s="8">
        <f t="shared" si="64"/>
        <v>0.97341223754947592</v>
      </c>
      <c r="AJ175" s="8"/>
      <c r="AK175" s="8"/>
      <c r="AL175" s="8"/>
      <c r="AN175" s="8">
        <f t="shared" si="71"/>
        <v>1</v>
      </c>
      <c r="AO175" s="8">
        <f t="shared" si="72"/>
        <v>3.4742903605149613</v>
      </c>
      <c r="AP175" s="8">
        <f t="shared" si="73"/>
        <v>0.2311121943217016</v>
      </c>
      <c r="AQ175" s="8"/>
      <c r="AR175" s="8">
        <f t="shared" si="74"/>
        <v>199.06217446049251</v>
      </c>
      <c r="AS175" s="8">
        <f t="shared" si="75"/>
        <v>76.758246671359146</v>
      </c>
    </row>
    <row r="176" spans="1:45">
      <c r="A176" s="19">
        <v>14.48113333</v>
      </c>
      <c r="B176" s="19">
        <v>635.99521189999996</v>
      </c>
      <c r="C176" s="19">
        <v>-105.53815489999999</v>
      </c>
      <c r="E176" s="9">
        <f t="shared" si="65"/>
        <v>324.00478810000004</v>
      </c>
      <c r="F176" s="9">
        <f t="shared" si="66"/>
        <v>434.46184510000001</v>
      </c>
      <c r="I176">
        <v>1</v>
      </c>
      <c r="J176">
        <f t="shared" si="61"/>
        <v>0.34714841681696773</v>
      </c>
      <c r="K176">
        <f t="shared" si="67"/>
        <v>0.93001357246006</v>
      </c>
      <c r="O176">
        <f t="shared" si="68"/>
        <v>0.20339001133452056</v>
      </c>
      <c r="P176">
        <f t="shared" si="69"/>
        <v>0.27272806712977615</v>
      </c>
      <c r="Q176">
        <f t="shared" si="70"/>
        <v>0.94034669387891179</v>
      </c>
      <c r="R176">
        <f t="shared" si="60"/>
        <v>1</v>
      </c>
      <c r="AG176" s="8">
        <f t="shared" si="62"/>
        <v>-0.21594969384682969</v>
      </c>
      <c r="AH176" s="8">
        <f t="shared" si="63"/>
        <v>-7.4680842413710452E-2</v>
      </c>
      <c r="AI176" s="8">
        <f t="shared" si="64"/>
        <v>0.9735442986859093</v>
      </c>
      <c r="AJ176" s="8"/>
      <c r="AK176" s="8"/>
      <c r="AL176" s="8"/>
      <c r="AN176" s="8">
        <f t="shared" si="71"/>
        <v>0.99999999999999989</v>
      </c>
      <c r="AO176" s="8">
        <f t="shared" si="72"/>
        <v>3.4745434292111499</v>
      </c>
      <c r="AP176" s="8">
        <f t="shared" si="73"/>
        <v>0.23053495188746531</v>
      </c>
      <c r="AQ176" s="8"/>
      <c r="AR176" s="8">
        <f t="shared" si="74"/>
        <v>199.076674228711</v>
      </c>
      <c r="AS176" s="8">
        <f t="shared" si="75"/>
        <v>76.791320226596753</v>
      </c>
    </row>
    <row r="177" spans="1:45">
      <c r="A177" s="19">
        <v>14.5145</v>
      </c>
      <c r="B177" s="19">
        <v>636.98731859999998</v>
      </c>
      <c r="C177" s="19">
        <v>-106.2662291</v>
      </c>
      <c r="E177" s="9">
        <f t="shared" si="65"/>
        <v>323.01268140000002</v>
      </c>
      <c r="F177" s="9">
        <f t="shared" si="66"/>
        <v>433.73377089999997</v>
      </c>
      <c r="I177">
        <v>1</v>
      </c>
      <c r="J177">
        <f t="shared" si="61"/>
        <v>0.34644535900697537</v>
      </c>
      <c r="K177">
        <f t="shared" si="67"/>
        <v>0.93067933157669491</v>
      </c>
      <c r="O177">
        <f t="shared" si="68"/>
        <v>0.20281346614121953</v>
      </c>
      <c r="P177">
        <f t="shared" si="69"/>
        <v>0.27233311422159728</v>
      </c>
      <c r="Q177">
        <f t="shared" si="70"/>
        <v>0.94058565418049556</v>
      </c>
      <c r="R177">
        <f t="shared" si="60"/>
        <v>1</v>
      </c>
      <c r="AG177" s="8">
        <f t="shared" si="62"/>
        <v>-0.21538297960304392</v>
      </c>
      <c r="AH177" s="8">
        <f t="shared" si="63"/>
        <v>-7.5145894613552477E-2</v>
      </c>
      <c r="AI177" s="8">
        <f t="shared" si="64"/>
        <v>0.97363405169501116</v>
      </c>
      <c r="AJ177" s="8"/>
      <c r="AK177" s="8"/>
      <c r="AL177" s="8"/>
      <c r="AN177" s="8">
        <f t="shared" si="71"/>
        <v>1</v>
      </c>
      <c r="AO177" s="8">
        <f t="shared" si="72"/>
        <v>3.477282103120249</v>
      </c>
      <c r="AP177" s="8">
        <f t="shared" si="73"/>
        <v>0.23014182765599012</v>
      </c>
      <c r="AQ177" s="8"/>
      <c r="AR177" s="8">
        <f t="shared" si="74"/>
        <v>199.23358868516499</v>
      </c>
      <c r="AS177" s="8">
        <f t="shared" si="75"/>
        <v>76.813844585884596</v>
      </c>
    </row>
    <row r="178" spans="1:45">
      <c r="A178" s="19">
        <v>14.547866669999999</v>
      </c>
      <c r="B178" s="19">
        <v>636.65752869999994</v>
      </c>
      <c r="C178" s="19">
        <v>-107.00308200000001</v>
      </c>
      <c r="E178" s="9">
        <f t="shared" si="65"/>
        <v>323.34247130000006</v>
      </c>
      <c r="F178" s="9">
        <f t="shared" si="66"/>
        <v>432.99691799999999</v>
      </c>
      <c r="I178">
        <v>1</v>
      </c>
      <c r="J178">
        <f t="shared" si="61"/>
        <v>0.34621013845886062</v>
      </c>
      <c r="K178">
        <f t="shared" si="67"/>
        <v>0.92937546571057428</v>
      </c>
      <c r="O178">
        <f t="shared" si="68"/>
        <v>0.20303599531375138</v>
      </c>
      <c r="P178">
        <f t="shared" si="69"/>
        <v>0.27189116190167739</v>
      </c>
      <c r="Q178">
        <f t="shared" si="70"/>
        <v>0.94066549882873352</v>
      </c>
      <c r="R178">
        <f t="shared" si="60"/>
        <v>1</v>
      </c>
      <c r="AG178" s="8">
        <f t="shared" si="62"/>
        <v>-0.21501712609923584</v>
      </c>
      <c r="AH178" s="8">
        <f t="shared" si="63"/>
        <v>-7.4820099644866578E-2</v>
      </c>
      <c r="AI178" s="8">
        <f t="shared" si="64"/>
        <v>0.97374000029430718</v>
      </c>
      <c r="AJ178" s="8"/>
      <c r="AK178" s="8"/>
      <c r="AL178" s="8"/>
      <c r="AN178" s="8">
        <f t="shared" si="71"/>
        <v>0.99999999999999978</v>
      </c>
      <c r="AO178" s="8">
        <f t="shared" si="72"/>
        <v>3.4764603150336955</v>
      </c>
      <c r="AP178" s="8">
        <f t="shared" si="73"/>
        <v>0.22967691504577648</v>
      </c>
      <c r="AQ178" s="8"/>
      <c r="AR178" s="8">
        <f t="shared" si="74"/>
        <v>199.18650369615133</v>
      </c>
      <c r="AS178" s="8">
        <f t="shared" si="75"/>
        <v>76.84048211629225</v>
      </c>
    </row>
    <row r="179" spans="1:45">
      <c r="A179" s="19">
        <v>14.58123333</v>
      </c>
      <c r="B179" s="19">
        <v>637.07019630000002</v>
      </c>
      <c r="C179" s="19">
        <v>-107.64142200000001</v>
      </c>
      <c r="E179" s="9">
        <f t="shared" si="65"/>
        <v>322.92980369999998</v>
      </c>
      <c r="F179" s="9">
        <f t="shared" si="66"/>
        <v>432.35857799999997</v>
      </c>
      <c r="I179">
        <v>1</v>
      </c>
      <c r="J179">
        <f t="shared" si="61"/>
        <v>0.34575674072646106</v>
      </c>
      <c r="K179">
        <f t="shared" si="67"/>
        <v>0.92928041741907697</v>
      </c>
      <c r="O179">
        <f t="shared" si="68"/>
        <v>0.2028065968084703</v>
      </c>
      <c r="P179">
        <f t="shared" si="69"/>
        <v>0.2715301306985855</v>
      </c>
      <c r="Q179">
        <f t="shared" si="70"/>
        <v>0.94081925597522487</v>
      </c>
      <c r="R179">
        <f t="shared" si="60"/>
        <v>1</v>
      </c>
      <c r="AG179" s="8">
        <f t="shared" si="62"/>
        <v>-0.21459115413982247</v>
      </c>
      <c r="AH179" s="8">
        <f t="shared" si="63"/>
        <v>-7.4954887082003804E-2</v>
      </c>
      <c r="AI179" s="8">
        <f t="shared" si="64"/>
        <v>0.97382359874233027</v>
      </c>
      <c r="AJ179" s="8"/>
      <c r="AK179" s="8"/>
      <c r="AL179" s="8"/>
      <c r="AN179" s="8">
        <f t="shared" si="71"/>
        <v>1</v>
      </c>
      <c r="AO179" s="8">
        <f t="shared" si="72"/>
        <v>3.477636240269848</v>
      </c>
      <c r="AP179" s="8">
        <f t="shared" si="73"/>
        <v>0.22930942350908445</v>
      </c>
      <c r="AQ179" s="8"/>
      <c r="AR179" s="8">
        <f t="shared" si="74"/>
        <v>199.2538792492058</v>
      </c>
      <c r="AS179" s="8">
        <f t="shared" si="75"/>
        <v>76.86153783035148</v>
      </c>
    </row>
    <row r="180" spans="1:45">
      <c r="A180" s="19">
        <v>14.614599999999999</v>
      </c>
      <c r="B180" s="19">
        <v>637.21130170000004</v>
      </c>
      <c r="C180" s="19">
        <v>-108.26067310000001</v>
      </c>
      <c r="E180" s="9">
        <f t="shared" si="65"/>
        <v>322.78869829999996</v>
      </c>
      <c r="F180" s="9">
        <f t="shared" si="66"/>
        <v>431.73932689999998</v>
      </c>
      <c r="I180">
        <v>1</v>
      </c>
      <c r="J180">
        <f t="shared" si="61"/>
        <v>0.34540958401108324</v>
      </c>
      <c r="K180">
        <f t="shared" si="67"/>
        <v>0.92880271221114341</v>
      </c>
      <c r="O180">
        <f t="shared" si="68"/>
        <v>0.20274069987697868</v>
      </c>
      <c r="P180">
        <f t="shared" si="69"/>
        <v>0.27117161710156967</v>
      </c>
      <c r="Q180">
        <f t="shared" si="70"/>
        <v>0.94093685372181723</v>
      </c>
      <c r="R180">
        <f t="shared" si="60"/>
        <v>1</v>
      </c>
      <c r="AG180" s="8">
        <f t="shared" si="62"/>
        <v>-0.21421822489547676</v>
      </c>
      <c r="AH180" s="8">
        <f t="shared" si="63"/>
        <v>-7.4930825696886444E-2</v>
      </c>
      <c r="AI180" s="8">
        <f t="shared" si="64"/>
        <v>0.97390755386895622</v>
      </c>
      <c r="AJ180" s="8"/>
      <c r="AK180" s="8"/>
      <c r="AL180" s="8"/>
      <c r="AN180" s="8">
        <f t="shared" si="71"/>
        <v>1</v>
      </c>
      <c r="AO180" s="8">
        <f t="shared" si="72"/>
        <v>3.4780780192436178</v>
      </c>
      <c r="AP180" s="8">
        <f t="shared" si="73"/>
        <v>0.22893978082983391</v>
      </c>
      <c r="AQ180" s="8"/>
      <c r="AR180" s="8">
        <f t="shared" si="74"/>
        <v>199.27919131988043</v>
      </c>
      <c r="AS180" s="8">
        <f t="shared" si="75"/>
        <v>76.882716795800448</v>
      </c>
    </row>
    <row r="181" spans="1:45">
      <c r="A181" s="19">
        <v>14.647966670000001</v>
      </c>
      <c r="B181" s="19">
        <v>637.86093779999999</v>
      </c>
      <c r="C181" s="19">
        <v>-108.968683</v>
      </c>
      <c r="E181" s="9">
        <f t="shared" si="65"/>
        <v>322.13906220000001</v>
      </c>
      <c r="F181" s="9">
        <f t="shared" si="66"/>
        <v>431.031317</v>
      </c>
      <c r="I181">
        <v>1</v>
      </c>
      <c r="J181">
        <f t="shared" si="61"/>
        <v>0.3448376802975549</v>
      </c>
      <c r="K181">
        <f t="shared" si="67"/>
        <v>0.92898175444331987</v>
      </c>
      <c r="O181">
        <f t="shared" si="68"/>
        <v>0.20236996367064328</v>
      </c>
      <c r="P181">
        <f t="shared" si="69"/>
        <v>0.27077682342057652</v>
      </c>
      <c r="Q181">
        <f t="shared" si="70"/>
        <v>0.94113033619271058</v>
      </c>
      <c r="R181">
        <f t="shared" si="60"/>
        <v>1</v>
      </c>
      <c r="AG181" s="8">
        <f t="shared" si="62"/>
        <v>-0.21371540868503608</v>
      </c>
      <c r="AH181" s="8">
        <f t="shared" si="63"/>
        <v>-7.5195023428304766E-2</v>
      </c>
      <c r="AI181" s="8">
        <f t="shared" si="64"/>
        <v>0.97399765530631777</v>
      </c>
      <c r="AJ181" s="8"/>
      <c r="AK181" s="8"/>
      <c r="AL181" s="8"/>
      <c r="AN181" s="8">
        <f t="shared" si="71"/>
        <v>1</v>
      </c>
      <c r="AO181" s="8">
        <f t="shared" si="72"/>
        <v>3.4799115341538949</v>
      </c>
      <c r="AP181" s="8">
        <f t="shared" si="73"/>
        <v>0.22854242337218311</v>
      </c>
      <c r="AQ181" s="8"/>
      <c r="AR181" s="8">
        <f t="shared" si="74"/>
        <v>199.3842439859136</v>
      </c>
      <c r="AS181" s="8">
        <f t="shared" si="75"/>
        <v>76.905483701081891</v>
      </c>
    </row>
    <row r="182" spans="1:45">
      <c r="A182" s="19">
        <v>14.681333329999999</v>
      </c>
      <c r="B182" s="19">
        <v>638.44541130000005</v>
      </c>
      <c r="C182" s="19">
        <v>-109.64455839999999</v>
      </c>
      <c r="E182" s="9">
        <f t="shared" si="65"/>
        <v>321.55458869999995</v>
      </c>
      <c r="F182" s="9">
        <f t="shared" si="66"/>
        <v>430.35544160000001</v>
      </c>
      <c r="I182">
        <v>1</v>
      </c>
      <c r="J182">
        <f t="shared" si="61"/>
        <v>0.344304316690068</v>
      </c>
      <c r="K182">
        <f t="shared" si="67"/>
        <v>0.92910006177047855</v>
      </c>
      <c r="O182">
        <f t="shared" si="68"/>
        <v>0.20203744506792023</v>
      </c>
      <c r="P182">
        <f t="shared" si="69"/>
        <v>0.27039861021252648</v>
      </c>
      <c r="Q182">
        <f t="shared" si="70"/>
        <v>0.94131050264275773</v>
      </c>
      <c r="R182">
        <f t="shared" si="60"/>
        <v>1</v>
      </c>
      <c r="AG182" s="8">
        <f t="shared" si="62"/>
        <v>-0.21324074451758507</v>
      </c>
      <c r="AH182" s="8">
        <f t="shared" si="63"/>
        <v>-7.5425981877290257E-2</v>
      </c>
      <c r="AI182" s="8">
        <f t="shared" si="64"/>
        <v>0.97408382911094082</v>
      </c>
      <c r="AJ182" s="8"/>
      <c r="AK182" s="8"/>
      <c r="AL182" s="8"/>
      <c r="AN182" s="8">
        <f t="shared" si="71"/>
        <v>0.99999999999999989</v>
      </c>
      <c r="AO182" s="8">
        <f t="shared" si="72"/>
        <v>3.4815712576127473</v>
      </c>
      <c r="AP182" s="8">
        <f t="shared" si="73"/>
        <v>0.22816175111745474</v>
      </c>
      <c r="AQ182" s="8"/>
      <c r="AR182" s="8">
        <f t="shared" si="74"/>
        <v>199.47933913526469</v>
      </c>
      <c r="AS182" s="8">
        <f t="shared" si="75"/>
        <v>76.927294614655551</v>
      </c>
    </row>
    <row r="183" spans="1:45">
      <c r="A183" s="19">
        <v>14.714700000000001</v>
      </c>
      <c r="B183" s="19">
        <v>638.93082249999998</v>
      </c>
      <c r="C183" s="19">
        <v>-110.358491</v>
      </c>
      <c r="E183" s="9">
        <f t="shared" si="65"/>
        <v>321.06917750000002</v>
      </c>
      <c r="F183" s="9">
        <f t="shared" si="66"/>
        <v>429.64150899999999</v>
      </c>
      <c r="I183">
        <v>1</v>
      </c>
      <c r="J183">
        <f t="shared" si="61"/>
        <v>0.34378801107353957</v>
      </c>
      <c r="K183">
        <f t="shared" si="67"/>
        <v>0.92902832940261981</v>
      </c>
      <c r="O183">
        <f t="shared" si="68"/>
        <v>0.20176588589938843</v>
      </c>
      <c r="P183">
        <f t="shared" si="69"/>
        <v>0.26999477295678764</v>
      </c>
      <c r="Q183">
        <f t="shared" si="70"/>
        <v>0.94148465195309883</v>
      </c>
      <c r="R183">
        <f t="shared" si="60"/>
        <v>1</v>
      </c>
      <c r="AG183" s="8">
        <f t="shared" si="62"/>
        <v>-0.21275975648684575</v>
      </c>
      <c r="AH183" s="8">
        <f t="shared" si="63"/>
        <v>-7.5591134026359072E-2</v>
      </c>
      <c r="AI183" s="8">
        <f t="shared" si="64"/>
        <v>0.9741761988861497</v>
      </c>
      <c r="AJ183" s="8"/>
      <c r="AK183" s="8"/>
      <c r="AL183" s="8"/>
      <c r="AN183" s="8">
        <f t="shared" si="71"/>
        <v>1</v>
      </c>
      <c r="AO183" s="8">
        <f t="shared" si="72"/>
        <v>3.4829712046835319</v>
      </c>
      <c r="AP183" s="8">
        <f t="shared" si="73"/>
        <v>0.22775301399259185</v>
      </c>
      <c r="AQ183" s="8"/>
      <c r="AR183" s="8">
        <f t="shared" si="74"/>
        <v>199.55955019396237</v>
      </c>
      <c r="AS183" s="8">
        <f t="shared" si="75"/>
        <v>76.950713526840502</v>
      </c>
    </row>
    <row r="184" spans="1:45">
      <c r="A184" s="19">
        <v>14.74806667</v>
      </c>
      <c r="B184" s="19">
        <v>639.20895029999997</v>
      </c>
      <c r="C184" s="19">
        <v>-110.8933895</v>
      </c>
      <c r="E184" s="9">
        <f t="shared" si="65"/>
        <v>320.79104970000003</v>
      </c>
      <c r="F184" s="9">
        <f t="shared" si="66"/>
        <v>429.10661049999999</v>
      </c>
      <c r="I184">
        <v>1</v>
      </c>
      <c r="J184">
        <f t="shared" si="61"/>
        <v>0.3434317400905319</v>
      </c>
      <c r="K184">
        <f t="shared" si="67"/>
        <v>0.9288465208240555</v>
      </c>
      <c r="O184">
        <f t="shared" si="68"/>
        <v>0.20161411944602217</v>
      </c>
      <c r="P184">
        <f t="shared" si="69"/>
        <v>0.26968941778560074</v>
      </c>
      <c r="Q184">
        <f t="shared" si="70"/>
        <v>0.94160467542088422</v>
      </c>
      <c r="R184">
        <f t="shared" si="60"/>
        <v>1</v>
      </c>
      <c r="AG184" s="8">
        <f t="shared" si="62"/>
        <v>-0.21241263759531354</v>
      </c>
      <c r="AH184" s="8">
        <f t="shared" si="63"/>
        <v>-7.5663754472595018E-2</v>
      </c>
      <c r="AI184" s="8">
        <f t="shared" si="64"/>
        <v>0.97424630748538776</v>
      </c>
      <c r="AJ184" s="8"/>
      <c r="AK184" s="8"/>
      <c r="AL184" s="8"/>
      <c r="AN184" s="8">
        <f t="shared" si="71"/>
        <v>0.99999999999999978</v>
      </c>
      <c r="AO184" s="8">
        <f t="shared" si="72"/>
        <v>3.4837900589177226</v>
      </c>
      <c r="AP184" s="8">
        <f t="shared" si="73"/>
        <v>0.22744230096787943</v>
      </c>
      <c r="AQ184" s="8"/>
      <c r="AR184" s="8">
        <f t="shared" si="74"/>
        <v>199.60646708561791</v>
      </c>
      <c r="AS184" s="8">
        <f t="shared" si="75"/>
        <v>76.968516071796273</v>
      </c>
    </row>
    <row r="185" spans="1:45">
      <c r="A185" s="19">
        <v>14.78143333</v>
      </c>
      <c r="B185" s="19">
        <v>640.13970800000004</v>
      </c>
      <c r="C185" s="19">
        <v>-111.6260544</v>
      </c>
      <c r="E185" s="9">
        <f t="shared" si="65"/>
        <v>319.86029199999996</v>
      </c>
      <c r="F185" s="9">
        <f t="shared" si="66"/>
        <v>428.37394560000001</v>
      </c>
      <c r="I185">
        <v>1</v>
      </c>
      <c r="J185">
        <f t="shared" si="61"/>
        <v>0.34274643535873522</v>
      </c>
      <c r="K185">
        <f t="shared" si="67"/>
        <v>0.92942035729772465</v>
      </c>
      <c r="O185">
        <f t="shared" si="68"/>
        <v>0.20107320760679237</v>
      </c>
      <c r="P185">
        <f t="shared" si="69"/>
        <v>0.26928795305723541</v>
      </c>
      <c r="Q185">
        <f t="shared" si="70"/>
        <v>0.94183521038500151</v>
      </c>
      <c r="R185">
        <f t="shared" si="60"/>
        <v>1</v>
      </c>
      <c r="AG185" s="8">
        <f t="shared" si="62"/>
        <v>-0.2118508197915806</v>
      </c>
      <c r="AH185" s="8">
        <f t="shared" si="63"/>
        <v>-7.6091948187537298E-2</v>
      </c>
      <c r="AI185" s="8">
        <f t="shared" si="64"/>
        <v>0.97433528396269242</v>
      </c>
      <c r="AJ185" s="8"/>
      <c r="AK185" s="8"/>
      <c r="AL185" s="8"/>
      <c r="AN185" s="8">
        <f t="shared" si="71"/>
        <v>1</v>
      </c>
      <c r="AO185" s="8">
        <f t="shared" si="72"/>
        <v>3.4864194929531767</v>
      </c>
      <c r="AP185" s="8">
        <f t="shared" si="73"/>
        <v>0.22704736608868825</v>
      </c>
      <c r="AQ185" s="8"/>
      <c r="AR185" s="8">
        <f t="shared" si="74"/>
        <v>199.75712255835748</v>
      </c>
      <c r="AS185" s="8">
        <f t="shared" si="75"/>
        <v>76.991144173556435</v>
      </c>
    </row>
    <row r="186" spans="1:45">
      <c r="A186" s="19">
        <v>14.8148</v>
      </c>
      <c r="B186" s="19">
        <v>640.0728785</v>
      </c>
      <c r="C186" s="19">
        <v>-112.2367539</v>
      </c>
      <c r="E186" s="9">
        <f t="shared" si="65"/>
        <v>319.9271215</v>
      </c>
      <c r="F186" s="9">
        <f t="shared" si="66"/>
        <v>427.7632461</v>
      </c>
      <c r="I186">
        <v>1</v>
      </c>
      <c r="J186">
        <f t="shared" si="61"/>
        <v>0.34247727081091212</v>
      </c>
      <c r="K186">
        <f t="shared" si="67"/>
        <v>0.9286360911842495</v>
      </c>
      <c r="O186">
        <f t="shared" si="68"/>
        <v>0.20113249876036324</v>
      </c>
      <c r="P186">
        <f t="shared" si="69"/>
        <v>0.2689271549174902</v>
      </c>
      <c r="Q186">
        <f t="shared" si="70"/>
        <v>0.9419256357539042</v>
      </c>
      <c r="R186">
        <f t="shared" si="60"/>
        <v>1</v>
      </c>
      <c r="AG186" s="8">
        <f t="shared" si="62"/>
        <v>-0.21151443742834664</v>
      </c>
      <c r="AH186" s="8">
        <f t="shared" si="63"/>
        <v>-7.5945087773771819E-2</v>
      </c>
      <c r="AI186" s="8">
        <f t="shared" si="64"/>
        <v>0.9744198204072021</v>
      </c>
      <c r="AJ186" s="8"/>
      <c r="AK186" s="8"/>
      <c r="AL186" s="8"/>
      <c r="AN186" s="8">
        <f t="shared" si="71"/>
        <v>0.99999999999999989</v>
      </c>
      <c r="AO186" s="8">
        <f t="shared" si="72"/>
        <v>3.4863104458442771</v>
      </c>
      <c r="AP186" s="8">
        <f t="shared" si="73"/>
        <v>0.22667151248939033</v>
      </c>
      <c r="AQ186" s="8"/>
      <c r="AR186" s="8">
        <f t="shared" si="74"/>
        <v>199.75087461924943</v>
      </c>
      <c r="AS186" s="8">
        <f t="shared" si="75"/>
        <v>77.012678998511007</v>
      </c>
    </row>
    <row r="187" spans="1:45">
      <c r="A187" s="19">
        <v>14.848166669999999</v>
      </c>
      <c r="B187" s="19">
        <v>640.50729790000003</v>
      </c>
      <c r="C187" s="19">
        <v>-113.23011080000001</v>
      </c>
      <c r="E187" s="9">
        <f t="shared" si="65"/>
        <v>319.49270209999997</v>
      </c>
      <c r="F187" s="9">
        <f t="shared" si="66"/>
        <v>426.76988919999997</v>
      </c>
      <c r="I187">
        <v>1</v>
      </c>
      <c r="J187">
        <f t="shared" si="61"/>
        <v>0.34184453058325481</v>
      </c>
      <c r="K187">
        <f t="shared" si="67"/>
        <v>0.9281726548817637</v>
      </c>
      <c r="O187">
        <f t="shared" si="68"/>
        <v>0.20089988945018916</v>
      </c>
      <c r="P187">
        <f t="shared" si="69"/>
        <v>0.26835675117897939</v>
      </c>
      <c r="Q187">
        <f t="shared" si="70"/>
        <v>0.94213793497319975</v>
      </c>
      <c r="R187">
        <f t="shared" si="60"/>
        <v>1</v>
      </c>
      <c r="AG187" s="8">
        <f t="shared" si="62"/>
        <v>-0.21088185307852333</v>
      </c>
      <c r="AH187" s="8">
        <f t="shared" si="63"/>
        <v>-7.6030937787615493E-2</v>
      </c>
      <c r="AI187" s="8">
        <f t="shared" si="64"/>
        <v>0.97455022474026642</v>
      </c>
      <c r="AJ187" s="8"/>
      <c r="AK187" s="8"/>
      <c r="AL187" s="8"/>
      <c r="AN187" s="8">
        <f t="shared" si="71"/>
        <v>0.99999999999999989</v>
      </c>
      <c r="AO187" s="8">
        <f t="shared" si="72"/>
        <v>3.4876244954366542</v>
      </c>
      <c r="AP187" s="8">
        <f t="shared" si="73"/>
        <v>0.22609052355910375</v>
      </c>
      <c r="AQ187" s="8"/>
      <c r="AR187" s="8">
        <f t="shared" si="74"/>
        <v>199.82616411496352</v>
      </c>
      <c r="AS187" s="8">
        <f t="shared" si="75"/>
        <v>77.045967212160249</v>
      </c>
    </row>
    <row r="188" spans="1:45">
      <c r="A188" s="19">
        <v>14.88153333</v>
      </c>
      <c r="B188" s="19">
        <v>640.92072770000004</v>
      </c>
      <c r="C188" s="19">
        <v>-113.6076544</v>
      </c>
      <c r="E188" s="9">
        <f t="shared" si="65"/>
        <v>319.07927229999996</v>
      </c>
      <c r="F188" s="9">
        <f t="shared" si="66"/>
        <v>426.3923456</v>
      </c>
      <c r="I188">
        <v>1</v>
      </c>
      <c r="J188">
        <f t="shared" si="61"/>
        <v>0.34151475579925827</v>
      </c>
      <c r="K188">
        <f t="shared" si="67"/>
        <v>0.92836925238947732</v>
      </c>
      <c r="O188">
        <f t="shared" si="68"/>
        <v>0.20066096744511874</v>
      </c>
      <c r="P188">
        <f t="shared" si="69"/>
        <v>0.2681474730794961</v>
      </c>
      <c r="Q188">
        <f t="shared" si="70"/>
        <v>0.9422484326466507</v>
      </c>
      <c r="R188">
        <f t="shared" si="60"/>
        <v>1</v>
      </c>
      <c r="AG188" s="8">
        <f t="shared" si="62"/>
        <v>-0.21060233644621112</v>
      </c>
      <c r="AH188" s="8">
        <f t="shared" si="63"/>
        <v>-7.6212095717785255E-2</v>
      </c>
      <c r="AI188" s="8">
        <f t="shared" si="64"/>
        <v>0.97459651771884548</v>
      </c>
      <c r="AJ188" s="8"/>
      <c r="AK188" s="8"/>
      <c r="AL188" s="8"/>
      <c r="AN188" s="8">
        <f t="shared" si="71"/>
        <v>0.99999999999999989</v>
      </c>
      <c r="AO188" s="8">
        <f t="shared" si="72"/>
        <v>3.488808696310624</v>
      </c>
      <c r="AP188" s="8">
        <f t="shared" si="73"/>
        <v>0.22588392174029259</v>
      </c>
      <c r="AQ188" s="8"/>
      <c r="AR188" s="8">
        <f t="shared" si="74"/>
        <v>199.89401382713768</v>
      </c>
      <c r="AS188" s="8">
        <f t="shared" si="75"/>
        <v>77.057804624417855</v>
      </c>
    </row>
    <row r="189" spans="1:45">
      <c r="A189" s="19">
        <v>14.914899999999999</v>
      </c>
      <c r="B189" s="19">
        <v>641.20324849999997</v>
      </c>
      <c r="C189" s="19">
        <v>-114.4729037</v>
      </c>
      <c r="E189" s="9">
        <f t="shared" si="65"/>
        <v>318.79675150000003</v>
      </c>
      <c r="F189" s="9">
        <f t="shared" si="66"/>
        <v>425.52709629999998</v>
      </c>
      <c r="I189">
        <v>1</v>
      </c>
      <c r="J189">
        <f t="shared" si="61"/>
        <v>0.34099778522677843</v>
      </c>
      <c r="K189">
        <f t="shared" si="67"/>
        <v>0.92781968047503272</v>
      </c>
      <c r="O189">
        <f t="shared" si="68"/>
        <v>0.20051621222613977</v>
      </c>
      <c r="P189">
        <f t="shared" si="69"/>
        <v>0.26764727415882655</v>
      </c>
      <c r="Q189">
        <f t="shared" si="70"/>
        <v>0.94242144779808124</v>
      </c>
      <c r="R189">
        <f t="shared" si="60"/>
        <v>1</v>
      </c>
      <c r="AG189" s="8">
        <f t="shared" si="62"/>
        <v>-0.21006596138763417</v>
      </c>
      <c r="AH189" s="8">
        <f t="shared" si="63"/>
        <v>-7.6229553473080899E-2</v>
      </c>
      <c r="AI189" s="8">
        <f t="shared" si="64"/>
        <v>0.97471090434219709</v>
      </c>
      <c r="AJ189" s="8"/>
      <c r="AK189" s="8"/>
      <c r="AL189" s="8"/>
      <c r="AN189" s="8">
        <f t="shared" si="71"/>
        <v>1</v>
      </c>
      <c r="AO189" s="8">
        <f t="shared" si="72"/>
        <v>3.4896989041604121</v>
      </c>
      <c r="AP189" s="8">
        <f t="shared" si="73"/>
        <v>0.22537262520449142</v>
      </c>
      <c r="AQ189" s="8"/>
      <c r="AR189" s="8">
        <f t="shared" si="74"/>
        <v>199.94501897981996</v>
      </c>
      <c r="AS189" s="8">
        <f t="shared" si="75"/>
        <v>77.087099757998914</v>
      </c>
    </row>
    <row r="190" spans="1:45">
      <c r="A190" s="19">
        <v>14.948266670000001</v>
      </c>
      <c r="B190" s="19">
        <v>641.58545519999996</v>
      </c>
      <c r="C190" s="19">
        <v>-115.2720984</v>
      </c>
      <c r="E190" s="9">
        <f t="shared" si="65"/>
        <v>318.41454480000004</v>
      </c>
      <c r="F190" s="9">
        <f t="shared" si="66"/>
        <v>424.7279016</v>
      </c>
      <c r="I190">
        <v>1</v>
      </c>
      <c r="J190">
        <f t="shared" si="61"/>
        <v>0.34047655646966823</v>
      </c>
      <c r="K190">
        <f t="shared" si="67"/>
        <v>0.92749321907745497</v>
      </c>
      <c r="O190">
        <f t="shared" si="68"/>
        <v>0.20030889832501775</v>
      </c>
      <c r="P190">
        <f t="shared" si="69"/>
        <v>0.2671887306870051</v>
      </c>
      <c r="Q190">
        <f t="shared" si="70"/>
        <v>0.94259563305040028</v>
      </c>
      <c r="R190">
        <f t="shared" si="60"/>
        <v>1</v>
      </c>
      <c r="AG190" s="8">
        <f t="shared" si="62"/>
        <v>-0.20955124240972856</v>
      </c>
      <c r="AH190" s="8">
        <f t="shared" si="63"/>
        <v>-7.6318216166152558E-2</v>
      </c>
      <c r="AI190" s="8">
        <f t="shared" si="64"/>
        <v>0.97481475506157356</v>
      </c>
      <c r="AJ190" s="8"/>
      <c r="AK190" s="8"/>
      <c r="AL190" s="8"/>
      <c r="AN190" s="8">
        <f t="shared" si="71"/>
        <v>1</v>
      </c>
      <c r="AO190" s="8">
        <f t="shared" si="72"/>
        <v>3.4908599181220308</v>
      </c>
      <c r="AP190" s="8">
        <f t="shared" si="73"/>
        <v>0.2249074335274468</v>
      </c>
      <c r="AQ190" s="8"/>
      <c r="AR190" s="8">
        <f t="shared" si="74"/>
        <v>200.01154017977649</v>
      </c>
      <c r="AS190" s="8">
        <f t="shared" si="75"/>
        <v>77.113753277758192</v>
      </c>
    </row>
    <row r="191" spans="1:45">
      <c r="A191" s="19">
        <v>14.981633329999999</v>
      </c>
      <c r="B191" s="19">
        <v>643.91666669999995</v>
      </c>
      <c r="C191" s="19">
        <v>-116</v>
      </c>
      <c r="E191" s="9">
        <f t="shared" si="65"/>
        <v>316.08333330000005</v>
      </c>
      <c r="F191" s="9">
        <f t="shared" si="66"/>
        <v>424</v>
      </c>
      <c r="I191">
        <v>1</v>
      </c>
      <c r="J191">
        <f t="shared" si="61"/>
        <v>0.3392886128401234</v>
      </c>
      <c r="K191">
        <f t="shared" si="67"/>
        <v>0.93019458278083866</v>
      </c>
      <c r="O191">
        <f t="shared" si="68"/>
        <v>0.19891700351469274</v>
      </c>
      <c r="P191">
        <f t="shared" si="69"/>
        <v>0.26683092907711281</v>
      </c>
      <c r="Q191">
        <f t="shared" si="70"/>
        <v>0.94299166539295587</v>
      </c>
      <c r="R191">
        <f t="shared" si="60"/>
        <v>1</v>
      </c>
      <c r="AG191" s="8">
        <f t="shared" si="62"/>
        <v>-0.208769860450677</v>
      </c>
      <c r="AH191" s="8">
        <f t="shared" si="63"/>
        <v>-7.7585934544091614E-2</v>
      </c>
      <c r="AI191" s="8">
        <f t="shared" si="64"/>
        <v>0.9748823355299473</v>
      </c>
      <c r="AJ191" s="8"/>
      <c r="AK191" s="8"/>
      <c r="AL191" s="8"/>
      <c r="AN191" s="8">
        <f t="shared" si="71"/>
        <v>0.99999999999999989</v>
      </c>
      <c r="AO191" s="8">
        <f t="shared" si="72"/>
        <v>3.497408865223858</v>
      </c>
      <c r="AP191" s="8">
        <f t="shared" si="73"/>
        <v>0.22460420305472906</v>
      </c>
      <c r="AQ191" s="8"/>
      <c r="AR191" s="8">
        <f t="shared" si="74"/>
        <v>200.38676720896561</v>
      </c>
      <c r="AS191" s="8">
        <f t="shared" si="75"/>
        <v>77.131127104064674</v>
      </c>
    </row>
    <row r="192" spans="1:45">
      <c r="A192" s="19">
        <v>15.015000000000001</v>
      </c>
      <c r="B192" s="19">
        <v>643.27522969999995</v>
      </c>
      <c r="C192" s="19">
        <v>-116.394052</v>
      </c>
      <c r="E192" s="9">
        <f t="shared" si="65"/>
        <v>316.72477030000005</v>
      </c>
      <c r="F192" s="9">
        <f t="shared" si="66"/>
        <v>423.60594800000001</v>
      </c>
      <c r="I192">
        <v>1</v>
      </c>
      <c r="J192">
        <f t="shared" si="61"/>
        <v>0.33932943762537443</v>
      </c>
      <c r="K192">
        <f t="shared" si="67"/>
        <v>0.9287770159078903</v>
      </c>
      <c r="O192">
        <f t="shared" si="68"/>
        <v>0.19931810684391713</v>
      </c>
      <c r="P192">
        <f t="shared" si="69"/>
        <v>0.26657951483620601</v>
      </c>
      <c r="Q192">
        <f t="shared" si="70"/>
        <v>0.94297807745135298</v>
      </c>
      <c r="R192">
        <f t="shared" si="60"/>
        <v>1</v>
      </c>
      <c r="AG192" s="8">
        <f t="shared" si="62"/>
        <v>-0.20864658439737116</v>
      </c>
      <c r="AH192" s="8">
        <f t="shared" si="63"/>
        <v>-7.7132950018822588E-2</v>
      </c>
      <c r="AI192" s="8">
        <f t="shared" si="64"/>
        <v>0.97494467065608625</v>
      </c>
      <c r="AJ192" s="8"/>
      <c r="AK192" s="8"/>
      <c r="AL192" s="8"/>
      <c r="AN192" s="8">
        <f t="shared" si="71"/>
        <v>1</v>
      </c>
      <c r="AO192" s="8">
        <f t="shared" si="72"/>
        <v>3.495693103144593</v>
      </c>
      <c r="AP192" s="8">
        <f t="shared" si="73"/>
        <v>0.22432415092745606</v>
      </c>
      <c r="AQ192" s="8"/>
      <c r="AR192" s="8">
        <f t="shared" si="74"/>
        <v>200.28846128317514</v>
      </c>
      <c r="AS192" s="8">
        <f t="shared" si="75"/>
        <v>77.147172909001071</v>
      </c>
    </row>
    <row r="193" spans="1:45">
      <c r="A193" s="19">
        <v>15.04836667</v>
      </c>
      <c r="B193" s="19">
        <v>643.85691759999997</v>
      </c>
      <c r="C193" s="19">
        <v>-117.2491656</v>
      </c>
      <c r="E193" s="9">
        <f t="shared" si="65"/>
        <v>316.14308240000003</v>
      </c>
      <c r="F193" s="9">
        <f t="shared" si="66"/>
        <v>422.75083440000003</v>
      </c>
      <c r="I193">
        <v>1</v>
      </c>
      <c r="J193">
        <f t="shared" si="61"/>
        <v>0.33870884145714442</v>
      </c>
      <c r="K193">
        <f t="shared" si="67"/>
        <v>0.92868952192751597</v>
      </c>
      <c r="O193">
        <f t="shared" si="68"/>
        <v>0.19899091977821554</v>
      </c>
      <c r="P193">
        <f t="shared" si="69"/>
        <v>0.26609336739440886</v>
      </c>
      <c r="Q193">
        <f t="shared" si="70"/>
        <v>0.94318446428814973</v>
      </c>
      <c r="R193">
        <f t="shared" si="60"/>
        <v>1</v>
      </c>
      <c r="AG193" s="8">
        <f t="shared" si="62"/>
        <v>-0.20806783451446986</v>
      </c>
      <c r="AH193" s="8">
        <f t="shared" si="63"/>
        <v>-7.7331392748286792E-2</v>
      </c>
      <c r="AI193" s="8">
        <f t="shared" si="64"/>
        <v>0.97505263034159817</v>
      </c>
      <c r="AJ193" s="8"/>
      <c r="AK193" s="8"/>
      <c r="AL193" s="8"/>
      <c r="AN193" s="8">
        <f t="shared" si="71"/>
        <v>0.99999999999999989</v>
      </c>
      <c r="AO193" s="8">
        <f t="shared" si="72"/>
        <v>3.4974357004496825</v>
      </c>
      <c r="AP193" s="8">
        <f t="shared" si="73"/>
        <v>0.2238383070496297</v>
      </c>
      <c r="AQ193" s="8"/>
      <c r="AR193" s="8">
        <f t="shared" si="74"/>
        <v>200.38830475414764</v>
      </c>
      <c r="AS193" s="8">
        <f t="shared" si="75"/>
        <v>77.175009712702803</v>
      </c>
    </row>
    <row r="194" spans="1:45">
      <c r="A194" s="19">
        <v>15.08173333</v>
      </c>
      <c r="B194" s="19">
        <v>644.12928429999999</v>
      </c>
      <c r="C194" s="19">
        <v>-117.9565279</v>
      </c>
      <c r="E194" s="9">
        <f t="shared" si="65"/>
        <v>315.87071570000001</v>
      </c>
      <c r="F194" s="9">
        <f t="shared" si="66"/>
        <v>422.04347210000003</v>
      </c>
      <c r="I194">
        <v>1</v>
      </c>
      <c r="J194">
        <f t="shared" si="61"/>
        <v>0.33827046278151318</v>
      </c>
      <c r="K194">
        <f t="shared" si="67"/>
        <v>0.9282996821629389</v>
      </c>
      <c r="O194">
        <f t="shared" si="68"/>
        <v>0.19884686851331246</v>
      </c>
      <c r="P194">
        <f t="shared" si="69"/>
        <v>0.26568472046416602</v>
      </c>
      <c r="Q194">
        <f t="shared" si="70"/>
        <v>0.94333003354834799</v>
      </c>
      <c r="R194">
        <f t="shared" si="60"/>
        <v>1</v>
      </c>
      <c r="AG194" s="8">
        <f t="shared" si="62"/>
        <v>-0.20762180454888041</v>
      </c>
      <c r="AH194" s="8">
        <f t="shared" si="63"/>
        <v>-7.7370544941412184E-2</v>
      </c>
      <c r="AI194" s="8">
        <f t="shared" si="64"/>
        <v>0.97514459699643286</v>
      </c>
      <c r="AJ194" s="8"/>
      <c r="AK194" s="8"/>
      <c r="AL194" s="8"/>
      <c r="AN194" s="8">
        <f t="shared" si="71"/>
        <v>1</v>
      </c>
      <c r="AO194" s="8">
        <f t="shared" si="72"/>
        <v>3.4983026417536021</v>
      </c>
      <c r="AP194" s="8">
        <f t="shared" si="73"/>
        <v>0.2234236162326857</v>
      </c>
      <c r="AQ194" s="8"/>
      <c r="AR194" s="8">
        <f t="shared" si="74"/>
        <v>200.43797683194779</v>
      </c>
      <c r="AS194" s="8">
        <f t="shared" si="75"/>
        <v>77.198769746316515</v>
      </c>
    </row>
    <row r="195" spans="1:45">
      <c r="A195" s="19">
        <v>15.1151</v>
      </c>
      <c r="B195" s="19">
        <v>644.70096409999996</v>
      </c>
      <c r="C195" s="19">
        <v>-118.3748391</v>
      </c>
      <c r="E195" s="9">
        <f t="shared" si="65"/>
        <v>315.29903590000004</v>
      </c>
      <c r="F195" s="9">
        <f t="shared" si="66"/>
        <v>421.62516089999997</v>
      </c>
      <c r="I195">
        <v>1</v>
      </c>
      <c r="J195">
        <f t="shared" si="61"/>
        <v>0.33786330471580367</v>
      </c>
      <c r="K195">
        <f t="shared" si="67"/>
        <v>0.92869293105701756</v>
      </c>
      <c r="O195">
        <f t="shared" si="68"/>
        <v>0.19851233548878594</v>
      </c>
      <c r="P195">
        <f t="shared" si="69"/>
        <v>0.26545528486055903</v>
      </c>
      <c r="Q195">
        <f t="shared" si="70"/>
        <v>0.94346507322655415</v>
      </c>
      <c r="R195">
        <f t="shared" si="60"/>
        <v>1</v>
      </c>
      <c r="AG195" s="8">
        <f t="shared" si="62"/>
        <v>-0.20729311095607283</v>
      </c>
      <c r="AH195" s="8">
        <f t="shared" si="63"/>
        <v>-7.7639604357926606E-2</v>
      </c>
      <c r="AI195" s="8">
        <f t="shared" si="64"/>
        <v>0.9751931388116396</v>
      </c>
      <c r="AJ195" s="8"/>
      <c r="AK195" s="8"/>
      <c r="AL195" s="8"/>
      <c r="AN195" s="8">
        <f t="shared" si="71"/>
        <v>0.99999999999999989</v>
      </c>
      <c r="AO195" s="8">
        <f t="shared" si="72"/>
        <v>3.4999601553528743</v>
      </c>
      <c r="AP195" s="8">
        <f t="shared" si="73"/>
        <v>0.22320442878072311</v>
      </c>
      <c r="AQ195" s="8"/>
      <c r="AR195" s="8">
        <f t="shared" si="74"/>
        <v>200.53294536567165</v>
      </c>
      <c r="AS195" s="8">
        <f t="shared" si="75"/>
        <v>77.211328262236208</v>
      </c>
    </row>
    <row r="196" spans="1:45">
      <c r="A196" s="19">
        <v>15.148466669999999</v>
      </c>
      <c r="B196" s="19">
        <v>645.23210549999999</v>
      </c>
      <c r="C196" s="19">
        <v>-119.0964463</v>
      </c>
      <c r="E196" s="9">
        <f t="shared" si="65"/>
        <v>314.76789450000001</v>
      </c>
      <c r="F196" s="9">
        <f t="shared" si="66"/>
        <v>420.90355369999997</v>
      </c>
      <c r="I196">
        <v>1</v>
      </c>
      <c r="J196">
        <f t="shared" si="61"/>
        <v>0.33732460384977575</v>
      </c>
      <c r="K196">
        <f t="shared" si="67"/>
        <v>0.92867999519584732</v>
      </c>
      <c r="O196">
        <f t="shared" si="68"/>
        <v>0.19821135664147463</v>
      </c>
      <c r="P196">
        <f t="shared" si="69"/>
        <v>0.26504566015736009</v>
      </c>
      <c r="Q196">
        <f t="shared" si="70"/>
        <v>0.94364350054991386</v>
      </c>
      <c r="R196">
        <f t="shared" si="60"/>
        <v>1</v>
      </c>
      <c r="AG196" s="8">
        <f t="shared" si="62"/>
        <v>-0.20679774087002989</v>
      </c>
      <c r="AH196" s="8">
        <f t="shared" si="63"/>
        <v>-7.7831295428860386E-2</v>
      </c>
      <c r="AI196" s="8">
        <f t="shared" si="64"/>
        <v>0.97528302754785867</v>
      </c>
      <c r="AJ196" s="8"/>
      <c r="AK196" s="8"/>
      <c r="AL196" s="8"/>
      <c r="AN196" s="8">
        <f t="shared" si="71"/>
        <v>0.99999999999999989</v>
      </c>
      <c r="AO196" s="8">
        <f t="shared" si="72"/>
        <v>3.5015589214359384</v>
      </c>
      <c r="AP196" s="8">
        <f t="shared" si="73"/>
        <v>0.22279798208561896</v>
      </c>
      <c r="AQ196" s="8"/>
      <c r="AR196" s="8">
        <f t="shared" si="74"/>
        <v>200.62454791465987</v>
      </c>
      <c r="AS196" s="8">
        <f t="shared" si="75"/>
        <v>77.23461594246271</v>
      </c>
    </row>
    <row r="197" spans="1:45">
      <c r="A197" s="19">
        <v>15.18183333</v>
      </c>
      <c r="B197" s="19">
        <v>645.81200709999996</v>
      </c>
      <c r="C197" s="19">
        <v>-119.90142539999999</v>
      </c>
      <c r="E197" s="9">
        <f t="shared" si="65"/>
        <v>314.18799290000004</v>
      </c>
      <c r="F197" s="9">
        <f t="shared" si="66"/>
        <v>420.09857460000001</v>
      </c>
      <c r="I197">
        <v>1</v>
      </c>
      <c r="J197">
        <f t="shared" si="61"/>
        <v>0.33672797811475119</v>
      </c>
      <c r="K197">
        <f t="shared" si="67"/>
        <v>0.9286462688645849</v>
      </c>
      <c r="O197">
        <f t="shared" si="68"/>
        <v>0.1978830679123233</v>
      </c>
      <c r="P197">
        <f t="shared" si="69"/>
        <v>0.26458807034647186</v>
      </c>
      <c r="Q197">
        <f t="shared" si="70"/>
        <v>0.94384079402404375</v>
      </c>
      <c r="R197">
        <f t="shared" si="60"/>
        <v>1</v>
      </c>
      <c r="AG197" s="8">
        <f t="shared" si="62"/>
        <v>-0.20624685218894062</v>
      </c>
      <c r="AH197" s="8">
        <f t="shared" si="63"/>
        <v>-7.8037635404620803E-2</v>
      </c>
      <c r="AI197" s="8">
        <f t="shared" si="64"/>
        <v>0.97538318799465107</v>
      </c>
      <c r="AJ197" s="8"/>
      <c r="AK197" s="8"/>
      <c r="AL197" s="8"/>
      <c r="AN197" s="8">
        <f t="shared" si="71"/>
        <v>1</v>
      </c>
      <c r="AO197" s="8">
        <f t="shared" si="72"/>
        <v>3.5033146251483678</v>
      </c>
      <c r="AP197" s="8">
        <f t="shared" si="73"/>
        <v>0.22234422952851385</v>
      </c>
      <c r="AQ197" s="8"/>
      <c r="AR197" s="8">
        <f t="shared" si="74"/>
        <v>200.72514232745752</v>
      </c>
      <c r="AS197" s="8">
        <f t="shared" si="75"/>
        <v>77.260614048928105</v>
      </c>
    </row>
    <row r="198" spans="1:45">
      <c r="A198" s="19">
        <v>15.215199999999999</v>
      </c>
      <c r="B198" s="19">
        <v>646.23153960000002</v>
      </c>
      <c r="C198" s="19">
        <v>-120.67615910000001</v>
      </c>
      <c r="E198" s="9">
        <f t="shared" si="65"/>
        <v>313.76846039999998</v>
      </c>
      <c r="F198" s="9">
        <f t="shared" si="66"/>
        <v>419.32384089999999</v>
      </c>
      <c r="I198">
        <v>1</v>
      </c>
      <c r="J198">
        <f t="shared" si="61"/>
        <v>0.33620350519793712</v>
      </c>
      <c r="K198">
        <f t="shared" si="67"/>
        <v>0.9284017936882677</v>
      </c>
      <c r="O198">
        <f t="shared" si="68"/>
        <v>0.19765114704389219</v>
      </c>
      <c r="P198">
        <f t="shared" si="69"/>
        <v>0.26414330500611249</v>
      </c>
      <c r="Q198">
        <f t="shared" si="70"/>
        <v>0.94401395036973978</v>
      </c>
      <c r="R198">
        <f t="shared" si="60"/>
        <v>1</v>
      </c>
      <c r="AG198" s="8">
        <f t="shared" si="62"/>
        <v>-0.20573833078794573</v>
      </c>
      <c r="AH198" s="8">
        <f t="shared" si="63"/>
        <v>-7.815322988711286E-2</v>
      </c>
      <c r="AI198" s="8">
        <f t="shared" si="64"/>
        <v>0.97548132319527359</v>
      </c>
      <c r="AJ198" s="8"/>
      <c r="AK198" s="8"/>
      <c r="AL198" s="8"/>
      <c r="AN198" s="8">
        <f t="shared" si="71"/>
        <v>0.99999999999999989</v>
      </c>
      <c r="AO198" s="8">
        <f t="shared" si="72"/>
        <v>3.5046235566220769</v>
      </c>
      <c r="AP198" s="8">
        <f t="shared" si="73"/>
        <v>0.22189876685785515</v>
      </c>
      <c r="AQ198" s="8"/>
      <c r="AR198" s="8">
        <f t="shared" si="74"/>
        <v>200.80013857657289</v>
      </c>
      <c r="AS198" s="8">
        <f t="shared" si="75"/>
        <v>77.286137179887476</v>
      </c>
    </row>
    <row r="199" spans="1:45">
      <c r="A199" s="19">
        <v>15.248566670000001</v>
      </c>
      <c r="B199" s="19">
        <v>646.69931029999998</v>
      </c>
      <c r="C199" s="19">
        <v>-121.2221849</v>
      </c>
      <c r="E199" s="9">
        <f t="shared" si="65"/>
        <v>313.30068970000002</v>
      </c>
      <c r="F199" s="9">
        <f t="shared" si="66"/>
        <v>418.7778151</v>
      </c>
      <c r="I199">
        <v>1</v>
      </c>
      <c r="J199">
        <f t="shared" si="61"/>
        <v>0.33577169809549151</v>
      </c>
      <c r="K199">
        <f t="shared" si="67"/>
        <v>0.92849241457761666</v>
      </c>
      <c r="O199">
        <f t="shared" si="68"/>
        <v>0.19738300234467798</v>
      </c>
      <c r="P199">
        <f t="shared" si="69"/>
        <v>0.26383479250854142</v>
      </c>
      <c r="Q199">
        <f t="shared" si="70"/>
        <v>0.94415631790894439</v>
      </c>
      <c r="R199">
        <f t="shared" si="60"/>
        <v>1</v>
      </c>
      <c r="AG199" s="8">
        <f t="shared" si="62"/>
        <v>-0.20535252440405141</v>
      </c>
      <c r="AH199" s="8">
        <f t="shared" si="63"/>
        <v>-7.8337847013328785E-2</v>
      </c>
      <c r="AI199" s="8">
        <f t="shared" si="64"/>
        <v>0.97554780633559912</v>
      </c>
      <c r="AJ199" s="8"/>
      <c r="AK199" s="8"/>
      <c r="AL199" s="8"/>
      <c r="AN199" s="8">
        <f t="shared" si="71"/>
        <v>0.99999999999999989</v>
      </c>
      <c r="AO199" s="8">
        <f t="shared" si="72"/>
        <v>3.5060321371632521</v>
      </c>
      <c r="AP199" s="8">
        <f t="shared" si="73"/>
        <v>0.22159648116514719</v>
      </c>
      <c r="AQ199" s="8"/>
      <c r="AR199" s="8">
        <f t="shared" si="74"/>
        <v>200.88084429668649</v>
      </c>
      <c r="AS199" s="8">
        <f t="shared" si="75"/>
        <v>77.303456874286823</v>
      </c>
    </row>
    <row r="200" spans="1:45">
      <c r="A200" s="19">
        <v>15.281933329999999</v>
      </c>
      <c r="B200" s="19">
        <v>646.98505120000004</v>
      </c>
      <c r="C200" s="19">
        <v>-121.9168918</v>
      </c>
      <c r="E200" s="9">
        <f t="shared" si="65"/>
        <v>313.01494879999996</v>
      </c>
      <c r="F200" s="9">
        <f t="shared" si="66"/>
        <v>418.08310819999997</v>
      </c>
      <c r="I200">
        <v>1</v>
      </c>
      <c r="J200">
        <f t="shared" si="61"/>
        <v>0.3353337631576308</v>
      </c>
      <c r="K200">
        <f t="shared" si="67"/>
        <v>0.92813367550997461</v>
      </c>
      <c r="O200">
        <f t="shared" si="68"/>
        <v>0.19722980857205294</v>
      </c>
      <c r="P200">
        <f t="shared" si="69"/>
        <v>0.26343295013102225</v>
      </c>
      <c r="Q200">
        <f t="shared" si="70"/>
        <v>0.94430052599577519</v>
      </c>
      <c r="R200">
        <f t="shared" si="60"/>
        <v>1</v>
      </c>
      <c r="AG200" s="8">
        <f t="shared" si="62"/>
        <v>-0.20491050788233084</v>
      </c>
      <c r="AH200" s="8">
        <f t="shared" si="63"/>
        <v>-7.8387325235789854E-2</v>
      </c>
      <c r="AI200" s="8">
        <f t="shared" si="64"/>
        <v>0.97563677206314015</v>
      </c>
      <c r="AJ200" s="8"/>
      <c r="AK200" s="8"/>
      <c r="AL200" s="8"/>
      <c r="AN200" s="8">
        <f t="shared" si="71"/>
        <v>0.99999999999999989</v>
      </c>
      <c r="AO200" s="8">
        <f t="shared" si="72"/>
        <v>3.5069609524621401</v>
      </c>
      <c r="AP200" s="8">
        <f t="shared" si="73"/>
        <v>0.22119133593720064</v>
      </c>
      <c r="AQ200" s="8"/>
      <c r="AR200" s="8">
        <f t="shared" si="74"/>
        <v>200.93406149325995</v>
      </c>
      <c r="AS200" s="8">
        <f t="shared" si="75"/>
        <v>77.326669985938025</v>
      </c>
    </row>
    <row r="201" spans="1:45">
      <c r="A201" s="19">
        <v>15.315300000000001</v>
      </c>
      <c r="B201" s="19">
        <v>647.57313060000001</v>
      </c>
      <c r="C201" s="19">
        <v>-122.9111819</v>
      </c>
      <c r="E201" s="9">
        <f t="shared" si="65"/>
        <v>312.42686939999999</v>
      </c>
      <c r="F201" s="9">
        <f t="shared" si="66"/>
        <v>417.08881810000003</v>
      </c>
      <c r="I201">
        <v>1</v>
      </c>
      <c r="J201">
        <f t="shared" si="61"/>
        <v>0.33464212502267887</v>
      </c>
      <c r="K201">
        <f t="shared" si="67"/>
        <v>0.92789352742987219</v>
      </c>
      <c r="O201">
        <f t="shared" si="68"/>
        <v>0.19690146277263554</v>
      </c>
      <c r="P201">
        <f t="shared" si="69"/>
        <v>0.26286278945123182</v>
      </c>
      <c r="Q201">
        <f t="shared" si="70"/>
        <v>0.94452790741190584</v>
      </c>
      <c r="R201">
        <f t="shared" si="60"/>
        <v>1</v>
      </c>
      <c r="AG201" s="8">
        <f t="shared" si="62"/>
        <v>-0.20424915973020014</v>
      </c>
      <c r="AH201" s="8">
        <f t="shared" si="63"/>
        <v>-7.8565526850774225E-2</v>
      </c>
      <c r="AI201" s="8">
        <f t="shared" si="64"/>
        <v>0.97576110741316568</v>
      </c>
      <c r="AJ201" s="8"/>
      <c r="AK201" s="8"/>
      <c r="AL201" s="8"/>
      <c r="AN201" s="8">
        <f t="shared" si="71"/>
        <v>1</v>
      </c>
      <c r="AO201" s="8">
        <f t="shared" si="72"/>
        <v>3.5088012800877943</v>
      </c>
      <c r="AP201" s="8">
        <f t="shared" si="73"/>
        <v>0.22062389328183518</v>
      </c>
      <c r="AQ201" s="8"/>
      <c r="AR201" s="8">
        <f t="shared" si="74"/>
        <v>201.03950449913128</v>
      </c>
      <c r="AS201" s="8">
        <f t="shared" si="75"/>
        <v>77.359182055206162</v>
      </c>
    </row>
    <row r="202" spans="1:45">
      <c r="A202" s="19">
        <v>15.34866667</v>
      </c>
      <c r="B202" s="19">
        <v>647.59884550000004</v>
      </c>
      <c r="C202" s="19">
        <v>-123.3055736</v>
      </c>
      <c r="E202" s="9">
        <f t="shared" si="65"/>
        <v>312.40115449999996</v>
      </c>
      <c r="F202" s="9">
        <f t="shared" si="66"/>
        <v>416.6944264</v>
      </c>
      <c r="I202">
        <v>1</v>
      </c>
      <c r="J202">
        <f t="shared" si="61"/>
        <v>0.33444269641791829</v>
      </c>
      <c r="K202">
        <f t="shared" si="67"/>
        <v>0.92747903699396472</v>
      </c>
      <c r="O202">
        <f t="shared" si="68"/>
        <v>0.19689740422310945</v>
      </c>
      <c r="P202">
        <f t="shared" si="69"/>
        <v>0.26263043439680228</v>
      </c>
      <c r="Q202">
        <f t="shared" si="70"/>
        <v>0.94459338719829522</v>
      </c>
      <c r="R202">
        <f t="shared" si="60"/>
        <v>1</v>
      </c>
      <c r="AG202" s="8">
        <f t="shared" si="62"/>
        <v>-0.20401967082159472</v>
      </c>
      <c r="AH202" s="8">
        <f t="shared" si="63"/>
        <v>-7.8511779014517613E-2</v>
      </c>
      <c r="AI202" s="8">
        <f t="shared" si="64"/>
        <v>0.97581344245394763</v>
      </c>
      <c r="AJ202" s="8"/>
      <c r="AK202" s="8"/>
      <c r="AL202" s="8"/>
      <c r="AN202" s="8">
        <f t="shared" si="71"/>
        <v>1</v>
      </c>
      <c r="AO202" s="8">
        <f t="shared" si="72"/>
        <v>3.5089486899867</v>
      </c>
      <c r="AP202" s="8">
        <f t="shared" si="73"/>
        <v>0.22038461642095242</v>
      </c>
      <c r="AQ202" s="8"/>
      <c r="AR202" s="8">
        <f t="shared" si="74"/>
        <v>201.04795046419702</v>
      </c>
      <c r="AS202" s="8">
        <f t="shared" si="75"/>
        <v>77.372891609469889</v>
      </c>
    </row>
    <row r="203" spans="1:45">
      <c r="A203" s="19">
        <v>15.382033330000001</v>
      </c>
      <c r="B203" s="19">
        <v>648.11220500000002</v>
      </c>
      <c r="C203" s="19">
        <v>-123.9244133</v>
      </c>
      <c r="E203" s="9">
        <f t="shared" si="65"/>
        <v>311.88779499999998</v>
      </c>
      <c r="F203" s="9">
        <f t="shared" si="66"/>
        <v>416.07558670000003</v>
      </c>
      <c r="I203">
        <v>1</v>
      </c>
      <c r="J203">
        <f t="shared" si="61"/>
        <v>0.33395876941579822</v>
      </c>
      <c r="K203">
        <f t="shared" si="67"/>
        <v>0.92755505992050091</v>
      </c>
      <c r="O203">
        <f t="shared" si="68"/>
        <v>0.19660324116128064</v>
      </c>
      <c r="P203">
        <f t="shared" si="69"/>
        <v>0.26227960896418362</v>
      </c>
      <c r="Q203">
        <f t="shared" si="70"/>
        <v>0.94475212213917481</v>
      </c>
      <c r="R203">
        <f t="shared" si="60"/>
        <v>1</v>
      </c>
      <c r="AG203" s="8">
        <f t="shared" si="62"/>
        <v>-0.20358436732267274</v>
      </c>
      <c r="AH203" s="8">
        <f t="shared" si="63"/>
        <v>-7.8711063744075535E-2</v>
      </c>
      <c r="AI203" s="8">
        <f t="shared" si="64"/>
        <v>0.97588829987150838</v>
      </c>
      <c r="AJ203" s="8"/>
      <c r="AK203" s="8"/>
      <c r="AL203" s="8"/>
      <c r="AN203" s="8">
        <f t="shared" si="71"/>
        <v>1</v>
      </c>
      <c r="AO203" s="8">
        <f t="shared" si="72"/>
        <v>3.5105170533201218</v>
      </c>
      <c r="AP203" s="8">
        <f t="shared" si="73"/>
        <v>0.22004192190513372</v>
      </c>
      <c r="AQ203" s="8"/>
      <c r="AR203" s="8">
        <f t="shared" si="74"/>
        <v>201.13781106394515</v>
      </c>
      <c r="AS203" s="8">
        <f t="shared" si="75"/>
        <v>77.392526558888576</v>
      </c>
    </row>
    <row r="204" spans="1:45">
      <c r="A204" s="19">
        <v>15.4154</v>
      </c>
      <c r="B204" s="19">
        <v>648.61272140000005</v>
      </c>
      <c r="C204" s="19">
        <v>-124.9072661</v>
      </c>
      <c r="E204" s="9">
        <f t="shared" si="65"/>
        <v>311.38727859999995</v>
      </c>
      <c r="F204" s="9">
        <f t="shared" si="66"/>
        <v>415.09273389999998</v>
      </c>
      <c r="I204">
        <v>1</v>
      </c>
      <c r="J204">
        <f t="shared" si="61"/>
        <v>0.33330374682360503</v>
      </c>
      <c r="K204">
        <f t="shared" si="67"/>
        <v>0.92719080124419007</v>
      </c>
      <c r="O204">
        <f t="shared" si="68"/>
        <v>0.19632737148686427</v>
      </c>
      <c r="P204">
        <f t="shared" si="69"/>
        <v>0.26171289249927443</v>
      </c>
      <c r="Q204">
        <f t="shared" si="70"/>
        <v>0.94496662645022655</v>
      </c>
      <c r="R204">
        <f t="shared" si="60"/>
        <v>1</v>
      </c>
      <c r="AG204" s="8">
        <f t="shared" si="62"/>
        <v>-0.20294269110881674</v>
      </c>
      <c r="AH204" s="8">
        <f t="shared" si="63"/>
        <v>-7.8838832917173182E-2</v>
      </c>
      <c r="AI204" s="8">
        <f t="shared" si="64"/>
        <v>0.97601163033529947</v>
      </c>
      <c r="AJ204" s="8"/>
      <c r="AK204" s="8"/>
      <c r="AL204" s="8"/>
      <c r="AN204" s="8">
        <f t="shared" si="71"/>
        <v>0.99999999999999989</v>
      </c>
      <c r="AO204" s="8">
        <f t="shared" si="72"/>
        <v>3.512127247476478</v>
      </c>
      <c r="AP204" s="8">
        <f t="shared" si="73"/>
        <v>0.21947617147644505</v>
      </c>
      <c r="AQ204" s="8"/>
      <c r="AR204" s="8">
        <f t="shared" si="74"/>
        <v>201.230068393301</v>
      </c>
      <c r="AS204" s="8">
        <f t="shared" si="75"/>
        <v>77.424941670710155</v>
      </c>
    </row>
    <row r="205" spans="1:45">
      <c r="A205" s="19">
        <v>15.448766669999999</v>
      </c>
      <c r="B205" s="19">
        <v>649.23115659999996</v>
      </c>
      <c r="C205" s="19">
        <v>-125.6805202</v>
      </c>
      <c r="E205" s="9">
        <f t="shared" si="65"/>
        <v>310.76884340000004</v>
      </c>
      <c r="F205" s="9">
        <f t="shared" si="66"/>
        <v>414.31947980000001</v>
      </c>
      <c r="I205">
        <v>1</v>
      </c>
      <c r="J205">
        <f t="shared" si="61"/>
        <v>0.33270691683908699</v>
      </c>
      <c r="K205">
        <f t="shared" si="67"/>
        <v>0.92725006241692076</v>
      </c>
      <c r="O205">
        <f t="shared" si="68"/>
        <v>0.19597341576205007</v>
      </c>
      <c r="P205">
        <f t="shared" si="69"/>
        <v>0.26127330778990732</v>
      </c>
      <c r="Q205">
        <f t="shared" si="70"/>
        <v>0.94516172105681207</v>
      </c>
      <c r="R205">
        <f t="shared" si="60"/>
        <v>1</v>
      </c>
      <c r="AG205" s="8">
        <f t="shared" si="62"/>
        <v>-0.20240184847550308</v>
      </c>
      <c r="AH205" s="8">
        <f t="shared" si="63"/>
        <v>-7.9074144878225991E-2</v>
      </c>
      <c r="AI205" s="8">
        <f t="shared" si="64"/>
        <v>0.97610489771616082</v>
      </c>
      <c r="AJ205" s="8"/>
      <c r="AK205" s="8"/>
      <c r="AL205" s="8"/>
      <c r="AN205" s="8">
        <f t="shared" si="71"/>
        <v>1</v>
      </c>
      <c r="AO205" s="8">
        <f t="shared" si="72"/>
        <v>3.5140379209993307</v>
      </c>
      <c r="AP205" s="8">
        <f t="shared" si="73"/>
        <v>0.21904737392771079</v>
      </c>
      <c r="AQ205" s="8"/>
      <c r="AR205" s="8">
        <f t="shared" si="74"/>
        <v>201.33954192218783</v>
      </c>
      <c r="AS205" s="8">
        <f t="shared" si="75"/>
        <v>77.449509960518185</v>
      </c>
    </row>
    <row r="206" spans="1:45">
      <c r="A206" s="19">
        <v>15.48213333</v>
      </c>
      <c r="B206" s="19">
        <v>648.5</v>
      </c>
      <c r="C206" s="19">
        <v>-126.58333330000001</v>
      </c>
      <c r="E206" s="9">
        <f t="shared" si="65"/>
        <v>311.5</v>
      </c>
      <c r="F206" s="9">
        <f t="shared" si="66"/>
        <v>413.41666670000001</v>
      </c>
      <c r="I206">
        <v>1</v>
      </c>
      <c r="J206">
        <f t="shared" si="61"/>
        <v>0.3325366422069812</v>
      </c>
      <c r="K206">
        <f t="shared" si="67"/>
        <v>0.92507357187903361</v>
      </c>
      <c r="O206">
        <f t="shared" si="68"/>
        <v>0.19644475913658729</v>
      </c>
      <c r="P206">
        <f t="shared" si="69"/>
        <v>0.26071761641390778</v>
      </c>
      <c r="Q206">
        <f t="shared" si="70"/>
        <v>0.94521731950870358</v>
      </c>
      <c r="R206">
        <f t="shared" si="60"/>
        <v>1</v>
      </c>
      <c r="AG206" s="8">
        <f t="shared" si="62"/>
        <v>-0.20200143616932195</v>
      </c>
      <c r="AH206" s="8">
        <f t="shared" si="63"/>
        <v>-7.8477047903856637E-2</v>
      </c>
      <c r="AI206" s="8">
        <f t="shared" si="64"/>
        <v>0.97623602306912804</v>
      </c>
      <c r="AJ206" s="8"/>
      <c r="AK206" s="8"/>
      <c r="AL206" s="8"/>
      <c r="AN206" s="8">
        <f t="shared" si="71"/>
        <v>0.99999999999999989</v>
      </c>
      <c r="AO206" s="8">
        <f t="shared" si="72"/>
        <v>3.5121439025737651</v>
      </c>
      <c r="AP206" s="8">
        <f t="shared" si="73"/>
        <v>0.21844312338316318</v>
      </c>
      <c r="AQ206" s="8"/>
      <c r="AR206" s="8">
        <f t="shared" si="74"/>
        <v>201.23102266008291</v>
      </c>
      <c r="AS206" s="8">
        <f t="shared" si="75"/>
        <v>77.484130966489246</v>
      </c>
    </row>
    <row r="207" spans="1:45">
      <c r="A207" s="19">
        <v>15.515499999999999</v>
      </c>
      <c r="B207" s="19">
        <v>649.61528150000004</v>
      </c>
      <c r="C207" s="19">
        <v>-126.7979414</v>
      </c>
      <c r="E207" s="9">
        <f t="shared" si="65"/>
        <v>310.38471849999996</v>
      </c>
      <c r="F207" s="9">
        <f t="shared" si="66"/>
        <v>413.20205859999999</v>
      </c>
      <c r="I207">
        <v>1</v>
      </c>
      <c r="J207">
        <f t="shared" si="61"/>
        <v>0.33202863189164272</v>
      </c>
      <c r="K207">
        <f t="shared" si="67"/>
        <v>0.92654725903473911</v>
      </c>
      <c r="O207">
        <f t="shared" si="68"/>
        <v>0.19577190913906325</v>
      </c>
      <c r="P207">
        <f t="shared" si="69"/>
        <v>0.26062286913881394</v>
      </c>
      <c r="Q207">
        <f t="shared" si="70"/>
        <v>0.94538303331184181</v>
      </c>
      <c r="R207">
        <f t="shared" si="60"/>
        <v>1</v>
      </c>
      <c r="AG207" s="8">
        <f t="shared" si="62"/>
        <v>-0.2017009719651135</v>
      </c>
      <c r="AH207" s="8">
        <f t="shared" si="63"/>
        <v>-7.9108523938002592E-2</v>
      </c>
      <c r="AI207" s="8">
        <f t="shared" si="64"/>
        <v>0.97624718148053002</v>
      </c>
      <c r="AJ207" s="8"/>
      <c r="AK207" s="8"/>
      <c r="AL207" s="8"/>
      <c r="AN207" s="8">
        <f t="shared" si="71"/>
        <v>0.99999999999999989</v>
      </c>
      <c r="AO207" s="8">
        <f t="shared" si="72"/>
        <v>3.5153628879126271</v>
      </c>
      <c r="AP207" s="8">
        <f t="shared" si="73"/>
        <v>0.21839162734955697</v>
      </c>
      <c r="AQ207" s="8"/>
      <c r="AR207" s="8">
        <f t="shared" si="74"/>
        <v>201.41545693431422</v>
      </c>
      <c r="AS207" s="8">
        <f t="shared" si="75"/>
        <v>77.48708147187655</v>
      </c>
    </row>
    <row r="208" spans="1:45">
      <c r="A208" s="19">
        <v>15.548866670000001</v>
      </c>
      <c r="B208" s="19">
        <v>650.39112560000001</v>
      </c>
      <c r="C208" s="19">
        <v>-127.70358419999999</v>
      </c>
      <c r="E208" s="9">
        <f t="shared" si="65"/>
        <v>309.60887439999999</v>
      </c>
      <c r="F208" s="9">
        <f t="shared" si="66"/>
        <v>412.29641579999998</v>
      </c>
      <c r="I208">
        <v>1</v>
      </c>
      <c r="J208">
        <f t="shared" si="61"/>
        <v>0.33131031967106717</v>
      </c>
      <c r="K208">
        <f t="shared" si="67"/>
        <v>0.92669543419812117</v>
      </c>
      <c r="O208">
        <f t="shared" si="68"/>
        <v>0.19532546481309182</v>
      </c>
      <c r="P208">
        <f t="shared" si="69"/>
        <v>0.26010878794405373</v>
      </c>
      <c r="Q208">
        <f t="shared" si="70"/>
        <v>0.9456169315477726</v>
      </c>
      <c r="R208">
        <f t="shared" si="60"/>
        <v>1</v>
      </c>
      <c r="AG208" s="8">
        <f t="shared" si="62"/>
        <v>-0.20105856123359067</v>
      </c>
      <c r="AH208" s="8">
        <f t="shared" si="63"/>
        <v>-7.9415163906950637E-2</v>
      </c>
      <c r="AI208" s="8">
        <f t="shared" si="64"/>
        <v>0.97635479550023752</v>
      </c>
      <c r="AJ208" s="8"/>
      <c r="AK208" s="8"/>
      <c r="AL208" s="8"/>
      <c r="AN208" s="8">
        <f t="shared" si="71"/>
        <v>1</v>
      </c>
      <c r="AO208" s="8">
        <f t="shared" si="72"/>
        <v>3.5177684996172536</v>
      </c>
      <c r="AP208" s="8">
        <f t="shared" si="73"/>
        <v>0.21789437428119185</v>
      </c>
      <c r="AQ208" s="8"/>
      <c r="AR208" s="8">
        <f t="shared" si="74"/>
        <v>201.55328833213659</v>
      </c>
      <c r="AS208" s="8">
        <f t="shared" si="75"/>
        <v>77.515571974043795</v>
      </c>
    </row>
    <row r="209" spans="1:45">
      <c r="A209" s="19">
        <v>15.582233329999999</v>
      </c>
      <c r="B209" s="19">
        <v>650.75</v>
      </c>
      <c r="C209" s="19">
        <v>-128.41666670000001</v>
      </c>
      <c r="E209" s="9">
        <f t="shared" si="65"/>
        <v>309.25</v>
      </c>
      <c r="F209" s="9">
        <f t="shared" si="66"/>
        <v>411.58333329999999</v>
      </c>
      <c r="I209">
        <v>1</v>
      </c>
      <c r="J209">
        <f t="shared" si="61"/>
        <v>0.33083590568042348</v>
      </c>
      <c r="K209">
        <f t="shared" si="67"/>
        <v>0.92642112061014659</v>
      </c>
      <c r="O209">
        <f t="shared" si="68"/>
        <v>0.19512730491523009</v>
      </c>
      <c r="P209">
        <f t="shared" si="69"/>
        <v>0.25969651277237149</v>
      </c>
      <c r="Q209">
        <f t="shared" si="70"/>
        <v>0.94577114363380121</v>
      </c>
      <c r="R209">
        <f t="shared" si="60"/>
        <v>1</v>
      </c>
      <c r="AG209" s="8">
        <f t="shared" si="62"/>
        <v>-0.20059267618705612</v>
      </c>
      <c r="AH209" s="8">
        <f t="shared" si="63"/>
        <v>-7.9505396677009427E-2</v>
      </c>
      <c r="AI209" s="8">
        <f t="shared" si="64"/>
        <v>0.97644327544376397</v>
      </c>
      <c r="AJ209" s="8"/>
      <c r="AK209" s="8"/>
      <c r="AL209" s="8"/>
      <c r="AN209" s="8">
        <f t="shared" si="71"/>
        <v>1</v>
      </c>
      <c r="AO209" s="8">
        <f t="shared" si="72"/>
        <v>3.5189506329302835</v>
      </c>
      <c r="AP209" s="8">
        <f t="shared" si="73"/>
        <v>0.2174846961013408</v>
      </c>
      <c r="AQ209" s="8"/>
      <c r="AR209" s="8">
        <f t="shared" si="74"/>
        <v>201.62101958179503</v>
      </c>
      <c r="AS209" s="8">
        <f t="shared" si="75"/>
        <v>77.539044804707856</v>
      </c>
    </row>
    <row r="210" spans="1:45">
      <c r="A210" s="19">
        <v>15.615600000000001</v>
      </c>
      <c r="B210" s="19">
        <v>650.87372270000003</v>
      </c>
      <c r="C210" s="19">
        <v>-128.90885660000001</v>
      </c>
      <c r="E210" s="9">
        <f t="shared" si="65"/>
        <v>309.12627729999997</v>
      </c>
      <c r="F210" s="9">
        <f t="shared" si="66"/>
        <v>411.09114339999996</v>
      </c>
      <c r="I210">
        <v>1</v>
      </c>
      <c r="J210">
        <f t="shared" si="61"/>
        <v>0.33055338339367313</v>
      </c>
      <c r="K210">
        <f t="shared" si="67"/>
        <v>0.92603860846114439</v>
      </c>
      <c r="O210">
        <f t="shared" si="68"/>
        <v>0.19506603057628766</v>
      </c>
      <c r="P210">
        <f t="shared" si="69"/>
        <v>0.25940828534056642</v>
      </c>
      <c r="Q210">
        <f t="shared" si="70"/>
        <v>0.9458628786520159</v>
      </c>
      <c r="R210">
        <f t="shared" si="60"/>
        <v>1</v>
      </c>
      <c r="AG210" s="8">
        <f t="shared" si="62"/>
        <v>-0.20029079229444521</v>
      </c>
      <c r="AH210" s="8">
        <f t="shared" si="63"/>
        <v>-7.9493252370339967E-2</v>
      </c>
      <c r="AI210" s="8">
        <f t="shared" si="64"/>
        <v>0.97650623210998966</v>
      </c>
      <c r="AJ210" s="8"/>
      <c r="AK210" s="8"/>
      <c r="AL210" s="8"/>
      <c r="AN210" s="8">
        <f t="shared" si="71"/>
        <v>1.0000000000000002</v>
      </c>
      <c r="AO210" s="8">
        <f t="shared" si="72"/>
        <v>3.5194144334791351</v>
      </c>
      <c r="AP210" s="8">
        <f t="shared" si="73"/>
        <v>0.21719273224282198</v>
      </c>
      <c r="AQ210" s="8"/>
      <c r="AR210" s="8">
        <f t="shared" si="74"/>
        <v>201.64759339578006</v>
      </c>
      <c r="AS210" s="8">
        <f t="shared" si="75"/>
        <v>77.555773101571347</v>
      </c>
    </row>
    <row r="211" spans="1:45">
      <c r="A211" s="19">
        <v>15.64896667</v>
      </c>
      <c r="B211" s="19">
        <v>651.49689309999997</v>
      </c>
      <c r="C211" s="19">
        <v>-129.6655791</v>
      </c>
      <c r="E211" s="9">
        <f t="shared" si="65"/>
        <v>308.50310690000003</v>
      </c>
      <c r="F211" s="9">
        <f t="shared" si="66"/>
        <v>410.3344209</v>
      </c>
      <c r="I211">
        <v>1</v>
      </c>
      <c r="J211">
        <f t="shared" si="61"/>
        <v>0.3299617288504782</v>
      </c>
      <c r="K211">
        <f t="shared" si="67"/>
        <v>0.92612289899840372</v>
      </c>
      <c r="O211">
        <f t="shared" si="68"/>
        <v>0.19470783104400199</v>
      </c>
      <c r="P211">
        <f t="shared" si="69"/>
        <v>0.25897737594595222</v>
      </c>
      <c r="Q211">
        <f t="shared" si="70"/>
        <v>0.94605474433475012</v>
      </c>
      <c r="R211">
        <f t="shared" si="60"/>
        <v>1</v>
      </c>
      <c r="AG211" s="8">
        <f t="shared" si="62"/>
        <v>-0.19975734670992779</v>
      </c>
      <c r="AH211" s="8">
        <f t="shared" si="63"/>
        <v>-7.9734521704663039E-2</v>
      </c>
      <c r="AI211" s="8">
        <f t="shared" si="64"/>
        <v>0.97659582657511823</v>
      </c>
      <c r="AJ211" s="8"/>
      <c r="AK211" s="8"/>
      <c r="AL211" s="8"/>
      <c r="AN211" s="8">
        <f t="shared" si="71"/>
        <v>1.0000000000000002</v>
      </c>
      <c r="AO211" s="8">
        <f t="shared" si="72"/>
        <v>3.5213720023851618</v>
      </c>
      <c r="AP211" s="8">
        <f t="shared" si="73"/>
        <v>0.21677656732156669</v>
      </c>
      <c r="AQ211" s="8"/>
      <c r="AR211" s="8">
        <f t="shared" si="74"/>
        <v>201.75975383220143</v>
      </c>
      <c r="AS211" s="8">
        <f t="shared" si="75"/>
        <v>77.579617595140661</v>
      </c>
    </row>
    <row r="212" spans="1:45">
      <c r="A212" s="19">
        <v>15.682333330000001</v>
      </c>
      <c r="B212" s="19">
        <v>652.03091359999996</v>
      </c>
      <c r="C212" s="19">
        <v>-130.28828060000001</v>
      </c>
      <c r="E212" s="9">
        <f t="shared" si="65"/>
        <v>307.96908640000004</v>
      </c>
      <c r="F212" s="9">
        <f t="shared" si="66"/>
        <v>409.71171939999999</v>
      </c>
      <c r="I212">
        <v>1</v>
      </c>
      <c r="J212">
        <f t="shared" si="61"/>
        <v>0.32946698622688159</v>
      </c>
      <c r="K212">
        <f t="shared" si="67"/>
        <v>0.92622559282171602</v>
      </c>
      <c r="O212">
        <f t="shared" si="68"/>
        <v>0.19439997830927072</v>
      </c>
      <c r="P212">
        <f t="shared" si="69"/>
        <v>0.25862319590403537</v>
      </c>
      <c r="Q212">
        <f t="shared" si="70"/>
        <v>0.94621492853037248</v>
      </c>
      <c r="R212">
        <f t="shared" si="60"/>
        <v>0.99999999999999989</v>
      </c>
      <c r="AG212" s="8">
        <f t="shared" si="62"/>
        <v>-0.1993147796292104</v>
      </c>
      <c r="AH212" s="8">
        <f t="shared" si="63"/>
        <v>-7.9945850853769179E-2</v>
      </c>
      <c r="AI212" s="8">
        <f t="shared" si="64"/>
        <v>0.97666897132683905</v>
      </c>
      <c r="AJ212" s="8"/>
      <c r="AK212" s="8"/>
      <c r="AL212" s="8"/>
      <c r="AN212" s="8">
        <f t="shared" si="71"/>
        <v>0.99999999999999978</v>
      </c>
      <c r="AO212" s="8">
        <f t="shared" si="72"/>
        <v>3.5230499406808944</v>
      </c>
      <c r="AP212" s="8">
        <f t="shared" si="73"/>
        <v>0.21643622709584931</v>
      </c>
      <c r="AQ212" s="8"/>
      <c r="AR212" s="8">
        <f t="shared" si="74"/>
        <v>201.85589261483028</v>
      </c>
      <c r="AS212" s="8">
        <f t="shared" si="75"/>
        <v>77.599117653672806</v>
      </c>
    </row>
    <row r="213" spans="1:45">
      <c r="A213" s="19">
        <v>15.7157</v>
      </c>
      <c r="B213" s="19">
        <v>652.61396190000005</v>
      </c>
      <c r="C213" s="19">
        <v>-130.76829119999999</v>
      </c>
      <c r="E213" s="9">
        <f t="shared" si="65"/>
        <v>307.38603809999995</v>
      </c>
      <c r="F213" s="9">
        <f t="shared" si="66"/>
        <v>409.23170879999998</v>
      </c>
      <c r="I213">
        <v>1</v>
      </c>
      <c r="J213">
        <f t="shared" si="61"/>
        <v>0.32902325923742526</v>
      </c>
      <c r="K213">
        <f t="shared" si="67"/>
        <v>0.92657268408237026</v>
      </c>
      <c r="O213">
        <f t="shared" si="68"/>
        <v>0.19405802234281486</v>
      </c>
      <c r="P213">
        <f t="shared" si="69"/>
        <v>0.25835492262619686</v>
      </c>
      <c r="Q213">
        <f t="shared" si="70"/>
        <v>0.94635839823990964</v>
      </c>
      <c r="R213">
        <f t="shared" si="60"/>
        <v>1</v>
      </c>
      <c r="AG213" s="8">
        <f t="shared" si="62"/>
        <v>-0.19894607222848626</v>
      </c>
      <c r="AH213" s="8">
        <f t="shared" si="63"/>
        <v>-8.0211734594912015E-2</v>
      </c>
      <c r="AI213" s="8">
        <f t="shared" si="64"/>
        <v>0.97672234436309135</v>
      </c>
      <c r="AJ213" s="8"/>
      <c r="AK213" s="8"/>
      <c r="AL213" s="8"/>
      <c r="AN213" s="8">
        <f t="shared" si="71"/>
        <v>0.99999999999999989</v>
      </c>
      <c r="AO213" s="8">
        <f t="shared" si="72"/>
        <v>3.5248402418751517</v>
      </c>
      <c r="AP213" s="8">
        <f t="shared" si="73"/>
        <v>0.21618755122248068</v>
      </c>
      <c r="AQ213" s="8"/>
      <c r="AR213" s="8">
        <f t="shared" si="74"/>
        <v>201.95846931731845</v>
      </c>
      <c r="AS213" s="8">
        <f t="shared" si="75"/>
        <v>77.613365731683558</v>
      </c>
    </row>
    <row r="214" spans="1:45">
      <c r="A214" s="19">
        <v>15.749066669999999</v>
      </c>
      <c r="B214" s="19">
        <v>652.70383779999997</v>
      </c>
      <c r="C214" s="19">
        <v>-131.24659790000001</v>
      </c>
      <c r="E214" s="9">
        <f t="shared" si="65"/>
        <v>307.29616220000003</v>
      </c>
      <c r="F214" s="9">
        <f t="shared" si="66"/>
        <v>408.75340210000002</v>
      </c>
      <c r="I214">
        <v>1</v>
      </c>
      <c r="J214">
        <f t="shared" si="61"/>
        <v>0.32875939811145133</v>
      </c>
      <c r="K214">
        <f t="shared" si="67"/>
        <v>0.92615147408176668</v>
      </c>
      <c r="O214">
        <f t="shared" si="68"/>
        <v>0.19401676734622403</v>
      </c>
      <c r="P214">
        <f t="shared" si="69"/>
        <v>0.25807355727924303</v>
      </c>
      <c r="Q214">
        <f t="shared" si="70"/>
        <v>0.94644362379476066</v>
      </c>
      <c r="R214">
        <f t="shared" si="60"/>
        <v>1</v>
      </c>
      <c r="AG214" s="8">
        <f t="shared" si="62"/>
        <v>-0.19865714868891676</v>
      </c>
      <c r="AH214" s="8">
        <f t="shared" si="63"/>
        <v>-8.0181717964586299E-2</v>
      </c>
      <c r="AI214" s="8">
        <f t="shared" si="64"/>
        <v>0.97678361440957695</v>
      </c>
      <c r="AJ214" s="8"/>
      <c r="AK214" s="8"/>
      <c r="AL214" s="8"/>
      <c r="AN214" s="8">
        <f t="shared" si="71"/>
        <v>1</v>
      </c>
      <c r="AO214" s="8">
        <f t="shared" si="72"/>
        <v>3.5252146059391101</v>
      </c>
      <c r="AP214" s="8">
        <f t="shared" si="73"/>
        <v>0.2159017339621665</v>
      </c>
      <c r="AQ214" s="8"/>
      <c r="AR214" s="8">
        <f t="shared" si="74"/>
        <v>201.97991879818463</v>
      </c>
      <c r="AS214" s="8">
        <f t="shared" si="75"/>
        <v>77.629741854411549</v>
      </c>
    </row>
    <row r="215" spans="1:45">
      <c r="A215" s="19">
        <v>15.78243333</v>
      </c>
      <c r="B215" s="19">
        <v>653.11057840000001</v>
      </c>
      <c r="C215" s="19">
        <v>-132.66888169999999</v>
      </c>
      <c r="E215" s="9">
        <f t="shared" si="65"/>
        <v>306.88942159999999</v>
      </c>
      <c r="F215" s="9">
        <f t="shared" si="66"/>
        <v>407.33111830000001</v>
      </c>
      <c r="I215">
        <v>1</v>
      </c>
      <c r="J215">
        <f t="shared" si="61"/>
        <v>0.3279240546949545</v>
      </c>
      <c r="K215">
        <f t="shared" si="67"/>
        <v>0.9251131244664047</v>
      </c>
      <c r="O215">
        <f t="shared" si="68"/>
        <v>0.19380882327532858</v>
      </c>
      <c r="P215">
        <f t="shared" si="69"/>
        <v>0.25724042330805014</v>
      </c>
      <c r="Q215">
        <f t="shared" si="70"/>
        <v>0.94671300014150417</v>
      </c>
      <c r="R215">
        <f t="shared" si="60"/>
        <v>1</v>
      </c>
      <c r="AG215" s="8">
        <f t="shared" si="62"/>
        <v>-0.1977752732154901</v>
      </c>
      <c r="AH215" s="8">
        <f t="shared" si="63"/>
        <v>-8.0176203848726105E-2</v>
      </c>
      <c r="AI215" s="8">
        <f t="shared" si="64"/>
        <v>0.97696300730424057</v>
      </c>
      <c r="AJ215" s="8"/>
      <c r="AK215" s="8"/>
      <c r="AL215" s="8"/>
      <c r="AN215" s="8">
        <f t="shared" si="71"/>
        <v>0.99999999999999989</v>
      </c>
      <c r="AO215" s="8">
        <f t="shared" si="72"/>
        <v>3.5267373017830965</v>
      </c>
      <c r="AP215" s="8">
        <f t="shared" si="73"/>
        <v>0.21506273794825193</v>
      </c>
      <c r="AQ215" s="8"/>
      <c r="AR215" s="8">
        <f t="shared" si="74"/>
        <v>202.06716284352717</v>
      </c>
      <c r="AS215" s="8">
        <f t="shared" si="75"/>
        <v>77.677812785037162</v>
      </c>
    </row>
    <row r="216" spans="1:45">
      <c r="A216" s="19">
        <v>15.815799999999999</v>
      </c>
      <c r="B216" s="19">
        <v>653.49866080000004</v>
      </c>
      <c r="C216" s="19">
        <v>-132.93316300000001</v>
      </c>
      <c r="E216" s="9">
        <f t="shared" si="65"/>
        <v>306.50133919999996</v>
      </c>
      <c r="F216" s="9">
        <f t="shared" si="66"/>
        <v>407.06683699999996</v>
      </c>
      <c r="I216">
        <v>1</v>
      </c>
      <c r="J216">
        <f t="shared" si="61"/>
        <v>0.3276550373208385</v>
      </c>
      <c r="K216">
        <f t="shared" si="67"/>
        <v>0.92540931875313837</v>
      </c>
      <c r="O216">
        <f t="shared" si="68"/>
        <v>0.19357942130353684</v>
      </c>
      <c r="P216">
        <f t="shared" si="69"/>
        <v>0.25709435053039775</v>
      </c>
      <c r="Q216">
        <f t="shared" si="70"/>
        <v>0.94679961056875217</v>
      </c>
      <c r="R216">
        <f t="shared" si="60"/>
        <v>1</v>
      </c>
      <c r="AG216" s="8">
        <f t="shared" si="62"/>
        <v>-0.19756124563769328</v>
      </c>
      <c r="AH216" s="8">
        <f t="shared" si="63"/>
        <v>-8.0362950509678135E-2</v>
      </c>
      <c r="AI216" s="8">
        <f t="shared" si="64"/>
        <v>0.97699096741344649</v>
      </c>
      <c r="AJ216" s="8"/>
      <c r="AK216" s="8"/>
      <c r="AL216" s="8"/>
      <c r="AN216" s="8">
        <f t="shared" si="71"/>
        <v>1</v>
      </c>
      <c r="AO216" s="8">
        <f t="shared" si="72"/>
        <v>3.5279257597651377</v>
      </c>
      <c r="AP216" s="8">
        <f t="shared" si="73"/>
        <v>0.2149316819206033</v>
      </c>
      <c r="AQ216" s="8"/>
      <c r="AR216" s="8">
        <f t="shared" si="74"/>
        <v>202.13525647002677</v>
      </c>
      <c r="AS216" s="8">
        <f t="shared" si="75"/>
        <v>77.68532174230117</v>
      </c>
    </row>
    <row r="217" spans="1:45">
      <c r="A217" s="19">
        <v>15.849166670000001</v>
      </c>
      <c r="B217" s="19">
        <v>654.30037219999997</v>
      </c>
      <c r="C217" s="19">
        <v>-133.8969918</v>
      </c>
      <c r="E217" s="9">
        <f t="shared" si="65"/>
        <v>305.69962780000003</v>
      </c>
      <c r="F217" s="9">
        <f t="shared" si="66"/>
        <v>406.10300819999998</v>
      </c>
      <c r="I217">
        <v>1</v>
      </c>
      <c r="J217">
        <f t="shared" si="61"/>
        <v>0.32689707867981938</v>
      </c>
      <c r="K217">
        <f t="shared" si="67"/>
        <v>0.92552875620845731</v>
      </c>
      <c r="O217">
        <f t="shared" si="68"/>
        <v>0.19311706323706432</v>
      </c>
      <c r="P217">
        <f t="shared" si="69"/>
        <v>0.25654404907103862</v>
      </c>
      <c r="Q217">
        <f t="shared" si="70"/>
        <v>0.94704326763507918</v>
      </c>
      <c r="R217">
        <f t="shared" si="60"/>
        <v>1</v>
      </c>
      <c r="AG217" s="8">
        <f t="shared" si="62"/>
        <v>-0.19687874264954283</v>
      </c>
      <c r="AH217" s="8">
        <f t="shared" si="63"/>
        <v>-8.0675388140643067E-2</v>
      </c>
      <c r="AI217" s="8">
        <f t="shared" si="64"/>
        <v>0.97710298456257494</v>
      </c>
      <c r="AJ217" s="8"/>
      <c r="AK217" s="8"/>
      <c r="AL217" s="8"/>
      <c r="AN217" s="8">
        <f t="shared" si="71"/>
        <v>1</v>
      </c>
      <c r="AO217" s="8">
        <f t="shared" si="72"/>
        <v>3.5304946454989574</v>
      </c>
      <c r="AP217" s="8">
        <f t="shared" si="73"/>
        <v>0.21440583857001938</v>
      </c>
      <c r="AQ217" s="8"/>
      <c r="AR217" s="8">
        <f t="shared" si="74"/>
        <v>202.28244278062601</v>
      </c>
      <c r="AS217" s="8">
        <f t="shared" si="75"/>
        <v>77.715450346974649</v>
      </c>
    </row>
    <row r="218" spans="1:45">
      <c r="A218" s="19">
        <v>15.882533329999999</v>
      </c>
      <c r="B218" s="19">
        <v>654.51561839999999</v>
      </c>
      <c r="C218" s="19">
        <v>-134.71222019999999</v>
      </c>
      <c r="E218" s="9">
        <f t="shared" si="65"/>
        <v>305.48438160000001</v>
      </c>
      <c r="F218" s="9">
        <f t="shared" si="66"/>
        <v>405.28777980000001</v>
      </c>
      <c r="I218">
        <v>1</v>
      </c>
      <c r="J218">
        <f t="shared" si="61"/>
        <v>0.32642435335305631</v>
      </c>
      <c r="K218">
        <f t="shared" si="67"/>
        <v>0.92490155265149765</v>
      </c>
      <c r="O218">
        <f t="shared" si="68"/>
        <v>0.19300843766506545</v>
      </c>
      <c r="P218">
        <f t="shared" si="69"/>
        <v>0.25606533720066649</v>
      </c>
      <c r="Q218">
        <f t="shared" si="70"/>
        <v>0.94719495674037424</v>
      </c>
      <c r="R218">
        <f t="shared" si="60"/>
        <v>1</v>
      </c>
      <c r="AG218" s="8">
        <f t="shared" si="62"/>
        <v>-0.19637546231241468</v>
      </c>
      <c r="AH218" s="8">
        <f t="shared" si="63"/>
        <v>-8.0661487013575922E-2</v>
      </c>
      <c r="AI218" s="8">
        <f t="shared" si="64"/>
        <v>0.97720540436202252</v>
      </c>
      <c r="AJ218" s="8"/>
      <c r="AK218" s="8"/>
      <c r="AL218" s="8"/>
      <c r="AN218" s="8">
        <f t="shared" si="71"/>
        <v>0.99999999999999978</v>
      </c>
      <c r="AO218" s="8">
        <f t="shared" si="72"/>
        <v>3.5313329423275799</v>
      </c>
      <c r="AP218" s="8">
        <f t="shared" si="73"/>
        <v>0.21392393440074753</v>
      </c>
      <c r="AQ218" s="8"/>
      <c r="AR218" s="8">
        <f t="shared" si="74"/>
        <v>202.33047365088527</v>
      </c>
      <c r="AS218" s="8">
        <f t="shared" si="75"/>
        <v>77.743061422003677</v>
      </c>
    </row>
    <row r="219" spans="1:45">
      <c r="A219" s="19">
        <v>15.915900000000001</v>
      </c>
      <c r="B219" s="19">
        <v>654.95171059999996</v>
      </c>
      <c r="C219" s="19">
        <v>-135.773449</v>
      </c>
      <c r="E219" s="9">
        <f t="shared" si="65"/>
        <v>305.04828940000004</v>
      </c>
      <c r="F219" s="9">
        <f t="shared" si="66"/>
        <v>404.22655099999997</v>
      </c>
      <c r="I219">
        <v>1</v>
      </c>
      <c r="J219">
        <f t="shared" si="61"/>
        <v>0.32575204341099401</v>
      </c>
      <c r="K219">
        <f t="shared" si="67"/>
        <v>0.92432786768631914</v>
      </c>
      <c r="O219">
        <f t="shared" si="68"/>
        <v>0.19277166793102687</v>
      </c>
      <c r="P219">
        <f t="shared" si="69"/>
        <v>0.2554462003755012</v>
      </c>
      <c r="Q219">
        <f t="shared" si="70"/>
        <v>0.94741032438791228</v>
      </c>
      <c r="R219">
        <f t="shared" ref="R219:R282" si="76">SQRT(O219^2+P219^2+Q219^2)</f>
        <v>1</v>
      </c>
      <c r="AG219" s="8">
        <f t="shared" si="62"/>
        <v>-0.19569495545030566</v>
      </c>
      <c r="AH219" s="8">
        <f t="shared" si="63"/>
        <v>-8.0737087587793688E-2</v>
      </c>
      <c r="AI219" s="8">
        <f t="shared" si="64"/>
        <v>0.97733566756726098</v>
      </c>
      <c r="AJ219" s="8"/>
      <c r="AK219" s="8"/>
      <c r="AL219" s="8"/>
      <c r="AN219" s="8">
        <f t="shared" si="71"/>
        <v>0.99999999999999989</v>
      </c>
      <c r="AO219" s="8">
        <f t="shared" si="72"/>
        <v>3.532884645471166</v>
      </c>
      <c r="AP219" s="8">
        <f t="shared" si="73"/>
        <v>0.21330947306927439</v>
      </c>
      <c r="AQ219" s="8"/>
      <c r="AR219" s="8">
        <f t="shared" si="74"/>
        <v>202.41937969206992</v>
      </c>
      <c r="AS219" s="8">
        <f t="shared" si="75"/>
        <v>77.778267462971087</v>
      </c>
    </row>
    <row r="220" spans="1:45">
      <c r="A220" s="19">
        <v>15.94926667</v>
      </c>
      <c r="B220" s="19">
        <v>654.98257639999997</v>
      </c>
      <c r="C220" s="19">
        <v>-135.92809489999999</v>
      </c>
      <c r="E220" s="9">
        <f t="shared" si="65"/>
        <v>305.01742360000003</v>
      </c>
      <c r="F220" s="9">
        <f t="shared" si="66"/>
        <v>404.07190509999998</v>
      </c>
      <c r="I220">
        <v>1</v>
      </c>
      <c r="J220">
        <f t="shared" si="61"/>
        <v>0.325665987287305</v>
      </c>
      <c r="K220">
        <f t="shared" si="67"/>
        <v>0.92419253158452885</v>
      </c>
      <c r="O220">
        <f t="shared" si="68"/>
        <v>0.19275711613362778</v>
      </c>
      <c r="P220">
        <f t="shared" si="69"/>
        <v>0.25535503584817804</v>
      </c>
      <c r="Q220">
        <f t="shared" si="70"/>
        <v>0.94743786067837865</v>
      </c>
      <c r="R220">
        <f t="shared" si="76"/>
        <v>1</v>
      </c>
      <c r="AG220" s="8">
        <f t="shared" si="62"/>
        <v>-0.19560101176455957</v>
      </c>
      <c r="AH220" s="8">
        <f t="shared" si="63"/>
        <v>-8.072845288610761E-2</v>
      </c>
      <c r="AI220" s="8">
        <f t="shared" si="64"/>
        <v>0.97735518676236433</v>
      </c>
      <c r="AJ220" s="8"/>
      <c r="AK220" s="8"/>
      <c r="AL220" s="8"/>
      <c r="AN220" s="8">
        <f t="shared" si="71"/>
        <v>0.99999999999999989</v>
      </c>
      <c r="AO220" s="8">
        <f t="shared" si="72"/>
        <v>3.5330162416770952</v>
      </c>
      <c r="AP220" s="8">
        <f t="shared" si="73"/>
        <v>0.21321724933482966</v>
      </c>
      <c r="AQ220" s="8"/>
      <c r="AR220" s="8">
        <f t="shared" si="74"/>
        <v>202.42691959926961</v>
      </c>
      <c r="AS220" s="8">
        <f t="shared" si="75"/>
        <v>77.783551493725696</v>
      </c>
    </row>
    <row r="221" spans="1:45">
      <c r="A221" s="19">
        <v>15.982633330000001</v>
      </c>
      <c r="B221" s="19">
        <v>655.33776150000006</v>
      </c>
      <c r="C221" s="19">
        <v>-136.661845</v>
      </c>
      <c r="E221" s="9">
        <f t="shared" si="65"/>
        <v>304.66223849999994</v>
      </c>
      <c r="F221" s="9">
        <f t="shared" si="66"/>
        <v>403.33815500000003</v>
      </c>
      <c r="I221">
        <v>1</v>
      </c>
      <c r="J221">
        <f t="shared" si="61"/>
        <v>0.32518141824046848</v>
      </c>
      <c r="K221">
        <f t="shared" si="67"/>
        <v>0.92387879691206376</v>
      </c>
      <c r="O221">
        <f t="shared" si="68"/>
        <v>0.19256048513819748</v>
      </c>
      <c r="P221">
        <f t="shared" si="69"/>
        <v>0.25492818271124706</v>
      </c>
      <c r="Q221">
        <f t="shared" si="70"/>
        <v>0.947592782382223</v>
      </c>
      <c r="R221">
        <f t="shared" si="76"/>
        <v>1</v>
      </c>
      <c r="AG221" s="8">
        <f t="shared" si="62"/>
        <v>-0.19512160643956494</v>
      </c>
      <c r="AH221" s="8">
        <f t="shared" si="63"/>
        <v>-8.0812990668945817E-2</v>
      </c>
      <c r="AI221" s="8">
        <f t="shared" si="64"/>
        <v>0.97744402358374693</v>
      </c>
      <c r="AJ221" s="8"/>
      <c r="AK221" s="8"/>
      <c r="AL221" s="8"/>
      <c r="AN221" s="8">
        <f t="shared" si="71"/>
        <v>1</v>
      </c>
      <c r="AO221" s="8">
        <f t="shared" si="72"/>
        <v>3.5342522549287305</v>
      </c>
      <c r="AP221" s="8">
        <f t="shared" si="73"/>
        <v>0.212797018433871</v>
      </c>
      <c r="AQ221" s="8"/>
      <c r="AR221" s="8">
        <f t="shared" si="74"/>
        <v>202.49773794201056</v>
      </c>
      <c r="AS221" s="8">
        <f t="shared" si="75"/>
        <v>77.807628950771615</v>
      </c>
    </row>
    <row r="222" spans="1:45">
      <c r="A222" s="19">
        <v>16.015999999999998</v>
      </c>
      <c r="B222" s="19">
        <v>656.08656840000003</v>
      </c>
      <c r="C222" s="19">
        <v>-137.5719297</v>
      </c>
      <c r="E222" s="9">
        <f t="shared" si="65"/>
        <v>303.91343159999997</v>
      </c>
      <c r="F222" s="9">
        <f t="shared" si="66"/>
        <v>402.4280703</v>
      </c>
      <c r="I222">
        <v>1</v>
      </c>
      <c r="J222">
        <f t="shared" si="61"/>
        <v>0.32446754874819739</v>
      </c>
      <c r="K222">
        <f t="shared" si="67"/>
        <v>0.92397590720366563</v>
      </c>
      <c r="O222">
        <f t="shared" si="68"/>
        <v>0.19212801044951322</v>
      </c>
      <c r="P222">
        <f t="shared" si="69"/>
        <v>0.25440700033797342</v>
      </c>
      <c r="Q222">
        <f t="shared" si="70"/>
        <v>0.94782060843798188</v>
      </c>
      <c r="R222">
        <f t="shared" si="76"/>
        <v>1</v>
      </c>
      <c r="AG222" s="8">
        <f t="shared" si="62"/>
        <v>-0.19447708459725013</v>
      </c>
      <c r="AH222" s="8">
        <f t="shared" si="63"/>
        <v>-8.1103269981321571E-2</v>
      </c>
      <c r="AI222" s="8">
        <f t="shared" si="64"/>
        <v>0.97754842497182259</v>
      </c>
      <c r="AJ222" s="8"/>
      <c r="AK222" s="8"/>
      <c r="AL222" s="8"/>
      <c r="AN222" s="8">
        <f t="shared" si="71"/>
        <v>1.0000000000000002</v>
      </c>
      <c r="AO222" s="8">
        <f t="shared" si="72"/>
        <v>3.5366954715476355</v>
      </c>
      <c r="AP222" s="8">
        <f t="shared" si="73"/>
        <v>0.21230211435189394</v>
      </c>
      <c r="AQ222" s="8"/>
      <c r="AR222" s="8">
        <f t="shared" si="74"/>
        <v>202.63772394271004</v>
      </c>
      <c r="AS222" s="8">
        <f t="shared" si="75"/>
        <v>77.835984865932687</v>
      </c>
    </row>
    <row r="223" spans="1:45">
      <c r="A223" s="19">
        <v>16.049366670000001</v>
      </c>
      <c r="B223" s="19">
        <v>656.4947694</v>
      </c>
      <c r="C223" s="19">
        <v>-138.06410339999999</v>
      </c>
      <c r="E223" s="9">
        <f t="shared" si="65"/>
        <v>303.5052306</v>
      </c>
      <c r="F223" s="9">
        <f t="shared" si="66"/>
        <v>401.93589659999998</v>
      </c>
      <c r="I223">
        <v>1</v>
      </c>
      <c r="J223">
        <f t="shared" si="61"/>
        <v>0.32408016828984726</v>
      </c>
      <c r="K223">
        <f t="shared" si="67"/>
        <v>0.92403375737706461</v>
      </c>
      <c r="O223">
        <f t="shared" si="68"/>
        <v>0.19189202109316741</v>
      </c>
      <c r="P223">
        <f t="shared" si="69"/>
        <v>0.25412508178522425</v>
      </c>
      <c r="Q223">
        <f t="shared" si="70"/>
        <v>0.9479440358209088</v>
      </c>
      <c r="R223">
        <f t="shared" si="76"/>
        <v>1</v>
      </c>
      <c r="AG223" s="8">
        <f t="shared" si="62"/>
        <v>-0.19412784115821707</v>
      </c>
      <c r="AH223" s="8">
        <f t="shared" si="63"/>
        <v>-8.126224302679097E-2</v>
      </c>
      <c r="AI223" s="8">
        <f t="shared" si="64"/>
        <v>0.97760463846357881</v>
      </c>
      <c r="AJ223" s="8"/>
      <c r="AK223" s="8"/>
      <c r="AL223" s="8"/>
      <c r="AN223" s="8">
        <f t="shared" si="71"/>
        <v>0.99999999999999989</v>
      </c>
      <c r="AO223" s="8">
        <f t="shared" si="72"/>
        <v>3.5380314199735379</v>
      </c>
      <c r="AP223" s="8">
        <f t="shared" si="73"/>
        <v>0.21203516885182272</v>
      </c>
      <c r="AQ223" s="8"/>
      <c r="AR223" s="8">
        <f t="shared" si="74"/>
        <v>202.7142681491614</v>
      </c>
      <c r="AS223" s="8">
        <f t="shared" si="75"/>
        <v>77.851279716446783</v>
      </c>
    </row>
    <row r="224" spans="1:45">
      <c r="A224" s="19">
        <v>16.08273333</v>
      </c>
      <c r="B224" s="19">
        <v>656.62192519999996</v>
      </c>
      <c r="C224" s="19">
        <v>-138.61782729999999</v>
      </c>
      <c r="E224" s="9">
        <f t="shared" si="65"/>
        <v>303.37807480000004</v>
      </c>
      <c r="F224" s="9">
        <f t="shared" si="66"/>
        <v>401.38217270000001</v>
      </c>
      <c r="I224">
        <v>1</v>
      </c>
      <c r="J224">
        <f t="shared" ref="J224:J287" si="77">ATAN((SQRT(E224^2+F224^2)^$B$16)/($F$24))</f>
        <v>0.32376567156951963</v>
      </c>
      <c r="K224">
        <f t="shared" si="67"/>
        <v>0.92357224789624504</v>
      </c>
      <c r="O224">
        <f t="shared" si="68"/>
        <v>0.19182951043351737</v>
      </c>
      <c r="P224">
        <f t="shared" si="69"/>
        <v>0.25379864954493575</v>
      </c>
      <c r="Q224">
        <f t="shared" si="70"/>
        <v>0.94804413632277895</v>
      </c>
      <c r="R224">
        <f t="shared" si="76"/>
        <v>1</v>
      </c>
      <c r="AG224" s="8">
        <f t="shared" ref="AG224:AG287" si="78">$O224*$Z$27+$P224*$Z$31+$Q224*$Z$35</f>
        <v>-0.19378832117152495</v>
      </c>
      <c r="AH224" s="8">
        <f t="shared" ref="AH224:AH287" si="79">$O224*$AA$27+$P224*$AA$31+$Q224*$AA$35</f>
        <v>-8.1241327395859111E-2</v>
      </c>
      <c r="AI224" s="8">
        <f t="shared" ref="AI224:AI287" si="80">$AB$27*$O224+$P224*$AB$31+$AB$35*$Q224</f>
        <v>0.97767373560942139</v>
      </c>
      <c r="AJ224" s="8"/>
      <c r="AK224" s="8"/>
      <c r="AL224" s="8"/>
      <c r="AN224" s="8">
        <f t="shared" si="71"/>
        <v>1</v>
      </c>
      <c r="AO224" s="8">
        <f t="shared" si="72"/>
        <v>3.538563509901639</v>
      </c>
      <c r="AP224" s="8">
        <f t="shared" si="73"/>
        <v>0.21170658749911198</v>
      </c>
      <c r="AQ224" s="8"/>
      <c r="AR224" s="8">
        <f t="shared" si="74"/>
        <v>202.744754656363</v>
      </c>
      <c r="AS224" s="8">
        <f t="shared" si="75"/>
        <v>77.870106041183817</v>
      </c>
    </row>
    <row r="225" spans="1:45">
      <c r="A225" s="19">
        <v>16.116099999999999</v>
      </c>
      <c r="B225" s="19">
        <v>657.41451610000001</v>
      </c>
      <c r="C225" s="19">
        <v>-139.2945747</v>
      </c>
      <c r="E225" s="9">
        <f t="shared" ref="E225:E288" si="81">-(B225-($B$15/2))</f>
        <v>302.58548389999999</v>
      </c>
      <c r="F225" s="9">
        <f t="shared" ref="F225:F288" si="82">(($C$15/2)+C225)</f>
        <v>400.7054253</v>
      </c>
      <c r="I225">
        <v>1</v>
      </c>
      <c r="J225">
        <f t="shared" si="77"/>
        <v>0.32314813366315687</v>
      </c>
      <c r="K225">
        <f t="shared" ref="K225:K288" si="83">ATAN2(E225,F225)</f>
        <v>0.92401882915186373</v>
      </c>
      <c r="O225">
        <f t="shared" ref="O225:O288" si="84">COS(K225)*SIN(J225)</f>
        <v>0.1913633084912604</v>
      </c>
      <c r="P225">
        <f t="shared" ref="P225:P288" si="85">SIN(K225)*SIN(J225)</f>
        <v>0.25341703417982636</v>
      </c>
      <c r="Q225">
        <f t="shared" ref="Q225:Q288" si="86">COS(J225)</f>
        <v>0.94824041832795725</v>
      </c>
      <c r="R225">
        <f t="shared" si="76"/>
        <v>1</v>
      </c>
      <c r="AG225" s="8">
        <f t="shared" si="78"/>
        <v>-0.19327046525121921</v>
      </c>
      <c r="AH225" s="8">
        <f t="shared" si="79"/>
        <v>-8.1599154391361964E-2</v>
      </c>
      <c r="AI225" s="8">
        <f t="shared" si="80"/>
        <v>0.97774644221505191</v>
      </c>
      <c r="AJ225" s="8"/>
      <c r="AK225" s="8"/>
      <c r="AL225" s="8"/>
      <c r="AN225" s="8">
        <f t="shared" ref="AN225:AN288" si="87">AG225^2+AH225^2+AI225^2</f>
        <v>0.99999999999999989</v>
      </c>
      <c r="AO225" s="8">
        <f t="shared" ref="AO225:AO288" si="88">IF(ATAN2(AG225,AH225)&gt;=0,ATAN2(AG225,AH225),ATAN2(AG225,AH225)+2*PI())</f>
        <v>3.5410908856994672</v>
      </c>
      <c r="AP225" s="8">
        <f t="shared" ref="AP225:AP288" si="89">ACOS(AI225/AN225)</f>
        <v>0.21136029863128747</v>
      </c>
      <c r="AQ225" s="8"/>
      <c r="AR225" s="8">
        <f t="shared" ref="AR225:AR288" si="90">DEGREES(AO225)</f>
        <v>202.88956262282207</v>
      </c>
      <c r="AS225" s="8">
        <f t="shared" ref="AS225:AS288" si="91">90-DEGREES(AP225)</f>
        <v>77.889946931802513</v>
      </c>
    </row>
    <row r="226" spans="1:45">
      <c r="A226" s="19">
        <v>16.149466669999999</v>
      </c>
      <c r="B226" s="19">
        <v>657.81707970000002</v>
      </c>
      <c r="C226" s="19">
        <v>-140.27041689999999</v>
      </c>
      <c r="E226" s="9">
        <f t="shared" si="81"/>
        <v>302.18292029999998</v>
      </c>
      <c r="F226" s="9">
        <f t="shared" si="82"/>
        <v>399.72958310000001</v>
      </c>
      <c r="I226">
        <v>1</v>
      </c>
      <c r="J226">
        <f t="shared" si="77"/>
        <v>0.32252821334404119</v>
      </c>
      <c r="K226">
        <f t="shared" si="83"/>
        <v>0.92348639298109381</v>
      </c>
      <c r="O226">
        <f t="shared" si="84"/>
        <v>0.19114368427881998</v>
      </c>
      <c r="P226">
        <f t="shared" si="85"/>
        <v>0.25284614085110074</v>
      </c>
      <c r="Q226">
        <f t="shared" si="86"/>
        <v>0.94843709386391262</v>
      </c>
      <c r="R226">
        <f t="shared" si="76"/>
        <v>1</v>
      </c>
      <c r="AG226" s="8">
        <f t="shared" si="78"/>
        <v>-0.19264281821872445</v>
      </c>
      <c r="AH226" s="8">
        <f t="shared" si="79"/>
        <v>-8.1669710985350433E-2</v>
      </c>
      <c r="AI226" s="8">
        <f t="shared" si="80"/>
        <v>0.97786440925944174</v>
      </c>
      <c r="AJ226" s="8"/>
      <c r="AK226" s="8"/>
      <c r="AL226" s="8"/>
      <c r="AN226" s="8">
        <f t="shared" si="87"/>
        <v>1.0000000000000002</v>
      </c>
      <c r="AO226" s="8">
        <f t="shared" si="88"/>
        <v>3.5425682734754562</v>
      </c>
      <c r="AP226" s="8">
        <f t="shared" si="89"/>
        <v>0.21079725002510874</v>
      </c>
      <c r="AQ226" s="8"/>
      <c r="AR226" s="8">
        <f t="shared" si="90"/>
        <v>202.97421070709046</v>
      </c>
      <c r="AS226" s="8">
        <f t="shared" si="91"/>
        <v>77.922207240597288</v>
      </c>
    </row>
    <row r="227" spans="1:45">
      <c r="A227" s="19">
        <v>16.182833330000001</v>
      </c>
      <c r="B227" s="19">
        <v>658.14310369999998</v>
      </c>
      <c r="C227" s="19">
        <v>-140.67414059999999</v>
      </c>
      <c r="E227" s="9">
        <f t="shared" si="81"/>
        <v>301.85689630000002</v>
      </c>
      <c r="F227" s="9">
        <f t="shared" si="82"/>
        <v>399.32585940000001</v>
      </c>
      <c r="I227">
        <v>1</v>
      </c>
      <c r="J227">
        <f t="shared" si="77"/>
        <v>0.32221328995013815</v>
      </c>
      <c r="K227">
        <f t="shared" si="83"/>
        <v>0.92351957383513994</v>
      </c>
      <c r="O227">
        <f t="shared" si="84"/>
        <v>0.19095517312729537</v>
      </c>
      <c r="P227">
        <f t="shared" si="85"/>
        <v>0.25261420080377672</v>
      </c>
      <c r="Q227">
        <f t="shared" si="86"/>
        <v>0.94853686665737658</v>
      </c>
      <c r="R227">
        <f t="shared" si="76"/>
        <v>1</v>
      </c>
      <c r="AG227" s="8">
        <f t="shared" si="78"/>
        <v>-0.19235729322217765</v>
      </c>
      <c r="AH227" s="8">
        <f t="shared" si="79"/>
        <v>-8.1794891786007629E-2</v>
      </c>
      <c r="AI227" s="8">
        <f t="shared" si="80"/>
        <v>0.97791015304165474</v>
      </c>
      <c r="AJ227" s="8"/>
      <c r="AK227" s="8"/>
      <c r="AL227" s="8"/>
      <c r="AN227" s="8">
        <f t="shared" si="87"/>
        <v>1.0000000000000002</v>
      </c>
      <c r="AO227" s="8">
        <f t="shared" si="88"/>
        <v>3.5436528138116095</v>
      </c>
      <c r="AP227" s="8">
        <f t="shared" si="89"/>
        <v>0.21057851905101188</v>
      </c>
      <c r="AQ227" s="8"/>
      <c r="AR227" s="8">
        <f t="shared" si="90"/>
        <v>203.03635029106374</v>
      </c>
      <c r="AS227" s="8">
        <f t="shared" si="91"/>
        <v>77.934739602261814</v>
      </c>
    </row>
    <row r="228" spans="1:45">
      <c r="A228" s="19">
        <v>16.216200000000001</v>
      </c>
      <c r="B228" s="19">
        <v>658.66337929999997</v>
      </c>
      <c r="C228" s="19">
        <v>-141.61304089999999</v>
      </c>
      <c r="E228" s="9">
        <f t="shared" si="81"/>
        <v>301.33662070000003</v>
      </c>
      <c r="F228" s="9">
        <f t="shared" si="82"/>
        <v>398.38695910000001</v>
      </c>
      <c r="I228">
        <v>1</v>
      </c>
      <c r="J228">
        <f t="shared" si="77"/>
        <v>0.32156783849660253</v>
      </c>
      <c r="K228">
        <f t="shared" si="83"/>
        <v>0.92321701430769065</v>
      </c>
      <c r="O228">
        <f t="shared" si="84"/>
        <v>0.19066222035926167</v>
      </c>
      <c r="P228">
        <f t="shared" si="85"/>
        <v>0.25206807592032027</v>
      </c>
      <c r="Q228">
        <f t="shared" si="86"/>
        <v>0.9487410620551342</v>
      </c>
      <c r="R228">
        <f t="shared" si="76"/>
        <v>1</v>
      </c>
      <c r="AG228" s="8">
        <f t="shared" si="78"/>
        <v>-0.19173145751770504</v>
      </c>
      <c r="AH228" s="8">
        <f t="shared" si="79"/>
        <v>-8.1942832078092012E-2</v>
      </c>
      <c r="AI228" s="8">
        <f t="shared" si="80"/>
        <v>0.97802066464321602</v>
      </c>
      <c r="AJ228" s="8"/>
      <c r="AK228" s="8"/>
      <c r="AL228" s="8"/>
      <c r="AN228" s="8">
        <f t="shared" si="87"/>
        <v>0.99999999999999989</v>
      </c>
      <c r="AO228" s="8">
        <f t="shared" si="88"/>
        <v>3.5454802843428528</v>
      </c>
      <c r="AP228" s="8">
        <f t="shared" si="89"/>
        <v>0.2100491648461138</v>
      </c>
      <c r="AQ228" s="8"/>
      <c r="AR228" s="8">
        <f t="shared" si="90"/>
        <v>203.14105663968851</v>
      </c>
      <c r="AS228" s="8">
        <f t="shared" si="91"/>
        <v>77.965069364069976</v>
      </c>
    </row>
    <row r="229" spans="1:45">
      <c r="A229" s="19">
        <v>16.24956667</v>
      </c>
      <c r="B229" s="19">
        <v>658.96954740000001</v>
      </c>
      <c r="C229" s="19">
        <v>-142.11023470000001</v>
      </c>
      <c r="E229" s="9">
        <f t="shared" si="81"/>
        <v>301.03045259999999</v>
      </c>
      <c r="F229" s="9">
        <f t="shared" si="82"/>
        <v>397.88976530000002</v>
      </c>
      <c r="I229">
        <v>1</v>
      </c>
      <c r="J229">
        <f t="shared" si="77"/>
        <v>0.32121470640545419</v>
      </c>
      <c r="K229">
        <f t="shared" si="83"/>
        <v>0.92310527088381167</v>
      </c>
      <c r="O229">
        <f t="shared" si="84"/>
        <v>0.19048823444234964</v>
      </c>
      <c r="P229">
        <f t="shared" si="85"/>
        <v>0.25177957326260847</v>
      </c>
      <c r="Q229">
        <f t="shared" si="86"/>
        <v>0.94885261185641223</v>
      </c>
      <c r="R229">
        <f t="shared" si="76"/>
        <v>1</v>
      </c>
      <c r="AG229" s="8">
        <f t="shared" si="78"/>
        <v>-0.19139495222211231</v>
      </c>
      <c r="AH229" s="8">
        <f t="shared" si="79"/>
        <v>-8.203964324688412E-2</v>
      </c>
      <c r="AI229" s="8">
        <f t="shared" si="80"/>
        <v>0.97807845758907264</v>
      </c>
      <c r="AJ229" s="8"/>
      <c r="AK229" s="8"/>
      <c r="AL229" s="8"/>
      <c r="AN229" s="8">
        <f t="shared" si="87"/>
        <v>1</v>
      </c>
      <c r="AO229" s="8">
        <f t="shared" si="88"/>
        <v>3.546542859081697</v>
      </c>
      <c r="AP229" s="8">
        <f t="shared" si="89"/>
        <v>0.20977181065235029</v>
      </c>
      <c r="AQ229" s="8"/>
      <c r="AR229" s="8">
        <f t="shared" si="90"/>
        <v>203.2019376876415</v>
      </c>
      <c r="AS229" s="8">
        <f t="shared" si="91"/>
        <v>77.980960588802887</v>
      </c>
    </row>
    <row r="230" spans="1:45">
      <c r="A230" s="19">
        <v>16.282933329999999</v>
      </c>
      <c r="B230" s="19">
        <v>659.61151259999997</v>
      </c>
      <c r="C230" s="19">
        <v>-142.92364699999999</v>
      </c>
      <c r="E230" s="9">
        <f t="shared" si="81"/>
        <v>300.38848740000003</v>
      </c>
      <c r="F230" s="9">
        <f t="shared" si="82"/>
        <v>397.07635300000004</v>
      </c>
      <c r="I230">
        <v>1</v>
      </c>
      <c r="J230">
        <f t="shared" si="77"/>
        <v>0.32058507711699935</v>
      </c>
      <c r="K230">
        <f t="shared" si="83"/>
        <v>0.92314781804296753</v>
      </c>
      <c r="O230">
        <f t="shared" si="84"/>
        <v>0.19011704967438672</v>
      </c>
      <c r="P230">
        <f t="shared" si="85"/>
        <v>0.25131117833853883</v>
      </c>
      <c r="Q230">
        <f t="shared" si="86"/>
        <v>0.94905120992768455</v>
      </c>
      <c r="R230">
        <f t="shared" si="76"/>
        <v>1</v>
      </c>
      <c r="AG230" s="8">
        <f t="shared" si="78"/>
        <v>-0.19082137444951075</v>
      </c>
      <c r="AH230" s="8">
        <f t="shared" si="79"/>
        <v>-8.2283008430947616E-2</v>
      </c>
      <c r="AI230" s="8">
        <f t="shared" si="80"/>
        <v>0.97817008213129908</v>
      </c>
      <c r="AJ230" s="8"/>
      <c r="AK230" s="8"/>
      <c r="AL230" s="8"/>
      <c r="AN230" s="8">
        <f t="shared" si="87"/>
        <v>1.0000000000000002</v>
      </c>
      <c r="AO230" s="8">
        <f t="shared" si="88"/>
        <v>3.5487066898980726</v>
      </c>
      <c r="AP230" s="8">
        <f t="shared" si="89"/>
        <v>0.20933135317220097</v>
      </c>
      <c r="AQ230" s="8"/>
      <c r="AR230" s="8">
        <f t="shared" si="90"/>
        <v>203.32591606100016</v>
      </c>
      <c r="AS230" s="8">
        <f t="shared" si="91"/>
        <v>78.0061969434704</v>
      </c>
    </row>
    <row r="231" spans="1:45">
      <c r="A231" s="19">
        <v>16.316299999999998</v>
      </c>
      <c r="B231" s="19">
        <v>659.88795070000003</v>
      </c>
      <c r="C231" s="19">
        <v>-143.5448499</v>
      </c>
      <c r="E231" s="9">
        <f t="shared" si="81"/>
        <v>300.11204929999997</v>
      </c>
      <c r="F231" s="9">
        <f t="shared" si="82"/>
        <v>396.45515009999997</v>
      </c>
      <c r="I231">
        <v>1</v>
      </c>
      <c r="J231">
        <f t="shared" si="77"/>
        <v>0.3201825177185742</v>
      </c>
      <c r="K231">
        <f t="shared" si="83"/>
        <v>0.92283746468538486</v>
      </c>
      <c r="O231">
        <f t="shared" si="84"/>
        <v>0.18996443050617204</v>
      </c>
      <c r="P231">
        <f t="shared" si="85"/>
        <v>0.25094752771722678</v>
      </c>
      <c r="Q231">
        <f t="shared" si="86"/>
        <v>0.94917798830097055</v>
      </c>
      <c r="R231">
        <f t="shared" si="76"/>
        <v>1</v>
      </c>
      <c r="AG231" s="8">
        <f t="shared" si="78"/>
        <v>-0.19041777429660334</v>
      </c>
      <c r="AH231" s="8">
        <f t="shared" si="79"/>
        <v>-8.2340116335033645E-2</v>
      </c>
      <c r="AI231" s="8">
        <f t="shared" si="80"/>
        <v>0.97824392483360767</v>
      </c>
      <c r="AJ231" s="8"/>
      <c r="AK231" s="8"/>
      <c r="AL231" s="8"/>
      <c r="AN231" s="8">
        <f t="shared" si="87"/>
        <v>1</v>
      </c>
      <c r="AO231" s="8">
        <f t="shared" si="88"/>
        <v>3.5497297896835134</v>
      </c>
      <c r="AP231" s="8">
        <f t="shared" si="89"/>
        <v>0.2089757108855399</v>
      </c>
      <c r="AQ231" s="8"/>
      <c r="AR231" s="8">
        <f t="shared" si="90"/>
        <v>203.38453536072666</v>
      </c>
      <c r="AS231" s="8">
        <f t="shared" si="91"/>
        <v>78.026573745512465</v>
      </c>
    </row>
    <row r="232" spans="1:45">
      <c r="A232" s="19">
        <v>16.349666670000001</v>
      </c>
      <c r="B232" s="19">
        <v>660.09032149999996</v>
      </c>
      <c r="C232" s="19">
        <v>-144.3803963</v>
      </c>
      <c r="E232" s="9">
        <f t="shared" si="81"/>
        <v>299.90967850000004</v>
      </c>
      <c r="F232" s="9">
        <f t="shared" si="82"/>
        <v>395.61960369999997</v>
      </c>
      <c r="I232">
        <v>1</v>
      </c>
      <c r="J232">
        <f t="shared" si="77"/>
        <v>0.31970319342076309</v>
      </c>
      <c r="K232">
        <f t="shared" si="83"/>
        <v>0.92214665961802078</v>
      </c>
      <c r="O232">
        <f t="shared" si="84"/>
        <v>0.18986287041320221</v>
      </c>
      <c r="P232">
        <f t="shared" si="85"/>
        <v>0.25045364966511235</v>
      </c>
      <c r="Q232">
        <f t="shared" si="86"/>
        <v>0.94932874169482762</v>
      </c>
      <c r="R232">
        <f t="shared" si="76"/>
        <v>1</v>
      </c>
      <c r="AG232" s="8">
        <f t="shared" si="78"/>
        <v>-0.18990217418855171</v>
      </c>
      <c r="AH232" s="8">
        <f t="shared" si="79"/>
        <v>-8.2314856174416376E-2</v>
      </c>
      <c r="AI232" s="8">
        <f t="shared" si="80"/>
        <v>0.97834627238593086</v>
      </c>
      <c r="AJ232" s="8"/>
      <c r="AK232" s="8"/>
      <c r="AL232" s="8"/>
      <c r="AN232" s="8">
        <f t="shared" si="87"/>
        <v>0.99999999999999989</v>
      </c>
      <c r="AO232" s="8">
        <f t="shared" si="88"/>
        <v>3.5506064976124661</v>
      </c>
      <c r="AP232" s="8">
        <f t="shared" si="89"/>
        <v>0.20848179463604621</v>
      </c>
      <c r="AQ232" s="8"/>
      <c r="AR232" s="8">
        <f t="shared" si="90"/>
        <v>203.43476702492131</v>
      </c>
      <c r="AS232" s="8">
        <f t="shared" si="91"/>
        <v>78.054873062041395</v>
      </c>
    </row>
    <row r="233" spans="1:45">
      <c r="A233" s="19">
        <v>16.38303333</v>
      </c>
      <c r="B233" s="19">
        <v>661.03681110000002</v>
      </c>
      <c r="C233" s="19">
        <v>-145.05293359999999</v>
      </c>
      <c r="E233" s="9">
        <f t="shared" si="81"/>
        <v>298.96318889999998</v>
      </c>
      <c r="F233" s="9">
        <f t="shared" si="82"/>
        <v>394.94706640000004</v>
      </c>
      <c r="I233">
        <v>1</v>
      </c>
      <c r="J233">
        <f t="shared" si="77"/>
        <v>0.31902940489478282</v>
      </c>
      <c r="K233">
        <f t="shared" si="83"/>
        <v>0.9228491476653079</v>
      </c>
      <c r="O233">
        <f t="shared" si="84"/>
        <v>0.18930078043673132</v>
      </c>
      <c r="P233">
        <f t="shared" si="85"/>
        <v>0.25007690135966959</v>
      </c>
      <c r="Q233">
        <f t="shared" si="86"/>
        <v>0.94954028768261878</v>
      </c>
      <c r="R233">
        <f t="shared" si="76"/>
        <v>1</v>
      </c>
      <c r="AG233" s="8">
        <f t="shared" si="78"/>
        <v>-0.18935989419517268</v>
      </c>
      <c r="AH233" s="8">
        <f t="shared" si="79"/>
        <v>-8.2766608768646999E-2</v>
      </c>
      <c r="AI233" s="8">
        <f t="shared" si="80"/>
        <v>0.9784132659277115</v>
      </c>
      <c r="AJ233" s="8"/>
      <c r="AK233" s="8"/>
      <c r="AL233" s="8"/>
      <c r="AN233" s="8">
        <f t="shared" si="87"/>
        <v>0.99999999999999989</v>
      </c>
      <c r="AO233" s="8">
        <f t="shared" si="88"/>
        <v>3.5536557757767087</v>
      </c>
      <c r="AP233" s="8">
        <f t="shared" si="89"/>
        <v>0.20815786694651606</v>
      </c>
      <c r="AQ233" s="8"/>
      <c r="AR233" s="8">
        <f t="shared" si="90"/>
        <v>203.60947779429381</v>
      </c>
      <c r="AS233" s="8">
        <f t="shared" si="91"/>
        <v>78.073432751518894</v>
      </c>
    </row>
    <row r="234" spans="1:45">
      <c r="A234" s="19">
        <v>16.416399999999999</v>
      </c>
      <c r="B234" s="19">
        <v>660.93041689999995</v>
      </c>
      <c r="C234" s="19">
        <v>-145.953791</v>
      </c>
      <c r="E234" s="9">
        <f t="shared" si="81"/>
        <v>299.06958310000005</v>
      </c>
      <c r="F234" s="9">
        <f t="shared" si="82"/>
        <v>394.04620899999998</v>
      </c>
      <c r="I234">
        <v>1</v>
      </c>
      <c r="J234">
        <f t="shared" si="77"/>
        <v>0.31863163177007259</v>
      </c>
      <c r="K234">
        <f t="shared" si="83"/>
        <v>0.92157855751773321</v>
      </c>
      <c r="O234">
        <f t="shared" si="84"/>
        <v>0.18939001319428339</v>
      </c>
      <c r="P234">
        <f t="shared" si="85"/>
        <v>0.24953529525840751</v>
      </c>
      <c r="Q234">
        <f t="shared" si="86"/>
        <v>0.94966497214679269</v>
      </c>
      <c r="R234">
        <f t="shared" si="76"/>
        <v>1</v>
      </c>
      <c r="AG234" s="8">
        <f t="shared" si="78"/>
        <v>-0.18885620240333306</v>
      </c>
      <c r="AH234" s="8">
        <f t="shared" si="79"/>
        <v>-8.2543797075550082E-2</v>
      </c>
      <c r="AI234" s="8">
        <f t="shared" si="80"/>
        <v>0.97852943562170969</v>
      </c>
      <c r="AJ234" s="8"/>
      <c r="AK234" s="8"/>
      <c r="AL234" s="8"/>
      <c r="AN234" s="8">
        <f t="shared" si="87"/>
        <v>0.99999999999999989</v>
      </c>
      <c r="AO234" s="8">
        <f t="shared" si="88"/>
        <v>3.5536439726786124</v>
      </c>
      <c r="AP234" s="8">
        <f t="shared" si="89"/>
        <v>0.20759498157269585</v>
      </c>
      <c r="AQ234" s="8"/>
      <c r="AR234" s="8">
        <f t="shared" si="90"/>
        <v>203.60880152658771</v>
      </c>
      <c r="AS234" s="8">
        <f t="shared" si="91"/>
        <v>78.10568370778843</v>
      </c>
    </row>
    <row r="235" spans="1:45">
      <c r="A235" s="19">
        <v>16.449766669999999</v>
      </c>
      <c r="B235" s="19">
        <v>660.89650210000002</v>
      </c>
      <c r="C235" s="19">
        <v>-146.24024349999999</v>
      </c>
      <c r="E235" s="9">
        <f t="shared" si="81"/>
        <v>299.10349789999998</v>
      </c>
      <c r="F235" s="9">
        <f t="shared" si="82"/>
        <v>393.75975649999998</v>
      </c>
      <c r="I235">
        <v>1</v>
      </c>
      <c r="J235">
        <f t="shared" si="77"/>
        <v>0.31850526114772837</v>
      </c>
      <c r="K235">
        <f t="shared" si="83"/>
        <v>0.9211736996114398</v>
      </c>
      <c r="O235">
        <f t="shared" si="84"/>
        <v>0.18941843028155217</v>
      </c>
      <c r="P235">
        <f t="shared" si="85"/>
        <v>0.24936303155241774</v>
      </c>
      <c r="Q235">
        <f t="shared" si="86"/>
        <v>0.94970455235544737</v>
      </c>
      <c r="R235">
        <f t="shared" si="76"/>
        <v>1</v>
      </c>
      <c r="AG235" s="8">
        <f t="shared" si="78"/>
        <v>-0.18869601628597354</v>
      </c>
      <c r="AH235" s="8">
        <f t="shared" si="79"/>
        <v>-8.2472881211836588E-2</v>
      </c>
      <c r="AI235" s="8">
        <f t="shared" si="80"/>
        <v>0.97856631727360299</v>
      </c>
      <c r="AJ235" s="8"/>
      <c r="AK235" s="8"/>
      <c r="AL235" s="8"/>
      <c r="AN235" s="8">
        <f t="shared" si="87"/>
        <v>0.99999999999999989</v>
      </c>
      <c r="AO235" s="8">
        <f t="shared" si="88"/>
        <v>3.5536399549094693</v>
      </c>
      <c r="AP235" s="8">
        <f t="shared" si="89"/>
        <v>0.20741596139757212</v>
      </c>
      <c r="AQ235" s="8"/>
      <c r="AR235" s="8">
        <f t="shared" si="90"/>
        <v>203.60857132537276</v>
      </c>
      <c r="AS235" s="8">
        <f t="shared" si="91"/>
        <v>78.115940808270707</v>
      </c>
    </row>
    <row r="236" spans="1:45">
      <c r="A236" s="19">
        <v>16.483133330000001</v>
      </c>
      <c r="B236" s="19">
        <v>662.06179689999999</v>
      </c>
      <c r="C236" s="19">
        <v>-147.0909911</v>
      </c>
      <c r="E236" s="9">
        <f t="shared" si="81"/>
        <v>297.93820310000001</v>
      </c>
      <c r="F236" s="9">
        <f t="shared" si="82"/>
        <v>392.9090089</v>
      </c>
      <c r="I236">
        <v>1</v>
      </c>
      <c r="J236">
        <f t="shared" si="77"/>
        <v>0.31766378753205737</v>
      </c>
      <c r="K236">
        <f t="shared" si="83"/>
        <v>0.9220119386424046</v>
      </c>
      <c r="O236">
        <f t="shared" si="84"/>
        <v>0.18872640920457329</v>
      </c>
      <c r="P236">
        <f t="shared" si="85"/>
        <v>0.24888485471913865</v>
      </c>
      <c r="Q236">
        <f t="shared" si="86"/>
        <v>0.94996772132540441</v>
      </c>
      <c r="R236">
        <f t="shared" si="76"/>
        <v>1</v>
      </c>
      <c r="AG236" s="8">
        <f t="shared" si="78"/>
        <v>-0.18801443525241657</v>
      </c>
      <c r="AH236" s="8">
        <f t="shared" si="79"/>
        <v>-8.3025253271421601E-2</v>
      </c>
      <c r="AI236" s="8">
        <f t="shared" si="80"/>
        <v>0.97865079546073586</v>
      </c>
      <c r="AJ236" s="8"/>
      <c r="AK236" s="8"/>
      <c r="AL236" s="8"/>
      <c r="AN236" s="8">
        <f t="shared" si="87"/>
        <v>0.99999999999999989</v>
      </c>
      <c r="AO236" s="8">
        <f t="shared" si="88"/>
        <v>3.5574306682849808</v>
      </c>
      <c r="AP236" s="8">
        <f t="shared" si="89"/>
        <v>0.20700533694588996</v>
      </c>
      <c r="AQ236" s="8"/>
      <c r="AR236" s="8">
        <f t="shared" si="90"/>
        <v>203.82576320313336</v>
      </c>
      <c r="AS236" s="8">
        <f t="shared" si="91"/>
        <v>78.139467856316969</v>
      </c>
    </row>
    <row r="237" spans="1:45">
      <c r="A237" s="19">
        <v>16.516500000000001</v>
      </c>
      <c r="B237" s="19">
        <v>662.46572270000001</v>
      </c>
      <c r="C237" s="19">
        <v>-147.78453150000001</v>
      </c>
      <c r="E237" s="9">
        <f t="shared" si="81"/>
        <v>297.53427729999999</v>
      </c>
      <c r="F237" s="9">
        <f t="shared" si="82"/>
        <v>392.21546849999999</v>
      </c>
      <c r="I237">
        <v>1</v>
      </c>
      <c r="J237">
        <f t="shared" si="77"/>
        <v>0.31717856325915056</v>
      </c>
      <c r="K237">
        <f t="shared" si="83"/>
        <v>0.92181451027959316</v>
      </c>
      <c r="O237">
        <f t="shared" si="84"/>
        <v>0.18849693491502104</v>
      </c>
      <c r="P237">
        <f t="shared" si="85"/>
        <v>0.24848032404671447</v>
      </c>
      <c r="Q237">
        <f t="shared" si="86"/>
        <v>0.95011916836220189</v>
      </c>
      <c r="R237">
        <f t="shared" si="76"/>
        <v>1</v>
      </c>
      <c r="AG237" s="8">
        <f t="shared" si="78"/>
        <v>-0.18754727394360504</v>
      </c>
      <c r="AH237" s="8">
        <f t="shared" si="79"/>
        <v>-8.3146518789489157E-2</v>
      </c>
      <c r="AI237" s="8">
        <f t="shared" si="80"/>
        <v>0.97873013463850778</v>
      </c>
      <c r="AJ237" s="8"/>
      <c r="AK237" s="8"/>
      <c r="AL237" s="8"/>
      <c r="AN237" s="8">
        <f t="shared" si="87"/>
        <v>1.0000000000000002</v>
      </c>
      <c r="AO237" s="8">
        <f t="shared" si="88"/>
        <v>3.5588912640641839</v>
      </c>
      <c r="AP237" s="8">
        <f t="shared" si="89"/>
        <v>0.20661895932349905</v>
      </c>
      <c r="AQ237" s="8"/>
      <c r="AR237" s="8">
        <f t="shared" si="90"/>
        <v>203.90944917685633</v>
      </c>
      <c r="AS237" s="8">
        <f t="shared" si="91"/>
        <v>78.161605663378268</v>
      </c>
    </row>
    <row r="238" spans="1:45">
      <c r="A238" s="19">
        <v>16.54986667</v>
      </c>
      <c r="B238" s="19">
        <v>662.78121859999999</v>
      </c>
      <c r="C238" s="19">
        <v>-148.10716650000001</v>
      </c>
      <c r="E238" s="9">
        <f t="shared" si="81"/>
        <v>297.21878140000001</v>
      </c>
      <c r="F238" s="9">
        <f t="shared" si="82"/>
        <v>391.89283349999999</v>
      </c>
      <c r="I238">
        <v>1</v>
      </c>
      <c r="J238">
        <f t="shared" si="77"/>
        <v>0.31690581192824946</v>
      </c>
      <c r="K238">
        <f t="shared" si="83"/>
        <v>0.92192910304190478</v>
      </c>
      <c r="O238">
        <f t="shared" si="84"/>
        <v>0.18831185461873551</v>
      </c>
      <c r="P238">
        <f t="shared" si="85"/>
        <v>0.24829543389069395</v>
      </c>
      <c r="Q238">
        <f t="shared" si="86"/>
        <v>0.95020420064272726</v>
      </c>
      <c r="R238">
        <f t="shared" si="76"/>
        <v>1</v>
      </c>
      <c r="AG238" s="8">
        <f t="shared" si="78"/>
        <v>-0.18730912459727372</v>
      </c>
      <c r="AH238" s="8">
        <f t="shared" si="79"/>
        <v>-8.3279860989379534E-2</v>
      </c>
      <c r="AI238" s="8">
        <f t="shared" si="80"/>
        <v>0.97876440300829926</v>
      </c>
      <c r="AJ238" s="8"/>
      <c r="AK238" s="8"/>
      <c r="AL238" s="8"/>
      <c r="AN238" s="8">
        <f t="shared" si="87"/>
        <v>0.99999999999999978</v>
      </c>
      <c r="AO238" s="8">
        <f t="shared" si="88"/>
        <v>3.5599567871685478</v>
      </c>
      <c r="AP238" s="8">
        <f t="shared" si="89"/>
        <v>0.20645185374773556</v>
      </c>
      <c r="AQ238" s="8"/>
      <c r="AR238" s="8">
        <f t="shared" si="90"/>
        <v>203.97049915371005</v>
      </c>
      <c r="AS238" s="8">
        <f t="shared" si="91"/>
        <v>78.171180107602623</v>
      </c>
    </row>
    <row r="239" spans="1:45">
      <c r="A239" s="19">
        <v>16.583233329999999</v>
      </c>
      <c r="B239" s="19">
        <v>663.11461050000003</v>
      </c>
      <c r="C239" s="19">
        <v>-149.09286220000001</v>
      </c>
      <c r="E239" s="9">
        <f t="shared" si="81"/>
        <v>296.88538949999997</v>
      </c>
      <c r="F239" s="9">
        <f t="shared" si="82"/>
        <v>390.90713779999999</v>
      </c>
      <c r="I239">
        <v>1</v>
      </c>
      <c r="J239">
        <f t="shared" si="77"/>
        <v>0.31630453439735629</v>
      </c>
      <c r="K239">
        <f t="shared" si="83"/>
        <v>0.92125681326603726</v>
      </c>
      <c r="O239">
        <f t="shared" si="84"/>
        <v>0.18813314891835387</v>
      </c>
      <c r="P239">
        <f t="shared" si="85"/>
        <v>0.24771374196901957</v>
      </c>
      <c r="Q239">
        <f t="shared" si="86"/>
        <v>0.95039140374782982</v>
      </c>
      <c r="R239">
        <f t="shared" si="76"/>
        <v>1</v>
      </c>
      <c r="AG239" s="8">
        <f t="shared" si="78"/>
        <v>-0.18668391628527164</v>
      </c>
      <c r="AH239" s="8">
        <f t="shared" si="79"/>
        <v>-8.3307127886412841E-2</v>
      </c>
      <c r="AI239" s="8">
        <f t="shared" si="80"/>
        <v>0.97888152390557992</v>
      </c>
      <c r="AJ239" s="8"/>
      <c r="AK239" s="8"/>
      <c r="AL239" s="8"/>
      <c r="AN239" s="8">
        <f t="shared" si="87"/>
        <v>0.99999999999999989</v>
      </c>
      <c r="AO239" s="8">
        <f t="shared" si="88"/>
        <v>3.5613211591813676</v>
      </c>
      <c r="AP239" s="8">
        <f t="shared" si="89"/>
        <v>0.20587971845386388</v>
      </c>
      <c r="AQ239" s="8"/>
      <c r="AR239" s="8">
        <f t="shared" si="90"/>
        <v>204.04867191173039</v>
      </c>
      <c r="AS239" s="8">
        <f t="shared" si="91"/>
        <v>78.203961045251944</v>
      </c>
    </row>
    <row r="240" spans="1:45">
      <c r="A240" s="19">
        <v>16.616599999999998</v>
      </c>
      <c r="B240" s="19">
        <v>663.92816589999995</v>
      </c>
      <c r="C240" s="19">
        <v>-150.07951299999999</v>
      </c>
      <c r="E240" s="9">
        <f t="shared" si="81"/>
        <v>296.07183410000005</v>
      </c>
      <c r="F240" s="9">
        <f t="shared" si="82"/>
        <v>389.92048699999998</v>
      </c>
      <c r="I240">
        <v>1</v>
      </c>
      <c r="J240">
        <f t="shared" si="77"/>
        <v>0.31552556471988552</v>
      </c>
      <c r="K240">
        <f t="shared" si="83"/>
        <v>0.92136126643683658</v>
      </c>
      <c r="O240">
        <f t="shared" si="84"/>
        <v>0.18765951412301932</v>
      </c>
      <c r="P240">
        <f t="shared" si="85"/>
        <v>0.24714370199874092</v>
      </c>
      <c r="Q240">
        <f t="shared" si="86"/>
        <v>0.95063341900096798</v>
      </c>
      <c r="R240">
        <f t="shared" si="76"/>
        <v>1</v>
      </c>
      <c r="AG240" s="8">
        <f t="shared" si="78"/>
        <v>-0.18597957426206707</v>
      </c>
      <c r="AH240" s="8">
        <f t="shared" si="79"/>
        <v>-8.3623808051803181E-2</v>
      </c>
      <c r="AI240" s="8">
        <f t="shared" si="80"/>
        <v>0.97898858863840466</v>
      </c>
      <c r="AJ240" s="8"/>
      <c r="AK240" s="8"/>
      <c r="AL240" s="8"/>
      <c r="AN240" s="8">
        <f t="shared" si="87"/>
        <v>1</v>
      </c>
      <c r="AO240" s="8">
        <f t="shared" si="88"/>
        <v>3.5641469496620797</v>
      </c>
      <c r="AP240" s="8">
        <f t="shared" si="89"/>
        <v>0.20535533272595696</v>
      </c>
      <c r="AQ240" s="8"/>
      <c r="AR240" s="8">
        <f t="shared" si="90"/>
        <v>204.21057778006343</v>
      </c>
      <c r="AS240" s="8">
        <f t="shared" si="91"/>
        <v>78.234006134297914</v>
      </c>
    </row>
    <row r="241" spans="1:45">
      <c r="A241" s="19">
        <v>16.649966670000001</v>
      </c>
      <c r="B241" s="19">
        <v>663.92517720000001</v>
      </c>
      <c r="C241" s="19">
        <v>-150.29613689999999</v>
      </c>
      <c r="E241" s="9">
        <f t="shared" si="81"/>
        <v>296.07482279999999</v>
      </c>
      <c r="F241" s="9">
        <f t="shared" si="82"/>
        <v>389.70386310000004</v>
      </c>
      <c r="I241">
        <v>1</v>
      </c>
      <c r="J241">
        <f t="shared" si="77"/>
        <v>0.31542147386625896</v>
      </c>
      <c r="K241">
        <f t="shared" si="83"/>
        <v>0.92108873695557314</v>
      </c>
      <c r="O241">
        <f t="shared" si="84"/>
        <v>0.18766699856527314</v>
      </c>
      <c r="P241">
        <f t="shared" si="85"/>
        <v>0.24701375694708042</v>
      </c>
      <c r="Q241">
        <f t="shared" si="86"/>
        <v>0.9506657149221226</v>
      </c>
      <c r="R241">
        <f t="shared" si="76"/>
        <v>1</v>
      </c>
      <c r="AG241" s="8">
        <f t="shared" si="78"/>
        <v>-0.18585448820881245</v>
      </c>
      <c r="AH241" s="8">
        <f t="shared" si="79"/>
        <v>-8.3583807885415307E-2</v>
      </c>
      <c r="AI241" s="8">
        <f t="shared" si="80"/>
        <v>0.97901575894978032</v>
      </c>
      <c r="AJ241" s="8"/>
      <c r="AK241" s="8"/>
      <c r="AL241" s="8"/>
      <c r="AN241" s="8">
        <f t="shared" si="87"/>
        <v>1</v>
      </c>
      <c r="AO241" s="8">
        <f t="shared" si="88"/>
        <v>3.5642196479525188</v>
      </c>
      <c r="AP241" s="8">
        <f t="shared" si="89"/>
        <v>0.20522204678753786</v>
      </c>
      <c r="AQ241" s="8"/>
      <c r="AR241" s="8">
        <f t="shared" si="90"/>
        <v>204.2147430852834</v>
      </c>
      <c r="AS241" s="8">
        <f t="shared" si="91"/>
        <v>78.241642856037771</v>
      </c>
    </row>
    <row r="242" spans="1:45">
      <c r="A242" s="19">
        <v>16.68333333</v>
      </c>
      <c r="B242" s="19">
        <v>664.86377660000005</v>
      </c>
      <c r="C242" s="19">
        <v>-151.51934299999999</v>
      </c>
      <c r="E242" s="9">
        <f t="shared" si="81"/>
        <v>295.13622339999995</v>
      </c>
      <c r="F242" s="9">
        <f t="shared" si="82"/>
        <v>388.48065700000001</v>
      </c>
      <c r="I242">
        <v>1</v>
      </c>
      <c r="J242">
        <f t="shared" si="77"/>
        <v>0.31448099783234257</v>
      </c>
      <c r="K242">
        <f t="shared" si="83"/>
        <v>0.92110387792735038</v>
      </c>
      <c r="O242">
        <f t="shared" si="84"/>
        <v>0.18712231048450129</v>
      </c>
      <c r="P242">
        <f t="shared" si="85"/>
        <v>0.24630456159851055</v>
      </c>
      <c r="Q242">
        <f t="shared" si="86"/>
        <v>0.95095704627217914</v>
      </c>
      <c r="R242">
        <f t="shared" si="76"/>
        <v>1</v>
      </c>
      <c r="AG242" s="8">
        <f t="shared" si="78"/>
        <v>-0.18499200081064637</v>
      </c>
      <c r="AH242" s="8">
        <f t="shared" si="79"/>
        <v>-8.3934305241127577E-2</v>
      </c>
      <c r="AI242" s="8">
        <f t="shared" si="80"/>
        <v>0.97914911634529034</v>
      </c>
      <c r="AJ242" s="8"/>
      <c r="AK242" s="8"/>
      <c r="AL242" s="8"/>
      <c r="AN242" s="8">
        <f t="shared" si="87"/>
        <v>0.99999999999999989</v>
      </c>
      <c r="AO242" s="8">
        <f t="shared" si="88"/>
        <v>3.5675346348515493</v>
      </c>
      <c r="AP242" s="8">
        <f t="shared" si="89"/>
        <v>0.20456661096431872</v>
      </c>
      <c r="AQ242" s="8"/>
      <c r="AR242" s="8">
        <f t="shared" si="90"/>
        <v>204.40467784373902</v>
      </c>
      <c r="AS242" s="8">
        <f t="shared" si="91"/>
        <v>78.279196562449911</v>
      </c>
    </row>
    <row r="243" spans="1:45">
      <c r="A243" s="19">
        <v>16.716699999999999</v>
      </c>
      <c r="B243" s="19">
        <v>665.11369850000005</v>
      </c>
      <c r="C243" s="19">
        <v>-152.2942419</v>
      </c>
      <c r="E243" s="9">
        <f t="shared" si="81"/>
        <v>294.88630149999995</v>
      </c>
      <c r="F243" s="9">
        <f t="shared" si="82"/>
        <v>387.70575810000003</v>
      </c>
      <c r="I243">
        <v>1</v>
      </c>
      <c r="J243">
        <f t="shared" si="77"/>
        <v>0.31401224045602261</v>
      </c>
      <c r="K243">
        <f t="shared" si="83"/>
        <v>0.92055007146211143</v>
      </c>
      <c r="O243">
        <f t="shared" si="84"/>
        <v>0.18698880608464746</v>
      </c>
      <c r="P243">
        <f t="shared" si="85"/>
        <v>0.24584606490872266</v>
      </c>
      <c r="Q243">
        <f t="shared" si="86"/>
        <v>0.95110193920942787</v>
      </c>
      <c r="R243">
        <f t="shared" si="76"/>
        <v>1</v>
      </c>
      <c r="AG243" s="8">
        <f t="shared" si="78"/>
        <v>-0.18450159407323527</v>
      </c>
      <c r="AH243" s="8">
        <f t="shared" si="79"/>
        <v>-8.394841803648305E-2</v>
      </c>
      <c r="AI243" s="8">
        <f t="shared" si="80"/>
        <v>0.97924043262806859</v>
      </c>
      <c r="AJ243" s="8"/>
      <c r="AK243" s="8"/>
      <c r="AL243" s="8"/>
      <c r="AN243" s="8">
        <f t="shared" si="87"/>
        <v>0.99999999999999989</v>
      </c>
      <c r="AO243" s="8">
        <f t="shared" si="88"/>
        <v>3.5685976599789542</v>
      </c>
      <c r="AP243" s="8">
        <f t="shared" si="89"/>
        <v>0.20411660527724229</v>
      </c>
      <c r="AQ243" s="8"/>
      <c r="AR243" s="8">
        <f t="shared" si="90"/>
        <v>204.46558469705568</v>
      </c>
      <c r="AS243" s="8">
        <f t="shared" si="91"/>
        <v>78.304979989076273</v>
      </c>
    </row>
    <row r="244" spans="1:45">
      <c r="A244" s="19">
        <v>16.750066669999999</v>
      </c>
      <c r="B244" s="19">
        <v>665.79410740000003</v>
      </c>
      <c r="C244" s="19">
        <v>-152.93902840000001</v>
      </c>
      <c r="E244" s="9">
        <f t="shared" si="81"/>
        <v>294.20589259999997</v>
      </c>
      <c r="F244" s="9">
        <f t="shared" si="82"/>
        <v>387.06097160000002</v>
      </c>
      <c r="I244">
        <v>1</v>
      </c>
      <c r="J244">
        <f t="shared" si="77"/>
        <v>0.3134475269410012</v>
      </c>
      <c r="K244">
        <f t="shared" si="83"/>
        <v>0.92086110427005863</v>
      </c>
      <c r="O244">
        <f t="shared" si="84"/>
        <v>0.18658728307052805</v>
      </c>
      <c r="P244">
        <f t="shared" si="85"/>
        <v>0.24547657572472026</v>
      </c>
      <c r="Q244">
        <f t="shared" si="86"/>
        <v>0.95127621465420042</v>
      </c>
      <c r="R244">
        <f t="shared" si="76"/>
        <v>1</v>
      </c>
      <c r="AG244" s="8">
        <f t="shared" si="78"/>
        <v>-0.18401615306073921</v>
      </c>
      <c r="AH244" s="8">
        <f t="shared" si="79"/>
        <v>-8.4245278564102313E-2</v>
      </c>
      <c r="AI244" s="8">
        <f t="shared" si="80"/>
        <v>0.97930627918561997</v>
      </c>
      <c r="AJ244" s="8"/>
      <c r="AK244" s="8"/>
      <c r="AL244" s="8"/>
      <c r="AN244" s="8">
        <f t="shared" si="87"/>
        <v>1</v>
      </c>
      <c r="AO244" s="8">
        <f t="shared" si="88"/>
        <v>3.5709261546166995</v>
      </c>
      <c r="AP244" s="8">
        <f t="shared" si="89"/>
        <v>0.20379150613258279</v>
      </c>
      <c r="AQ244" s="8"/>
      <c r="AR244" s="8">
        <f t="shared" si="90"/>
        <v>204.59899761241732</v>
      </c>
      <c r="AS244" s="8">
        <f t="shared" si="91"/>
        <v>78.323606797988575</v>
      </c>
    </row>
    <row r="245" spans="1:45">
      <c r="A245" s="19">
        <v>16.783433330000001</v>
      </c>
      <c r="B245" s="19">
        <v>665.63002340000003</v>
      </c>
      <c r="C245" s="19">
        <v>-153.52832100000001</v>
      </c>
      <c r="E245" s="9">
        <f t="shared" si="81"/>
        <v>294.36997659999997</v>
      </c>
      <c r="F245" s="9">
        <f t="shared" si="82"/>
        <v>386.47167899999999</v>
      </c>
      <c r="I245">
        <v>1</v>
      </c>
      <c r="J245">
        <f t="shared" si="77"/>
        <v>0.31322184655994989</v>
      </c>
      <c r="K245">
        <f t="shared" si="83"/>
        <v>0.91985818165288591</v>
      </c>
      <c r="O245">
        <f t="shared" si="84"/>
        <v>0.18670329409691924</v>
      </c>
      <c r="P245">
        <f t="shared" si="85"/>
        <v>0.24511852865523237</v>
      </c>
      <c r="Q245">
        <f t="shared" si="86"/>
        <v>0.95134577672014364</v>
      </c>
      <c r="R245">
        <f t="shared" si="76"/>
        <v>1</v>
      </c>
      <c r="AG245" s="8">
        <f t="shared" si="78"/>
        <v>-0.183700860576611</v>
      </c>
      <c r="AH245" s="8">
        <f t="shared" si="79"/>
        <v>-8.4042268705165457E-2</v>
      </c>
      <c r="AI245" s="8">
        <f t="shared" si="80"/>
        <v>0.979382913315472</v>
      </c>
      <c r="AJ245" s="8"/>
      <c r="AK245" s="8"/>
      <c r="AL245" s="8"/>
      <c r="AN245" s="8">
        <f t="shared" si="87"/>
        <v>1</v>
      </c>
      <c r="AO245" s="8">
        <f t="shared" si="88"/>
        <v>3.5706621108318077</v>
      </c>
      <c r="AP245" s="8">
        <f t="shared" si="89"/>
        <v>0.20341250119583876</v>
      </c>
      <c r="AQ245" s="8"/>
      <c r="AR245" s="8">
        <f t="shared" si="90"/>
        <v>204.58386901793637</v>
      </c>
      <c r="AS245" s="8">
        <f t="shared" si="91"/>
        <v>78.345322181278632</v>
      </c>
    </row>
    <row r="246" spans="1:45">
      <c r="A246" s="19">
        <v>16.816800000000001</v>
      </c>
      <c r="B246" s="19">
        <v>666.34214669999994</v>
      </c>
      <c r="C246" s="19">
        <v>-154.15603519999999</v>
      </c>
      <c r="E246" s="9">
        <f t="shared" si="81"/>
        <v>293.65785330000006</v>
      </c>
      <c r="F246" s="9">
        <f t="shared" si="82"/>
        <v>385.84396479999998</v>
      </c>
      <c r="I246">
        <v>1</v>
      </c>
      <c r="J246">
        <f t="shared" si="77"/>
        <v>0.31265336303686941</v>
      </c>
      <c r="K246">
        <f t="shared" si="83"/>
        <v>0.92024209475254448</v>
      </c>
      <c r="O246">
        <f t="shared" si="84"/>
        <v>0.18628160784645961</v>
      </c>
      <c r="P246">
        <f t="shared" si="85"/>
        <v>0.24475978875786716</v>
      </c>
      <c r="Q246">
        <f t="shared" si="86"/>
        <v>0.95152078715356614</v>
      </c>
      <c r="R246">
        <f t="shared" si="76"/>
        <v>1</v>
      </c>
      <c r="AG246" s="8">
        <f t="shared" si="78"/>
        <v>-0.18321981219284539</v>
      </c>
      <c r="AH246" s="8">
        <f t="shared" si="79"/>
        <v>-8.4361339669205823E-2</v>
      </c>
      <c r="AI246" s="8">
        <f t="shared" si="80"/>
        <v>0.97944559052008362</v>
      </c>
      <c r="AJ246" s="8"/>
      <c r="AK246" s="8"/>
      <c r="AL246" s="8"/>
      <c r="AN246" s="8">
        <f t="shared" si="87"/>
        <v>1</v>
      </c>
      <c r="AO246" s="8">
        <f t="shared" si="88"/>
        <v>3.5730927305787814</v>
      </c>
      <c r="AP246" s="8">
        <f t="shared" si="89"/>
        <v>0.2031020037225475</v>
      </c>
      <c r="AQ246" s="8"/>
      <c r="AR246" s="8">
        <f t="shared" si="90"/>
        <v>204.72313327103913</v>
      </c>
      <c r="AS246" s="8">
        <f t="shared" si="91"/>
        <v>78.363112376047695</v>
      </c>
    </row>
    <row r="247" spans="1:45">
      <c r="A247" s="19">
        <v>16.85016667</v>
      </c>
      <c r="B247" s="19">
        <v>666.88734120000004</v>
      </c>
      <c r="C247" s="19">
        <v>-154.9889574</v>
      </c>
      <c r="E247" s="9">
        <f t="shared" si="81"/>
        <v>293.11265879999996</v>
      </c>
      <c r="F247" s="9">
        <f t="shared" si="82"/>
        <v>385.0110426</v>
      </c>
      <c r="I247">
        <v>1</v>
      </c>
      <c r="J247">
        <f t="shared" si="77"/>
        <v>0.31204670258147954</v>
      </c>
      <c r="K247">
        <f t="shared" si="83"/>
        <v>0.92009618723729258</v>
      </c>
      <c r="O247">
        <f t="shared" si="84"/>
        <v>0.1859676183623151</v>
      </c>
      <c r="P247">
        <f t="shared" si="85"/>
        <v>0.24427326656119788</v>
      </c>
      <c r="Q247">
        <f t="shared" si="86"/>
        <v>0.95170721136501335</v>
      </c>
      <c r="R247">
        <f t="shared" si="76"/>
        <v>1</v>
      </c>
      <c r="AG247" s="8">
        <f t="shared" si="78"/>
        <v>-0.1826466396820367</v>
      </c>
      <c r="AH247" s="8">
        <f t="shared" si="79"/>
        <v>-8.4543485102652097E-2</v>
      </c>
      <c r="AI247" s="8">
        <f t="shared" si="80"/>
        <v>0.97953693352499882</v>
      </c>
      <c r="AJ247" s="8"/>
      <c r="AK247" s="8"/>
      <c r="AL247" s="8"/>
      <c r="AN247" s="8">
        <f t="shared" si="87"/>
        <v>1</v>
      </c>
      <c r="AO247" s="8">
        <f t="shared" si="88"/>
        <v>3.5751058541432967</v>
      </c>
      <c r="AP247" s="8">
        <f t="shared" si="89"/>
        <v>0.20264865823303713</v>
      </c>
      <c r="AQ247" s="8"/>
      <c r="AR247" s="8">
        <f t="shared" si="90"/>
        <v>204.83847675492419</v>
      </c>
      <c r="AS247" s="8">
        <f t="shared" si="91"/>
        <v>78.389087159257926</v>
      </c>
    </row>
    <row r="248" spans="1:45">
      <c r="A248" s="19">
        <v>16.883533329999999</v>
      </c>
      <c r="B248" s="19">
        <v>666.86437350000006</v>
      </c>
      <c r="C248" s="19">
        <v>-155.44319060000001</v>
      </c>
      <c r="E248" s="9">
        <f t="shared" si="81"/>
        <v>293.13562649999994</v>
      </c>
      <c r="F248" s="9">
        <f t="shared" si="82"/>
        <v>384.55680940000002</v>
      </c>
      <c r="I248">
        <v>1</v>
      </c>
      <c r="J248">
        <f t="shared" si="77"/>
        <v>0.31183439706862737</v>
      </c>
      <c r="K248">
        <f t="shared" si="83"/>
        <v>0.91948936584031593</v>
      </c>
      <c r="O248">
        <f t="shared" si="84"/>
        <v>0.18599332050382006</v>
      </c>
      <c r="P248">
        <f t="shared" si="85"/>
        <v>0.24399967604299597</v>
      </c>
      <c r="Q248">
        <f t="shared" si="86"/>
        <v>0.95177236922432051</v>
      </c>
      <c r="R248">
        <f t="shared" si="76"/>
        <v>1</v>
      </c>
      <c r="AG248" s="8">
        <f t="shared" si="78"/>
        <v>-0.18238642901990709</v>
      </c>
      <c r="AH248" s="8">
        <f t="shared" si="79"/>
        <v>-8.4449436109851353E-2</v>
      </c>
      <c r="AI248" s="8">
        <f t="shared" si="80"/>
        <v>0.97959352960811996</v>
      </c>
      <c r="AJ248" s="8"/>
      <c r="AK248" s="8"/>
      <c r="AL248" s="8"/>
      <c r="AN248" s="8">
        <f t="shared" si="87"/>
        <v>1</v>
      </c>
      <c r="AO248" s="8">
        <f t="shared" si="88"/>
        <v>3.5752250421558562</v>
      </c>
      <c r="AP248" s="8">
        <f t="shared" si="89"/>
        <v>0.20236726301677743</v>
      </c>
      <c r="AQ248" s="8"/>
      <c r="AR248" s="8">
        <f t="shared" si="90"/>
        <v>204.84530572501239</v>
      </c>
      <c r="AS248" s="8">
        <f t="shared" si="91"/>
        <v>78.405209917524786</v>
      </c>
    </row>
    <row r="249" spans="1:45">
      <c r="A249" s="19">
        <v>16.916899999999998</v>
      </c>
      <c r="B249" s="19">
        <v>666.98638749999998</v>
      </c>
      <c r="C249" s="19">
        <v>-156.0892217</v>
      </c>
      <c r="E249" s="9">
        <f t="shared" si="81"/>
        <v>293.01361250000002</v>
      </c>
      <c r="F249" s="9">
        <f t="shared" si="82"/>
        <v>383.9107783</v>
      </c>
      <c r="I249">
        <v>1</v>
      </c>
      <c r="J249">
        <f t="shared" si="77"/>
        <v>0.31147521318404259</v>
      </c>
      <c r="K249">
        <f t="shared" si="83"/>
        <v>0.91887936080034882</v>
      </c>
      <c r="O249">
        <f t="shared" si="84"/>
        <v>0.18593470378739244</v>
      </c>
      <c r="P249">
        <f t="shared" si="85"/>
        <v>0.24361440492461003</v>
      </c>
      <c r="Q249">
        <f t="shared" si="86"/>
        <v>0.95188250726690149</v>
      </c>
      <c r="R249">
        <f t="shared" si="76"/>
        <v>1</v>
      </c>
      <c r="AG249" s="8">
        <f t="shared" si="78"/>
        <v>-0.18199091137699769</v>
      </c>
      <c r="AH249" s="8">
        <f t="shared" si="79"/>
        <v>-8.4409049029887384E-2</v>
      </c>
      <c r="AI249" s="8">
        <f t="shared" si="80"/>
        <v>0.97967056739397851</v>
      </c>
      <c r="AJ249" s="8"/>
      <c r="AK249" s="8"/>
      <c r="AL249" s="8"/>
      <c r="AN249" s="8">
        <f t="shared" si="87"/>
        <v>1</v>
      </c>
      <c r="AO249" s="8">
        <f t="shared" si="88"/>
        <v>3.575870740501605</v>
      </c>
      <c r="AP249" s="8">
        <f t="shared" si="89"/>
        <v>0.20198361048281144</v>
      </c>
      <c r="AQ249" s="8"/>
      <c r="AR249" s="8">
        <f t="shared" si="90"/>
        <v>204.88230151506238</v>
      </c>
      <c r="AS249" s="8">
        <f t="shared" si="91"/>
        <v>78.427191588520529</v>
      </c>
    </row>
    <row r="250" spans="1:45">
      <c r="A250" s="19">
        <v>16.950266670000001</v>
      </c>
      <c r="B250" s="19">
        <v>667.72310179999999</v>
      </c>
      <c r="C250" s="19">
        <v>-156.97241460000001</v>
      </c>
      <c r="E250" s="9">
        <f t="shared" si="81"/>
        <v>292.27689820000001</v>
      </c>
      <c r="F250" s="9">
        <f t="shared" si="82"/>
        <v>383.02758540000002</v>
      </c>
      <c r="I250">
        <v>1</v>
      </c>
      <c r="J250">
        <f t="shared" si="77"/>
        <v>0.31077268522228313</v>
      </c>
      <c r="K250">
        <f t="shared" si="83"/>
        <v>0.91898269599653692</v>
      </c>
      <c r="O250">
        <f t="shared" si="84"/>
        <v>0.18550381544825079</v>
      </c>
      <c r="P250">
        <f t="shared" si="85"/>
        <v>0.24310193159710605</v>
      </c>
      <c r="Q250">
        <f t="shared" si="86"/>
        <v>0.95209757131708794</v>
      </c>
      <c r="R250">
        <f t="shared" si="76"/>
        <v>1</v>
      </c>
      <c r="AG250" s="8">
        <f t="shared" si="78"/>
        <v>-0.18135651756978366</v>
      </c>
      <c r="AH250" s="8">
        <f t="shared" si="79"/>
        <v>-8.4698008105460632E-2</v>
      </c>
      <c r="AI250" s="8">
        <f t="shared" si="80"/>
        <v>0.97976326781418377</v>
      </c>
      <c r="AJ250" s="8"/>
      <c r="AK250" s="8"/>
      <c r="AL250" s="8"/>
      <c r="AN250" s="8">
        <f t="shared" si="87"/>
        <v>0.99999999999999989</v>
      </c>
      <c r="AO250" s="8">
        <f t="shared" si="88"/>
        <v>3.5785139364921901</v>
      </c>
      <c r="AP250" s="8">
        <f t="shared" si="89"/>
        <v>0.20152100214102009</v>
      </c>
      <c r="AQ250" s="8"/>
      <c r="AR250" s="8">
        <f t="shared" si="90"/>
        <v>205.03374548974881</v>
      </c>
      <c r="AS250" s="8">
        <f t="shared" si="91"/>
        <v>78.453697094072723</v>
      </c>
    </row>
    <row r="251" spans="1:45">
      <c r="A251" s="19">
        <v>16.98363333</v>
      </c>
      <c r="B251" s="19">
        <v>668.33360040000002</v>
      </c>
      <c r="C251" s="19">
        <v>-157.77906479999999</v>
      </c>
      <c r="E251" s="9">
        <f t="shared" si="81"/>
        <v>291.66639959999998</v>
      </c>
      <c r="F251" s="9">
        <f t="shared" si="82"/>
        <v>382.22093519999999</v>
      </c>
      <c r="I251">
        <v>1</v>
      </c>
      <c r="J251">
        <f t="shared" si="77"/>
        <v>0.31015392992189822</v>
      </c>
      <c r="K251">
        <f t="shared" si="83"/>
        <v>0.91897437557297967</v>
      </c>
      <c r="O251">
        <f t="shared" si="84"/>
        <v>0.18514842414562027</v>
      </c>
      <c r="P251">
        <f t="shared" si="85"/>
        <v>0.24263200671999949</v>
      </c>
      <c r="Q251">
        <f t="shared" si="86"/>
        <v>0.95228660095132056</v>
      </c>
      <c r="R251">
        <f t="shared" si="76"/>
        <v>1</v>
      </c>
      <c r="AG251" s="8">
        <f t="shared" si="78"/>
        <v>-0.18078703327525764</v>
      </c>
      <c r="AH251" s="8">
        <f t="shared" si="79"/>
        <v>-8.4924316858136617E-2</v>
      </c>
      <c r="AI251" s="8">
        <f t="shared" si="80"/>
        <v>0.97984892152091985</v>
      </c>
      <c r="AJ251" s="8"/>
      <c r="AK251" s="8"/>
      <c r="AL251" s="8"/>
      <c r="AN251" s="8">
        <f t="shared" si="87"/>
        <v>1</v>
      </c>
      <c r="AO251" s="8">
        <f t="shared" si="88"/>
        <v>3.5807469777636016</v>
      </c>
      <c r="AP251" s="8">
        <f t="shared" si="89"/>
        <v>0.20109262635109748</v>
      </c>
      <c r="AQ251" s="8"/>
      <c r="AR251" s="8">
        <f t="shared" si="90"/>
        <v>205.16168933007921</v>
      </c>
      <c r="AS251" s="8">
        <f t="shared" si="91"/>
        <v>78.478241218880868</v>
      </c>
    </row>
    <row r="252" spans="1:45">
      <c r="A252" s="19">
        <v>17.016999999999999</v>
      </c>
      <c r="B252" s="19">
        <v>668.87119910000001</v>
      </c>
      <c r="C252" s="19">
        <v>-158.1069574</v>
      </c>
      <c r="E252" s="9">
        <f t="shared" si="81"/>
        <v>291.12880089999999</v>
      </c>
      <c r="F252" s="9">
        <f t="shared" si="82"/>
        <v>381.8930426</v>
      </c>
      <c r="I252">
        <v>1</v>
      </c>
      <c r="J252">
        <f t="shared" si="77"/>
        <v>0.30979494642455391</v>
      </c>
      <c r="K252">
        <f t="shared" si="83"/>
        <v>0.91945014745915299</v>
      </c>
      <c r="O252">
        <f t="shared" si="84"/>
        <v>0.1848257015162019</v>
      </c>
      <c r="P252">
        <f t="shared" si="85"/>
        <v>0.24244818542342228</v>
      </c>
      <c r="Q252">
        <f t="shared" si="86"/>
        <v>0.95239610322802859</v>
      </c>
      <c r="R252">
        <f t="shared" si="76"/>
        <v>1</v>
      </c>
      <c r="AG252" s="8">
        <f t="shared" si="78"/>
        <v>-0.1805079128225443</v>
      </c>
      <c r="AH252" s="8">
        <f t="shared" si="79"/>
        <v>-8.51911917903065E-2</v>
      </c>
      <c r="AI252" s="8">
        <f t="shared" si="80"/>
        <v>0.97987721386395954</v>
      </c>
      <c r="AJ252" s="8"/>
      <c r="AK252" s="8"/>
      <c r="AL252" s="8"/>
      <c r="AN252" s="8">
        <f t="shared" si="87"/>
        <v>1</v>
      </c>
      <c r="AO252" s="8">
        <f t="shared" si="88"/>
        <v>3.5825517091935888</v>
      </c>
      <c r="AP252" s="8">
        <f t="shared" si="89"/>
        <v>0.20095093129106978</v>
      </c>
      <c r="AQ252" s="8"/>
      <c r="AR252" s="8">
        <f t="shared" si="90"/>
        <v>205.26509282417209</v>
      </c>
      <c r="AS252" s="8">
        <f t="shared" si="91"/>
        <v>78.486359747798303</v>
      </c>
    </row>
    <row r="253" spans="1:45">
      <c r="A253" s="19">
        <v>17.050366669999999</v>
      </c>
      <c r="B253" s="19">
        <v>669.12920120000001</v>
      </c>
      <c r="C253" s="19">
        <v>-158.7549678</v>
      </c>
      <c r="E253" s="9">
        <f t="shared" si="81"/>
        <v>290.87079879999999</v>
      </c>
      <c r="F253" s="9">
        <f t="shared" si="82"/>
        <v>381.24503219999997</v>
      </c>
      <c r="I253">
        <v>1</v>
      </c>
      <c r="J253">
        <f t="shared" si="77"/>
        <v>0.30938387449241173</v>
      </c>
      <c r="K253">
        <f t="shared" si="83"/>
        <v>0.91905876755146088</v>
      </c>
      <c r="O253">
        <f t="shared" si="84"/>
        <v>0.1846830874243455</v>
      </c>
      <c r="P253">
        <f t="shared" si="85"/>
        <v>0.24206455203604993</v>
      </c>
      <c r="Q253">
        <f t="shared" si="86"/>
        <v>0.95252134352307194</v>
      </c>
      <c r="R253">
        <f t="shared" si="76"/>
        <v>1</v>
      </c>
      <c r="AG253" s="8">
        <f t="shared" si="78"/>
        <v>-0.18008831218551363</v>
      </c>
      <c r="AH253" s="8">
        <f t="shared" si="79"/>
        <v>-8.5232624738235868E-2</v>
      </c>
      <c r="AI253" s="8">
        <f t="shared" si="80"/>
        <v>0.97995081483429769</v>
      </c>
      <c r="AJ253" s="8"/>
      <c r="AK253" s="8"/>
      <c r="AL253" s="8"/>
      <c r="AN253" s="8">
        <f t="shared" si="87"/>
        <v>1</v>
      </c>
      <c r="AO253" s="8">
        <f t="shared" si="88"/>
        <v>3.5836386324558291</v>
      </c>
      <c r="AP253" s="8">
        <f t="shared" si="89"/>
        <v>0.20058185684031349</v>
      </c>
      <c r="AQ253" s="8"/>
      <c r="AR253" s="8">
        <f t="shared" si="90"/>
        <v>205.32736893975306</v>
      </c>
      <c r="AS253" s="8">
        <f t="shared" si="91"/>
        <v>78.507506156152758</v>
      </c>
    </row>
    <row r="254" spans="1:45">
      <c r="A254" s="19">
        <v>17.083733330000001</v>
      </c>
      <c r="B254" s="19">
        <v>669.86639479999997</v>
      </c>
      <c r="C254" s="19">
        <v>-159.97366980000001</v>
      </c>
      <c r="E254" s="9">
        <f t="shared" si="81"/>
        <v>290.13360520000003</v>
      </c>
      <c r="F254" s="9">
        <f t="shared" si="82"/>
        <v>380.02633019999996</v>
      </c>
      <c r="I254">
        <v>1</v>
      </c>
      <c r="J254">
        <f t="shared" si="77"/>
        <v>0.30851697196675543</v>
      </c>
      <c r="K254">
        <f t="shared" si="83"/>
        <v>0.91873848156297611</v>
      </c>
      <c r="O254">
        <f t="shared" si="84"/>
        <v>0.18425945825004167</v>
      </c>
      <c r="P254">
        <f t="shared" si="85"/>
        <v>0.24134896636717987</v>
      </c>
      <c r="Q254">
        <f t="shared" si="86"/>
        <v>0.9527849329617335</v>
      </c>
      <c r="R254">
        <f t="shared" si="76"/>
        <v>1</v>
      </c>
      <c r="AG254" s="8">
        <f t="shared" si="78"/>
        <v>-0.17925734393088266</v>
      </c>
      <c r="AH254" s="8">
        <f t="shared" si="79"/>
        <v>-8.5462826075527298E-2</v>
      </c>
      <c r="AI254" s="8">
        <f t="shared" si="80"/>
        <v>0.98008311382557212</v>
      </c>
      <c r="AJ254" s="8"/>
      <c r="AK254" s="8"/>
      <c r="AL254" s="8"/>
      <c r="AN254" s="8">
        <f t="shared" si="87"/>
        <v>0.99999999999999989</v>
      </c>
      <c r="AO254" s="8">
        <f t="shared" si="88"/>
        <v>3.5864764430604481</v>
      </c>
      <c r="AP254" s="8">
        <f t="shared" si="89"/>
        <v>0.19991674920051783</v>
      </c>
      <c r="AQ254" s="8"/>
      <c r="AR254" s="8">
        <f t="shared" si="90"/>
        <v>205.48996351045517</v>
      </c>
      <c r="AS254" s="8">
        <f t="shared" si="91"/>
        <v>78.545614016834946</v>
      </c>
    </row>
    <row r="255" spans="1:45">
      <c r="A255" s="19">
        <v>17.117100000000001</v>
      </c>
      <c r="B255" s="19">
        <v>669.85840770000004</v>
      </c>
      <c r="C255" s="19">
        <v>-160.39257649999999</v>
      </c>
      <c r="E255" s="9">
        <f t="shared" si="81"/>
        <v>290.14159229999996</v>
      </c>
      <c r="F255" s="9">
        <f t="shared" si="82"/>
        <v>379.60742349999998</v>
      </c>
      <c r="I255">
        <v>1</v>
      </c>
      <c r="J255">
        <f t="shared" si="77"/>
        <v>0.30831607836998698</v>
      </c>
      <c r="K255">
        <f t="shared" si="83"/>
        <v>0.9181931573779567</v>
      </c>
      <c r="O255">
        <f t="shared" si="84"/>
        <v>0.18427480652705983</v>
      </c>
      <c r="P255">
        <f t="shared" si="85"/>
        <v>0.24109636942148327</v>
      </c>
      <c r="Q255">
        <f t="shared" si="86"/>
        <v>0.95284591426483767</v>
      </c>
      <c r="R255">
        <f t="shared" si="76"/>
        <v>1</v>
      </c>
      <c r="AG255" s="8">
        <f t="shared" si="78"/>
        <v>-0.17901461550508935</v>
      </c>
      <c r="AH255" s="8">
        <f t="shared" si="79"/>
        <v>-8.5383976385444718E-2</v>
      </c>
      <c r="AI255" s="8">
        <f t="shared" si="80"/>
        <v>0.98013434998074367</v>
      </c>
      <c r="AJ255" s="8"/>
      <c r="AK255" s="8"/>
      <c r="AL255" s="8"/>
      <c r="AN255" s="8">
        <f t="shared" si="87"/>
        <v>1</v>
      </c>
      <c r="AO255" s="8">
        <f t="shared" si="88"/>
        <v>3.5866442623394263</v>
      </c>
      <c r="AP255" s="8">
        <f t="shared" si="89"/>
        <v>0.19965858211807763</v>
      </c>
      <c r="AQ255" s="8"/>
      <c r="AR255" s="8">
        <f t="shared" si="90"/>
        <v>205.49957884686157</v>
      </c>
      <c r="AS255" s="8">
        <f t="shared" si="91"/>
        <v>78.56040590106798</v>
      </c>
    </row>
    <row r="256" spans="1:45">
      <c r="A256" s="19">
        <v>17.15046667</v>
      </c>
      <c r="B256" s="19">
        <v>670.5641746</v>
      </c>
      <c r="C256" s="19">
        <v>-161.11847299999999</v>
      </c>
      <c r="E256" s="9">
        <f t="shared" si="81"/>
        <v>289.4358254</v>
      </c>
      <c r="F256" s="9">
        <f t="shared" si="82"/>
        <v>378.88152700000001</v>
      </c>
      <c r="I256">
        <v>1</v>
      </c>
      <c r="J256">
        <f t="shared" si="77"/>
        <v>0.30770028852816733</v>
      </c>
      <c r="K256">
        <f t="shared" si="83"/>
        <v>0.91844469679189777</v>
      </c>
      <c r="O256">
        <f t="shared" si="84"/>
        <v>0.18385792824121402</v>
      </c>
      <c r="P256">
        <f t="shared" si="85"/>
        <v>0.24067640039658886</v>
      </c>
      <c r="Q256">
        <f t="shared" si="86"/>
        <v>0.95303259782390937</v>
      </c>
      <c r="R256">
        <f t="shared" si="76"/>
        <v>1</v>
      </c>
      <c r="AG256" s="8">
        <f t="shared" si="78"/>
        <v>-0.17847537765899793</v>
      </c>
      <c r="AH256" s="8">
        <f t="shared" si="79"/>
        <v>-8.5682317199304373E-2</v>
      </c>
      <c r="AI256" s="8">
        <f t="shared" si="80"/>
        <v>0.98020665172647936</v>
      </c>
      <c r="AJ256" s="8"/>
      <c r="AK256" s="8"/>
      <c r="AL256" s="8"/>
      <c r="AN256" s="8">
        <f t="shared" si="87"/>
        <v>0.99999999999999978</v>
      </c>
      <c r="AO256" s="8">
        <f t="shared" si="88"/>
        <v>3.5891769991337612</v>
      </c>
      <c r="AP256" s="8">
        <f t="shared" si="89"/>
        <v>0.19929370905959209</v>
      </c>
      <c r="AQ256" s="8"/>
      <c r="AR256" s="8">
        <f t="shared" si="90"/>
        <v>205.64469397579444</v>
      </c>
      <c r="AS256" s="8">
        <f t="shared" si="91"/>
        <v>78.581311587377229</v>
      </c>
    </row>
    <row r="257" spans="1:45">
      <c r="A257" s="19">
        <v>17.183833329999999</v>
      </c>
      <c r="B257" s="19">
        <v>670.87715270000001</v>
      </c>
      <c r="C257" s="19">
        <v>-161.9247633</v>
      </c>
      <c r="E257" s="9">
        <f t="shared" si="81"/>
        <v>289.12284729999999</v>
      </c>
      <c r="F257" s="9">
        <f t="shared" si="82"/>
        <v>378.0752367</v>
      </c>
      <c r="I257">
        <v>1</v>
      </c>
      <c r="J257">
        <f t="shared" si="77"/>
        <v>0.30719130081936563</v>
      </c>
      <c r="K257">
        <f t="shared" si="83"/>
        <v>0.91793886432335214</v>
      </c>
      <c r="O257">
        <f t="shared" si="84"/>
        <v>0.18368495562045245</v>
      </c>
      <c r="P257">
        <f t="shared" si="85"/>
        <v>0.24019801175509367</v>
      </c>
      <c r="Q257">
        <f t="shared" si="86"/>
        <v>0.95318663032357531</v>
      </c>
      <c r="R257">
        <f t="shared" si="76"/>
        <v>1</v>
      </c>
      <c r="AG257" s="8">
        <f t="shared" si="78"/>
        <v>-0.17795376082123887</v>
      </c>
      <c r="AH257" s="8">
        <f t="shared" si="79"/>
        <v>-8.5729027066398913E-2</v>
      </c>
      <c r="AI257" s="8">
        <f t="shared" si="80"/>
        <v>0.98029740024536727</v>
      </c>
      <c r="AJ257" s="8"/>
      <c r="AK257" s="8"/>
      <c r="AL257" s="8"/>
      <c r="AN257" s="8">
        <f t="shared" si="87"/>
        <v>0.99999999999999978</v>
      </c>
      <c r="AO257" s="8">
        <f t="shared" si="88"/>
        <v>3.5905330596738834</v>
      </c>
      <c r="AP257" s="8">
        <f t="shared" si="89"/>
        <v>0.1988348087785583</v>
      </c>
      <c r="AQ257" s="8"/>
      <c r="AR257" s="8">
        <f t="shared" si="90"/>
        <v>205.72239052150766</v>
      </c>
      <c r="AS257" s="8">
        <f t="shared" si="91"/>
        <v>78.607604636697843</v>
      </c>
    </row>
    <row r="258" spans="1:45">
      <c r="A258" s="19">
        <v>17.217199999999998</v>
      </c>
      <c r="B258" s="19">
        <v>671.0139355</v>
      </c>
      <c r="C258" s="19">
        <v>-162.38399129999999</v>
      </c>
      <c r="E258" s="9">
        <f t="shared" si="81"/>
        <v>288.9860645</v>
      </c>
      <c r="F258" s="9">
        <f t="shared" si="82"/>
        <v>377.61600870000001</v>
      </c>
      <c r="I258">
        <v>1</v>
      </c>
      <c r="J258">
        <f t="shared" si="77"/>
        <v>0.306916817871073</v>
      </c>
      <c r="K258">
        <f t="shared" si="83"/>
        <v>0.91758070239051137</v>
      </c>
      <c r="O258">
        <f t="shared" si="84"/>
        <v>0.18361196073971806</v>
      </c>
      <c r="P258">
        <f t="shared" si="85"/>
        <v>0.23992442640469758</v>
      </c>
      <c r="Q258">
        <f t="shared" si="86"/>
        <v>0.95326959328811756</v>
      </c>
      <c r="R258">
        <f t="shared" si="76"/>
        <v>1</v>
      </c>
      <c r="AG258" s="8">
        <f t="shared" si="78"/>
        <v>-0.17766341878656888</v>
      </c>
      <c r="AH258" s="8">
        <f t="shared" si="79"/>
        <v>-8.573054835554883E-2</v>
      </c>
      <c r="AI258" s="8">
        <f t="shared" si="80"/>
        <v>0.98034992870083126</v>
      </c>
      <c r="AJ258" s="8"/>
      <c r="AK258" s="8"/>
      <c r="AL258" s="8"/>
      <c r="AN258" s="8">
        <f t="shared" si="87"/>
        <v>0.99999999999999978</v>
      </c>
      <c r="AO258" s="8">
        <f t="shared" si="88"/>
        <v>3.5911787969319011</v>
      </c>
      <c r="AP258" s="8">
        <f t="shared" si="89"/>
        <v>0.19856870286320838</v>
      </c>
      <c r="AQ258" s="8"/>
      <c r="AR258" s="8">
        <f t="shared" si="90"/>
        <v>205.75938854106644</v>
      </c>
      <c r="AS258" s="8">
        <f t="shared" si="91"/>
        <v>78.622851382550849</v>
      </c>
    </row>
    <row r="259" spans="1:45">
      <c r="A259" s="19">
        <v>17.250566670000001</v>
      </c>
      <c r="B259" s="19">
        <v>671.73121130000004</v>
      </c>
      <c r="C259" s="19">
        <v>-163.18599499999999</v>
      </c>
      <c r="E259" s="9">
        <f t="shared" si="81"/>
        <v>288.26878869999996</v>
      </c>
      <c r="F259" s="9">
        <f t="shared" si="82"/>
        <v>376.81400500000001</v>
      </c>
      <c r="I259">
        <v>1</v>
      </c>
      <c r="J259">
        <f t="shared" si="77"/>
        <v>0.30625911779229048</v>
      </c>
      <c r="K259">
        <f t="shared" si="83"/>
        <v>0.91775396262753473</v>
      </c>
      <c r="O259">
        <f t="shared" si="84"/>
        <v>0.18318940121811225</v>
      </c>
      <c r="P259">
        <f t="shared" si="85"/>
        <v>0.23945822320149354</v>
      </c>
      <c r="Q259">
        <f t="shared" si="86"/>
        <v>0.95346809208412064</v>
      </c>
      <c r="R259">
        <f t="shared" si="76"/>
        <v>1</v>
      </c>
      <c r="AG259" s="8">
        <f t="shared" si="78"/>
        <v>-0.17707725566993326</v>
      </c>
      <c r="AH259" s="8">
        <f t="shared" si="79"/>
        <v>-8.6022508217196397E-2</v>
      </c>
      <c r="AI259" s="8">
        <f t="shared" si="80"/>
        <v>0.98043040222364963</v>
      </c>
      <c r="AJ259" s="8"/>
      <c r="AK259" s="8"/>
      <c r="AL259" s="8"/>
      <c r="AN259" s="8">
        <f t="shared" si="87"/>
        <v>0.99999999999999989</v>
      </c>
      <c r="AO259" s="8">
        <f t="shared" si="88"/>
        <v>3.593808452670531</v>
      </c>
      <c r="AP259" s="8">
        <f t="shared" si="89"/>
        <v>0.19816034502558</v>
      </c>
      <c r="AQ259" s="8"/>
      <c r="AR259" s="8">
        <f t="shared" si="90"/>
        <v>205.91005671646229</v>
      </c>
      <c r="AS259" s="8">
        <f t="shared" si="91"/>
        <v>78.646248563178048</v>
      </c>
    </row>
    <row r="260" spans="1:45">
      <c r="A260" s="19">
        <v>17.28393333</v>
      </c>
      <c r="B260" s="19">
        <v>671.96381740000004</v>
      </c>
      <c r="C260" s="19">
        <v>-163.96492670000001</v>
      </c>
      <c r="E260" s="9">
        <f t="shared" si="81"/>
        <v>288.03618259999996</v>
      </c>
      <c r="F260" s="9">
        <f t="shared" si="82"/>
        <v>376.03507330000002</v>
      </c>
      <c r="I260">
        <v>1</v>
      </c>
      <c r="J260">
        <f t="shared" si="77"/>
        <v>0.30579309495411333</v>
      </c>
      <c r="K260">
        <f t="shared" si="83"/>
        <v>0.9171448129954084</v>
      </c>
      <c r="O260">
        <f t="shared" si="84"/>
        <v>0.18306501609627085</v>
      </c>
      <c r="P260">
        <f t="shared" si="85"/>
        <v>0.2389938171136799</v>
      </c>
      <c r="Q260">
        <f t="shared" si="86"/>
        <v>0.95360849160601802</v>
      </c>
      <c r="R260">
        <f t="shared" si="76"/>
        <v>1</v>
      </c>
      <c r="AG260" s="8">
        <f t="shared" si="78"/>
        <v>-0.17658431532774341</v>
      </c>
      <c r="AH260" s="8">
        <f t="shared" si="79"/>
        <v>-8.6025453411812197E-2</v>
      </c>
      <c r="AI260" s="8">
        <f t="shared" si="80"/>
        <v>0.9805190467020638</v>
      </c>
      <c r="AJ260" s="8"/>
      <c r="AK260" s="8"/>
      <c r="AL260" s="8"/>
      <c r="AN260" s="8">
        <f t="shared" si="87"/>
        <v>0.99999999999999978</v>
      </c>
      <c r="AO260" s="8">
        <f t="shared" si="88"/>
        <v>3.5949185217623425</v>
      </c>
      <c r="AP260" s="8">
        <f t="shared" si="89"/>
        <v>0.19770956078036228</v>
      </c>
      <c r="AQ260" s="8"/>
      <c r="AR260" s="8">
        <f t="shared" si="90"/>
        <v>205.97365899039102</v>
      </c>
      <c r="AS260" s="8">
        <f t="shared" si="91"/>
        <v>78.672076597900016</v>
      </c>
    </row>
    <row r="261" spans="1:45">
      <c r="A261" s="19">
        <v>17.317299999999999</v>
      </c>
      <c r="B261" s="19">
        <v>672.54005510000002</v>
      </c>
      <c r="C261" s="19">
        <v>-164.75974909999999</v>
      </c>
      <c r="E261" s="9">
        <f t="shared" si="81"/>
        <v>287.45994489999998</v>
      </c>
      <c r="F261" s="9">
        <f t="shared" si="82"/>
        <v>375.24025089999998</v>
      </c>
      <c r="I261">
        <v>1</v>
      </c>
      <c r="J261">
        <f t="shared" si="77"/>
        <v>0.30519105309568084</v>
      </c>
      <c r="K261">
        <f t="shared" si="83"/>
        <v>0.91709009260680951</v>
      </c>
      <c r="O261">
        <f t="shared" si="84"/>
        <v>0.18272892407056937</v>
      </c>
      <c r="P261">
        <f t="shared" si="85"/>
        <v>0.23852800548883532</v>
      </c>
      <c r="Q261">
        <f t="shared" si="86"/>
        <v>0.95378956321902064</v>
      </c>
      <c r="R261">
        <f t="shared" si="76"/>
        <v>1</v>
      </c>
      <c r="AG261" s="8">
        <f t="shared" si="78"/>
        <v>-0.17602512520183655</v>
      </c>
      <c r="AH261" s="8">
        <f t="shared" si="79"/>
        <v>-8.6233450726781805E-2</v>
      </c>
      <c r="AI261" s="8">
        <f t="shared" si="80"/>
        <v>0.98060131922888494</v>
      </c>
      <c r="AJ261" s="8"/>
      <c r="AK261" s="8"/>
      <c r="AL261" s="8"/>
      <c r="AN261" s="8">
        <f t="shared" si="87"/>
        <v>1</v>
      </c>
      <c r="AO261" s="8">
        <f t="shared" si="88"/>
        <v>3.5971219009741597</v>
      </c>
      <c r="AP261" s="8">
        <f t="shared" si="89"/>
        <v>0.19729027033206781</v>
      </c>
      <c r="AQ261" s="8"/>
      <c r="AR261" s="8">
        <f t="shared" si="90"/>
        <v>206.09990331989499</v>
      </c>
      <c r="AS261" s="8">
        <f t="shared" si="91"/>
        <v>78.696100170977431</v>
      </c>
    </row>
    <row r="262" spans="1:45">
      <c r="A262" s="19">
        <v>17.350666669999999</v>
      </c>
      <c r="B262" s="19">
        <v>672.61881270000003</v>
      </c>
      <c r="C262" s="19">
        <v>-165.7820485</v>
      </c>
      <c r="E262" s="9">
        <f t="shared" si="81"/>
        <v>287.38118729999997</v>
      </c>
      <c r="F262" s="9">
        <f t="shared" si="82"/>
        <v>374.21795150000003</v>
      </c>
      <c r="I262">
        <v>1</v>
      </c>
      <c r="J262">
        <f t="shared" si="77"/>
        <v>0.30466385396256618</v>
      </c>
      <c r="K262">
        <f t="shared" si="83"/>
        <v>0.91590498587241742</v>
      </c>
      <c r="O262">
        <f t="shared" si="84"/>
        <v>0.18270518691881288</v>
      </c>
      <c r="P262">
        <f t="shared" si="85"/>
        <v>0.23791244451157834</v>
      </c>
      <c r="Q262">
        <f t="shared" si="86"/>
        <v>0.95394784103717478</v>
      </c>
      <c r="R262">
        <f t="shared" si="76"/>
        <v>1</v>
      </c>
      <c r="AG262" s="8">
        <f t="shared" si="78"/>
        <v>-0.17541509180006271</v>
      </c>
      <c r="AH262" s="8">
        <f t="shared" si="79"/>
        <v>-8.6100238330706375E-2</v>
      </c>
      <c r="AI262" s="8">
        <f t="shared" si="80"/>
        <v>0.98072233304242196</v>
      </c>
      <c r="AJ262" s="8"/>
      <c r="AK262" s="8"/>
      <c r="AL262" s="8"/>
      <c r="AN262" s="8">
        <f t="shared" si="87"/>
        <v>1</v>
      </c>
      <c r="AO262" s="8">
        <f t="shared" si="88"/>
        <v>3.5978831252125851</v>
      </c>
      <c r="AP262" s="8">
        <f t="shared" si="89"/>
        <v>0.19667193711256958</v>
      </c>
      <c r="AQ262" s="8"/>
      <c r="AR262" s="8">
        <f t="shared" si="90"/>
        <v>206.14351825601983</v>
      </c>
      <c r="AS262" s="8">
        <f t="shared" si="91"/>
        <v>78.731528054787418</v>
      </c>
    </row>
    <row r="263" spans="1:45">
      <c r="A263" s="19">
        <v>17.384033330000001</v>
      </c>
      <c r="B263" s="19">
        <v>672.99173299999995</v>
      </c>
      <c r="C263" s="19">
        <v>-166.03623089999999</v>
      </c>
      <c r="E263" s="9">
        <f t="shared" si="81"/>
        <v>287.00826700000005</v>
      </c>
      <c r="F263" s="9">
        <f t="shared" si="82"/>
        <v>373.96376910000004</v>
      </c>
      <c r="I263">
        <v>1</v>
      </c>
      <c r="J263">
        <f t="shared" si="77"/>
        <v>0.30440070894833982</v>
      </c>
      <c r="K263">
        <f t="shared" si="83"/>
        <v>0.91620399142010622</v>
      </c>
      <c r="O263">
        <f t="shared" si="84"/>
        <v>0.18248120127447823</v>
      </c>
      <c r="P263">
        <f t="shared" si="85"/>
        <v>0.23776791704226274</v>
      </c>
      <c r="Q263">
        <f t="shared" si="86"/>
        <v>0.95402674428278322</v>
      </c>
      <c r="R263">
        <f t="shared" si="76"/>
        <v>1</v>
      </c>
      <c r="AG263" s="8">
        <f t="shared" si="78"/>
        <v>-0.17520491840231167</v>
      </c>
      <c r="AH263" s="8">
        <f t="shared" si="79"/>
        <v>-8.6280904019792284E-2</v>
      </c>
      <c r="AI263" s="8">
        <f t="shared" si="80"/>
        <v>0.98074402479401668</v>
      </c>
      <c r="AJ263" s="8"/>
      <c r="AK263" s="8"/>
      <c r="AL263" s="8"/>
      <c r="AN263" s="8">
        <f t="shared" si="87"/>
        <v>1.0000000000000002</v>
      </c>
      <c r="AO263" s="8">
        <f t="shared" si="88"/>
        <v>3.599187745693464</v>
      </c>
      <c r="AP263" s="8">
        <f t="shared" si="89"/>
        <v>0.19656089783716446</v>
      </c>
      <c r="AQ263" s="8"/>
      <c r="AR263" s="8">
        <f t="shared" si="90"/>
        <v>206.21826750344053</v>
      </c>
      <c r="AS263" s="8">
        <f t="shared" si="91"/>
        <v>78.737890136628323</v>
      </c>
    </row>
    <row r="264" spans="1:45">
      <c r="A264" s="19">
        <v>17.417400000000001</v>
      </c>
      <c r="B264" s="19">
        <v>673.91603869999994</v>
      </c>
      <c r="C264" s="19">
        <v>-166.76486800000001</v>
      </c>
      <c r="E264" s="9">
        <f t="shared" si="81"/>
        <v>286.08396130000006</v>
      </c>
      <c r="F264" s="9">
        <f t="shared" si="82"/>
        <v>373.23513200000002</v>
      </c>
      <c r="I264">
        <v>1</v>
      </c>
      <c r="J264">
        <f t="shared" si="77"/>
        <v>0.30370035078987501</v>
      </c>
      <c r="K264">
        <f t="shared" si="83"/>
        <v>0.91681987445003854</v>
      </c>
      <c r="O264">
        <f t="shared" si="84"/>
        <v>0.1819282112472054</v>
      </c>
      <c r="P264">
        <f t="shared" si="85"/>
        <v>0.23734990116474797</v>
      </c>
      <c r="Q264">
        <f t="shared" si="86"/>
        <v>0.95423642268018494</v>
      </c>
      <c r="R264">
        <f t="shared" si="76"/>
        <v>1</v>
      </c>
      <c r="AG264" s="8">
        <f t="shared" si="78"/>
        <v>-0.17462614865314968</v>
      </c>
      <c r="AH264" s="8">
        <f t="shared" si="79"/>
        <v>-8.6711330516546378E-2</v>
      </c>
      <c r="AI264" s="8">
        <f t="shared" si="80"/>
        <v>0.98080928491048569</v>
      </c>
      <c r="AJ264" s="8"/>
      <c r="AK264" s="8"/>
      <c r="AL264" s="8"/>
      <c r="AN264" s="8">
        <f t="shared" si="87"/>
        <v>1</v>
      </c>
      <c r="AO264" s="8">
        <f t="shared" si="88"/>
        <v>3.6024797466066696</v>
      </c>
      <c r="AP264" s="8">
        <f t="shared" si="89"/>
        <v>0.19622645972464081</v>
      </c>
      <c r="AQ264" s="8"/>
      <c r="AR264" s="8">
        <f t="shared" si="90"/>
        <v>206.40688526192042</v>
      </c>
      <c r="AS264" s="8">
        <f t="shared" si="91"/>
        <v>78.757052028984248</v>
      </c>
    </row>
    <row r="265" spans="1:45">
      <c r="A265" s="19">
        <v>17.45076667</v>
      </c>
      <c r="B265" s="19">
        <v>673.89108920000001</v>
      </c>
      <c r="C265" s="19">
        <v>-167.91582070000001</v>
      </c>
      <c r="E265" s="9">
        <f t="shared" si="81"/>
        <v>286.10891079999999</v>
      </c>
      <c r="F265" s="9">
        <f t="shared" si="82"/>
        <v>372.08417929999996</v>
      </c>
      <c r="I265">
        <v>1</v>
      </c>
      <c r="J265">
        <f t="shared" si="77"/>
        <v>0.30314895006631692</v>
      </c>
      <c r="K265">
        <f t="shared" si="83"/>
        <v>0.91528593290005744</v>
      </c>
      <c r="O265">
        <f t="shared" si="84"/>
        <v>0.18197131803348185</v>
      </c>
      <c r="P265">
        <f t="shared" si="85"/>
        <v>0.23665340704455742</v>
      </c>
      <c r="Q265">
        <f t="shared" si="86"/>
        <v>0.95440117578896577</v>
      </c>
      <c r="R265">
        <f t="shared" si="76"/>
        <v>1</v>
      </c>
      <c r="AG265" s="8">
        <f t="shared" si="78"/>
        <v>-0.17395745760054848</v>
      </c>
      <c r="AH265" s="8">
        <f t="shared" si="79"/>
        <v>-8.6492524524160633E-2</v>
      </c>
      <c r="AI265" s="8">
        <f t="shared" si="80"/>
        <v>0.98094742272284441</v>
      </c>
      <c r="AJ265" s="8"/>
      <c r="AK265" s="8"/>
      <c r="AL265" s="8"/>
      <c r="AN265" s="8">
        <f t="shared" si="87"/>
        <v>1</v>
      </c>
      <c r="AO265" s="8">
        <f t="shared" si="88"/>
        <v>3.6030017951079047</v>
      </c>
      <c r="AP265" s="8">
        <f t="shared" si="89"/>
        <v>0.19551668302941527</v>
      </c>
      <c r="AQ265" s="8"/>
      <c r="AR265" s="8">
        <f t="shared" si="90"/>
        <v>206.43679643774232</v>
      </c>
      <c r="AS265" s="8">
        <f t="shared" si="91"/>
        <v>78.797719238017422</v>
      </c>
    </row>
    <row r="266" spans="1:45">
      <c r="A266" s="19">
        <v>17.484133329999999</v>
      </c>
      <c r="B266" s="19">
        <v>674.19610839999996</v>
      </c>
      <c r="C266" s="19">
        <v>-167.88642870000001</v>
      </c>
      <c r="E266" s="9">
        <f t="shared" si="81"/>
        <v>285.80389160000004</v>
      </c>
      <c r="F266" s="9">
        <f t="shared" si="82"/>
        <v>372.11357129999999</v>
      </c>
      <c r="I266">
        <v>1</v>
      </c>
      <c r="J266">
        <f t="shared" si="77"/>
        <v>0.30304908799523572</v>
      </c>
      <c r="K266">
        <f t="shared" si="83"/>
        <v>0.91583945824695678</v>
      </c>
      <c r="O266">
        <f t="shared" si="84"/>
        <v>0.18178224081695368</v>
      </c>
      <c r="P266">
        <f t="shared" si="85"/>
        <v>0.23667850864670753</v>
      </c>
      <c r="Q266">
        <f t="shared" si="86"/>
        <v>0.95443098255889491</v>
      </c>
      <c r="R266">
        <f t="shared" si="76"/>
        <v>1</v>
      </c>
      <c r="AG266" s="8">
        <f t="shared" si="78"/>
        <v>-0.1739240910192428</v>
      </c>
      <c r="AH266" s="8">
        <f t="shared" si="79"/>
        <v>-8.6682361001782143E-2</v>
      </c>
      <c r="AI266" s="8">
        <f t="shared" si="80"/>
        <v>0.98093658248343807</v>
      </c>
      <c r="AJ266" s="8"/>
      <c r="AK266" s="8"/>
      <c r="AL266" s="8"/>
      <c r="AN266" s="8">
        <f t="shared" si="87"/>
        <v>1</v>
      </c>
      <c r="AO266" s="8">
        <f t="shared" si="88"/>
        <v>3.6039529682550091</v>
      </c>
      <c r="AP266" s="8">
        <f t="shared" si="89"/>
        <v>0.19557247405771849</v>
      </c>
      <c r="AQ266" s="8"/>
      <c r="AR266" s="8">
        <f t="shared" si="90"/>
        <v>206.49129464465759</v>
      </c>
      <c r="AS266" s="8">
        <f t="shared" si="91"/>
        <v>78.794522647560953</v>
      </c>
    </row>
    <row r="267" spans="1:45">
      <c r="A267" s="19">
        <v>17.517499999999998</v>
      </c>
      <c r="B267" s="19">
        <v>674.90624249999996</v>
      </c>
      <c r="C267" s="19">
        <v>-168.81220809999999</v>
      </c>
      <c r="E267" s="9">
        <f t="shared" si="81"/>
        <v>285.09375750000004</v>
      </c>
      <c r="F267" s="9">
        <f t="shared" si="82"/>
        <v>371.18779189999998</v>
      </c>
      <c r="I267">
        <v>1</v>
      </c>
      <c r="J267">
        <f t="shared" si="77"/>
        <v>0.30233214401466862</v>
      </c>
      <c r="K267">
        <f t="shared" si="83"/>
        <v>0.91583790628159167</v>
      </c>
      <c r="O267">
        <f t="shared" si="84"/>
        <v>0.181365752457714</v>
      </c>
      <c r="P267">
        <f t="shared" si="85"/>
        <v>0.2361354866953228</v>
      </c>
      <c r="Q267">
        <f t="shared" si="86"/>
        <v>0.95464469608258451</v>
      </c>
      <c r="R267">
        <f t="shared" si="76"/>
        <v>1</v>
      </c>
      <c r="AG267" s="8">
        <f t="shared" si="78"/>
        <v>-0.17326487222240294</v>
      </c>
      <c r="AH267" s="8">
        <f t="shared" si="79"/>
        <v>-8.6948386434693284E-2</v>
      </c>
      <c r="AI267" s="8">
        <f t="shared" si="80"/>
        <v>0.9810296948360725</v>
      </c>
      <c r="AJ267" s="8"/>
      <c r="AK267" s="8"/>
      <c r="AL267" s="8"/>
      <c r="AN267" s="8">
        <f t="shared" si="87"/>
        <v>0.99999999999999989</v>
      </c>
      <c r="AO267" s="8">
        <f t="shared" si="88"/>
        <v>3.6066980067173939</v>
      </c>
      <c r="AP267" s="8">
        <f t="shared" si="89"/>
        <v>0.19509274302400392</v>
      </c>
      <c r="AQ267" s="8"/>
      <c r="AR267" s="8">
        <f t="shared" si="90"/>
        <v>206.64857376315331</v>
      </c>
      <c r="AS267" s="8">
        <f t="shared" si="91"/>
        <v>78.82200921109424</v>
      </c>
    </row>
    <row r="268" spans="1:45">
      <c r="A268" s="19">
        <v>17.550866670000001</v>
      </c>
      <c r="B268" s="19">
        <v>675.48764200000005</v>
      </c>
      <c r="C268" s="19">
        <v>-169.7011205</v>
      </c>
      <c r="E268" s="9">
        <f t="shared" si="81"/>
        <v>284.51235799999995</v>
      </c>
      <c r="F268" s="9">
        <f t="shared" si="82"/>
        <v>370.2988795</v>
      </c>
      <c r="I268">
        <v>1</v>
      </c>
      <c r="J268">
        <f t="shared" si="77"/>
        <v>0.30168109493883832</v>
      </c>
      <c r="K268">
        <f t="shared" si="83"/>
        <v>0.9156658050638331</v>
      </c>
      <c r="O268">
        <f t="shared" si="84"/>
        <v>0.18102768124069737</v>
      </c>
      <c r="P268">
        <f t="shared" si="85"/>
        <v>0.23561137376645486</v>
      </c>
      <c r="Q268">
        <f t="shared" si="86"/>
        <v>0.95483834190741435</v>
      </c>
      <c r="R268">
        <f t="shared" si="76"/>
        <v>1</v>
      </c>
      <c r="AG268" s="8">
        <f t="shared" si="78"/>
        <v>-0.17264824297661779</v>
      </c>
      <c r="AH268" s="8">
        <f t="shared" si="79"/>
        <v>-8.7143047787518815E-2</v>
      </c>
      <c r="AI268" s="8">
        <f t="shared" si="80"/>
        <v>0.98112113085968589</v>
      </c>
      <c r="AJ268" s="8"/>
      <c r="AK268" s="8"/>
      <c r="AL268" s="8"/>
      <c r="AN268" s="8">
        <f t="shared" si="87"/>
        <v>0.99999999999999989</v>
      </c>
      <c r="AO268" s="8">
        <f t="shared" si="88"/>
        <v>3.6090277164172297</v>
      </c>
      <c r="AP268" s="8">
        <f t="shared" si="89"/>
        <v>0.1946205126310907</v>
      </c>
      <c r="AQ268" s="8"/>
      <c r="AR268" s="8">
        <f t="shared" si="90"/>
        <v>206.78205629644458</v>
      </c>
      <c r="AS268" s="8">
        <f t="shared" si="91"/>
        <v>78.849066019565981</v>
      </c>
    </row>
    <row r="269" spans="1:45">
      <c r="A269" s="19">
        <v>17.58423333</v>
      </c>
      <c r="B269" s="19">
        <v>675.92724510000005</v>
      </c>
      <c r="C269" s="19">
        <v>-170.16885529999999</v>
      </c>
      <c r="E269" s="9">
        <f t="shared" si="81"/>
        <v>284.07275489999995</v>
      </c>
      <c r="F269" s="9">
        <f t="shared" si="82"/>
        <v>369.83114469999998</v>
      </c>
      <c r="I269">
        <v>1</v>
      </c>
      <c r="J269">
        <f t="shared" si="77"/>
        <v>0.30128834157552531</v>
      </c>
      <c r="K269">
        <f t="shared" si="83"/>
        <v>0.91580222499204567</v>
      </c>
      <c r="O269">
        <f t="shared" si="84"/>
        <v>0.18076708082523968</v>
      </c>
      <c r="P269">
        <f t="shared" si="85"/>
        <v>0.23533864220526771</v>
      </c>
      <c r="Q269">
        <f t="shared" si="86"/>
        <v>0.95495496541716685</v>
      </c>
      <c r="R269">
        <f t="shared" si="76"/>
        <v>1</v>
      </c>
      <c r="AG269" s="8">
        <f t="shared" si="78"/>
        <v>-0.17230145003620778</v>
      </c>
      <c r="AH269" s="8">
        <f t="shared" si="79"/>
        <v>-8.7326450680436818E-2</v>
      </c>
      <c r="AI269" s="8">
        <f t="shared" si="80"/>
        <v>0.98116578687140199</v>
      </c>
      <c r="AJ269" s="8"/>
      <c r="AK269" s="8"/>
      <c r="AL269" s="8"/>
      <c r="AN269" s="8">
        <f t="shared" si="87"/>
        <v>1</v>
      </c>
      <c r="AO269" s="8">
        <f t="shared" si="88"/>
        <v>3.6106842734926925</v>
      </c>
      <c r="AP269" s="8">
        <f t="shared" si="89"/>
        <v>0.19438947058080558</v>
      </c>
      <c r="AQ269" s="8"/>
      <c r="AR269" s="8">
        <f t="shared" si="90"/>
        <v>206.87697002539113</v>
      </c>
      <c r="AS269" s="8">
        <f t="shared" si="91"/>
        <v>78.862303753937368</v>
      </c>
    </row>
    <row r="270" spans="1:45">
      <c r="A270" s="19">
        <v>17.617599999999999</v>
      </c>
      <c r="B270" s="19">
        <v>676.7609976</v>
      </c>
      <c r="C270" s="19">
        <v>-171.09701089999999</v>
      </c>
      <c r="E270" s="9">
        <f t="shared" si="81"/>
        <v>283.2390024</v>
      </c>
      <c r="F270" s="9">
        <f t="shared" si="82"/>
        <v>368.90298910000001</v>
      </c>
      <c r="I270">
        <v>1</v>
      </c>
      <c r="J270">
        <f t="shared" si="77"/>
        <v>0.30052318182256965</v>
      </c>
      <c r="K270">
        <f t="shared" si="83"/>
        <v>0.91600824393735159</v>
      </c>
      <c r="O270">
        <f t="shared" si="84"/>
        <v>0.18027355426272179</v>
      </c>
      <c r="P270">
        <f t="shared" si="85"/>
        <v>0.2347962408414383</v>
      </c>
      <c r="Q270">
        <f t="shared" si="86"/>
        <v>0.95518174758535601</v>
      </c>
      <c r="R270">
        <f t="shared" si="76"/>
        <v>1</v>
      </c>
      <c r="AG270" s="8">
        <f t="shared" si="78"/>
        <v>-0.17161938898741724</v>
      </c>
      <c r="AH270" s="8">
        <f t="shared" si="79"/>
        <v>-8.7667099478052846E-2</v>
      </c>
      <c r="AI270" s="8">
        <f t="shared" si="80"/>
        <v>0.98125494393286539</v>
      </c>
      <c r="AJ270" s="8"/>
      <c r="AK270" s="8"/>
      <c r="AL270" s="8"/>
      <c r="AN270" s="8">
        <f t="shared" si="87"/>
        <v>1</v>
      </c>
      <c r="AO270" s="8">
        <f t="shared" si="88"/>
        <v>3.6138609803351773</v>
      </c>
      <c r="AP270" s="8">
        <f t="shared" si="89"/>
        <v>0.19392737524305437</v>
      </c>
      <c r="AQ270" s="8"/>
      <c r="AR270" s="8">
        <f t="shared" si="90"/>
        <v>207.05898192021584</v>
      </c>
      <c r="AS270" s="8">
        <f t="shared" si="91"/>
        <v>78.88877986652318</v>
      </c>
    </row>
    <row r="271" spans="1:45">
      <c r="A271" s="19">
        <v>17.650966669999999</v>
      </c>
      <c r="B271" s="19">
        <v>676.77162799999996</v>
      </c>
      <c r="C271" s="19">
        <v>-171.6720316</v>
      </c>
      <c r="E271" s="9">
        <f t="shared" si="81"/>
        <v>283.22837200000004</v>
      </c>
      <c r="F271" s="9">
        <f t="shared" si="82"/>
        <v>368.32796840000003</v>
      </c>
      <c r="I271">
        <v>1</v>
      </c>
      <c r="J271">
        <f t="shared" si="77"/>
        <v>0.30023864542669448</v>
      </c>
      <c r="K271">
        <f t="shared" si="83"/>
        <v>0.91527271549321765</v>
      </c>
      <c r="O271">
        <f t="shared" si="84"/>
        <v>0.1802805249404357</v>
      </c>
      <c r="P271">
        <f t="shared" si="85"/>
        <v>0.23444812052020061</v>
      </c>
      <c r="Q271">
        <f t="shared" si="86"/>
        <v>0.95526593737647025</v>
      </c>
      <c r="R271">
        <f t="shared" si="76"/>
        <v>1</v>
      </c>
      <c r="AG271" s="8">
        <f t="shared" si="78"/>
        <v>-0.17128079997872267</v>
      </c>
      <c r="AH271" s="8">
        <f t="shared" si="79"/>
        <v>-8.7571696969294566E-2</v>
      </c>
      <c r="AI271" s="8">
        <f t="shared" si="80"/>
        <v>0.98132262047125296</v>
      </c>
      <c r="AJ271" s="8"/>
      <c r="AK271" s="8"/>
      <c r="AL271" s="8"/>
      <c r="AN271" s="8">
        <f t="shared" si="87"/>
        <v>1</v>
      </c>
      <c r="AO271" s="8">
        <f t="shared" si="88"/>
        <v>3.6142200141364804</v>
      </c>
      <c r="AP271" s="8">
        <f t="shared" si="89"/>
        <v>0.19357588490140598</v>
      </c>
      <c r="AQ271" s="8"/>
      <c r="AR271" s="8">
        <f t="shared" si="90"/>
        <v>207.07955304173305</v>
      </c>
      <c r="AS271" s="8">
        <f t="shared" si="91"/>
        <v>78.908918779639237</v>
      </c>
    </row>
    <row r="272" spans="1:45">
      <c r="A272" s="19">
        <v>17.684333330000001</v>
      </c>
      <c r="B272" s="19">
        <v>676.96388920000004</v>
      </c>
      <c r="C272" s="19">
        <v>-172.34651030000001</v>
      </c>
      <c r="E272" s="9">
        <f t="shared" si="81"/>
        <v>283.03611079999996</v>
      </c>
      <c r="F272" s="9">
        <f t="shared" si="82"/>
        <v>367.65348970000002</v>
      </c>
      <c r="I272">
        <v>1</v>
      </c>
      <c r="J272">
        <f t="shared" si="77"/>
        <v>0.29983751629961425</v>
      </c>
      <c r="K272">
        <f t="shared" si="83"/>
        <v>0.91471507655841056</v>
      </c>
      <c r="O272">
        <f t="shared" si="84"/>
        <v>0.1801774706777676</v>
      </c>
      <c r="P272">
        <f t="shared" si="85"/>
        <v>0.23404390228782324</v>
      </c>
      <c r="Q272">
        <f t="shared" si="86"/>
        <v>0.95538449373121503</v>
      </c>
      <c r="R272">
        <f t="shared" si="76"/>
        <v>1</v>
      </c>
      <c r="AG272" s="8">
        <f t="shared" si="78"/>
        <v>-0.17085362974849563</v>
      </c>
      <c r="AH272" s="8">
        <f t="shared" si="79"/>
        <v>-8.7568691024486014E-2</v>
      </c>
      <c r="AI272" s="8">
        <f t="shared" si="80"/>
        <v>0.98139735151161989</v>
      </c>
      <c r="AJ272" s="8"/>
      <c r="AK272" s="8"/>
      <c r="AL272" s="8"/>
      <c r="AN272" s="8">
        <f t="shared" si="87"/>
        <v>0.99999999999999989</v>
      </c>
      <c r="AO272" s="8">
        <f t="shared" si="88"/>
        <v>3.6152189490523412</v>
      </c>
      <c r="AP272" s="8">
        <f t="shared" si="89"/>
        <v>0.19318702207015459</v>
      </c>
      <c r="AQ272" s="8"/>
      <c r="AR272" s="8">
        <f t="shared" si="90"/>
        <v>207.13678779642015</v>
      </c>
      <c r="AS272" s="8">
        <f t="shared" si="91"/>
        <v>78.931198978679447</v>
      </c>
    </row>
    <row r="273" spans="1:45">
      <c r="A273" s="19">
        <v>17.717700000000001</v>
      </c>
      <c r="B273" s="19">
        <v>677.52273739999998</v>
      </c>
      <c r="C273" s="19">
        <v>-173.1063375</v>
      </c>
      <c r="E273" s="9">
        <f t="shared" si="81"/>
        <v>282.47726260000002</v>
      </c>
      <c r="F273" s="9">
        <f t="shared" si="82"/>
        <v>366.8936625</v>
      </c>
      <c r="I273">
        <v>1</v>
      </c>
      <c r="J273">
        <f t="shared" si="77"/>
        <v>0.29925702655513658</v>
      </c>
      <c r="K273">
        <f t="shared" si="83"/>
        <v>0.91467041076106637</v>
      </c>
      <c r="O273">
        <f t="shared" si="84"/>
        <v>0.17984956475937927</v>
      </c>
      <c r="P273">
        <f t="shared" si="85"/>
        <v>0.23359637836422303</v>
      </c>
      <c r="Q273">
        <f t="shared" si="86"/>
        <v>0.95555578909396</v>
      </c>
      <c r="R273">
        <f t="shared" si="76"/>
        <v>1</v>
      </c>
      <c r="AG273" s="8">
        <f t="shared" si="78"/>
        <v>-0.17031525075539611</v>
      </c>
      <c r="AH273" s="8">
        <f t="shared" si="79"/>
        <v>-8.777268091491125E-2</v>
      </c>
      <c r="AI273" s="8">
        <f t="shared" si="80"/>
        <v>0.98147270560374511</v>
      </c>
      <c r="AJ273" s="8"/>
      <c r="AK273" s="8"/>
      <c r="AL273" s="8"/>
      <c r="AN273" s="8">
        <f t="shared" si="87"/>
        <v>1</v>
      </c>
      <c r="AO273" s="8">
        <f t="shared" si="88"/>
        <v>3.6174480413190149</v>
      </c>
      <c r="AP273" s="8">
        <f t="shared" si="89"/>
        <v>0.19279413294952485</v>
      </c>
      <c r="AQ273" s="8"/>
      <c r="AR273" s="8">
        <f t="shared" si="90"/>
        <v>207.26450537544579</v>
      </c>
      <c r="AS273" s="8">
        <f t="shared" si="91"/>
        <v>78.953709867108145</v>
      </c>
    </row>
    <row r="274" spans="1:45">
      <c r="A274" s="19">
        <v>17.75106667</v>
      </c>
      <c r="B274" s="19">
        <v>677.98549560000004</v>
      </c>
      <c r="C274" s="19">
        <v>-173.8890031</v>
      </c>
      <c r="E274" s="9">
        <f t="shared" si="81"/>
        <v>282.01450439999996</v>
      </c>
      <c r="F274" s="9">
        <f t="shared" si="82"/>
        <v>366.11099690000003</v>
      </c>
      <c r="I274">
        <v>1</v>
      </c>
      <c r="J274">
        <f t="shared" si="77"/>
        <v>0.29870130961083563</v>
      </c>
      <c r="K274">
        <f t="shared" si="83"/>
        <v>0.91443066579190435</v>
      </c>
      <c r="O274">
        <f t="shared" si="84"/>
        <v>0.1795814857204161</v>
      </c>
      <c r="P274">
        <f t="shared" si="85"/>
        <v>0.23313253657560692</v>
      </c>
      <c r="Q274">
        <f t="shared" si="86"/>
        <v>0.95571947263633339</v>
      </c>
      <c r="R274">
        <f t="shared" si="76"/>
        <v>1</v>
      </c>
      <c r="AG274" s="8">
        <f t="shared" si="78"/>
        <v>-0.1697792578069891</v>
      </c>
      <c r="AH274" s="8">
        <f t="shared" si="79"/>
        <v>-8.791442505565987E-2</v>
      </c>
      <c r="AI274" s="8">
        <f t="shared" si="80"/>
        <v>0.98155288063641311</v>
      </c>
      <c r="AJ274" s="8"/>
      <c r="AK274" s="8"/>
      <c r="AL274" s="8"/>
      <c r="AN274" s="8">
        <f t="shared" si="87"/>
        <v>0.99999999999999989</v>
      </c>
      <c r="AO274" s="8">
        <f t="shared" si="88"/>
        <v>3.6193913068064938</v>
      </c>
      <c r="AP274" s="8">
        <f t="shared" si="89"/>
        <v>0.19237523782242394</v>
      </c>
      <c r="AQ274" s="8"/>
      <c r="AR274" s="8">
        <f t="shared" si="90"/>
        <v>207.37584628635176</v>
      </c>
      <c r="AS274" s="8">
        <f t="shared" si="91"/>
        <v>78.977710789949626</v>
      </c>
    </row>
    <row r="275" spans="1:45">
      <c r="A275" s="19">
        <v>17.784433329999999</v>
      </c>
      <c r="B275" s="19">
        <v>678.13298959999997</v>
      </c>
      <c r="C275" s="19">
        <v>-174.86600139999999</v>
      </c>
      <c r="E275" s="9">
        <f t="shared" si="81"/>
        <v>281.86701040000003</v>
      </c>
      <c r="F275" s="9">
        <f t="shared" si="82"/>
        <v>365.13399860000004</v>
      </c>
      <c r="I275">
        <v>1</v>
      </c>
      <c r="J275">
        <f t="shared" si="77"/>
        <v>0.29816925549897028</v>
      </c>
      <c r="K275">
        <f t="shared" si="83"/>
        <v>0.9133914563693698</v>
      </c>
      <c r="O275">
        <f t="shared" si="84"/>
        <v>0.17951291379540277</v>
      </c>
      <c r="P275">
        <f t="shared" si="85"/>
        <v>0.23254324059220416</v>
      </c>
      <c r="Q275">
        <f t="shared" si="86"/>
        <v>0.95587590985208981</v>
      </c>
      <c r="R275">
        <f t="shared" si="76"/>
        <v>1</v>
      </c>
      <c r="AG275" s="8">
        <f t="shared" si="78"/>
        <v>-0.16918161811960736</v>
      </c>
      <c r="AH275" s="8">
        <f t="shared" si="79"/>
        <v>-8.7830640716693983E-2</v>
      </c>
      <c r="AI275" s="8">
        <f t="shared" si="80"/>
        <v>0.98166356693203527</v>
      </c>
      <c r="AJ275" s="8"/>
      <c r="AK275" s="8"/>
      <c r="AL275" s="8"/>
      <c r="AN275" s="8">
        <f t="shared" si="87"/>
        <v>1</v>
      </c>
      <c r="AO275" s="8">
        <f t="shared" si="88"/>
        <v>3.6204426492958501</v>
      </c>
      <c r="AP275" s="8">
        <f t="shared" si="89"/>
        <v>0.19179544396944803</v>
      </c>
      <c r="AQ275" s="8"/>
      <c r="AR275" s="8">
        <f t="shared" si="90"/>
        <v>207.43608377381466</v>
      </c>
      <c r="AS275" s="8">
        <f t="shared" si="91"/>
        <v>79.01093053071277</v>
      </c>
    </row>
    <row r="276" spans="1:45">
      <c r="A276" s="19">
        <v>17.817799999999998</v>
      </c>
      <c r="B276" s="19">
        <v>678.29472539999995</v>
      </c>
      <c r="C276" s="19">
        <v>-175.2891855</v>
      </c>
      <c r="E276" s="9">
        <f t="shared" si="81"/>
        <v>281.70527460000005</v>
      </c>
      <c r="F276" s="9">
        <f t="shared" si="82"/>
        <v>364.71081449999997</v>
      </c>
      <c r="I276">
        <v>1</v>
      </c>
      <c r="J276">
        <f t="shared" si="77"/>
        <v>0.29790198370644505</v>
      </c>
      <c r="K276">
        <f t="shared" si="83"/>
        <v>0.91310813368648991</v>
      </c>
      <c r="O276">
        <f t="shared" si="84"/>
        <v>0.17942261367693704</v>
      </c>
      <c r="P276">
        <f t="shared" si="85"/>
        <v>0.23229017513694272</v>
      </c>
      <c r="Q276">
        <f t="shared" si="86"/>
        <v>0.95595439234107038</v>
      </c>
      <c r="R276">
        <f t="shared" si="76"/>
        <v>1</v>
      </c>
      <c r="AG276" s="8">
        <f t="shared" si="78"/>
        <v>-0.16890635352333239</v>
      </c>
      <c r="AH276" s="8">
        <f t="shared" si="79"/>
        <v>-8.7853647503649254E-2</v>
      </c>
      <c r="AI276" s="8">
        <f t="shared" si="80"/>
        <v>0.98170890815951939</v>
      </c>
      <c r="AJ276" s="8"/>
      <c r="AK276" s="8"/>
      <c r="AL276" s="8"/>
      <c r="AN276" s="8">
        <f t="shared" si="87"/>
        <v>1</v>
      </c>
      <c r="AO276" s="8">
        <f t="shared" si="88"/>
        <v>3.6212160680735659</v>
      </c>
      <c r="AP276" s="8">
        <f t="shared" si="89"/>
        <v>0.19155743839943185</v>
      </c>
      <c r="AQ276" s="8"/>
      <c r="AR276" s="8">
        <f t="shared" si="90"/>
        <v>207.48039740557394</v>
      </c>
      <c r="AS276" s="8">
        <f t="shared" si="91"/>
        <v>79.024567245375309</v>
      </c>
    </row>
    <row r="277" spans="1:45">
      <c r="A277" s="19">
        <v>17.851166670000001</v>
      </c>
      <c r="B277" s="19">
        <v>679.35829869999998</v>
      </c>
      <c r="C277" s="19">
        <v>-176.09309339999999</v>
      </c>
      <c r="E277" s="9">
        <f t="shared" si="81"/>
        <v>280.64170130000002</v>
      </c>
      <c r="F277" s="9">
        <f t="shared" si="82"/>
        <v>363.90690660000001</v>
      </c>
      <c r="I277">
        <v>1</v>
      </c>
      <c r="J277">
        <f t="shared" si="77"/>
        <v>0.29710926555184197</v>
      </c>
      <c r="K277">
        <f t="shared" si="83"/>
        <v>0.91387039780741819</v>
      </c>
      <c r="O277">
        <f t="shared" si="84"/>
        <v>0.17878265991749198</v>
      </c>
      <c r="P277">
        <f t="shared" si="85"/>
        <v>0.23182671863418577</v>
      </c>
      <c r="Q277">
        <f t="shared" si="86"/>
        <v>0.95618676681918813</v>
      </c>
      <c r="R277">
        <f t="shared" si="76"/>
        <v>1</v>
      </c>
      <c r="AG277" s="8">
        <f t="shared" si="78"/>
        <v>-0.16825700489725567</v>
      </c>
      <c r="AH277" s="8">
        <f t="shared" si="79"/>
        <v>-8.8355906495490993E-2</v>
      </c>
      <c r="AI277" s="8">
        <f t="shared" si="80"/>
        <v>0.98177533789068305</v>
      </c>
      <c r="AJ277" s="8"/>
      <c r="AK277" s="8"/>
      <c r="AL277" s="8"/>
      <c r="AN277" s="8">
        <f t="shared" si="87"/>
        <v>1</v>
      </c>
      <c r="AO277" s="8">
        <f t="shared" si="88"/>
        <v>3.6251373934513684</v>
      </c>
      <c r="AP277" s="8">
        <f t="shared" si="89"/>
        <v>0.19120820645263237</v>
      </c>
      <c r="AQ277" s="8"/>
      <c r="AR277" s="8">
        <f t="shared" si="90"/>
        <v>207.70507279981956</v>
      </c>
      <c r="AS277" s="8">
        <f t="shared" si="91"/>
        <v>79.044576761998059</v>
      </c>
    </row>
    <row r="278" spans="1:45">
      <c r="A278" s="19">
        <v>17.88453333</v>
      </c>
      <c r="B278" s="19">
        <v>679.69913110000005</v>
      </c>
      <c r="C278" s="19">
        <v>-176.77057379999999</v>
      </c>
      <c r="E278" s="9">
        <f t="shared" si="81"/>
        <v>280.30086889999995</v>
      </c>
      <c r="F278" s="9">
        <f t="shared" si="82"/>
        <v>363.22942620000003</v>
      </c>
      <c r="I278">
        <v>1</v>
      </c>
      <c r="J278">
        <f t="shared" si="77"/>
        <v>0.29665019993612868</v>
      </c>
      <c r="K278">
        <f t="shared" si="83"/>
        <v>0.91355690812668466</v>
      </c>
      <c r="O278">
        <f t="shared" si="84"/>
        <v>0.17858713673240234</v>
      </c>
      <c r="P278">
        <f t="shared" si="85"/>
        <v>0.23142312564558543</v>
      </c>
      <c r="Q278">
        <f t="shared" si="86"/>
        <v>0.95632106089437863</v>
      </c>
      <c r="R278">
        <f t="shared" si="76"/>
        <v>1</v>
      </c>
      <c r="AG278" s="8">
        <f t="shared" si="78"/>
        <v>-0.16780229762896098</v>
      </c>
      <c r="AH278" s="8">
        <f t="shared" si="79"/>
        <v>-8.8442444746711701E-2</v>
      </c>
      <c r="AI278" s="8">
        <f t="shared" si="80"/>
        <v>0.98184536607230899</v>
      </c>
      <c r="AJ278" s="8"/>
      <c r="AK278" s="8"/>
      <c r="AL278" s="8"/>
      <c r="AN278" s="8">
        <f t="shared" si="87"/>
        <v>1</v>
      </c>
      <c r="AO278" s="8">
        <f t="shared" si="88"/>
        <v>3.6266558190285707</v>
      </c>
      <c r="AP278" s="8">
        <f t="shared" si="89"/>
        <v>0.1908393733809397</v>
      </c>
      <c r="AQ278" s="8"/>
      <c r="AR278" s="8">
        <f t="shared" si="90"/>
        <v>207.79207217689796</v>
      </c>
      <c r="AS278" s="8">
        <f t="shared" si="91"/>
        <v>79.065709340350892</v>
      </c>
    </row>
    <row r="279" spans="1:45">
      <c r="A279" s="19">
        <v>17.917899999999999</v>
      </c>
      <c r="B279" s="19">
        <v>680.01165249999997</v>
      </c>
      <c r="C279" s="19">
        <v>-177.23792510000001</v>
      </c>
      <c r="E279" s="9">
        <f t="shared" si="81"/>
        <v>279.98834750000003</v>
      </c>
      <c r="F279" s="9">
        <f t="shared" si="82"/>
        <v>362.76207490000002</v>
      </c>
      <c r="I279">
        <v>1</v>
      </c>
      <c r="J279">
        <f t="shared" si="77"/>
        <v>0.29630429642248163</v>
      </c>
      <c r="K279">
        <f t="shared" si="83"/>
        <v>0.9134737582118021</v>
      </c>
      <c r="O279">
        <f t="shared" si="84"/>
        <v>0.17840425277825739</v>
      </c>
      <c r="P279">
        <f t="shared" si="85"/>
        <v>0.23114639407922052</v>
      </c>
      <c r="Q279">
        <f t="shared" si="86"/>
        <v>0.95642211763154317</v>
      </c>
      <c r="R279">
        <f t="shared" si="76"/>
        <v>1</v>
      </c>
      <c r="AG279" s="8">
        <f t="shared" si="78"/>
        <v>-0.16747559367540729</v>
      </c>
      <c r="AH279" s="8">
        <f t="shared" si="79"/>
        <v>-8.854908619722518E-2</v>
      </c>
      <c r="AI279" s="8">
        <f t="shared" si="80"/>
        <v>0.98189153416082897</v>
      </c>
      <c r="AJ279" s="8"/>
      <c r="AK279" s="8"/>
      <c r="AL279" s="8"/>
      <c r="AN279" s="8">
        <f t="shared" si="87"/>
        <v>1</v>
      </c>
      <c r="AO279" s="8">
        <f t="shared" si="88"/>
        <v>3.6279578944039499</v>
      </c>
      <c r="AP279" s="8">
        <f t="shared" si="89"/>
        <v>0.19059582395802921</v>
      </c>
      <c r="AQ279" s="8"/>
      <c r="AR279" s="8">
        <f t="shared" si="90"/>
        <v>207.86667560051512</v>
      </c>
      <c r="AS279" s="8">
        <f t="shared" si="91"/>
        <v>79.079663694386511</v>
      </c>
    </row>
    <row r="280" spans="1:45">
      <c r="A280" s="19">
        <v>17.951266669999999</v>
      </c>
      <c r="B280" s="19">
        <v>680.26378539999996</v>
      </c>
      <c r="C280" s="19">
        <v>-178.00489039999999</v>
      </c>
      <c r="E280" s="9">
        <f t="shared" si="81"/>
        <v>279.73621460000004</v>
      </c>
      <c r="F280" s="9">
        <f t="shared" si="82"/>
        <v>361.99510959999998</v>
      </c>
      <c r="I280">
        <v>1</v>
      </c>
      <c r="J280">
        <f t="shared" si="77"/>
        <v>0.29583482339698913</v>
      </c>
      <c r="K280">
        <f t="shared" si="83"/>
        <v>0.91288571917368555</v>
      </c>
      <c r="O280">
        <f t="shared" si="84"/>
        <v>0.17826556882184161</v>
      </c>
      <c r="P280">
        <f t="shared" si="85"/>
        <v>0.2306861277001383</v>
      </c>
      <c r="Q280">
        <f t="shared" si="86"/>
        <v>0.95655909250779736</v>
      </c>
      <c r="R280">
        <f t="shared" si="76"/>
        <v>1</v>
      </c>
      <c r="AG280" s="8">
        <f t="shared" si="78"/>
        <v>-0.16698287928214645</v>
      </c>
      <c r="AH280" s="8">
        <f t="shared" si="79"/>
        <v>-8.8565965274132588E-2</v>
      </c>
      <c r="AI280" s="8">
        <f t="shared" si="80"/>
        <v>0.9819739242065979</v>
      </c>
      <c r="AJ280" s="8"/>
      <c r="AK280" s="8"/>
      <c r="AL280" s="8"/>
      <c r="AN280" s="8">
        <f t="shared" si="87"/>
        <v>1</v>
      </c>
      <c r="AO280" s="8">
        <f t="shared" si="88"/>
        <v>3.6292552644565914</v>
      </c>
      <c r="AP280" s="8">
        <f t="shared" si="89"/>
        <v>0.19016042810055911</v>
      </c>
      <c r="AQ280" s="8"/>
      <c r="AR280" s="8">
        <f t="shared" si="90"/>
        <v>207.94100942899814</v>
      </c>
      <c r="AS280" s="8">
        <f t="shared" si="91"/>
        <v>79.10461003943702</v>
      </c>
    </row>
    <row r="281" spans="1:45">
      <c r="A281" s="19">
        <v>17.984633330000001</v>
      </c>
      <c r="B281" s="19">
        <v>680.92645140000002</v>
      </c>
      <c r="C281" s="19">
        <v>-178.96633660000001</v>
      </c>
      <c r="E281" s="9">
        <f t="shared" si="81"/>
        <v>279.07354859999998</v>
      </c>
      <c r="F281" s="9">
        <f t="shared" si="82"/>
        <v>361.03366340000002</v>
      </c>
      <c r="I281">
        <v>1</v>
      </c>
      <c r="J281">
        <f t="shared" si="77"/>
        <v>0.29511540366575362</v>
      </c>
      <c r="K281">
        <f t="shared" si="83"/>
        <v>0.91274647050160695</v>
      </c>
      <c r="O281">
        <f t="shared" si="84"/>
        <v>0.17787677763555601</v>
      </c>
      <c r="P281">
        <f t="shared" si="85"/>
        <v>0.23011677382437523</v>
      </c>
      <c r="Q281">
        <f t="shared" si="86"/>
        <v>0.95676858350525507</v>
      </c>
      <c r="R281">
        <f t="shared" si="76"/>
        <v>1</v>
      </c>
      <c r="AG281" s="8">
        <f t="shared" si="78"/>
        <v>-0.16630696185285404</v>
      </c>
      <c r="AH281" s="8">
        <f t="shared" si="79"/>
        <v>-8.8797363971800505E-2</v>
      </c>
      <c r="AI281" s="8">
        <f t="shared" si="80"/>
        <v>0.98206772810785958</v>
      </c>
      <c r="AJ281" s="8"/>
      <c r="AK281" s="8"/>
      <c r="AL281" s="8"/>
      <c r="AN281" s="8">
        <f t="shared" si="87"/>
        <v>0.99999999999999989</v>
      </c>
      <c r="AO281" s="8">
        <f t="shared" si="88"/>
        <v>3.6320194876331655</v>
      </c>
      <c r="AP281" s="8">
        <f t="shared" si="89"/>
        <v>0.18966351288451122</v>
      </c>
      <c r="AQ281" s="8"/>
      <c r="AR281" s="8">
        <f t="shared" si="90"/>
        <v>208.09938775064808</v>
      </c>
      <c r="AS281" s="8">
        <f t="shared" si="91"/>
        <v>79.13308118409239</v>
      </c>
    </row>
    <row r="282" spans="1:45">
      <c r="A282" s="19">
        <v>18.018000000000001</v>
      </c>
      <c r="B282" s="19">
        <v>681.11638570000002</v>
      </c>
      <c r="C282" s="19">
        <v>-179.08659359999999</v>
      </c>
      <c r="E282" s="9">
        <f t="shared" si="81"/>
        <v>278.88361429999998</v>
      </c>
      <c r="F282" s="9">
        <f t="shared" si="82"/>
        <v>360.91340639999999</v>
      </c>
      <c r="I282">
        <v>1</v>
      </c>
      <c r="J282">
        <f t="shared" si="77"/>
        <v>0.29498499691341062</v>
      </c>
      <c r="K282">
        <f t="shared" si="83"/>
        <v>0.91291469215039978</v>
      </c>
      <c r="O282">
        <f t="shared" si="84"/>
        <v>0.17776177392760925</v>
      </c>
      <c r="P282">
        <f t="shared" si="85"/>
        <v>0.23004796290005688</v>
      </c>
      <c r="Q282">
        <f t="shared" si="86"/>
        <v>0.95680650420847557</v>
      </c>
      <c r="R282">
        <f t="shared" si="76"/>
        <v>1</v>
      </c>
      <c r="AG282" s="8">
        <f t="shared" si="78"/>
        <v>-0.16620446805252942</v>
      </c>
      <c r="AH282" s="8">
        <f t="shared" si="79"/>
        <v>-8.8891254033384243E-2</v>
      </c>
      <c r="AI282" s="8">
        <f t="shared" si="80"/>
        <v>0.98207658548391641</v>
      </c>
      <c r="AJ282" s="8"/>
      <c r="AK282" s="8"/>
      <c r="AL282" s="8"/>
      <c r="AN282" s="8">
        <f t="shared" si="87"/>
        <v>1.0000000000000002</v>
      </c>
      <c r="AO282" s="8">
        <f t="shared" si="88"/>
        <v>3.6327150344046761</v>
      </c>
      <c r="AP282" s="8">
        <f t="shared" si="89"/>
        <v>0.18961652549320074</v>
      </c>
      <c r="AQ282" s="8"/>
      <c r="AR282" s="8">
        <f t="shared" si="90"/>
        <v>208.1392396451096</v>
      </c>
      <c r="AS282" s="8">
        <f t="shared" si="91"/>
        <v>79.135773363304821</v>
      </c>
    </row>
    <row r="283" spans="1:45">
      <c r="A283" s="19">
        <v>18.05136667</v>
      </c>
      <c r="B283" s="19">
        <v>681.73479699999996</v>
      </c>
      <c r="C283" s="19">
        <v>-180.30528570000001</v>
      </c>
      <c r="E283" s="9">
        <f t="shared" si="81"/>
        <v>278.26520300000004</v>
      </c>
      <c r="F283" s="9">
        <f t="shared" si="82"/>
        <v>359.69471429999999</v>
      </c>
      <c r="I283">
        <v>1</v>
      </c>
      <c r="J283">
        <f t="shared" si="77"/>
        <v>0.29415629212488348</v>
      </c>
      <c r="K283">
        <f t="shared" si="83"/>
        <v>0.91235216659522544</v>
      </c>
      <c r="O283">
        <f t="shared" si="84"/>
        <v>0.17740592121687651</v>
      </c>
      <c r="P283">
        <f t="shared" si="85"/>
        <v>0.22932070362830348</v>
      </c>
      <c r="Q283">
        <f t="shared" si="86"/>
        <v>0.95704710124664771</v>
      </c>
      <c r="R283">
        <f t="shared" ref="R283:R346" si="92">SQRT(O283^2+P283^2+Q283^2)</f>
        <v>1</v>
      </c>
      <c r="AG283" s="8">
        <f t="shared" si="78"/>
        <v>-0.16538424585964395</v>
      </c>
      <c r="AH283" s="8">
        <f t="shared" si="79"/>
        <v>-8.9050214689775836E-2</v>
      </c>
      <c r="AI283" s="8">
        <f t="shared" si="80"/>
        <v>0.9822006467545934</v>
      </c>
      <c r="AJ283" s="8"/>
      <c r="AK283" s="8"/>
      <c r="AL283" s="8"/>
      <c r="AN283" s="8">
        <f t="shared" si="87"/>
        <v>0.99999999999999989</v>
      </c>
      <c r="AO283" s="8">
        <f t="shared" si="88"/>
        <v>3.6355207064495998</v>
      </c>
      <c r="AP283" s="8">
        <f t="shared" si="89"/>
        <v>0.18895718110773974</v>
      </c>
      <c r="AQ283" s="8"/>
      <c r="AR283" s="8">
        <f t="shared" si="90"/>
        <v>208.29999281198155</v>
      </c>
      <c r="AS283" s="8">
        <f t="shared" si="91"/>
        <v>79.173551013837383</v>
      </c>
    </row>
    <row r="284" spans="1:45">
      <c r="A284" s="19">
        <v>18.084733329999999</v>
      </c>
      <c r="B284" s="19">
        <v>682.06375760000003</v>
      </c>
      <c r="C284" s="19">
        <v>-181.1373749</v>
      </c>
      <c r="E284" s="9">
        <f t="shared" si="81"/>
        <v>277.93624239999997</v>
      </c>
      <c r="F284" s="9">
        <f t="shared" si="82"/>
        <v>358.8626251</v>
      </c>
      <c r="I284">
        <v>1</v>
      </c>
      <c r="J284">
        <f t="shared" si="77"/>
        <v>0.29362557794407157</v>
      </c>
      <c r="K284">
        <f t="shared" si="83"/>
        <v>0.91180369486099855</v>
      </c>
      <c r="O284">
        <f t="shared" si="84"/>
        <v>0.17722063645755123</v>
      </c>
      <c r="P284">
        <f t="shared" si="85"/>
        <v>0.22882176959678724</v>
      </c>
      <c r="Q284">
        <f t="shared" si="86"/>
        <v>0.9572008377410538</v>
      </c>
      <c r="R284">
        <f t="shared" si="92"/>
        <v>1</v>
      </c>
      <c r="AG284" s="8">
        <f t="shared" si="78"/>
        <v>-0.16483958002246479</v>
      </c>
      <c r="AH284" s="8">
        <f t="shared" si="79"/>
        <v>-8.9102150296785351E-2</v>
      </c>
      <c r="AI284" s="8">
        <f t="shared" si="80"/>
        <v>0.9822874933900495</v>
      </c>
      <c r="AJ284" s="8"/>
      <c r="AK284" s="8"/>
      <c r="AL284" s="8"/>
      <c r="AN284" s="8">
        <f t="shared" si="87"/>
        <v>1</v>
      </c>
      <c r="AO284" s="8">
        <f t="shared" si="88"/>
        <v>3.6371427994390189</v>
      </c>
      <c r="AP284" s="8">
        <f t="shared" si="89"/>
        <v>0.18849426419733817</v>
      </c>
      <c r="AQ284" s="8"/>
      <c r="AR284" s="8">
        <f t="shared" si="90"/>
        <v>208.39293189425302</v>
      </c>
      <c r="AS284" s="8">
        <f t="shared" si="91"/>
        <v>79.200074199068624</v>
      </c>
    </row>
    <row r="285" spans="1:45">
      <c r="A285" s="19">
        <v>18.118099999999998</v>
      </c>
      <c r="B285" s="19">
        <v>682.46389859999999</v>
      </c>
      <c r="C285" s="19">
        <v>-181.6909598</v>
      </c>
      <c r="E285" s="9">
        <f t="shared" si="81"/>
        <v>277.53610140000001</v>
      </c>
      <c r="F285" s="9">
        <f t="shared" si="82"/>
        <v>358.30904020000003</v>
      </c>
      <c r="I285">
        <v>1</v>
      </c>
      <c r="J285">
        <f t="shared" si="77"/>
        <v>0.29320385857947701</v>
      </c>
      <c r="K285">
        <f t="shared" si="83"/>
        <v>0.9117537940045608</v>
      </c>
      <c r="O285">
        <f t="shared" si="84"/>
        <v>0.17698484737372458</v>
      </c>
      <c r="P285">
        <f t="shared" si="85"/>
        <v>0.22849377242287208</v>
      </c>
      <c r="Q285">
        <f t="shared" si="86"/>
        <v>0.95732280854686846</v>
      </c>
      <c r="R285">
        <f t="shared" si="92"/>
        <v>1</v>
      </c>
      <c r="AG285" s="8">
        <f t="shared" si="78"/>
        <v>-0.16444667794476678</v>
      </c>
      <c r="AH285" s="8">
        <f t="shared" si="79"/>
        <v>-8.9246729645384174E-2</v>
      </c>
      <c r="AI285" s="8">
        <f t="shared" si="80"/>
        <v>0.9823402217971805</v>
      </c>
      <c r="AJ285" s="8"/>
      <c r="AK285" s="8"/>
      <c r="AL285" s="8"/>
      <c r="AN285" s="8">
        <f t="shared" si="87"/>
        <v>0.99999999999999989</v>
      </c>
      <c r="AO285" s="8">
        <f t="shared" si="88"/>
        <v>3.6388211159283856</v>
      </c>
      <c r="AP285" s="8">
        <f t="shared" si="89"/>
        <v>0.18821265813197363</v>
      </c>
      <c r="AQ285" s="8"/>
      <c r="AR285" s="8">
        <f t="shared" si="90"/>
        <v>208.48909234578096</v>
      </c>
      <c r="AS285" s="8">
        <f t="shared" si="91"/>
        <v>79.216209038099294</v>
      </c>
    </row>
    <row r="286" spans="1:45">
      <c r="A286" s="19">
        <v>18.151466670000001</v>
      </c>
      <c r="B286" s="19">
        <v>682.89094839999996</v>
      </c>
      <c r="C286" s="19">
        <v>-182.11053329999999</v>
      </c>
      <c r="E286" s="9">
        <f t="shared" si="81"/>
        <v>277.10905160000004</v>
      </c>
      <c r="F286" s="9">
        <f t="shared" si="82"/>
        <v>357.88946670000001</v>
      </c>
      <c r="I286">
        <v>1</v>
      </c>
      <c r="J286">
        <f t="shared" si="77"/>
        <v>0.29283733117147365</v>
      </c>
      <c r="K286">
        <f t="shared" si="83"/>
        <v>0.91193205524811738</v>
      </c>
      <c r="O286">
        <f t="shared" si="84"/>
        <v>0.17672928251993622</v>
      </c>
      <c r="P286">
        <f t="shared" si="85"/>
        <v>0.22824786237092226</v>
      </c>
      <c r="Q286">
        <f t="shared" si="86"/>
        <v>0.95742867829572198</v>
      </c>
      <c r="R286">
        <f t="shared" si="92"/>
        <v>1</v>
      </c>
      <c r="AG286" s="8">
        <f t="shared" si="78"/>
        <v>-0.16412802703649282</v>
      </c>
      <c r="AH286" s="8">
        <f t="shared" si="79"/>
        <v>-8.943145530327995E-2</v>
      </c>
      <c r="AI286" s="8">
        <f t="shared" si="80"/>
        <v>0.98237671264309079</v>
      </c>
      <c r="AJ286" s="8"/>
      <c r="AK286" s="8"/>
      <c r="AL286" s="8"/>
      <c r="AN286" s="8">
        <f t="shared" si="87"/>
        <v>1</v>
      </c>
      <c r="AO286" s="8">
        <f t="shared" si="88"/>
        <v>3.6405029298751499</v>
      </c>
      <c r="AP286" s="8">
        <f t="shared" si="89"/>
        <v>0.18801752782143244</v>
      </c>
      <c r="AQ286" s="8"/>
      <c r="AR286" s="8">
        <f t="shared" si="90"/>
        <v>208.5854531868568</v>
      </c>
      <c r="AS286" s="8">
        <f t="shared" si="91"/>
        <v>79.227389181348386</v>
      </c>
    </row>
    <row r="287" spans="1:45">
      <c r="A287" s="19">
        <v>18.18483333</v>
      </c>
      <c r="B287" s="19">
        <v>683.66300330000001</v>
      </c>
      <c r="C287" s="19">
        <v>-183.15583340000001</v>
      </c>
      <c r="E287" s="9">
        <f t="shared" si="81"/>
        <v>276.33699669999999</v>
      </c>
      <c r="F287" s="9">
        <f t="shared" si="82"/>
        <v>356.84416659999999</v>
      </c>
      <c r="I287">
        <v>1</v>
      </c>
      <c r="J287">
        <f t="shared" si="77"/>
        <v>0.29203434323717598</v>
      </c>
      <c r="K287">
        <f t="shared" si="83"/>
        <v>0.91186669694424982</v>
      </c>
      <c r="O287">
        <f t="shared" si="84"/>
        <v>0.17627342697284648</v>
      </c>
      <c r="P287">
        <f t="shared" si="85"/>
        <v>0.22762838451971698</v>
      </c>
      <c r="Q287">
        <f t="shared" si="86"/>
        <v>0.95766016806808485</v>
      </c>
      <c r="R287">
        <f t="shared" si="92"/>
        <v>1</v>
      </c>
      <c r="AG287" s="8">
        <f t="shared" si="78"/>
        <v>-0.16338283427411263</v>
      </c>
      <c r="AH287" s="8">
        <f t="shared" si="79"/>
        <v>-8.9714562731753322E-2</v>
      </c>
      <c r="AI287" s="8">
        <f t="shared" si="80"/>
        <v>0.98247511250840758</v>
      </c>
      <c r="AJ287" s="8"/>
      <c r="AK287" s="8"/>
      <c r="AL287" s="8"/>
      <c r="AN287" s="8">
        <f t="shared" si="87"/>
        <v>1</v>
      </c>
      <c r="AO287" s="8">
        <f t="shared" si="88"/>
        <v>3.6437495534729112</v>
      </c>
      <c r="AP287" s="8">
        <f t="shared" si="89"/>
        <v>0.18749034645329532</v>
      </c>
      <c r="AQ287" s="8"/>
      <c r="AR287" s="8">
        <f t="shared" si="90"/>
        <v>208.77147101667609</v>
      </c>
      <c r="AS287" s="8">
        <f t="shared" si="91"/>
        <v>79.25759444878058</v>
      </c>
    </row>
    <row r="288" spans="1:45">
      <c r="A288" s="19">
        <v>18.2182</v>
      </c>
      <c r="B288" s="19">
        <v>683.90216529999998</v>
      </c>
      <c r="C288" s="19">
        <v>-183.73304350000001</v>
      </c>
      <c r="E288" s="9">
        <f t="shared" si="81"/>
        <v>276.09783470000002</v>
      </c>
      <c r="F288" s="9">
        <f t="shared" si="82"/>
        <v>356.26695649999999</v>
      </c>
      <c r="I288">
        <v>1</v>
      </c>
      <c r="J288">
        <f t="shared" ref="J288:J351" si="93">ATAN((SQRT(E288^2+F288^2)^$B$16)/($F$24))</f>
        <v>0.29166166160422297</v>
      </c>
      <c r="K288">
        <f t="shared" si="83"/>
        <v>0.91150214044747091</v>
      </c>
      <c r="O288">
        <f t="shared" si="84"/>
        <v>0.17613776263198841</v>
      </c>
      <c r="P288">
        <f t="shared" si="85"/>
        <v>0.22728198750925568</v>
      </c>
      <c r="Q288">
        <f t="shared" si="86"/>
        <v>0.95776739698573987</v>
      </c>
      <c r="R288">
        <f t="shared" si="92"/>
        <v>1</v>
      </c>
      <c r="AG288" s="8">
        <f t="shared" ref="AG288:AG351" si="94">$O288*$Z$27+$P288*$Z$31+$Q288*$Z$35</f>
        <v>-0.16300262536974233</v>
      </c>
      <c r="AH288" s="8">
        <f t="shared" ref="AH288:AH351" si="95">$O288*$AA$27+$P288*$AA$31+$Q288*$AA$35</f>
        <v>-8.9757273648605099E-2</v>
      </c>
      <c r="AI288" s="8">
        <f t="shared" ref="AI288:AI351" si="96">$AB$27*$O288+$P288*$AB$31+$AB$35*$Q288</f>
        <v>0.98253436375006287</v>
      </c>
      <c r="AJ288" s="8"/>
      <c r="AK288" s="8"/>
      <c r="AL288" s="8"/>
      <c r="AN288" s="8">
        <f t="shared" si="87"/>
        <v>1</v>
      </c>
      <c r="AO288" s="8">
        <f t="shared" si="88"/>
        <v>3.6449341934816677</v>
      </c>
      <c r="AP288" s="8">
        <f t="shared" si="89"/>
        <v>0.18717219766770343</v>
      </c>
      <c r="AQ288" s="8"/>
      <c r="AR288" s="8">
        <f t="shared" si="90"/>
        <v>208.83934588942017</v>
      </c>
      <c r="AS288" s="8">
        <f t="shared" si="91"/>
        <v>79.275823031452205</v>
      </c>
    </row>
    <row r="289" spans="1:45">
      <c r="A289" s="19">
        <v>18.251566669999999</v>
      </c>
      <c r="B289" s="19">
        <v>684.13079010000001</v>
      </c>
      <c r="C289" s="19">
        <v>-184.4405955</v>
      </c>
      <c r="E289" s="9">
        <f t="shared" ref="E289:E352" si="97">-(B289-($B$15/2))</f>
        <v>275.86920989999999</v>
      </c>
      <c r="F289" s="9">
        <f t="shared" ref="F289:F352" si="98">(($C$15/2)+C289)</f>
        <v>355.55940450000003</v>
      </c>
      <c r="I289">
        <v>1</v>
      </c>
      <c r="J289">
        <f t="shared" si="93"/>
        <v>0.29122923761455133</v>
      </c>
      <c r="K289">
        <f t="shared" ref="K289:K352" si="99">ATAN2(E289,F289)</f>
        <v>0.91094060641419583</v>
      </c>
      <c r="O289">
        <f t="shared" ref="O289:O352" si="100">COS(K289)*SIN(J289)</f>
        <v>0.17601146270734952</v>
      </c>
      <c r="P289">
        <f t="shared" ref="P289:P352" si="101">SIN(K289)*SIN(J289)</f>
        <v>0.22685580202330208</v>
      </c>
      <c r="Q289">
        <f t="shared" ref="Q289:Q352" si="102">COS(J289)</f>
        <v>0.95789164840496632</v>
      </c>
      <c r="R289">
        <f t="shared" si="92"/>
        <v>1</v>
      </c>
      <c r="AG289" s="8">
        <f t="shared" si="94"/>
        <v>-0.16254727856559972</v>
      </c>
      <c r="AH289" s="8">
        <f t="shared" si="95"/>
        <v>-8.9770428965068261E-2</v>
      </c>
      <c r="AI289" s="8">
        <f t="shared" si="96"/>
        <v>0.98260859568515113</v>
      </c>
      <c r="AJ289" s="8"/>
      <c r="AK289" s="8"/>
      <c r="AL289" s="8"/>
      <c r="AN289" s="8">
        <f t="shared" ref="AN289:AN352" si="103">AG289^2+AH289^2+AI289^2</f>
        <v>0.99999999999999978</v>
      </c>
      <c r="AO289" s="8">
        <f t="shared" ref="AO289:AO352" si="104">IF(ATAN2(AG289,AH289)&gt;=0,ATAN2(AG289,AH289),ATAN2(AG289,AH289)+2*PI())</f>
        <v>3.6461790865414807</v>
      </c>
      <c r="AP289" s="8">
        <f t="shared" ref="AP289:AP352" si="105">ACOS(AI289/AN289)</f>
        <v>0.18677285442375924</v>
      </c>
      <c r="AQ289" s="8"/>
      <c r="AR289" s="8">
        <f t="shared" ref="AR289:AR352" si="106">DEGREES(AO289)</f>
        <v>208.91067300769259</v>
      </c>
      <c r="AS289" s="8">
        <f t="shared" ref="AS289:AS352" si="107">90-DEGREES(AP289)</f>
        <v>79.298703713907273</v>
      </c>
    </row>
    <row r="290" spans="1:45">
      <c r="A290" s="19">
        <v>18.284933330000001</v>
      </c>
      <c r="B290" s="19">
        <v>684.29857589999995</v>
      </c>
      <c r="C290" s="19">
        <v>-185.450974</v>
      </c>
      <c r="E290" s="9">
        <f t="shared" si="97"/>
        <v>275.70142410000005</v>
      </c>
      <c r="F290" s="9">
        <f t="shared" si="98"/>
        <v>354.54902600000003</v>
      </c>
      <c r="I290">
        <v>1</v>
      </c>
      <c r="J290">
        <f t="shared" si="93"/>
        <v>0.29067196978883669</v>
      </c>
      <c r="K290">
        <f t="shared" si="99"/>
        <v>0.90985672765891334</v>
      </c>
      <c r="O290">
        <f t="shared" si="100"/>
        <v>0.17592953689771781</v>
      </c>
      <c r="P290">
        <f t="shared" si="101"/>
        <v>0.22624346666084888</v>
      </c>
      <c r="Q290">
        <f t="shared" si="102"/>
        <v>0.95805150792649763</v>
      </c>
      <c r="R290">
        <f t="shared" si="92"/>
        <v>1</v>
      </c>
      <c r="AG290" s="8">
        <f t="shared" si="94"/>
        <v>-0.16192351474040556</v>
      </c>
      <c r="AH290" s="8">
        <f t="shared" si="95"/>
        <v>-8.9692809095122977E-2</v>
      </c>
      <c r="AI290" s="8">
        <f t="shared" si="96"/>
        <v>0.98271866542298836</v>
      </c>
      <c r="AJ290" s="8"/>
      <c r="AK290" s="8"/>
      <c r="AL290" s="8"/>
      <c r="AN290" s="8">
        <f t="shared" si="103"/>
        <v>0.99999999999999978</v>
      </c>
      <c r="AO290" s="8">
        <f t="shared" si="104"/>
        <v>3.6474411207230775</v>
      </c>
      <c r="AP290" s="8">
        <f t="shared" si="105"/>
        <v>0.18617915738977553</v>
      </c>
      <c r="AQ290" s="8"/>
      <c r="AR290" s="8">
        <f t="shared" si="106"/>
        <v>208.98298223989934</v>
      </c>
      <c r="AS290" s="8">
        <f t="shared" si="107"/>
        <v>79.332720048263965</v>
      </c>
    </row>
    <row r="291" spans="1:45">
      <c r="A291" s="19">
        <v>18.318300000000001</v>
      </c>
      <c r="B291" s="19">
        <v>684.95074</v>
      </c>
      <c r="C291" s="19">
        <v>-185.74837099999999</v>
      </c>
      <c r="E291" s="9">
        <f t="shared" si="97"/>
        <v>275.04926</v>
      </c>
      <c r="F291" s="9">
        <f t="shared" si="98"/>
        <v>354.25162899999998</v>
      </c>
      <c r="I291">
        <v>1</v>
      </c>
      <c r="J291">
        <f t="shared" si="93"/>
        <v>0.29027907261332903</v>
      </c>
      <c r="K291">
        <f t="shared" si="99"/>
        <v>0.91059758339157837</v>
      </c>
      <c r="O291">
        <f t="shared" si="100"/>
        <v>0.17553101537956278</v>
      </c>
      <c r="P291">
        <f t="shared" si="101"/>
        <v>0.22607640587083988</v>
      </c>
      <c r="Q291">
        <f t="shared" si="102"/>
        <v>0.95816403676423956</v>
      </c>
      <c r="R291">
        <f t="shared" si="92"/>
        <v>1</v>
      </c>
      <c r="AG291" s="8">
        <f t="shared" si="94"/>
        <v>-0.16163836155928735</v>
      </c>
      <c r="AH291" s="8">
        <f t="shared" si="95"/>
        <v>-9.0036083357845451E-2</v>
      </c>
      <c r="AI291" s="8">
        <f t="shared" si="96"/>
        <v>0.98273421827369378</v>
      </c>
      <c r="AJ291" s="8"/>
      <c r="AK291" s="8"/>
      <c r="AL291" s="8"/>
      <c r="AN291" s="8">
        <f t="shared" si="103"/>
        <v>0.99999999999999978</v>
      </c>
      <c r="AO291" s="8">
        <f t="shared" si="104"/>
        <v>3.6498108560183677</v>
      </c>
      <c r="AP291" s="8">
        <f t="shared" si="105"/>
        <v>0.18609511706701132</v>
      </c>
      <c r="AQ291" s="8"/>
      <c r="AR291" s="8">
        <f t="shared" si="106"/>
        <v>209.11875807088265</v>
      </c>
      <c r="AS291" s="8">
        <f t="shared" si="107"/>
        <v>79.337535204067279</v>
      </c>
    </row>
    <row r="292" spans="1:45">
      <c r="A292" s="19">
        <v>18.35166667</v>
      </c>
      <c r="B292" s="19">
        <v>685.5729331</v>
      </c>
      <c r="C292" s="19">
        <v>-186.43538469999999</v>
      </c>
      <c r="E292" s="9">
        <f t="shared" si="97"/>
        <v>274.4270669</v>
      </c>
      <c r="F292" s="9">
        <f t="shared" si="98"/>
        <v>353.56461530000001</v>
      </c>
      <c r="I292">
        <v>1</v>
      </c>
      <c r="J292">
        <f t="shared" si="93"/>
        <v>0.28970705633663701</v>
      </c>
      <c r="K292">
        <f t="shared" si="99"/>
        <v>0.91075426164967077</v>
      </c>
      <c r="O292">
        <f t="shared" si="100"/>
        <v>0.17515950465133159</v>
      </c>
      <c r="P292">
        <f t="shared" si="101"/>
        <v>0.22567089893051151</v>
      </c>
      <c r="Q292">
        <f t="shared" si="102"/>
        <v>0.95832760228754499</v>
      </c>
      <c r="R292">
        <f t="shared" si="92"/>
        <v>1</v>
      </c>
      <c r="AG292" s="8">
        <f t="shared" si="94"/>
        <v>-0.16112836393631952</v>
      </c>
      <c r="AH292" s="8">
        <f t="shared" si="95"/>
        <v>-9.0291972984065688E-2</v>
      </c>
      <c r="AI292" s="8">
        <f t="shared" si="96"/>
        <v>0.98279449019103149</v>
      </c>
      <c r="AJ292" s="8"/>
      <c r="AK292" s="8"/>
      <c r="AL292" s="8"/>
      <c r="AN292" s="8">
        <f t="shared" si="103"/>
        <v>0.99999999999999978</v>
      </c>
      <c r="AO292" s="8">
        <f t="shared" si="104"/>
        <v>3.6523648275905032</v>
      </c>
      <c r="AP292" s="8">
        <f t="shared" si="105"/>
        <v>0.18576908085325927</v>
      </c>
      <c r="AQ292" s="8"/>
      <c r="AR292" s="8">
        <f t="shared" si="106"/>
        <v>209.26508986296241</v>
      </c>
      <c r="AS292" s="8">
        <f t="shared" si="107"/>
        <v>79.356215703083691</v>
      </c>
    </row>
    <row r="293" spans="1:45">
      <c r="A293" s="19">
        <v>18.385033329999999</v>
      </c>
      <c r="B293" s="19">
        <v>685.93535680000002</v>
      </c>
      <c r="C293" s="19">
        <v>-187.02754329999999</v>
      </c>
      <c r="E293" s="9">
        <f t="shared" si="97"/>
        <v>274.06464319999998</v>
      </c>
      <c r="F293" s="9">
        <f t="shared" si="98"/>
        <v>352.97245670000001</v>
      </c>
      <c r="I293">
        <v>1</v>
      </c>
      <c r="J293">
        <f t="shared" si="93"/>
        <v>0.28927988613037309</v>
      </c>
      <c r="K293">
        <f t="shared" si="99"/>
        <v>0.91058244890552476</v>
      </c>
      <c r="O293">
        <f t="shared" si="100"/>
        <v>0.17494719903097292</v>
      </c>
      <c r="P293">
        <f t="shared" si="101"/>
        <v>0.22531743574702151</v>
      </c>
      <c r="Q293">
        <f t="shared" si="102"/>
        <v>0.95844954520287817</v>
      </c>
      <c r="R293">
        <f t="shared" si="92"/>
        <v>1</v>
      </c>
      <c r="AG293" s="8">
        <f t="shared" si="94"/>
        <v>-0.16071792906835369</v>
      </c>
      <c r="AH293" s="8">
        <f t="shared" si="95"/>
        <v>-9.0406932523243957E-2</v>
      </c>
      <c r="AI293" s="8">
        <f t="shared" si="96"/>
        <v>0.98285112495622506</v>
      </c>
      <c r="AJ293" s="8"/>
      <c r="AK293" s="8"/>
      <c r="AL293" s="8"/>
      <c r="AN293" s="8">
        <f t="shared" si="103"/>
        <v>0.99999999999999989</v>
      </c>
      <c r="AO293" s="8">
        <f t="shared" si="104"/>
        <v>3.6539967539512177</v>
      </c>
      <c r="AP293" s="8">
        <f t="shared" si="105"/>
        <v>0.18546220324007812</v>
      </c>
      <c r="AQ293" s="8"/>
      <c r="AR293" s="8">
        <f t="shared" si="106"/>
        <v>209.35859235590749</v>
      </c>
      <c r="AS293" s="8">
        <f t="shared" si="107"/>
        <v>79.373798495146019</v>
      </c>
    </row>
    <row r="294" spans="1:45">
      <c r="A294" s="19">
        <v>18.418399999999998</v>
      </c>
      <c r="B294" s="19">
        <v>686.2970262</v>
      </c>
      <c r="C294" s="19">
        <v>-187.70258200000001</v>
      </c>
      <c r="E294" s="9">
        <f t="shared" si="97"/>
        <v>273.7029738</v>
      </c>
      <c r="F294" s="9">
        <f t="shared" si="98"/>
        <v>352.29741799999999</v>
      </c>
      <c r="I294">
        <v>1</v>
      </c>
      <c r="J294">
        <f t="shared" si="93"/>
        <v>0.28881237458657144</v>
      </c>
      <c r="K294">
        <f t="shared" si="99"/>
        <v>0.91029480911436511</v>
      </c>
      <c r="O294">
        <f t="shared" si="100"/>
        <v>0.17473707622543402</v>
      </c>
      <c r="P294">
        <f t="shared" si="101"/>
        <v>0.22491323323389331</v>
      </c>
      <c r="Q294">
        <f t="shared" si="102"/>
        <v>0.95858280378299254</v>
      </c>
      <c r="R294">
        <f t="shared" si="92"/>
        <v>1</v>
      </c>
      <c r="AG294" s="8">
        <f t="shared" si="94"/>
        <v>-0.16025858102435273</v>
      </c>
      <c r="AH294" s="8">
        <f t="shared" si="95"/>
        <v>-9.0506712877891693E-2</v>
      </c>
      <c r="AI294" s="8">
        <f t="shared" si="96"/>
        <v>0.98291694569383625</v>
      </c>
      <c r="AJ294" s="8"/>
      <c r="AK294" s="8"/>
      <c r="AL294" s="8"/>
      <c r="AN294" s="8">
        <f t="shared" si="103"/>
        <v>1</v>
      </c>
      <c r="AO294" s="8">
        <f t="shared" si="104"/>
        <v>3.6556928828654662</v>
      </c>
      <c r="AP294" s="8">
        <f t="shared" si="105"/>
        <v>0.18510491921733241</v>
      </c>
      <c r="AQ294" s="8"/>
      <c r="AR294" s="8">
        <f t="shared" si="106"/>
        <v>209.45577338420404</v>
      </c>
      <c r="AS294" s="8">
        <f t="shared" si="107"/>
        <v>79.394269361736804</v>
      </c>
    </row>
    <row r="295" spans="1:45">
      <c r="A295" s="19">
        <v>18.451766670000001</v>
      </c>
      <c r="B295" s="19">
        <v>686.87114029999998</v>
      </c>
      <c r="C295" s="19">
        <v>-188.96322549999999</v>
      </c>
      <c r="E295" s="9">
        <f t="shared" si="97"/>
        <v>273.12885970000002</v>
      </c>
      <c r="F295" s="9">
        <f t="shared" si="98"/>
        <v>351.03677449999998</v>
      </c>
      <c r="I295">
        <v>1</v>
      </c>
      <c r="J295">
        <f t="shared" si="93"/>
        <v>0.28797757245528433</v>
      </c>
      <c r="K295">
        <f t="shared" si="99"/>
        <v>0.9095752296588121</v>
      </c>
      <c r="O295">
        <f t="shared" si="100"/>
        <v>0.1744074088104523</v>
      </c>
      <c r="P295">
        <f t="shared" si="101"/>
        <v>0.22415578604535158</v>
      </c>
      <c r="Q295">
        <f t="shared" si="102"/>
        <v>0.95882023306478803</v>
      </c>
      <c r="R295">
        <f t="shared" si="92"/>
        <v>1</v>
      </c>
      <c r="AG295" s="8">
        <f t="shared" si="94"/>
        <v>-0.15941744237859568</v>
      </c>
      <c r="AH295" s="8">
        <f t="shared" si="95"/>
        <v>-9.0631496938949827E-2</v>
      </c>
      <c r="AI295" s="8">
        <f t="shared" si="96"/>
        <v>0.98304222230180549</v>
      </c>
      <c r="AJ295" s="8"/>
      <c r="AK295" s="8"/>
      <c r="AL295" s="8"/>
      <c r="AN295" s="8">
        <f t="shared" si="103"/>
        <v>1</v>
      </c>
      <c r="AO295" s="8">
        <f t="shared" si="104"/>
        <v>3.6585409999576552</v>
      </c>
      <c r="AP295" s="8">
        <f t="shared" si="105"/>
        <v>0.18442301007962625</v>
      </c>
      <c r="AQ295" s="8"/>
      <c r="AR295" s="8">
        <f t="shared" si="106"/>
        <v>209.61895847314554</v>
      </c>
      <c r="AS295" s="8">
        <f t="shared" si="107"/>
        <v>79.433339877338781</v>
      </c>
    </row>
    <row r="296" spans="1:45">
      <c r="A296" s="19">
        <v>18.48513333</v>
      </c>
      <c r="B296" s="19">
        <v>686.92237350000005</v>
      </c>
      <c r="C296" s="19">
        <v>-189.11664859999999</v>
      </c>
      <c r="E296" s="9">
        <f t="shared" si="97"/>
        <v>273.07762649999995</v>
      </c>
      <c r="F296" s="9">
        <f t="shared" si="98"/>
        <v>350.88335140000004</v>
      </c>
      <c r="I296">
        <v>1</v>
      </c>
      <c r="J296">
        <f t="shared" si="93"/>
        <v>0.28788305159548411</v>
      </c>
      <c r="K296">
        <f t="shared" si="99"/>
        <v>0.90945427628265796</v>
      </c>
      <c r="O296">
        <f t="shared" si="100"/>
        <v>0.17437885725097335</v>
      </c>
      <c r="P296">
        <f t="shared" si="101"/>
        <v>0.22406316705526128</v>
      </c>
      <c r="Q296">
        <f t="shared" si="102"/>
        <v>0.95884707399720981</v>
      </c>
      <c r="R296">
        <f t="shared" si="92"/>
        <v>1</v>
      </c>
      <c r="AG296" s="8">
        <f t="shared" si="94"/>
        <v>-0.15931818800807324</v>
      </c>
      <c r="AH296" s="8">
        <f t="shared" si="95"/>
        <v>-9.0635354985117905E-2</v>
      </c>
      <c r="AI296" s="8">
        <f t="shared" si="96"/>
        <v>0.98305795729272538</v>
      </c>
      <c r="AJ296" s="8"/>
      <c r="AK296" s="8"/>
      <c r="AL296" s="8"/>
      <c r="AN296" s="8">
        <f t="shared" si="103"/>
        <v>1</v>
      </c>
      <c r="AO296" s="8">
        <f t="shared" si="104"/>
        <v>3.6588269235636712</v>
      </c>
      <c r="AP296" s="8">
        <f t="shared" si="105"/>
        <v>0.18433718465410931</v>
      </c>
      <c r="AQ296" s="8"/>
      <c r="AR296" s="8">
        <f t="shared" si="106"/>
        <v>209.63534068903343</v>
      </c>
      <c r="AS296" s="8">
        <f t="shared" si="107"/>
        <v>79.438257311995812</v>
      </c>
    </row>
    <row r="297" spans="1:45">
      <c r="A297" s="19">
        <v>18.5185</v>
      </c>
      <c r="B297" s="19">
        <v>687.64384370000005</v>
      </c>
      <c r="C297" s="19">
        <v>-189.9733387</v>
      </c>
      <c r="E297" s="9">
        <f t="shared" si="97"/>
        <v>272.35615629999995</v>
      </c>
      <c r="F297" s="9">
        <f t="shared" si="98"/>
        <v>350.0266613</v>
      </c>
      <c r="I297">
        <v>1</v>
      </c>
      <c r="J297">
        <f t="shared" si="93"/>
        <v>0.28718943347562709</v>
      </c>
      <c r="K297">
        <f t="shared" si="99"/>
        <v>0.90955168842288281</v>
      </c>
      <c r="O297">
        <f t="shared" si="100"/>
        <v>0.17394856652469112</v>
      </c>
      <c r="P297">
        <f t="shared" si="101"/>
        <v>0.22355520361908776</v>
      </c>
      <c r="Q297">
        <f t="shared" si="102"/>
        <v>0.95904377748819858</v>
      </c>
      <c r="R297">
        <f t="shared" si="92"/>
        <v>1</v>
      </c>
      <c r="AG297" s="8">
        <f t="shared" si="94"/>
        <v>-0.15869024786479782</v>
      </c>
      <c r="AH297" s="8">
        <f t="shared" si="95"/>
        <v>-9.092156353726355E-2</v>
      </c>
      <c r="AI297" s="8">
        <f t="shared" si="96"/>
        <v>0.98313309094778634</v>
      </c>
      <c r="AJ297" s="8"/>
      <c r="AK297" s="8"/>
      <c r="AL297" s="8"/>
      <c r="AN297" s="8">
        <f t="shared" si="103"/>
        <v>0.99999999999999989</v>
      </c>
      <c r="AO297" s="8">
        <f t="shared" si="104"/>
        <v>3.6618848729188436</v>
      </c>
      <c r="AP297" s="8">
        <f t="shared" si="105"/>
        <v>0.18392682740379995</v>
      </c>
      <c r="AQ297" s="8"/>
      <c r="AR297" s="8">
        <f t="shared" si="106"/>
        <v>209.81054828104953</v>
      </c>
      <c r="AS297" s="8">
        <f t="shared" si="107"/>
        <v>79.461769050531132</v>
      </c>
    </row>
    <row r="298" spans="1:45">
      <c r="A298" s="19">
        <v>18.551866669999999</v>
      </c>
      <c r="B298" s="19">
        <v>688.10036019999995</v>
      </c>
      <c r="C298" s="19">
        <v>-190.68805620000001</v>
      </c>
      <c r="E298" s="9">
        <f t="shared" si="97"/>
        <v>271.89963980000005</v>
      </c>
      <c r="F298" s="9">
        <f t="shared" si="98"/>
        <v>349.31194379999999</v>
      </c>
      <c r="I298">
        <v>1</v>
      </c>
      <c r="J298">
        <f t="shared" si="93"/>
        <v>0.2866659286193789</v>
      </c>
      <c r="K298">
        <f t="shared" si="99"/>
        <v>0.90937409875707576</v>
      </c>
      <c r="O298">
        <f t="shared" si="100"/>
        <v>0.17367985332088604</v>
      </c>
      <c r="P298">
        <f t="shared" si="101"/>
        <v>0.22312808949303203</v>
      </c>
      <c r="Q298">
        <f t="shared" si="102"/>
        <v>0.95919193294649063</v>
      </c>
      <c r="R298">
        <f t="shared" si="92"/>
        <v>1</v>
      </c>
      <c r="AG298" s="8">
        <f t="shared" si="94"/>
        <v>-0.15819072580367338</v>
      </c>
      <c r="AH298" s="8">
        <f t="shared" si="95"/>
        <v>-9.1071991403985406E-2</v>
      </c>
      <c r="AI298" s="8">
        <f t="shared" si="96"/>
        <v>0.98319966774374945</v>
      </c>
      <c r="AJ298" s="8"/>
      <c r="AK298" s="8"/>
      <c r="AL298" s="8"/>
      <c r="AN298" s="8">
        <f t="shared" si="103"/>
        <v>0.99999999999999989</v>
      </c>
      <c r="AO298" s="8">
        <f t="shared" si="104"/>
        <v>3.6639603946130137</v>
      </c>
      <c r="AP298" s="8">
        <f t="shared" si="105"/>
        <v>0.18356244721364479</v>
      </c>
      <c r="AQ298" s="8"/>
      <c r="AR298" s="8">
        <f t="shared" si="106"/>
        <v>209.92946691441333</v>
      </c>
      <c r="AS298" s="8">
        <f t="shared" si="107"/>
        <v>79.482646497565199</v>
      </c>
    </row>
    <row r="299" spans="1:45">
      <c r="A299" s="19">
        <v>18.585233330000001</v>
      </c>
      <c r="B299" s="19">
        <v>688.06062999999995</v>
      </c>
      <c r="C299" s="19">
        <v>-191.2487438</v>
      </c>
      <c r="E299" s="9">
        <f t="shared" si="97"/>
        <v>271.93937000000005</v>
      </c>
      <c r="F299" s="9">
        <f t="shared" si="98"/>
        <v>348.7512562</v>
      </c>
      <c r="I299">
        <v>1</v>
      </c>
      <c r="J299">
        <f t="shared" si="93"/>
        <v>0.28640680001525981</v>
      </c>
      <c r="K299">
        <f t="shared" si="99"/>
        <v>0.9085244551402899</v>
      </c>
      <c r="O299">
        <f t="shared" si="100"/>
        <v>0.1737165257416787</v>
      </c>
      <c r="P299">
        <f t="shared" si="101"/>
        <v>0.2227844264517862</v>
      </c>
      <c r="Q299">
        <f t="shared" si="102"/>
        <v>0.95926517085464402</v>
      </c>
      <c r="R299">
        <f t="shared" si="92"/>
        <v>1</v>
      </c>
      <c r="AG299" s="8">
        <f t="shared" si="94"/>
        <v>-0.15786605585044663</v>
      </c>
      <c r="AH299" s="8">
        <f t="shared" si="95"/>
        <v>-9.0948092313452564E-2</v>
      </c>
      <c r="AI299" s="8">
        <f t="shared" si="96"/>
        <v>0.98326331819852175</v>
      </c>
      <c r="AJ299" s="8"/>
      <c r="AK299" s="8"/>
      <c r="AL299" s="8"/>
      <c r="AN299" s="8">
        <f t="shared" si="103"/>
        <v>1</v>
      </c>
      <c r="AO299" s="8">
        <f t="shared" si="104"/>
        <v>3.664260151674184</v>
      </c>
      <c r="AP299" s="8">
        <f t="shared" si="105"/>
        <v>0.18321341315957085</v>
      </c>
      <c r="AQ299" s="8"/>
      <c r="AR299" s="8">
        <f t="shared" si="106"/>
        <v>209.94664172889765</v>
      </c>
      <c r="AS299" s="8">
        <f t="shared" si="107"/>
        <v>79.502644675769972</v>
      </c>
    </row>
    <row r="300" spans="1:45">
      <c r="A300" s="19">
        <v>18.618600000000001</v>
      </c>
      <c r="B300" s="19">
        <v>688.82999059999997</v>
      </c>
      <c r="C300" s="19">
        <v>-191.95703750000001</v>
      </c>
      <c r="E300" s="9">
        <f t="shared" si="97"/>
        <v>271.17000940000003</v>
      </c>
      <c r="F300" s="9">
        <f t="shared" si="98"/>
        <v>348.04296249999999</v>
      </c>
      <c r="I300">
        <v>1</v>
      </c>
      <c r="J300">
        <f t="shared" si="93"/>
        <v>0.28576694635893768</v>
      </c>
      <c r="K300">
        <f t="shared" si="99"/>
        <v>0.90891243006508993</v>
      </c>
      <c r="O300">
        <f t="shared" si="100"/>
        <v>0.17325280498900944</v>
      </c>
      <c r="P300">
        <f t="shared" si="101"/>
        <v>0.22236758276931204</v>
      </c>
      <c r="Q300">
        <f t="shared" si="102"/>
        <v>0.95944573775527997</v>
      </c>
      <c r="R300">
        <f t="shared" si="92"/>
        <v>1</v>
      </c>
      <c r="AG300" s="8">
        <f t="shared" si="94"/>
        <v>-0.15731706872883955</v>
      </c>
      <c r="AH300" s="8">
        <f t="shared" si="95"/>
        <v>-9.1289914356520507E-2</v>
      </c>
      <c r="AI300" s="8">
        <f t="shared" si="96"/>
        <v>0.98331962831184483</v>
      </c>
      <c r="AJ300" s="8"/>
      <c r="AK300" s="8"/>
      <c r="AL300" s="8"/>
      <c r="AN300" s="8">
        <f t="shared" si="103"/>
        <v>1</v>
      </c>
      <c r="AO300" s="8">
        <f t="shared" si="104"/>
        <v>3.6673952873911873</v>
      </c>
      <c r="AP300" s="8">
        <f t="shared" si="105"/>
        <v>0.18290408161993388</v>
      </c>
      <c r="AQ300" s="8"/>
      <c r="AR300" s="8">
        <f t="shared" si="106"/>
        <v>210.12627177368265</v>
      </c>
      <c r="AS300" s="8">
        <f t="shared" si="107"/>
        <v>79.520368067461447</v>
      </c>
    </row>
    <row r="301" spans="1:45">
      <c r="A301" s="19">
        <v>18.65196667</v>
      </c>
      <c r="B301" s="19">
        <v>689.63074949999998</v>
      </c>
      <c r="C301" s="19">
        <v>-193.1005619</v>
      </c>
      <c r="E301" s="9">
        <f t="shared" si="97"/>
        <v>270.36925050000002</v>
      </c>
      <c r="F301" s="9">
        <f t="shared" si="98"/>
        <v>346.8994381</v>
      </c>
      <c r="I301">
        <v>1</v>
      </c>
      <c r="J301">
        <f t="shared" si="93"/>
        <v>0.28490184764138382</v>
      </c>
      <c r="K301">
        <f t="shared" si="99"/>
        <v>0.90875066398242965</v>
      </c>
      <c r="O301">
        <f t="shared" si="100"/>
        <v>0.17277847283334163</v>
      </c>
      <c r="P301">
        <f t="shared" si="101"/>
        <v>0.22168480709555513</v>
      </c>
      <c r="Q301">
        <f t="shared" si="102"/>
        <v>0.95968924430170865</v>
      </c>
      <c r="R301">
        <f t="shared" si="92"/>
        <v>1</v>
      </c>
      <c r="AG301" s="8">
        <f t="shared" si="94"/>
        <v>-0.15650502483094308</v>
      </c>
      <c r="AH301" s="8">
        <f t="shared" si="95"/>
        <v>-9.1573466123107128E-2</v>
      </c>
      <c r="AI301" s="8">
        <f t="shared" si="96"/>
        <v>0.98342283759574445</v>
      </c>
      <c r="AJ301" s="8"/>
      <c r="AK301" s="8"/>
      <c r="AL301" s="8"/>
      <c r="AN301" s="8">
        <f t="shared" si="103"/>
        <v>0.99999999999999989</v>
      </c>
      <c r="AO301" s="8">
        <f t="shared" si="104"/>
        <v>3.6709955333949633</v>
      </c>
      <c r="AP301" s="8">
        <f t="shared" si="105"/>
        <v>0.18233576905882232</v>
      </c>
      <c r="AQ301" s="8"/>
      <c r="AR301" s="8">
        <f t="shared" si="106"/>
        <v>210.33255067490785</v>
      </c>
      <c r="AS301" s="8">
        <f t="shared" si="107"/>
        <v>79.552929978657417</v>
      </c>
    </row>
    <row r="302" spans="1:45">
      <c r="A302" s="19">
        <v>18.685333329999999</v>
      </c>
      <c r="B302" s="19">
        <v>689.74135100000001</v>
      </c>
      <c r="C302" s="19">
        <v>-193.4714151</v>
      </c>
      <c r="E302" s="9">
        <f t="shared" si="97"/>
        <v>270.25864899999999</v>
      </c>
      <c r="F302" s="9">
        <f t="shared" si="98"/>
        <v>346.5285849</v>
      </c>
      <c r="I302">
        <v>1</v>
      </c>
      <c r="J302">
        <f t="shared" si="93"/>
        <v>0.2846781081474698</v>
      </c>
      <c r="K302">
        <f t="shared" si="99"/>
        <v>0.90843040509669015</v>
      </c>
      <c r="O302">
        <f t="shared" si="100"/>
        <v>0.17271740653217252</v>
      </c>
      <c r="P302">
        <f t="shared" si="101"/>
        <v>0.22146014084896787</v>
      </c>
      <c r="Q302">
        <f t="shared" si="102"/>
        <v>0.95975210523132248</v>
      </c>
      <c r="R302">
        <f t="shared" si="92"/>
        <v>1</v>
      </c>
      <c r="AG302" s="8">
        <f t="shared" si="94"/>
        <v>-0.15626684761871223</v>
      </c>
      <c r="AH302" s="8">
        <f t="shared" si="95"/>
        <v>-9.1574743888965762E-2</v>
      </c>
      <c r="AI302" s="8">
        <f t="shared" si="96"/>
        <v>0.98346059332185765</v>
      </c>
      <c r="AJ302" s="8"/>
      <c r="AK302" s="8"/>
      <c r="AL302" s="8"/>
      <c r="AN302" s="8">
        <f t="shared" si="103"/>
        <v>0.99999999999999978</v>
      </c>
      <c r="AO302" s="8">
        <f t="shared" si="104"/>
        <v>3.6716657253045044</v>
      </c>
      <c r="AP302" s="8">
        <f t="shared" si="105"/>
        <v>0.18212743249111951</v>
      </c>
      <c r="AQ302" s="8"/>
      <c r="AR302" s="8">
        <f t="shared" si="106"/>
        <v>210.37094984278838</v>
      </c>
      <c r="AS302" s="8">
        <f t="shared" si="107"/>
        <v>79.564866784705032</v>
      </c>
    </row>
    <row r="303" spans="1:45">
      <c r="A303" s="19">
        <v>18.718699999999998</v>
      </c>
      <c r="B303" s="19">
        <v>690.03729969999995</v>
      </c>
      <c r="C303" s="19">
        <v>-194.0859921</v>
      </c>
      <c r="E303" s="9">
        <f t="shared" si="97"/>
        <v>269.96270030000005</v>
      </c>
      <c r="F303" s="9">
        <f t="shared" si="98"/>
        <v>345.9140079</v>
      </c>
      <c r="I303">
        <v>1</v>
      </c>
      <c r="J303">
        <f t="shared" si="93"/>
        <v>0.28426429069257098</v>
      </c>
      <c r="K303">
        <f t="shared" si="99"/>
        <v>0.90810088975484171</v>
      </c>
      <c r="O303">
        <f t="shared" si="100"/>
        <v>0.17254600523737351</v>
      </c>
      <c r="P303">
        <f t="shared" si="101"/>
        <v>0.2210900993080423</v>
      </c>
      <c r="Q303">
        <f t="shared" si="102"/>
        <v>0.95986824307536311</v>
      </c>
      <c r="R303">
        <f t="shared" si="92"/>
        <v>1</v>
      </c>
      <c r="AG303" s="8">
        <f t="shared" si="94"/>
        <v>-0.15585294698567601</v>
      </c>
      <c r="AH303" s="8">
        <f t="shared" si="95"/>
        <v>-9.1645390558979578E-2</v>
      </c>
      <c r="AI303" s="8">
        <f t="shared" si="96"/>
        <v>0.98351969034949793</v>
      </c>
      <c r="AJ303" s="8"/>
      <c r="AK303" s="8"/>
      <c r="AL303" s="8"/>
      <c r="AN303" s="8">
        <f t="shared" si="103"/>
        <v>1.0000000000000002</v>
      </c>
      <c r="AO303" s="8">
        <f t="shared" si="104"/>
        <v>3.6731602885589849</v>
      </c>
      <c r="AP303" s="8">
        <f t="shared" si="105"/>
        <v>0.18180086036274834</v>
      </c>
      <c r="AQ303" s="8"/>
      <c r="AR303" s="8">
        <f t="shared" si="106"/>
        <v>210.45658200948543</v>
      </c>
      <c r="AS303" s="8">
        <f t="shared" si="107"/>
        <v>79.583577989367299</v>
      </c>
    </row>
    <row r="304" spans="1:45">
      <c r="A304" s="19">
        <v>18.752066670000001</v>
      </c>
      <c r="B304" s="19">
        <v>690.17287539999995</v>
      </c>
      <c r="C304" s="19">
        <v>-194.81870480000001</v>
      </c>
      <c r="E304" s="9">
        <f t="shared" si="97"/>
        <v>269.82712460000005</v>
      </c>
      <c r="F304" s="9">
        <f t="shared" si="98"/>
        <v>345.18129520000002</v>
      </c>
      <c r="I304">
        <v>1</v>
      </c>
      <c r="J304">
        <f t="shared" si="93"/>
        <v>0.2838539183000795</v>
      </c>
      <c r="K304">
        <f t="shared" si="99"/>
        <v>0.90731592000098926</v>
      </c>
      <c r="O304">
        <f t="shared" si="100"/>
        <v>0.17247689616454409</v>
      </c>
      <c r="P304">
        <f t="shared" si="101"/>
        <v>0.22064423099942576</v>
      </c>
      <c r="Q304">
        <f t="shared" si="102"/>
        <v>0.95998325173729837</v>
      </c>
      <c r="R304">
        <f t="shared" si="92"/>
        <v>1</v>
      </c>
      <c r="AG304" s="8">
        <f t="shared" si="94"/>
        <v>-0.15539620557147324</v>
      </c>
      <c r="AH304" s="8">
        <f t="shared" si="95"/>
        <v>-9.1597427802586506E-2</v>
      </c>
      <c r="AI304" s="8">
        <f t="shared" si="96"/>
        <v>0.98359642664760549</v>
      </c>
      <c r="AJ304" s="8"/>
      <c r="AK304" s="8"/>
      <c r="AL304" s="8"/>
      <c r="AN304" s="8">
        <f t="shared" si="103"/>
        <v>1</v>
      </c>
      <c r="AO304" s="8">
        <f t="shared" si="104"/>
        <v>3.6742145501475001</v>
      </c>
      <c r="AP304" s="8">
        <f t="shared" si="105"/>
        <v>0.18137594529615453</v>
      </c>
      <c r="AQ304" s="8"/>
      <c r="AR304" s="8">
        <f t="shared" si="106"/>
        <v>210.51698674901013</v>
      </c>
      <c r="AS304" s="8">
        <f t="shared" si="107"/>
        <v>79.607923829334652</v>
      </c>
    </row>
    <row r="305" spans="1:45">
      <c r="A305" s="19">
        <v>18.78543333</v>
      </c>
      <c r="B305" s="19">
        <v>690.69784300000003</v>
      </c>
      <c r="C305" s="19">
        <v>-195.46355030000001</v>
      </c>
      <c r="E305" s="9">
        <f t="shared" si="97"/>
        <v>269.30215699999997</v>
      </c>
      <c r="F305" s="9">
        <f t="shared" si="98"/>
        <v>344.53644969999999</v>
      </c>
      <c r="I305">
        <v>1</v>
      </c>
      <c r="J305">
        <f t="shared" si="93"/>
        <v>0.28333757972717788</v>
      </c>
      <c r="K305">
        <f t="shared" si="99"/>
        <v>0.90735356336695494</v>
      </c>
      <c r="O305">
        <f t="shared" si="100"/>
        <v>0.17216331341549154</v>
      </c>
      <c r="P305">
        <f t="shared" si="101"/>
        <v>0.22026016216707037</v>
      </c>
      <c r="Q305">
        <f t="shared" si="102"/>
        <v>0.96012772820908321</v>
      </c>
      <c r="R305">
        <f t="shared" si="92"/>
        <v>1</v>
      </c>
      <c r="AG305" s="8">
        <f t="shared" si="94"/>
        <v>-0.15492524374035774</v>
      </c>
      <c r="AH305" s="8">
        <f t="shared" si="95"/>
        <v>-9.1802031082322821E-2</v>
      </c>
      <c r="AI305" s="8">
        <f t="shared" si="96"/>
        <v>0.98365164359195323</v>
      </c>
      <c r="AJ305" s="8"/>
      <c r="AK305" s="8"/>
      <c r="AL305" s="8"/>
      <c r="AN305" s="8">
        <f t="shared" si="103"/>
        <v>1</v>
      </c>
      <c r="AO305" s="8">
        <f t="shared" si="104"/>
        <v>3.6765213534327792</v>
      </c>
      <c r="AP305" s="8">
        <f t="shared" si="105"/>
        <v>0.18106958012393148</v>
      </c>
      <c r="AQ305" s="8"/>
      <c r="AR305" s="8">
        <f t="shared" si="106"/>
        <v>210.64915684142352</v>
      </c>
      <c r="AS305" s="8">
        <f t="shared" si="107"/>
        <v>79.625477260692833</v>
      </c>
    </row>
    <row r="306" spans="1:45">
      <c r="A306" s="19">
        <v>18.8188</v>
      </c>
      <c r="B306" s="19">
        <v>691.09650509999994</v>
      </c>
      <c r="C306" s="19">
        <v>-196.0949512</v>
      </c>
      <c r="E306" s="9">
        <f t="shared" si="97"/>
        <v>268.90349490000006</v>
      </c>
      <c r="F306" s="9">
        <f t="shared" si="98"/>
        <v>343.90504880000003</v>
      </c>
      <c r="I306">
        <v>1</v>
      </c>
      <c r="J306">
        <f t="shared" si="93"/>
        <v>0.282876012600008</v>
      </c>
      <c r="K306">
        <f t="shared" si="99"/>
        <v>0.90718235700353911</v>
      </c>
      <c r="O306">
        <f t="shared" si="100"/>
        <v>0.17192802809500463</v>
      </c>
      <c r="P306">
        <f t="shared" si="101"/>
        <v>0.219881548635463</v>
      </c>
      <c r="Q306">
        <f t="shared" si="102"/>
        <v>0.96025666242158081</v>
      </c>
      <c r="R306">
        <f t="shared" si="92"/>
        <v>1</v>
      </c>
      <c r="AG306" s="8">
        <f t="shared" si="94"/>
        <v>-0.15448353712894722</v>
      </c>
      <c r="AH306" s="8">
        <f t="shared" si="95"/>
        <v>-9.1932192749831498E-2</v>
      </c>
      <c r="AI306" s="8">
        <f t="shared" si="96"/>
        <v>0.98370895527708646</v>
      </c>
      <c r="AJ306" s="8"/>
      <c r="AK306" s="8"/>
      <c r="AL306" s="8"/>
      <c r="AN306" s="8">
        <f t="shared" si="103"/>
        <v>0.99999999999999989</v>
      </c>
      <c r="AO306" s="8">
        <f t="shared" si="104"/>
        <v>3.6783968327783412</v>
      </c>
      <c r="AP306" s="8">
        <f t="shared" si="105"/>
        <v>0.18075104933920283</v>
      </c>
      <c r="AQ306" s="8"/>
      <c r="AR306" s="8">
        <f t="shared" si="106"/>
        <v>210.75661389248819</v>
      </c>
      <c r="AS306" s="8">
        <f t="shared" si="107"/>
        <v>79.643727730302771</v>
      </c>
    </row>
    <row r="307" spans="1:45">
      <c r="A307" s="19">
        <v>18.852166669999999</v>
      </c>
      <c r="B307" s="19">
        <v>691.92679099999998</v>
      </c>
      <c r="C307" s="19">
        <v>-196.9630544</v>
      </c>
      <c r="E307" s="9">
        <f t="shared" si="97"/>
        <v>268.07320900000002</v>
      </c>
      <c r="F307" s="9">
        <f t="shared" si="98"/>
        <v>343.03694559999997</v>
      </c>
      <c r="I307">
        <v>1</v>
      </c>
      <c r="J307">
        <f t="shared" si="93"/>
        <v>0.28213320864129915</v>
      </c>
      <c r="K307">
        <f t="shared" si="99"/>
        <v>0.90745650246503107</v>
      </c>
      <c r="O307">
        <f t="shared" si="100"/>
        <v>0.17142848973468863</v>
      </c>
      <c r="P307">
        <f t="shared" si="101"/>
        <v>0.21936658917455845</v>
      </c>
      <c r="Q307">
        <f t="shared" si="102"/>
        <v>0.96046372782172484</v>
      </c>
      <c r="R307">
        <f t="shared" si="92"/>
        <v>1</v>
      </c>
      <c r="AG307" s="8">
        <f t="shared" si="94"/>
        <v>-0.15382802233302012</v>
      </c>
      <c r="AH307" s="8">
        <f t="shared" si="95"/>
        <v>-9.2282927327981448E-2</v>
      </c>
      <c r="AI307" s="8">
        <f t="shared" si="96"/>
        <v>0.98377883737600824</v>
      </c>
      <c r="AJ307" s="8"/>
      <c r="AK307" s="8"/>
      <c r="AL307" s="8"/>
      <c r="AN307" s="8">
        <f t="shared" si="103"/>
        <v>1</v>
      </c>
      <c r="AO307" s="8">
        <f t="shared" si="104"/>
        <v>3.6819457761392824</v>
      </c>
      <c r="AP307" s="8">
        <f t="shared" si="105"/>
        <v>0.18036190102075711</v>
      </c>
      <c r="AQ307" s="8"/>
      <c r="AR307" s="8">
        <f t="shared" si="106"/>
        <v>210.95995336880108</v>
      </c>
      <c r="AS307" s="8">
        <f t="shared" si="107"/>
        <v>79.666024286554318</v>
      </c>
    </row>
    <row r="308" spans="1:45">
      <c r="A308" s="19">
        <v>18.885533330000001</v>
      </c>
      <c r="B308" s="19">
        <v>692.15133969999999</v>
      </c>
      <c r="C308" s="19">
        <v>-197.52863070000001</v>
      </c>
      <c r="E308" s="9">
        <f t="shared" si="97"/>
        <v>267.84866030000001</v>
      </c>
      <c r="F308" s="9">
        <f t="shared" si="98"/>
        <v>342.47136929999999</v>
      </c>
      <c r="I308">
        <v>1</v>
      </c>
      <c r="J308">
        <f t="shared" si="93"/>
        <v>0.28177025473561218</v>
      </c>
      <c r="K308">
        <f t="shared" si="99"/>
        <v>0.90706245123510676</v>
      </c>
      <c r="O308">
        <f t="shared" si="100"/>
        <v>0.17130014498361656</v>
      </c>
      <c r="P308">
        <f t="shared" si="101"/>
        <v>0.21902441157674768</v>
      </c>
      <c r="Q308">
        <f t="shared" si="102"/>
        <v>0.96056471279245492</v>
      </c>
      <c r="R308">
        <f t="shared" si="92"/>
        <v>1</v>
      </c>
      <c r="AG308" s="8">
        <f t="shared" si="94"/>
        <v>-0.15345459920946938</v>
      </c>
      <c r="AH308" s="8">
        <f t="shared" si="95"/>
        <v>-9.2318872288057782E-2</v>
      </c>
      <c r="AI308" s="8">
        <f t="shared" si="96"/>
        <v>0.98383378260807974</v>
      </c>
      <c r="AJ308" s="8"/>
      <c r="AK308" s="8"/>
      <c r="AL308" s="8"/>
      <c r="AN308" s="8">
        <f t="shared" si="103"/>
        <v>0.99999999999999989</v>
      </c>
      <c r="AO308" s="8">
        <f t="shared" si="104"/>
        <v>3.6831905951026362</v>
      </c>
      <c r="AP308" s="8">
        <f t="shared" si="105"/>
        <v>0.18005534657197031</v>
      </c>
      <c r="AQ308" s="8"/>
      <c r="AR308" s="8">
        <f t="shared" si="106"/>
        <v>211.03127624165913</v>
      </c>
      <c r="AS308" s="8">
        <f t="shared" si="107"/>
        <v>79.683588562660759</v>
      </c>
    </row>
    <row r="309" spans="1:45">
      <c r="A309" s="19">
        <v>18.918900000000001</v>
      </c>
      <c r="B309" s="19">
        <v>692.77527029999999</v>
      </c>
      <c r="C309" s="19">
        <v>-198.80136769999999</v>
      </c>
      <c r="E309" s="9">
        <f t="shared" si="97"/>
        <v>267.22472970000001</v>
      </c>
      <c r="F309" s="9">
        <f t="shared" si="98"/>
        <v>341.19863229999999</v>
      </c>
      <c r="I309">
        <v>1</v>
      </c>
      <c r="J309">
        <f t="shared" si="93"/>
        <v>0.28090788547269707</v>
      </c>
      <c r="K309">
        <f t="shared" si="99"/>
        <v>0.90638726764230149</v>
      </c>
      <c r="O309">
        <f t="shared" si="100"/>
        <v>0.17093716120441893</v>
      </c>
      <c r="P309">
        <f t="shared" si="101"/>
        <v>0.21825646779648461</v>
      </c>
      <c r="Q309">
        <f t="shared" si="102"/>
        <v>0.96080414298876571</v>
      </c>
      <c r="R309">
        <f t="shared" si="92"/>
        <v>1</v>
      </c>
      <c r="AG309" s="8">
        <f t="shared" si="94"/>
        <v>-0.15259372768376722</v>
      </c>
      <c r="AH309" s="8">
        <f t="shared" si="95"/>
        <v>-9.2471968268855842E-2</v>
      </c>
      <c r="AI309" s="8">
        <f t="shared" si="96"/>
        <v>0.98395329632867023</v>
      </c>
      <c r="AJ309" s="8"/>
      <c r="AK309" s="8"/>
      <c r="AL309" s="8"/>
      <c r="AN309" s="8">
        <f t="shared" si="103"/>
        <v>0.99999999999999989</v>
      </c>
      <c r="AO309" s="8">
        <f t="shared" si="104"/>
        <v>3.6864130542419251</v>
      </c>
      <c r="AP309" s="8">
        <f t="shared" si="105"/>
        <v>0.1793867575027861</v>
      </c>
      <c r="AQ309" s="8"/>
      <c r="AR309" s="8">
        <f t="shared" si="106"/>
        <v>211.21590954999374</v>
      </c>
      <c r="AS309" s="8">
        <f t="shared" si="107"/>
        <v>79.721895894553597</v>
      </c>
    </row>
    <row r="310" spans="1:45">
      <c r="A310" s="19">
        <v>18.95226667</v>
      </c>
      <c r="B310" s="19">
        <v>692.78315480000003</v>
      </c>
      <c r="C310" s="19">
        <v>-199.11645619999999</v>
      </c>
      <c r="E310" s="9">
        <f t="shared" si="97"/>
        <v>267.21684519999997</v>
      </c>
      <c r="F310" s="9">
        <f t="shared" si="98"/>
        <v>340.88354379999998</v>
      </c>
      <c r="I310">
        <v>1</v>
      </c>
      <c r="J310">
        <f t="shared" si="93"/>
        <v>0.28075059053984353</v>
      </c>
      <c r="K310">
        <f t="shared" si="99"/>
        <v>0.90595305172027041</v>
      </c>
      <c r="O310">
        <f t="shared" si="100"/>
        <v>0.17093867613056432</v>
      </c>
      <c r="P310">
        <f t="shared" si="101"/>
        <v>0.21806327983647356</v>
      </c>
      <c r="Q310">
        <f t="shared" si="102"/>
        <v>0.96084773767215059</v>
      </c>
      <c r="R310">
        <f t="shared" si="92"/>
        <v>1</v>
      </c>
      <c r="AG310" s="8">
        <f t="shared" si="94"/>
        <v>-0.15240549509065515</v>
      </c>
      <c r="AH310" s="8">
        <f t="shared" si="95"/>
        <v>-9.2420616263333866E-2</v>
      </c>
      <c r="AI310" s="8">
        <f t="shared" si="96"/>
        <v>0.98398729400113594</v>
      </c>
      <c r="AJ310" s="8"/>
      <c r="AK310" s="8"/>
      <c r="AL310" s="8"/>
      <c r="AN310" s="8">
        <f t="shared" si="103"/>
        <v>1</v>
      </c>
      <c r="AO310" s="8">
        <f t="shared" si="104"/>
        <v>3.6867139822358137</v>
      </c>
      <c r="AP310" s="8">
        <f t="shared" si="105"/>
        <v>0.17919611536435753</v>
      </c>
      <c r="AQ310" s="8"/>
      <c r="AR310" s="8">
        <f t="shared" si="106"/>
        <v>211.23315145398089</v>
      </c>
      <c r="AS310" s="8">
        <f t="shared" si="107"/>
        <v>79.73281888448291</v>
      </c>
    </row>
    <row r="311" spans="1:45">
      <c r="A311" s="19">
        <v>18.985633329999999</v>
      </c>
      <c r="B311" s="19">
        <v>693.79901270000005</v>
      </c>
      <c r="C311" s="19">
        <v>-199.87830049999999</v>
      </c>
      <c r="E311" s="9">
        <f t="shared" si="97"/>
        <v>266.20098729999995</v>
      </c>
      <c r="F311" s="9">
        <f t="shared" si="98"/>
        <v>340.12169949999998</v>
      </c>
      <c r="I311">
        <v>1</v>
      </c>
      <c r="J311">
        <f t="shared" si="93"/>
        <v>0.27998771768034153</v>
      </c>
      <c r="K311">
        <f t="shared" si="99"/>
        <v>0.90671590817148118</v>
      </c>
      <c r="O311">
        <f t="shared" si="100"/>
        <v>0.17032044917701472</v>
      </c>
      <c r="P311">
        <f t="shared" si="101"/>
        <v>0.2176163252482784</v>
      </c>
      <c r="Q311">
        <f t="shared" si="102"/>
        <v>0.96105883252669577</v>
      </c>
      <c r="R311">
        <f t="shared" si="92"/>
        <v>1</v>
      </c>
      <c r="AG311" s="8">
        <f t="shared" si="94"/>
        <v>-0.15178037323068683</v>
      </c>
      <c r="AH311" s="8">
        <f t="shared" si="95"/>
        <v>-9.2903462041353496E-2</v>
      </c>
      <c r="AI311" s="8">
        <f t="shared" si="96"/>
        <v>0.98403844693318987</v>
      </c>
      <c r="AJ311" s="8"/>
      <c r="AK311" s="8"/>
      <c r="AL311" s="8"/>
      <c r="AN311" s="8">
        <f t="shared" si="103"/>
        <v>1</v>
      </c>
      <c r="AO311" s="8">
        <f t="shared" si="104"/>
        <v>3.6908554874724318</v>
      </c>
      <c r="AP311" s="8">
        <f t="shared" si="105"/>
        <v>0.17890889635430396</v>
      </c>
      <c r="AQ311" s="8"/>
      <c r="AR311" s="8">
        <f t="shared" si="106"/>
        <v>211.47044222487042</v>
      </c>
      <c r="AS311" s="8">
        <f t="shared" si="107"/>
        <v>79.749275321554904</v>
      </c>
    </row>
    <row r="312" spans="1:45">
      <c r="A312" s="19">
        <v>19.018999999999998</v>
      </c>
      <c r="B312" s="19">
        <v>693.92555960000004</v>
      </c>
      <c r="C312" s="19">
        <v>-200.3743734</v>
      </c>
      <c r="E312" s="9">
        <f t="shared" si="97"/>
        <v>266.07444039999996</v>
      </c>
      <c r="F312" s="9">
        <f t="shared" si="98"/>
        <v>339.62562660000003</v>
      </c>
      <c r="I312">
        <v>1</v>
      </c>
      <c r="J312">
        <f t="shared" si="93"/>
        <v>0.27969609633248932</v>
      </c>
      <c r="K312">
        <f t="shared" si="99"/>
        <v>0.90623822139227905</v>
      </c>
      <c r="O312">
        <f t="shared" si="100"/>
        <v>0.17025153216704658</v>
      </c>
      <c r="P312">
        <f t="shared" si="101"/>
        <v>0.21731430950269987</v>
      </c>
      <c r="Q312">
        <f t="shared" si="102"/>
        <v>0.96113937942430483</v>
      </c>
      <c r="R312">
        <f t="shared" si="92"/>
        <v>1</v>
      </c>
      <c r="AG312" s="8">
        <f t="shared" si="94"/>
        <v>-0.15146438842456697</v>
      </c>
      <c r="AH312" s="8">
        <f t="shared" si="95"/>
        <v>-9.2892117790017187E-2</v>
      </c>
      <c r="AI312" s="8">
        <f t="shared" si="96"/>
        <v>0.98408820412179387</v>
      </c>
      <c r="AJ312" s="8"/>
      <c r="AK312" s="8"/>
      <c r="AL312" s="8"/>
      <c r="AN312" s="8">
        <f t="shared" si="103"/>
        <v>1</v>
      </c>
      <c r="AO312" s="8">
        <f t="shared" si="104"/>
        <v>3.6917294544031547</v>
      </c>
      <c r="AP312" s="8">
        <f t="shared" si="105"/>
        <v>0.17862907596932676</v>
      </c>
      <c r="AQ312" s="8"/>
      <c r="AR312" s="8">
        <f t="shared" si="106"/>
        <v>211.52051684143484</v>
      </c>
      <c r="AS312" s="8">
        <f t="shared" si="107"/>
        <v>79.765307848635828</v>
      </c>
    </row>
    <row r="313" spans="1:45">
      <c r="A313" s="19">
        <v>19.052366670000001</v>
      </c>
      <c r="B313" s="19">
        <v>694.47746340000003</v>
      </c>
      <c r="C313" s="19">
        <v>-201.14726060000001</v>
      </c>
      <c r="E313" s="9">
        <f t="shared" si="97"/>
        <v>265.52253659999997</v>
      </c>
      <c r="F313" s="9">
        <f t="shared" si="98"/>
        <v>338.85273940000002</v>
      </c>
      <c r="I313">
        <v>1</v>
      </c>
      <c r="J313">
        <f t="shared" si="93"/>
        <v>0.2791055085882036</v>
      </c>
      <c r="K313">
        <f t="shared" si="99"/>
        <v>0.90614020451032473</v>
      </c>
      <c r="O313">
        <f t="shared" si="100"/>
        <v>0.16992269009049704</v>
      </c>
      <c r="P313">
        <f t="shared" si="101"/>
        <v>0.21685077945049341</v>
      </c>
      <c r="Q313">
        <f t="shared" si="102"/>
        <v>0.96130225155469307</v>
      </c>
      <c r="R313">
        <f t="shared" si="92"/>
        <v>1</v>
      </c>
      <c r="AG313" s="8">
        <f t="shared" si="94"/>
        <v>-0.15091141406887143</v>
      </c>
      <c r="AH313" s="8">
        <f t="shared" si="95"/>
        <v>-9.3090513308258099E-2</v>
      </c>
      <c r="AI313" s="8">
        <f t="shared" si="96"/>
        <v>0.98415440934628673</v>
      </c>
      <c r="AJ313" s="8"/>
      <c r="AK313" s="8"/>
      <c r="AL313" s="8"/>
      <c r="AN313" s="8">
        <f t="shared" si="103"/>
        <v>0.99999999999999989</v>
      </c>
      <c r="AO313" s="8">
        <f t="shared" si="104"/>
        <v>3.6943136926805336</v>
      </c>
      <c r="AP313" s="8">
        <f t="shared" si="105"/>
        <v>0.17825608268962378</v>
      </c>
      <c r="AQ313" s="8"/>
      <c r="AR313" s="8">
        <f t="shared" si="106"/>
        <v>211.66858278798483</v>
      </c>
      <c r="AS313" s="8">
        <f t="shared" si="107"/>
        <v>79.786678789349551</v>
      </c>
    </row>
    <row r="314" spans="1:45">
      <c r="A314" s="19">
        <v>19.08573333</v>
      </c>
      <c r="B314" s="19">
        <v>694.96097450000002</v>
      </c>
      <c r="C314" s="19">
        <v>-201.89243300000001</v>
      </c>
      <c r="E314" s="9">
        <f t="shared" si="97"/>
        <v>265.03902549999998</v>
      </c>
      <c r="F314" s="9">
        <f t="shared" si="98"/>
        <v>338.10756700000002</v>
      </c>
      <c r="I314">
        <v>1</v>
      </c>
      <c r="J314">
        <f t="shared" si="93"/>
        <v>0.27855459834204843</v>
      </c>
      <c r="K314">
        <f t="shared" si="99"/>
        <v>0.90595625002214486</v>
      </c>
      <c r="O314">
        <f t="shared" si="100"/>
        <v>0.16963582964156429</v>
      </c>
      <c r="P314">
        <f t="shared" si="101"/>
        <v>0.21640268835102469</v>
      </c>
      <c r="Q314">
        <f t="shared" si="102"/>
        <v>0.96145387917271796</v>
      </c>
      <c r="R314">
        <f t="shared" si="92"/>
        <v>0.99999999999999989</v>
      </c>
      <c r="AG314" s="8">
        <f t="shared" si="94"/>
        <v>-0.15038635623884511</v>
      </c>
      <c r="AH314" s="8">
        <f t="shared" si="95"/>
        <v>-9.3252212517393226E-2</v>
      </c>
      <c r="AI314" s="8">
        <f t="shared" si="96"/>
        <v>0.98421947182415259</v>
      </c>
      <c r="AJ314" s="8"/>
      <c r="AK314" s="8"/>
      <c r="AL314" s="8"/>
      <c r="AN314" s="8">
        <f t="shared" si="103"/>
        <v>0.99999999999999978</v>
      </c>
      <c r="AO314" s="8">
        <f t="shared" si="104"/>
        <v>3.6966492429997628</v>
      </c>
      <c r="AP314" s="8">
        <f t="shared" si="105"/>
        <v>0.17788877367857681</v>
      </c>
      <c r="AQ314" s="8"/>
      <c r="AR314" s="8">
        <f t="shared" si="106"/>
        <v>211.80239996411709</v>
      </c>
      <c r="AS314" s="8">
        <f t="shared" si="107"/>
        <v>79.807724045459665</v>
      </c>
    </row>
    <row r="315" spans="1:45">
      <c r="A315" s="19">
        <v>19.1191</v>
      </c>
      <c r="B315" s="19">
        <v>695.22413689999996</v>
      </c>
      <c r="C315" s="19">
        <v>-202.34502409999999</v>
      </c>
      <c r="E315" s="9">
        <f t="shared" si="97"/>
        <v>264.77586310000004</v>
      </c>
      <c r="F315" s="9">
        <f t="shared" si="98"/>
        <v>337.65497590000001</v>
      </c>
      <c r="I315">
        <v>1</v>
      </c>
      <c r="J315">
        <f t="shared" si="93"/>
        <v>0.27823164550546203</v>
      </c>
      <c r="K315">
        <f t="shared" si="99"/>
        <v>0.90578820637640167</v>
      </c>
      <c r="O315">
        <f t="shared" si="100"/>
        <v>0.16948058202599539</v>
      </c>
      <c r="P315">
        <f t="shared" si="101"/>
        <v>0.21612982833670324</v>
      </c>
      <c r="Q315">
        <f t="shared" si="102"/>
        <v>0.96154263016221853</v>
      </c>
      <c r="R315">
        <f t="shared" si="92"/>
        <v>1</v>
      </c>
      <c r="AG315" s="8">
        <f t="shared" si="94"/>
        <v>-0.15007256999551088</v>
      </c>
      <c r="AH315" s="8">
        <f t="shared" si="95"/>
        <v>-9.3331845984816739E-2</v>
      </c>
      <c r="AI315" s="8">
        <f t="shared" si="96"/>
        <v>0.9842598184727489</v>
      </c>
      <c r="AJ315" s="8"/>
      <c r="AK315" s="8"/>
      <c r="AL315" s="8"/>
      <c r="AN315" s="8">
        <f t="shared" si="103"/>
        <v>0.99999999999999967</v>
      </c>
      <c r="AO315" s="8">
        <f t="shared" si="104"/>
        <v>3.6979678881457838</v>
      </c>
      <c r="AP315" s="8">
        <f t="shared" si="105"/>
        <v>0.1776606199885653</v>
      </c>
      <c r="AQ315" s="8"/>
      <c r="AR315" s="8">
        <f t="shared" si="106"/>
        <v>211.8779527656595</v>
      </c>
      <c r="AS315" s="8">
        <f t="shared" si="107"/>
        <v>79.820796288977661</v>
      </c>
    </row>
    <row r="316" spans="1:45">
      <c r="A316" s="19">
        <v>19.152466669999999</v>
      </c>
      <c r="B316" s="19">
        <v>695.78281270000002</v>
      </c>
      <c r="C316" s="19">
        <v>-203.0938883</v>
      </c>
      <c r="E316" s="9">
        <f t="shared" si="97"/>
        <v>264.21718729999998</v>
      </c>
      <c r="F316" s="9">
        <f t="shared" si="98"/>
        <v>336.9061117</v>
      </c>
      <c r="I316">
        <v>1</v>
      </c>
      <c r="J316">
        <f t="shared" si="93"/>
        <v>0.27764978692950976</v>
      </c>
      <c r="K316">
        <f t="shared" si="99"/>
        <v>0.90573572601391905</v>
      </c>
      <c r="O316">
        <f t="shared" si="100"/>
        <v>0.1691466356424442</v>
      </c>
      <c r="P316">
        <f t="shared" si="101"/>
        <v>0.21568065235941036</v>
      </c>
      <c r="Q316">
        <f t="shared" si="102"/>
        <v>0.96170227817587151</v>
      </c>
      <c r="R316">
        <f t="shared" si="92"/>
        <v>1</v>
      </c>
      <c r="AG316" s="8">
        <f t="shared" si="94"/>
        <v>-0.1495321532546714</v>
      </c>
      <c r="AH316" s="8">
        <f t="shared" si="95"/>
        <v>-9.3538719059394565E-2</v>
      </c>
      <c r="AI316" s="8">
        <f t="shared" si="96"/>
        <v>0.98432242846526108</v>
      </c>
      <c r="AJ316" s="8"/>
      <c r="AK316" s="8"/>
      <c r="AL316" s="8"/>
      <c r="AN316" s="8">
        <f t="shared" si="103"/>
        <v>0.99999999999999989</v>
      </c>
      <c r="AO316" s="8">
        <f t="shared" si="104"/>
        <v>3.7005819961869078</v>
      </c>
      <c r="AP316" s="8">
        <f t="shared" si="105"/>
        <v>0.17730599559315463</v>
      </c>
      <c r="AQ316" s="8"/>
      <c r="AR316" s="8">
        <f t="shared" si="106"/>
        <v>212.02773012360711</v>
      </c>
      <c r="AS316" s="8">
        <f t="shared" si="107"/>
        <v>79.841114770147072</v>
      </c>
    </row>
    <row r="317" spans="1:45">
      <c r="A317" s="19">
        <v>19.185833330000001</v>
      </c>
      <c r="B317" s="19">
        <v>695.93126180000002</v>
      </c>
      <c r="C317" s="19">
        <v>-204.07000389999999</v>
      </c>
      <c r="E317" s="9">
        <f t="shared" si="97"/>
        <v>264.06873819999998</v>
      </c>
      <c r="F317" s="9">
        <f t="shared" si="98"/>
        <v>335.92999610000004</v>
      </c>
      <c r="I317">
        <v>1</v>
      </c>
      <c r="J317">
        <f t="shared" si="93"/>
        <v>0.27711425043607951</v>
      </c>
      <c r="K317">
        <f t="shared" si="99"/>
        <v>0.90459937797224277</v>
      </c>
      <c r="O317">
        <f t="shared" si="100"/>
        <v>0.16907330360963499</v>
      </c>
      <c r="P317">
        <f t="shared" si="101"/>
        <v>0.21508337037299022</v>
      </c>
      <c r="Q317">
        <f t="shared" si="102"/>
        <v>0.9618489287801486</v>
      </c>
      <c r="R317">
        <f t="shared" si="92"/>
        <v>1</v>
      </c>
      <c r="AG317" s="8">
        <f t="shared" si="94"/>
        <v>-0.14892660933981039</v>
      </c>
      <c r="AH317" s="8">
        <f t="shared" si="95"/>
        <v>-9.3455069115009379E-2</v>
      </c>
      <c r="AI317" s="8">
        <f t="shared" si="96"/>
        <v>0.98442217319971836</v>
      </c>
      <c r="AJ317" s="8"/>
      <c r="AK317" s="8"/>
      <c r="AL317" s="8"/>
      <c r="AN317" s="8">
        <f t="shared" si="103"/>
        <v>0.99999999999999989</v>
      </c>
      <c r="AO317" s="8">
        <f t="shared" si="104"/>
        <v>3.7020051505116491</v>
      </c>
      <c r="AP317" s="8">
        <f t="shared" si="105"/>
        <v>0.1767395849190363</v>
      </c>
      <c r="AQ317" s="8"/>
      <c r="AR317" s="8">
        <f t="shared" si="106"/>
        <v>212.10927086001058</v>
      </c>
      <c r="AS317" s="8">
        <f t="shared" si="107"/>
        <v>79.873567711245201</v>
      </c>
    </row>
    <row r="318" spans="1:45">
      <c r="A318" s="19">
        <v>19.219200000000001</v>
      </c>
      <c r="B318" s="19">
        <v>696.19943550000005</v>
      </c>
      <c r="C318" s="19">
        <v>-204.51325120000001</v>
      </c>
      <c r="E318" s="9">
        <f t="shared" si="97"/>
        <v>263.80056449999995</v>
      </c>
      <c r="F318" s="9">
        <f t="shared" si="98"/>
        <v>335.48674879999999</v>
      </c>
      <c r="I318">
        <v>1</v>
      </c>
      <c r="J318">
        <f t="shared" si="93"/>
        <v>0.27679376211624751</v>
      </c>
      <c r="K318">
        <f t="shared" si="99"/>
        <v>0.90445153888086105</v>
      </c>
      <c r="O318">
        <f t="shared" si="100"/>
        <v>0.16891454928981539</v>
      </c>
      <c r="P318">
        <f t="shared" si="101"/>
        <v>0.21481604132904547</v>
      </c>
      <c r="Q318">
        <f t="shared" si="102"/>
        <v>0.96193655894031616</v>
      </c>
      <c r="R318">
        <f t="shared" si="92"/>
        <v>1</v>
      </c>
      <c r="AG318" s="8">
        <f t="shared" si="94"/>
        <v>-0.14861720858470323</v>
      </c>
      <c r="AH318" s="8">
        <f t="shared" si="95"/>
        <v>-9.3539430004527163E-2</v>
      </c>
      <c r="AI318" s="8">
        <f t="shared" si="96"/>
        <v>0.98446091864884044</v>
      </c>
      <c r="AJ318" s="8"/>
      <c r="AK318" s="8"/>
      <c r="AL318" s="8"/>
      <c r="AN318" s="8">
        <f t="shared" si="103"/>
        <v>0.99999999999999989</v>
      </c>
      <c r="AO318" s="8">
        <f t="shared" si="104"/>
        <v>3.7033485968664195</v>
      </c>
      <c r="AP318" s="8">
        <f t="shared" si="105"/>
        <v>0.17651907993681015</v>
      </c>
      <c r="AQ318" s="8"/>
      <c r="AR318" s="8">
        <f t="shared" si="106"/>
        <v>212.18624466614116</v>
      </c>
      <c r="AS318" s="8">
        <f t="shared" si="107"/>
        <v>79.886201716088379</v>
      </c>
    </row>
    <row r="319" spans="1:45">
      <c r="A319" s="19">
        <v>19.25256667</v>
      </c>
      <c r="B319" s="19">
        <v>696.96112410000001</v>
      </c>
      <c r="C319" s="19">
        <v>-205.10578419999999</v>
      </c>
      <c r="E319" s="9">
        <f t="shared" si="97"/>
        <v>263.03887589999999</v>
      </c>
      <c r="F319" s="9">
        <f t="shared" si="98"/>
        <v>334.89421579999998</v>
      </c>
      <c r="I319">
        <v>1</v>
      </c>
      <c r="J319">
        <f t="shared" si="93"/>
        <v>0.27620990477319968</v>
      </c>
      <c r="K319">
        <f t="shared" si="99"/>
        <v>0.90499750886689845</v>
      </c>
      <c r="O319">
        <f t="shared" si="100"/>
        <v>0.16845029810588685</v>
      </c>
      <c r="P319">
        <f t="shared" si="101"/>
        <v>0.21446651295336985</v>
      </c>
      <c r="Q319">
        <f t="shared" si="102"/>
        <v>0.96209594734083559</v>
      </c>
      <c r="R319">
        <f t="shared" si="92"/>
        <v>1</v>
      </c>
      <c r="AG319" s="8">
        <f t="shared" si="94"/>
        <v>-0.14813445799397731</v>
      </c>
      <c r="AH319" s="8">
        <f t="shared" si="95"/>
        <v>-9.389798813874918E-2</v>
      </c>
      <c r="AI319" s="8">
        <f t="shared" si="96"/>
        <v>0.98449954300564602</v>
      </c>
      <c r="AJ319" s="8"/>
      <c r="AK319" s="8"/>
      <c r="AL319" s="8"/>
      <c r="AN319" s="8">
        <f t="shared" si="103"/>
        <v>1</v>
      </c>
      <c r="AO319" s="8">
        <f t="shared" si="104"/>
        <v>3.7065449800749635</v>
      </c>
      <c r="AP319" s="8">
        <f t="shared" si="105"/>
        <v>0.17629899246240388</v>
      </c>
      <c r="AQ319" s="8"/>
      <c r="AR319" s="8">
        <f t="shared" si="106"/>
        <v>212.36938393369721</v>
      </c>
      <c r="AS319" s="8">
        <f t="shared" si="107"/>
        <v>79.898811799495547</v>
      </c>
    </row>
    <row r="320" spans="1:45">
      <c r="A320" s="19">
        <v>19.285933329999999</v>
      </c>
      <c r="B320" s="19">
        <v>697.09437070000001</v>
      </c>
      <c r="C320" s="19">
        <v>-206.38137639999999</v>
      </c>
      <c r="E320" s="9">
        <f t="shared" si="97"/>
        <v>262.90562929999999</v>
      </c>
      <c r="F320" s="9">
        <f t="shared" si="98"/>
        <v>333.61862359999998</v>
      </c>
      <c r="I320">
        <v>1</v>
      </c>
      <c r="J320">
        <f t="shared" si="93"/>
        <v>0.27553332107146133</v>
      </c>
      <c r="K320">
        <f t="shared" si="99"/>
        <v>0.90338923596128007</v>
      </c>
      <c r="O320">
        <f t="shared" si="100"/>
        <v>0.16839206284626065</v>
      </c>
      <c r="P320">
        <f t="shared" si="101"/>
        <v>0.21368400662059989</v>
      </c>
      <c r="Q320">
        <f t="shared" si="102"/>
        <v>0.96228023905978055</v>
      </c>
      <c r="R320">
        <f t="shared" si="92"/>
        <v>1</v>
      </c>
      <c r="AG320" s="8">
        <f t="shared" si="94"/>
        <v>-0.14735279060307971</v>
      </c>
      <c r="AH320" s="8">
        <f t="shared" si="95"/>
        <v>-9.3751562947471168E-2</v>
      </c>
      <c r="AI320" s="8">
        <f t="shared" si="96"/>
        <v>0.98463079351927196</v>
      </c>
      <c r="AJ320" s="8"/>
      <c r="AK320" s="8"/>
      <c r="AL320" s="8"/>
      <c r="AN320" s="8">
        <f t="shared" si="103"/>
        <v>0.99999999999999989</v>
      </c>
      <c r="AO320" s="8">
        <f t="shared" si="104"/>
        <v>3.7082330133121282</v>
      </c>
      <c r="AP320" s="8">
        <f t="shared" si="105"/>
        <v>0.17554906655727831</v>
      </c>
      <c r="AQ320" s="8"/>
      <c r="AR320" s="8">
        <f t="shared" si="106"/>
        <v>212.46610111386457</v>
      </c>
      <c r="AS320" s="8">
        <f t="shared" si="107"/>
        <v>79.941779388806765</v>
      </c>
    </row>
    <row r="321" spans="1:45">
      <c r="A321" s="19">
        <v>19.319299999999998</v>
      </c>
      <c r="B321" s="19">
        <v>698.0785836</v>
      </c>
      <c r="C321" s="19">
        <v>-206.90449849999999</v>
      </c>
      <c r="E321" s="9">
        <f t="shared" si="97"/>
        <v>261.9214164</v>
      </c>
      <c r="F321" s="9">
        <f t="shared" si="98"/>
        <v>333.09550150000001</v>
      </c>
      <c r="I321">
        <v>1</v>
      </c>
      <c r="J321">
        <f t="shared" si="93"/>
        <v>0.27489711475384915</v>
      </c>
      <c r="K321">
        <f t="shared" si="99"/>
        <v>0.9044494204765422</v>
      </c>
      <c r="O321">
        <f t="shared" si="100"/>
        <v>0.16778697222024425</v>
      </c>
      <c r="P321">
        <f t="shared" si="101"/>
        <v>0.21338112180760496</v>
      </c>
      <c r="Q321">
        <f t="shared" si="102"/>
        <v>0.96245313070782368</v>
      </c>
      <c r="R321">
        <f t="shared" si="92"/>
        <v>1</v>
      </c>
      <c r="AG321" s="8">
        <f t="shared" si="94"/>
        <v>-0.14687273691522468</v>
      </c>
      <c r="AH321" s="8">
        <f t="shared" si="95"/>
        <v>-9.4258286556978876E-2</v>
      </c>
      <c r="AI321" s="8">
        <f t="shared" si="96"/>
        <v>0.9846541395669719</v>
      </c>
      <c r="AJ321" s="8"/>
      <c r="AK321" s="8"/>
      <c r="AL321" s="8"/>
      <c r="AN321" s="8">
        <f t="shared" si="103"/>
        <v>1</v>
      </c>
      <c r="AO321" s="8">
        <f t="shared" si="104"/>
        <v>3.7121594028553608</v>
      </c>
      <c r="AP321" s="8">
        <f t="shared" si="105"/>
        <v>0.17541534189040409</v>
      </c>
      <c r="AQ321" s="8"/>
      <c r="AR321" s="8">
        <f t="shared" si="106"/>
        <v>212.69106666341608</v>
      </c>
      <c r="AS321" s="8">
        <f t="shared" si="107"/>
        <v>79.949441247835452</v>
      </c>
    </row>
    <row r="322" spans="1:45">
      <c r="A322" s="19">
        <v>19.352666670000001</v>
      </c>
      <c r="B322" s="19">
        <v>697.97289000000001</v>
      </c>
      <c r="C322" s="19">
        <v>-207.68478820000001</v>
      </c>
      <c r="E322" s="9">
        <f t="shared" si="97"/>
        <v>262.02710999999999</v>
      </c>
      <c r="F322" s="9">
        <f t="shared" si="98"/>
        <v>332.31521179999999</v>
      </c>
      <c r="I322">
        <v>1</v>
      </c>
      <c r="J322">
        <f t="shared" si="93"/>
        <v>0.27455537075955455</v>
      </c>
      <c r="K322">
        <f t="shared" si="99"/>
        <v>0.90311339432386128</v>
      </c>
      <c r="O322">
        <f t="shared" si="100"/>
        <v>0.16786824314391807</v>
      </c>
      <c r="P322">
        <f t="shared" si="101"/>
        <v>0.21289846983720512</v>
      </c>
      <c r="Q322">
        <f t="shared" si="102"/>
        <v>0.96254584019918299</v>
      </c>
      <c r="R322">
        <f t="shared" si="92"/>
        <v>1</v>
      </c>
      <c r="AG322" s="8">
        <f t="shared" si="94"/>
        <v>-0.1464263661353013</v>
      </c>
      <c r="AH322" s="8">
        <f t="shared" si="95"/>
        <v>-9.4054529713391885E-2</v>
      </c>
      <c r="AI322" s="8">
        <f t="shared" si="96"/>
        <v>0.98474010009789048</v>
      </c>
      <c r="AJ322" s="8"/>
      <c r="AK322" s="8"/>
      <c r="AL322" s="8"/>
      <c r="AN322" s="8">
        <f t="shared" si="103"/>
        <v>1</v>
      </c>
      <c r="AO322" s="8">
        <f t="shared" si="104"/>
        <v>3.712559377666194</v>
      </c>
      <c r="AP322" s="8">
        <f t="shared" si="105"/>
        <v>0.17492209335226727</v>
      </c>
      <c r="AQ322" s="8"/>
      <c r="AR322" s="8">
        <f t="shared" si="106"/>
        <v>212.71398353198839</v>
      </c>
      <c r="AS322" s="8">
        <f t="shared" si="107"/>
        <v>79.977702307321692</v>
      </c>
    </row>
    <row r="323" spans="1:45">
      <c r="A323" s="19">
        <v>19.38603333</v>
      </c>
      <c r="B323" s="19">
        <v>698.2548941</v>
      </c>
      <c r="C323" s="19">
        <v>-208.2896332</v>
      </c>
      <c r="E323" s="9">
        <f t="shared" si="97"/>
        <v>261.7451059</v>
      </c>
      <c r="F323" s="9">
        <f t="shared" si="98"/>
        <v>331.71036679999997</v>
      </c>
      <c r="I323">
        <v>1</v>
      </c>
      <c r="J323">
        <f t="shared" si="93"/>
        <v>0.27414997833430366</v>
      </c>
      <c r="K323">
        <f t="shared" si="99"/>
        <v>0.90275117129290705</v>
      </c>
      <c r="O323">
        <f t="shared" si="100"/>
        <v>0.16770361923255969</v>
      </c>
      <c r="P323">
        <f t="shared" si="101"/>
        <v>0.21253130543947227</v>
      </c>
      <c r="Q323">
        <f t="shared" si="102"/>
        <v>0.9626556706863022</v>
      </c>
      <c r="R323">
        <f t="shared" si="92"/>
        <v>1</v>
      </c>
      <c r="AG323" s="8">
        <f t="shared" si="94"/>
        <v>-0.14601782514990377</v>
      </c>
      <c r="AH323" s="8">
        <f t="shared" si="95"/>
        <v>-9.4118498599175829E-2</v>
      </c>
      <c r="AI323" s="8">
        <f t="shared" si="96"/>
        <v>0.98479465014790213</v>
      </c>
      <c r="AJ323" s="8"/>
      <c r="AK323" s="8"/>
      <c r="AL323" s="8"/>
      <c r="AN323" s="8">
        <f t="shared" si="103"/>
        <v>0.99999999999999989</v>
      </c>
      <c r="AO323" s="8">
        <f t="shared" si="104"/>
        <v>3.7141401541489554</v>
      </c>
      <c r="AP323" s="8">
        <f t="shared" si="105"/>
        <v>0.17460836544942504</v>
      </c>
      <c r="AQ323" s="8"/>
      <c r="AR323" s="8">
        <f t="shared" si="106"/>
        <v>212.80455535280413</v>
      </c>
      <c r="AS323" s="8">
        <f t="shared" si="107"/>
        <v>79.995677592070038</v>
      </c>
    </row>
    <row r="324" spans="1:45">
      <c r="A324" s="19">
        <v>19.4194</v>
      </c>
      <c r="B324" s="19">
        <v>698.0974301</v>
      </c>
      <c r="C324" s="19">
        <v>-209.08182840000001</v>
      </c>
      <c r="E324" s="9">
        <f t="shared" si="97"/>
        <v>261.9025699</v>
      </c>
      <c r="F324" s="9">
        <f t="shared" si="98"/>
        <v>330.91817159999999</v>
      </c>
      <c r="I324">
        <v>1</v>
      </c>
      <c r="J324">
        <f t="shared" si="93"/>
        <v>0.27382293140885733</v>
      </c>
      <c r="K324">
        <f t="shared" si="99"/>
        <v>0.90129544871800726</v>
      </c>
      <c r="O324">
        <f t="shared" si="100"/>
        <v>0.16781743502252902</v>
      </c>
      <c r="P324">
        <f t="shared" si="101"/>
        <v>0.21204006811182155</v>
      </c>
      <c r="Q324">
        <f t="shared" si="102"/>
        <v>0.96274416020955089</v>
      </c>
      <c r="R324">
        <f t="shared" si="92"/>
        <v>1</v>
      </c>
      <c r="AG324" s="8">
        <f t="shared" si="94"/>
        <v>-0.14557303828652723</v>
      </c>
      <c r="AH324" s="8">
        <f t="shared" si="95"/>
        <v>-9.3880953742990533E-2</v>
      </c>
      <c r="AI324" s="8">
        <f t="shared" si="96"/>
        <v>0.98488316923802477</v>
      </c>
      <c r="AJ324" s="8"/>
      <c r="AK324" s="8"/>
      <c r="AL324" s="8"/>
      <c r="AN324" s="8">
        <f t="shared" si="103"/>
        <v>1</v>
      </c>
      <c r="AO324" s="8">
        <f t="shared" si="104"/>
        <v>3.7143786508380527</v>
      </c>
      <c r="AP324" s="8">
        <f t="shared" si="105"/>
        <v>0.1740980842687565</v>
      </c>
      <c r="AQ324" s="8"/>
      <c r="AR324" s="8">
        <f t="shared" si="106"/>
        <v>212.81822020651725</v>
      </c>
      <c r="AS324" s="8">
        <f t="shared" si="107"/>
        <v>80.024914550087303</v>
      </c>
    </row>
    <row r="325" spans="1:45">
      <c r="A325" s="19">
        <v>19.452766669999999</v>
      </c>
      <c r="B325" s="19">
        <v>699.91353119999997</v>
      </c>
      <c r="C325" s="19">
        <v>-209.84737179999999</v>
      </c>
      <c r="E325" s="9">
        <f t="shared" si="97"/>
        <v>260.08646880000003</v>
      </c>
      <c r="F325" s="9">
        <f t="shared" si="98"/>
        <v>330.15262819999998</v>
      </c>
      <c r="I325">
        <v>1</v>
      </c>
      <c r="J325">
        <f t="shared" si="93"/>
        <v>0.27274492804719463</v>
      </c>
      <c r="K325">
        <f t="shared" si="99"/>
        <v>0.90355333078743205</v>
      </c>
      <c r="O325">
        <f t="shared" si="100"/>
        <v>0.16669590931531131</v>
      </c>
      <c r="P325">
        <f t="shared" si="101"/>
        <v>0.21160305964613446</v>
      </c>
      <c r="Q325">
        <f t="shared" si="102"/>
        <v>0.96303510785741142</v>
      </c>
      <c r="R325">
        <f t="shared" si="92"/>
        <v>1</v>
      </c>
      <c r="AG325" s="8">
        <f t="shared" si="94"/>
        <v>-0.14480489396700041</v>
      </c>
      <c r="AH325" s="8">
        <f t="shared" si="95"/>
        <v>-9.4852032193274288E-2</v>
      </c>
      <c r="AI325" s="8">
        <f t="shared" si="96"/>
        <v>0.98490336311336246</v>
      </c>
      <c r="AJ325" s="8"/>
      <c r="AK325" s="8"/>
      <c r="AL325" s="8"/>
      <c r="AN325" s="8">
        <f t="shared" si="103"/>
        <v>1</v>
      </c>
      <c r="AO325" s="8">
        <f t="shared" si="104"/>
        <v>3.7214981106610141</v>
      </c>
      <c r="AP325" s="8">
        <f t="shared" si="105"/>
        <v>0.17398146620477117</v>
      </c>
      <c r="AQ325" s="8"/>
      <c r="AR325" s="8">
        <f t="shared" si="106"/>
        <v>213.2261352067859</v>
      </c>
      <c r="AS325" s="8">
        <f t="shared" si="107"/>
        <v>80.031596272968642</v>
      </c>
    </row>
    <row r="326" spans="1:45">
      <c r="A326" s="19">
        <v>19.486133330000001</v>
      </c>
      <c r="B326" s="19">
        <v>699.86044500000003</v>
      </c>
      <c r="C326" s="19">
        <v>-210.3672521</v>
      </c>
      <c r="E326" s="9">
        <f t="shared" si="97"/>
        <v>260.13955499999997</v>
      </c>
      <c r="F326" s="9">
        <f t="shared" si="98"/>
        <v>329.63274790000003</v>
      </c>
      <c r="I326">
        <v>1</v>
      </c>
      <c r="J326">
        <f t="shared" si="93"/>
        <v>0.27251044045027595</v>
      </c>
      <c r="K326">
        <f t="shared" si="99"/>
        <v>0.90268788706617953</v>
      </c>
      <c r="O326">
        <f t="shared" si="100"/>
        <v>0.16673907695561169</v>
      </c>
      <c r="P326">
        <f t="shared" si="101"/>
        <v>0.21128144129864396</v>
      </c>
      <c r="Q326">
        <f t="shared" si="102"/>
        <v>0.96309824669073008</v>
      </c>
      <c r="R326">
        <f t="shared" si="92"/>
        <v>1</v>
      </c>
      <c r="AG326" s="8">
        <f t="shared" si="94"/>
        <v>-0.14450416406906058</v>
      </c>
      <c r="AH326" s="8">
        <f t="shared" si="95"/>
        <v>-9.4726776725130413E-2</v>
      </c>
      <c r="AI326" s="8">
        <f t="shared" si="96"/>
        <v>0.98495958512924242</v>
      </c>
      <c r="AJ326" s="8"/>
      <c r="AK326" s="8"/>
      <c r="AL326" s="8"/>
      <c r="AN326" s="8">
        <f t="shared" si="103"/>
        <v>1</v>
      </c>
      <c r="AO326" s="8">
        <f t="shared" si="104"/>
        <v>3.7218453944620511</v>
      </c>
      <c r="AP326" s="8">
        <f t="shared" si="105"/>
        <v>0.17365638006146522</v>
      </c>
      <c r="AQ326" s="8"/>
      <c r="AR326" s="8">
        <f t="shared" si="106"/>
        <v>213.24603310287858</v>
      </c>
      <c r="AS326" s="8">
        <f t="shared" si="107"/>
        <v>80.050222336958257</v>
      </c>
    </row>
    <row r="327" spans="1:45">
      <c r="A327" s="19">
        <v>19.519500000000001</v>
      </c>
      <c r="B327" s="19">
        <v>699.97862740000005</v>
      </c>
      <c r="C327" s="19">
        <v>-211.0912132</v>
      </c>
      <c r="E327" s="9">
        <f t="shared" si="97"/>
        <v>260.02137259999995</v>
      </c>
      <c r="F327" s="9">
        <f t="shared" si="98"/>
        <v>328.90878680000003</v>
      </c>
      <c r="I327">
        <v>1</v>
      </c>
      <c r="J327">
        <f t="shared" si="93"/>
        <v>0.27210972620500234</v>
      </c>
      <c r="K327">
        <f t="shared" si="99"/>
        <v>0.90183946444815344</v>
      </c>
      <c r="O327">
        <f t="shared" si="100"/>
        <v>0.16667891978405749</v>
      </c>
      <c r="P327">
        <f t="shared" si="101"/>
        <v>0.21083713520597303</v>
      </c>
      <c r="Q327">
        <f t="shared" si="102"/>
        <v>0.96320602163699021</v>
      </c>
      <c r="R327">
        <f t="shared" si="92"/>
        <v>1</v>
      </c>
      <c r="AG327" s="8">
        <f t="shared" si="94"/>
        <v>-0.14405225211782544</v>
      </c>
      <c r="AH327" s="8">
        <f t="shared" si="95"/>
        <v>-9.4669529801531815E-2</v>
      </c>
      <c r="AI327" s="8">
        <f t="shared" si="96"/>
        <v>0.98503128315142319</v>
      </c>
      <c r="AJ327" s="8"/>
      <c r="AK327" s="8"/>
      <c r="AL327" s="8"/>
      <c r="AN327" s="8">
        <f t="shared" si="103"/>
        <v>0.99999999999999989</v>
      </c>
      <c r="AO327" s="8">
        <f t="shared" si="104"/>
        <v>3.7230049383815631</v>
      </c>
      <c r="AP327" s="8">
        <f t="shared" si="105"/>
        <v>0.17324093269447438</v>
      </c>
      <c r="AQ327" s="8"/>
      <c r="AR327" s="8">
        <f t="shared" si="106"/>
        <v>213.31247007562669</v>
      </c>
      <c r="AS327" s="8">
        <f t="shared" si="107"/>
        <v>80.074025717696657</v>
      </c>
    </row>
    <row r="328" spans="1:45">
      <c r="A328" s="19">
        <v>19.55286667</v>
      </c>
      <c r="B328" s="19">
        <v>701.02208370000005</v>
      </c>
      <c r="C328" s="19">
        <v>-212.06205370000001</v>
      </c>
      <c r="E328" s="9">
        <f t="shared" si="97"/>
        <v>258.97791629999995</v>
      </c>
      <c r="F328" s="9">
        <f t="shared" si="98"/>
        <v>327.93794630000002</v>
      </c>
      <c r="I328">
        <v>1</v>
      </c>
      <c r="J328">
        <f t="shared" si="93"/>
        <v>0.27122933800259907</v>
      </c>
      <c r="K328">
        <f t="shared" si="99"/>
        <v>0.90235751181741719</v>
      </c>
      <c r="O328">
        <f t="shared" si="100"/>
        <v>0.16604405449255741</v>
      </c>
      <c r="P328">
        <f t="shared" si="101"/>
        <v>0.21025787450748198</v>
      </c>
      <c r="Q328">
        <f t="shared" si="102"/>
        <v>0.9634422650970158</v>
      </c>
      <c r="R328">
        <f t="shared" si="92"/>
        <v>1</v>
      </c>
      <c r="AG328" s="8">
        <f t="shared" si="94"/>
        <v>-0.14329367600597204</v>
      </c>
      <c r="AH328" s="8">
        <f t="shared" si="95"/>
        <v>-9.513279325245666E-2</v>
      </c>
      <c r="AI328" s="8">
        <f t="shared" si="96"/>
        <v>0.98509729167462468</v>
      </c>
      <c r="AJ328" s="8"/>
      <c r="AK328" s="8"/>
      <c r="AL328" s="8"/>
      <c r="AN328" s="8">
        <f t="shared" si="103"/>
        <v>0.99999999999999978</v>
      </c>
      <c r="AO328" s="8">
        <f t="shared" si="104"/>
        <v>3.7276780156820077</v>
      </c>
      <c r="AP328" s="8">
        <f t="shared" si="105"/>
        <v>0.17285757867759988</v>
      </c>
      <c r="AQ328" s="8"/>
      <c r="AR328" s="8">
        <f t="shared" si="106"/>
        <v>213.58021768228053</v>
      </c>
      <c r="AS328" s="8">
        <f t="shared" si="107"/>
        <v>80.095990284922962</v>
      </c>
    </row>
    <row r="329" spans="1:45">
      <c r="A329" s="19">
        <v>19.586233329999999</v>
      </c>
      <c r="B329" s="19">
        <v>701.30583760000002</v>
      </c>
      <c r="C329" s="19">
        <v>-212.59035639999999</v>
      </c>
      <c r="E329" s="9">
        <f t="shared" si="97"/>
        <v>258.69416239999998</v>
      </c>
      <c r="F329" s="9">
        <f t="shared" si="98"/>
        <v>327.40964359999998</v>
      </c>
      <c r="I329">
        <v>1</v>
      </c>
      <c r="J329">
        <f t="shared" si="93"/>
        <v>0.27086019614354728</v>
      </c>
      <c r="K329">
        <f t="shared" si="99"/>
        <v>0.90210651661280872</v>
      </c>
      <c r="O329">
        <f t="shared" si="100"/>
        <v>0.16587632536928798</v>
      </c>
      <c r="P329">
        <f t="shared" si="101"/>
        <v>0.2099371244677001</v>
      </c>
      <c r="Q329">
        <f t="shared" si="102"/>
        <v>0.96354109847593705</v>
      </c>
      <c r="R329">
        <f t="shared" si="92"/>
        <v>1</v>
      </c>
      <c r="AG329" s="8">
        <f t="shared" si="94"/>
        <v>-0.14292963205781301</v>
      </c>
      <c r="AH329" s="8">
        <f t="shared" si="95"/>
        <v>-9.5211556967070898E-2</v>
      </c>
      <c r="AI329" s="8">
        <f t="shared" si="96"/>
        <v>0.98514256821016744</v>
      </c>
      <c r="AJ329" s="8"/>
      <c r="AK329" s="8"/>
      <c r="AL329" s="8"/>
      <c r="AN329" s="8">
        <f t="shared" si="103"/>
        <v>1</v>
      </c>
      <c r="AO329" s="8">
        <f t="shared" si="104"/>
        <v>3.7292325490488576</v>
      </c>
      <c r="AP329" s="8">
        <f t="shared" si="105"/>
        <v>0.172594141266037</v>
      </c>
      <c r="AQ329" s="8"/>
      <c r="AR329" s="8">
        <f t="shared" si="106"/>
        <v>213.66928588331331</v>
      </c>
      <c r="AS329" s="8">
        <f t="shared" si="107"/>
        <v>80.111084136771353</v>
      </c>
    </row>
    <row r="330" spans="1:45">
      <c r="A330" s="19">
        <v>19.619599999999998</v>
      </c>
      <c r="B330" s="19">
        <v>701.59493959999998</v>
      </c>
      <c r="C330" s="19">
        <v>-213.1345062</v>
      </c>
      <c r="E330" s="9">
        <f t="shared" si="97"/>
        <v>258.40506040000002</v>
      </c>
      <c r="F330" s="9">
        <f t="shared" si="98"/>
        <v>326.86549379999997</v>
      </c>
      <c r="I330">
        <v>1</v>
      </c>
      <c r="J330">
        <f t="shared" si="93"/>
        <v>0.27048115294734709</v>
      </c>
      <c r="K330">
        <f t="shared" si="99"/>
        <v>0.90184129292397375</v>
      </c>
      <c r="O330">
        <f t="shared" si="100"/>
        <v>0.16570548838654703</v>
      </c>
      <c r="P330">
        <f t="shared" si="101"/>
        <v>0.20960660059441638</v>
      </c>
      <c r="Q330">
        <f t="shared" si="102"/>
        <v>0.9636424461935188</v>
      </c>
      <c r="R330">
        <f t="shared" si="92"/>
        <v>1</v>
      </c>
      <c r="AG330" s="8">
        <f t="shared" si="94"/>
        <v>-0.14255512140006033</v>
      </c>
      <c r="AH330" s="8">
        <f t="shared" si="95"/>
        <v>-9.5290754774486522E-2</v>
      </c>
      <c r="AI330" s="8">
        <f t="shared" si="96"/>
        <v>0.98518917443155185</v>
      </c>
      <c r="AJ330" s="8"/>
      <c r="AK330" s="8"/>
      <c r="AL330" s="8"/>
      <c r="AN330" s="8">
        <f t="shared" si="103"/>
        <v>0.99999999999999989</v>
      </c>
      <c r="AO330" s="8">
        <f t="shared" si="104"/>
        <v>3.7308278086791651</v>
      </c>
      <c r="AP330" s="8">
        <f t="shared" si="105"/>
        <v>0.17232255074644209</v>
      </c>
      <c r="AQ330" s="8"/>
      <c r="AR330" s="8">
        <f t="shared" si="106"/>
        <v>213.76068752735753</v>
      </c>
      <c r="AS330" s="8">
        <f t="shared" si="107"/>
        <v>80.126645127299909</v>
      </c>
    </row>
    <row r="331" spans="1:45">
      <c r="A331" s="19">
        <v>19.652966670000001</v>
      </c>
      <c r="B331" s="19">
        <v>701.6857771</v>
      </c>
      <c r="C331" s="19">
        <v>-213.97752700000001</v>
      </c>
      <c r="E331" s="9">
        <f t="shared" si="97"/>
        <v>258.3142229</v>
      </c>
      <c r="F331" s="9">
        <f t="shared" si="98"/>
        <v>326.02247299999999</v>
      </c>
      <c r="I331">
        <v>1</v>
      </c>
      <c r="J331">
        <f t="shared" si="93"/>
        <v>0.27003245753526778</v>
      </c>
      <c r="K331">
        <f t="shared" si="99"/>
        <v>0.900755703641407</v>
      </c>
      <c r="O331">
        <f t="shared" si="100"/>
        <v>0.16566440378833547</v>
      </c>
      <c r="P331">
        <f t="shared" si="101"/>
        <v>0.20908766851778221</v>
      </c>
      <c r="Q331">
        <f t="shared" si="102"/>
        <v>0.9637622384132164</v>
      </c>
      <c r="R331">
        <f t="shared" si="92"/>
        <v>1</v>
      </c>
      <c r="AG331" s="8">
        <f t="shared" si="94"/>
        <v>-0.1420363037585248</v>
      </c>
      <c r="AH331" s="8">
        <f t="shared" si="95"/>
        <v>-9.5195481755988645E-2</v>
      </c>
      <c r="AI331" s="8">
        <f t="shared" si="96"/>
        <v>0.98527331673392093</v>
      </c>
      <c r="AJ331" s="8"/>
      <c r="AK331" s="8"/>
      <c r="AL331" s="8"/>
      <c r="AN331" s="8">
        <f t="shared" si="103"/>
        <v>1</v>
      </c>
      <c r="AO331" s="8">
        <f t="shared" si="104"/>
        <v>3.732050788387562</v>
      </c>
      <c r="AP331" s="8">
        <f t="shared" si="105"/>
        <v>0.17183114826601198</v>
      </c>
      <c r="AQ331" s="8"/>
      <c r="AR331" s="8">
        <f t="shared" si="106"/>
        <v>213.8307591030788</v>
      </c>
      <c r="AS331" s="8">
        <f t="shared" si="107"/>
        <v>80.154800415470817</v>
      </c>
    </row>
    <row r="332" spans="1:45">
      <c r="A332" s="19">
        <v>19.68633333</v>
      </c>
      <c r="B332" s="19">
        <v>702.34017140000003</v>
      </c>
      <c r="C332" s="19">
        <v>-214.665334</v>
      </c>
      <c r="E332" s="9">
        <f t="shared" si="97"/>
        <v>257.65982859999997</v>
      </c>
      <c r="F332" s="9">
        <f t="shared" si="98"/>
        <v>325.33466599999997</v>
      </c>
      <c r="I332">
        <v>1</v>
      </c>
      <c r="J332">
        <f t="shared" si="93"/>
        <v>0.26944096421846403</v>
      </c>
      <c r="K332">
        <f t="shared" si="99"/>
        <v>0.90096237824766745</v>
      </c>
      <c r="O332">
        <f t="shared" si="100"/>
        <v>0.16526723378488481</v>
      </c>
      <c r="P332">
        <f t="shared" si="101"/>
        <v>0.20867498281084168</v>
      </c>
      <c r="Q332">
        <f t="shared" si="102"/>
        <v>0.96391985817597259</v>
      </c>
      <c r="R332">
        <f t="shared" si="92"/>
        <v>1</v>
      </c>
      <c r="AG332" s="8">
        <f t="shared" si="94"/>
        <v>-0.14151278148598839</v>
      </c>
      <c r="AH332" s="8">
        <f t="shared" si="95"/>
        <v>-9.5472000139473309E-2</v>
      </c>
      <c r="AI332" s="8">
        <f t="shared" si="96"/>
        <v>0.98532189149813743</v>
      </c>
      <c r="AJ332" s="8"/>
      <c r="AK332" s="8"/>
      <c r="AL332" s="8"/>
      <c r="AN332" s="8">
        <f t="shared" si="103"/>
        <v>1</v>
      </c>
      <c r="AO332" s="8">
        <f t="shared" si="104"/>
        <v>3.7351037874507433</v>
      </c>
      <c r="AP332" s="8">
        <f t="shared" si="105"/>
        <v>0.17154683050980979</v>
      </c>
      <c r="AQ332" s="8"/>
      <c r="AR332" s="8">
        <f t="shared" si="106"/>
        <v>214.00568306425649</v>
      </c>
      <c r="AS332" s="8">
        <f t="shared" si="107"/>
        <v>80.171090622941833</v>
      </c>
    </row>
    <row r="333" spans="1:45">
      <c r="A333" s="19">
        <v>19.7197</v>
      </c>
      <c r="B333" s="19">
        <v>702.70985970000004</v>
      </c>
      <c r="C333" s="19">
        <v>-215.91655499999999</v>
      </c>
      <c r="E333" s="9">
        <f t="shared" si="97"/>
        <v>257.29014029999996</v>
      </c>
      <c r="F333" s="9">
        <f t="shared" si="98"/>
        <v>324.08344499999998</v>
      </c>
      <c r="I333">
        <v>1</v>
      </c>
      <c r="J333">
        <f t="shared" si="93"/>
        <v>0.26868366805988764</v>
      </c>
      <c r="K333">
        <f t="shared" si="99"/>
        <v>0.89978542515227744</v>
      </c>
      <c r="O333">
        <f t="shared" si="100"/>
        <v>0.16505879145468524</v>
      </c>
      <c r="P333">
        <f t="shared" si="101"/>
        <v>0.20790855685258047</v>
      </c>
      <c r="Q333">
        <f t="shared" si="102"/>
        <v>0.9641211683968961</v>
      </c>
      <c r="R333">
        <f t="shared" si="92"/>
        <v>1</v>
      </c>
      <c r="AG333" s="8">
        <f t="shared" si="94"/>
        <v>-0.14070165228967793</v>
      </c>
      <c r="AH333" s="8">
        <f t="shared" si="95"/>
        <v>-9.5473928594163995E-2</v>
      </c>
      <c r="AI333" s="8">
        <f t="shared" si="96"/>
        <v>0.98543785902600223</v>
      </c>
      <c r="AJ333" s="8"/>
      <c r="AK333" s="8"/>
      <c r="AL333" s="8"/>
      <c r="AN333" s="8">
        <f t="shared" si="103"/>
        <v>1</v>
      </c>
      <c r="AO333" s="8">
        <f t="shared" si="104"/>
        <v>3.7377811246418458</v>
      </c>
      <c r="AP333" s="8">
        <f t="shared" si="105"/>
        <v>0.17086615534955318</v>
      </c>
      <c r="AQ333" s="8"/>
      <c r="AR333" s="8">
        <f t="shared" si="106"/>
        <v>214.15908318564007</v>
      </c>
      <c r="AS333" s="8">
        <f t="shared" si="107"/>
        <v>80.210090436843927</v>
      </c>
    </row>
    <row r="334" spans="1:45">
      <c r="A334" s="19">
        <v>19.753066669999999</v>
      </c>
      <c r="B334" s="19">
        <v>703.45536079999999</v>
      </c>
      <c r="C334" s="19">
        <v>-216.15418969999999</v>
      </c>
      <c r="E334" s="9">
        <f t="shared" si="97"/>
        <v>256.54463920000001</v>
      </c>
      <c r="F334" s="9">
        <f t="shared" si="98"/>
        <v>323.84581030000004</v>
      </c>
      <c r="I334">
        <v>1</v>
      </c>
      <c r="J334">
        <f t="shared" si="93"/>
        <v>0.26827713319984509</v>
      </c>
      <c r="K334">
        <f t="shared" si="99"/>
        <v>0.9008410170433202</v>
      </c>
      <c r="O334">
        <f t="shared" si="100"/>
        <v>0.16459583831109806</v>
      </c>
      <c r="P334">
        <f t="shared" si="101"/>
        <v>0.20777542963316509</v>
      </c>
      <c r="Q334">
        <f t="shared" si="102"/>
        <v>0.96422900850960735</v>
      </c>
      <c r="R334">
        <f t="shared" si="92"/>
        <v>1</v>
      </c>
      <c r="AG334" s="8">
        <f t="shared" si="94"/>
        <v>-0.14043090215028198</v>
      </c>
      <c r="AH334" s="8">
        <f t="shared" si="95"/>
        <v>-9.5886687848810964E-2</v>
      </c>
      <c r="AI334" s="8">
        <f t="shared" si="96"/>
        <v>0.98543640323190951</v>
      </c>
      <c r="AJ334" s="8"/>
      <c r="AK334" s="8"/>
      <c r="AL334" s="8"/>
      <c r="AN334" s="8">
        <f t="shared" si="103"/>
        <v>1</v>
      </c>
      <c r="AO334" s="8">
        <f t="shared" si="104"/>
        <v>3.7406837528403081</v>
      </c>
      <c r="AP334" s="8">
        <f t="shared" si="105"/>
        <v>0.17087471682101896</v>
      </c>
      <c r="AQ334" s="8"/>
      <c r="AR334" s="8">
        <f t="shared" si="106"/>
        <v>214.32539153090761</v>
      </c>
      <c r="AS334" s="8">
        <f t="shared" si="107"/>
        <v>80.209599900662511</v>
      </c>
    </row>
    <row r="335" spans="1:45">
      <c r="A335" s="19">
        <v>19.786433330000001</v>
      </c>
      <c r="B335" s="19">
        <v>703.87706760000003</v>
      </c>
      <c r="C335" s="19">
        <v>-217.02942289999999</v>
      </c>
      <c r="E335" s="9">
        <f t="shared" si="97"/>
        <v>256.12293239999997</v>
      </c>
      <c r="F335" s="9">
        <f t="shared" si="98"/>
        <v>322.97057710000001</v>
      </c>
      <c r="I335">
        <v>1</v>
      </c>
      <c r="J335">
        <f t="shared" si="93"/>
        <v>0.26768362945332685</v>
      </c>
      <c r="K335">
        <f t="shared" si="99"/>
        <v>0.90032446632909557</v>
      </c>
      <c r="O335">
        <f t="shared" si="100"/>
        <v>0.16434752844595776</v>
      </c>
      <c r="P335">
        <f t="shared" si="101"/>
        <v>0.20724195061242259</v>
      </c>
      <c r="Q335">
        <f t="shared" si="102"/>
        <v>0.96438615906703229</v>
      </c>
      <c r="R335">
        <f t="shared" si="92"/>
        <v>1</v>
      </c>
      <c r="AG335" s="8">
        <f t="shared" si="94"/>
        <v>-0.13983496196002587</v>
      </c>
      <c r="AH335" s="8">
        <f t="shared" si="95"/>
        <v>-9.5987670952236051E-2</v>
      </c>
      <c r="AI335" s="8">
        <f t="shared" si="96"/>
        <v>0.98551131421146221</v>
      </c>
      <c r="AJ335" s="8"/>
      <c r="AK335" s="8"/>
      <c r="AL335" s="8"/>
      <c r="AN335" s="8">
        <f t="shared" si="103"/>
        <v>1</v>
      </c>
      <c r="AO335" s="8">
        <f t="shared" si="104"/>
        <v>3.7431567431001804</v>
      </c>
      <c r="AP335" s="8">
        <f t="shared" si="105"/>
        <v>0.17043361523768841</v>
      </c>
      <c r="AQ335" s="8"/>
      <c r="AR335" s="8">
        <f t="shared" si="106"/>
        <v>214.46708343557526</v>
      </c>
      <c r="AS335" s="8">
        <f t="shared" si="107"/>
        <v>80.23487315972389</v>
      </c>
    </row>
    <row r="336" spans="1:45">
      <c r="A336" s="19">
        <v>19.819800000000001</v>
      </c>
      <c r="B336" s="19">
        <v>704.09574689999999</v>
      </c>
      <c r="C336" s="19">
        <v>-217.82776039999999</v>
      </c>
      <c r="E336" s="9">
        <f t="shared" si="97"/>
        <v>255.90425310000001</v>
      </c>
      <c r="F336" s="9">
        <f t="shared" si="98"/>
        <v>322.17223960000001</v>
      </c>
      <c r="I336">
        <v>1</v>
      </c>
      <c r="J336">
        <f t="shared" si="93"/>
        <v>0.26720682895128944</v>
      </c>
      <c r="K336">
        <f t="shared" si="99"/>
        <v>0.89953525996309591</v>
      </c>
      <c r="O336">
        <f t="shared" si="100"/>
        <v>0.1642250192872694</v>
      </c>
      <c r="P336">
        <f t="shared" si="101"/>
        <v>0.20675210208975142</v>
      </c>
      <c r="Q336">
        <f t="shared" si="102"/>
        <v>0.96451216235025516</v>
      </c>
      <c r="R336">
        <f t="shared" si="92"/>
        <v>1</v>
      </c>
      <c r="AG336" s="8">
        <f t="shared" si="94"/>
        <v>-0.1393198921901545</v>
      </c>
      <c r="AH336" s="8">
        <f t="shared" si="95"/>
        <v>-9.5978388735207004E-2</v>
      </c>
      <c r="AI336" s="8">
        <f t="shared" si="96"/>
        <v>0.98558516452710332</v>
      </c>
      <c r="AJ336" s="8"/>
      <c r="AK336" s="8"/>
      <c r="AL336" s="8"/>
      <c r="AN336" s="8">
        <f t="shared" si="103"/>
        <v>1</v>
      </c>
      <c r="AO336" s="8">
        <f t="shared" si="104"/>
        <v>3.7448344955338517</v>
      </c>
      <c r="AP336" s="8">
        <f t="shared" si="105"/>
        <v>0.16999764975325826</v>
      </c>
      <c r="AQ336" s="8"/>
      <c r="AR336" s="8">
        <f t="shared" si="106"/>
        <v>214.56321156909243</v>
      </c>
      <c r="AS336" s="8">
        <f t="shared" si="107"/>
        <v>80.259852141995125</v>
      </c>
    </row>
    <row r="337" spans="1:45">
      <c r="A337" s="19">
        <v>19.85316667</v>
      </c>
      <c r="B337" s="19">
        <v>704.11360660000003</v>
      </c>
      <c r="C337" s="19">
        <v>-218.30983639999999</v>
      </c>
      <c r="E337" s="9">
        <f t="shared" si="97"/>
        <v>255.88639339999997</v>
      </c>
      <c r="F337" s="9">
        <f t="shared" si="98"/>
        <v>321.69016360000001</v>
      </c>
      <c r="I337">
        <v>1</v>
      </c>
      <c r="J337">
        <f t="shared" si="93"/>
        <v>0.26696346327245574</v>
      </c>
      <c r="K337">
        <f t="shared" si="99"/>
        <v>0.89883983689171254</v>
      </c>
      <c r="O337">
        <f t="shared" si="100"/>
        <v>0.16422263167627812</v>
      </c>
      <c r="P337">
        <f t="shared" si="101"/>
        <v>0.20645413985800642</v>
      </c>
      <c r="Q337">
        <f t="shared" si="102"/>
        <v>0.96457639167709686</v>
      </c>
      <c r="R337">
        <f t="shared" si="92"/>
        <v>1</v>
      </c>
      <c r="AG337" s="8">
        <f t="shared" si="94"/>
        <v>-0.13902854856521718</v>
      </c>
      <c r="AH337" s="8">
        <f t="shared" si="95"/>
        <v>-9.5903013025724182E-2</v>
      </c>
      <c r="AI337" s="8">
        <f t="shared" si="96"/>
        <v>0.98563364125644415</v>
      </c>
      <c r="AJ337" s="8"/>
      <c r="AK337" s="8"/>
      <c r="AL337" s="8"/>
      <c r="AN337" s="8">
        <f t="shared" si="103"/>
        <v>1</v>
      </c>
      <c r="AO337" s="8">
        <f t="shared" si="104"/>
        <v>3.7454455866553165</v>
      </c>
      <c r="AP337" s="8">
        <f t="shared" si="105"/>
        <v>0.16971087088498504</v>
      </c>
      <c r="AQ337" s="8"/>
      <c r="AR337" s="8">
        <f t="shared" si="106"/>
        <v>214.59822451125029</v>
      </c>
      <c r="AS337" s="8">
        <f t="shared" si="107"/>
        <v>80.276283360800718</v>
      </c>
    </row>
    <row r="338" spans="1:45">
      <c r="A338" s="19">
        <v>19.886533329999999</v>
      </c>
      <c r="B338" s="19">
        <v>704.15514670000005</v>
      </c>
      <c r="C338" s="19">
        <v>-218.9578242</v>
      </c>
      <c r="E338" s="9">
        <f t="shared" si="97"/>
        <v>255.84485329999995</v>
      </c>
      <c r="F338" s="9">
        <f t="shared" si="98"/>
        <v>321.0421758</v>
      </c>
      <c r="I338">
        <v>1</v>
      </c>
      <c r="J338">
        <f t="shared" si="93"/>
        <v>0.26662964351039758</v>
      </c>
      <c r="K338">
        <f t="shared" si="99"/>
        <v>0.89793640455499923</v>
      </c>
      <c r="O338">
        <f t="shared" si="100"/>
        <v>0.1642083976622134</v>
      </c>
      <c r="P338">
        <f t="shared" si="101"/>
        <v>0.20605386659192426</v>
      </c>
      <c r="Q338">
        <f t="shared" si="102"/>
        <v>0.96466440081498073</v>
      </c>
      <c r="R338">
        <f t="shared" si="92"/>
        <v>1</v>
      </c>
      <c r="AG338" s="8">
        <f t="shared" si="94"/>
        <v>-0.13863382823289477</v>
      </c>
      <c r="AH338" s="8">
        <f t="shared" si="95"/>
        <v>-9.5812381616847742E-2</v>
      </c>
      <c r="AI338" s="8">
        <f t="shared" si="96"/>
        <v>0.98569805173714309</v>
      </c>
      <c r="AJ338" s="8"/>
      <c r="AK338" s="8"/>
      <c r="AL338" s="8"/>
      <c r="AN338" s="8">
        <f t="shared" si="103"/>
        <v>0.99999999999999989</v>
      </c>
      <c r="AO338" s="8">
        <f t="shared" si="104"/>
        <v>3.7463328692962259</v>
      </c>
      <c r="AP338" s="8">
        <f t="shared" si="105"/>
        <v>0.1693290869018893</v>
      </c>
      <c r="AQ338" s="8"/>
      <c r="AR338" s="8">
        <f t="shared" si="106"/>
        <v>214.64906206180962</v>
      </c>
      <c r="AS338" s="8">
        <f t="shared" si="107"/>
        <v>80.298157971717799</v>
      </c>
    </row>
    <row r="339" spans="1:45">
      <c r="A339" s="19">
        <v>19.919899999999998</v>
      </c>
      <c r="B339" s="19">
        <v>705.54953490000003</v>
      </c>
      <c r="C339" s="19">
        <v>-220.07112000000001</v>
      </c>
      <c r="E339" s="9">
        <f t="shared" si="97"/>
        <v>254.45046509999997</v>
      </c>
      <c r="F339" s="9">
        <f t="shared" si="98"/>
        <v>319.92887999999999</v>
      </c>
      <c r="I339">
        <v>1</v>
      </c>
      <c r="J339">
        <f t="shared" si="93"/>
        <v>0.26553943280351994</v>
      </c>
      <c r="K339">
        <f t="shared" si="99"/>
        <v>0.89890670357933833</v>
      </c>
      <c r="O339">
        <f t="shared" si="100"/>
        <v>0.16335364950044307</v>
      </c>
      <c r="P339">
        <f t="shared" si="101"/>
        <v>0.20538987856850779</v>
      </c>
      <c r="Q339">
        <f t="shared" si="102"/>
        <v>0.96495107802235236</v>
      </c>
      <c r="R339">
        <f t="shared" si="92"/>
        <v>1</v>
      </c>
      <c r="AG339" s="8">
        <f t="shared" si="94"/>
        <v>-0.13772627363125506</v>
      </c>
      <c r="AH339" s="8">
        <f t="shared" si="95"/>
        <v>-9.6465039390564833E-2</v>
      </c>
      <c r="AI339" s="8">
        <f t="shared" si="96"/>
        <v>0.98576161911844862</v>
      </c>
      <c r="AJ339" s="8"/>
      <c r="AK339" s="8"/>
      <c r="AL339" s="8"/>
      <c r="AN339" s="8">
        <f t="shared" si="103"/>
        <v>1</v>
      </c>
      <c r="AO339" s="8">
        <f t="shared" si="104"/>
        <v>3.7525946099406582</v>
      </c>
      <c r="AP339" s="8">
        <f t="shared" si="105"/>
        <v>0.16895146252868254</v>
      </c>
      <c r="AQ339" s="8"/>
      <c r="AR339" s="8">
        <f t="shared" si="106"/>
        <v>215.00783337314112</v>
      </c>
      <c r="AS339" s="8">
        <f t="shared" si="107"/>
        <v>80.319794254543808</v>
      </c>
    </row>
    <row r="340" spans="1:45">
      <c r="A340" s="19">
        <v>19.953266670000001</v>
      </c>
      <c r="B340" s="19">
        <v>705.73632729999997</v>
      </c>
      <c r="C340" s="19">
        <v>-220.0750286</v>
      </c>
      <c r="E340" s="9">
        <f t="shared" si="97"/>
        <v>254.26367270000003</v>
      </c>
      <c r="F340" s="9">
        <f t="shared" si="98"/>
        <v>319.9249714</v>
      </c>
      <c r="I340">
        <v>1</v>
      </c>
      <c r="J340">
        <f t="shared" si="93"/>
        <v>0.26546463641706491</v>
      </c>
      <c r="K340">
        <f t="shared" si="99"/>
        <v>0.89925848731374614</v>
      </c>
      <c r="O340">
        <f t="shared" si="100"/>
        <v>0.16323647960034809</v>
      </c>
      <c r="P340">
        <f t="shared" si="101"/>
        <v>0.20539082721893701</v>
      </c>
      <c r="Q340">
        <f t="shared" si="102"/>
        <v>0.96497070412629937</v>
      </c>
      <c r="R340">
        <f t="shared" si="92"/>
        <v>1</v>
      </c>
      <c r="AG340" s="8">
        <f t="shared" si="94"/>
        <v>-0.13769156378516317</v>
      </c>
      <c r="AH340" s="8">
        <f t="shared" si="95"/>
        <v>-9.6578489433502335E-2</v>
      </c>
      <c r="AI340" s="8">
        <f t="shared" si="96"/>
        <v>0.9857553594280577</v>
      </c>
      <c r="AJ340" s="8"/>
      <c r="AK340" s="8"/>
      <c r="AL340" s="8"/>
      <c r="AN340" s="8">
        <f t="shared" si="103"/>
        <v>1</v>
      </c>
      <c r="AO340" s="8">
        <f t="shared" si="104"/>
        <v>3.7532655153676062</v>
      </c>
      <c r="AP340" s="8">
        <f t="shared" si="105"/>
        <v>0.16898868554915936</v>
      </c>
      <c r="AQ340" s="8"/>
      <c r="AR340" s="8">
        <f t="shared" si="106"/>
        <v>215.04627342255765</v>
      </c>
      <c r="AS340" s="8">
        <f t="shared" si="107"/>
        <v>80.317661532569758</v>
      </c>
    </row>
    <row r="341" spans="1:45">
      <c r="A341" s="19">
        <v>19.98663333</v>
      </c>
      <c r="B341" s="19">
        <v>705.94402330000003</v>
      </c>
      <c r="C341" s="19">
        <v>-220.89552509999999</v>
      </c>
      <c r="E341" s="9">
        <f t="shared" si="97"/>
        <v>254.05597669999997</v>
      </c>
      <c r="F341" s="9">
        <f t="shared" si="98"/>
        <v>319.10447490000001</v>
      </c>
      <c r="I341">
        <v>1</v>
      </c>
      <c r="J341">
        <f t="shared" si="93"/>
        <v>0.26498094457277799</v>
      </c>
      <c r="K341">
        <f t="shared" si="99"/>
        <v>0.89840553812316581</v>
      </c>
      <c r="O341">
        <f t="shared" si="100"/>
        <v>0.16312087094761324</v>
      </c>
      <c r="P341">
        <f t="shared" si="101"/>
        <v>0.2048863425497551</v>
      </c>
      <c r="Q341">
        <f t="shared" si="102"/>
        <v>0.96509749149911095</v>
      </c>
      <c r="R341">
        <f t="shared" si="92"/>
        <v>1</v>
      </c>
      <c r="AG341" s="8">
        <f t="shared" si="94"/>
        <v>-0.13716444548093581</v>
      </c>
      <c r="AH341" s="8">
        <f t="shared" si="95"/>
        <v>-9.6558495383400986E-2</v>
      </c>
      <c r="AI341" s="8">
        <f t="shared" si="96"/>
        <v>0.98583080285878721</v>
      </c>
      <c r="AJ341" s="8"/>
      <c r="AK341" s="8"/>
      <c r="AL341" s="8"/>
      <c r="AN341" s="8">
        <f t="shared" si="103"/>
        <v>0.99999999999999989</v>
      </c>
      <c r="AO341" s="8">
        <f t="shared" si="104"/>
        <v>3.7549724297548179</v>
      </c>
      <c r="AP341" s="8">
        <f t="shared" si="105"/>
        <v>0.16853952162886343</v>
      </c>
      <c r="AQ341" s="8"/>
      <c r="AR341" s="8">
        <f t="shared" si="106"/>
        <v>215.14407241293506</v>
      </c>
      <c r="AS341" s="8">
        <f t="shared" si="107"/>
        <v>80.343396729512278</v>
      </c>
    </row>
    <row r="342" spans="1:45">
      <c r="A342" s="19">
        <v>20.02</v>
      </c>
      <c r="B342" s="19">
        <v>706.81142120000004</v>
      </c>
      <c r="C342" s="19">
        <v>-222.00952179999999</v>
      </c>
      <c r="E342" s="9">
        <f t="shared" si="97"/>
        <v>253.18857879999996</v>
      </c>
      <c r="F342" s="9">
        <f t="shared" si="98"/>
        <v>317.99047819999998</v>
      </c>
      <c r="I342">
        <v>1</v>
      </c>
      <c r="J342">
        <f t="shared" si="93"/>
        <v>0.26409543093326798</v>
      </c>
      <c r="K342">
        <f t="shared" si="99"/>
        <v>0.89836798016867214</v>
      </c>
      <c r="O342">
        <f t="shared" si="100"/>
        <v>0.16259617800546719</v>
      </c>
      <c r="P342">
        <f t="shared" si="101"/>
        <v>0.20421156689809911</v>
      </c>
      <c r="Q342">
        <f t="shared" si="102"/>
        <v>0.96532902103015505</v>
      </c>
      <c r="R342">
        <f t="shared" si="92"/>
        <v>1</v>
      </c>
      <c r="AG342" s="8">
        <f t="shared" si="94"/>
        <v>-0.13634692296769035</v>
      </c>
      <c r="AH342" s="8">
        <f t="shared" si="95"/>
        <v>-9.688915048742533E-2</v>
      </c>
      <c r="AI342" s="8">
        <f t="shared" si="96"/>
        <v>0.98591176538018221</v>
      </c>
      <c r="AJ342" s="8"/>
      <c r="AK342" s="8"/>
      <c r="AL342" s="8"/>
      <c r="AN342" s="8">
        <f t="shared" si="103"/>
        <v>0.99999999999999967</v>
      </c>
      <c r="AO342" s="8">
        <f t="shared" si="104"/>
        <v>3.7594023471094524</v>
      </c>
      <c r="AP342" s="8">
        <f t="shared" si="105"/>
        <v>0.16805617624583391</v>
      </c>
      <c r="AQ342" s="8"/>
      <c r="AR342" s="8">
        <f t="shared" si="106"/>
        <v>215.39788798094736</v>
      </c>
      <c r="AS342" s="8">
        <f t="shared" si="107"/>
        <v>80.37109038000699</v>
      </c>
    </row>
    <row r="343" spans="1:45">
      <c r="A343" s="19">
        <v>20.053366669999999</v>
      </c>
      <c r="B343" s="19">
        <v>707.08033379999995</v>
      </c>
      <c r="C343" s="19">
        <v>-222.3603229</v>
      </c>
      <c r="E343" s="9">
        <f t="shared" si="97"/>
        <v>252.91966620000005</v>
      </c>
      <c r="F343" s="9">
        <f t="shared" si="98"/>
        <v>317.63967709999997</v>
      </c>
      <c r="I343">
        <v>1</v>
      </c>
      <c r="J343">
        <f t="shared" si="93"/>
        <v>0.26381815442038958</v>
      </c>
      <c r="K343">
        <f t="shared" si="99"/>
        <v>0.89834794181249777</v>
      </c>
      <c r="O343">
        <f t="shared" si="100"/>
        <v>0.16243353560335907</v>
      </c>
      <c r="P343">
        <f t="shared" si="101"/>
        <v>0.20399890832713077</v>
      </c>
      <c r="Q343">
        <f t="shared" si="102"/>
        <v>0.96540136311936664</v>
      </c>
      <c r="R343">
        <f t="shared" si="92"/>
        <v>1</v>
      </c>
      <c r="AG343" s="8">
        <f t="shared" si="94"/>
        <v>-0.13609012133491982</v>
      </c>
      <c r="AH343" s="8">
        <f t="shared" si="95"/>
        <v>-9.6990700901611701E-2</v>
      </c>
      <c r="AI343" s="8">
        <f t="shared" si="96"/>
        <v>0.9859372610940621</v>
      </c>
      <c r="AJ343" s="8"/>
      <c r="AK343" s="8"/>
      <c r="AL343" s="8"/>
      <c r="AN343" s="8">
        <f t="shared" si="103"/>
        <v>0.99999999999999989</v>
      </c>
      <c r="AO343" s="8">
        <f t="shared" si="104"/>
        <v>3.7607878015801179</v>
      </c>
      <c r="AP343" s="8">
        <f t="shared" si="105"/>
        <v>0.16790368175949566</v>
      </c>
      <c r="AQ343" s="8"/>
      <c r="AR343" s="8">
        <f t="shared" si="106"/>
        <v>215.47726867482402</v>
      </c>
      <c r="AS343" s="8">
        <f t="shared" si="107"/>
        <v>80.37982767047319</v>
      </c>
    </row>
    <row r="344" spans="1:45">
      <c r="A344" s="19">
        <v>20.086733330000001</v>
      </c>
      <c r="B344" s="19">
        <v>707.78062339999997</v>
      </c>
      <c r="C344" s="19">
        <v>-223.25001800000001</v>
      </c>
      <c r="E344" s="9">
        <f t="shared" si="97"/>
        <v>252.21937660000003</v>
      </c>
      <c r="F344" s="9">
        <f t="shared" si="98"/>
        <v>316.74998199999999</v>
      </c>
      <c r="I344">
        <v>1</v>
      </c>
      <c r="J344">
        <f t="shared" si="93"/>
        <v>0.26310761467317567</v>
      </c>
      <c r="K344">
        <f t="shared" si="99"/>
        <v>0.89833223883974578</v>
      </c>
      <c r="O344">
        <f t="shared" si="100"/>
        <v>0.16200940535049149</v>
      </c>
      <c r="P344">
        <f t="shared" si="101"/>
        <v>0.20345969021239294</v>
      </c>
      <c r="Q344">
        <f t="shared" si="102"/>
        <v>0.96558640578492883</v>
      </c>
      <c r="R344">
        <f t="shared" si="92"/>
        <v>1</v>
      </c>
      <c r="AG344" s="8">
        <f t="shared" si="94"/>
        <v>-0.13543544587059847</v>
      </c>
      <c r="AH344" s="8">
        <f t="shared" si="95"/>
        <v>-9.7259456311656334E-2</v>
      </c>
      <c r="AI344" s="8">
        <f t="shared" si="96"/>
        <v>0.98600093212927187</v>
      </c>
      <c r="AJ344" s="8"/>
      <c r="AK344" s="8"/>
      <c r="AL344" s="8"/>
      <c r="AN344" s="8">
        <f t="shared" si="103"/>
        <v>0.99999999999999978</v>
      </c>
      <c r="AO344" s="8">
        <f t="shared" si="104"/>
        <v>3.7643791554228634</v>
      </c>
      <c r="AP344" s="8">
        <f t="shared" si="105"/>
        <v>0.16752225326922754</v>
      </c>
      <c r="AQ344" s="8"/>
      <c r="AR344" s="8">
        <f t="shared" si="106"/>
        <v>215.68303809275145</v>
      </c>
      <c r="AS344" s="8">
        <f t="shared" si="107"/>
        <v>80.401681913151606</v>
      </c>
    </row>
    <row r="345" spans="1:45">
      <c r="A345" s="19">
        <v>20.120100000000001</v>
      </c>
      <c r="B345" s="19">
        <v>707.90865150000002</v>
      </c>
      <c r="C345" s="19">
        <v>-223.98619239999999</v>
      </c>
      <c r="E345" s="9">
        <f t="shared" si="97"/>
        <v>252.09134849999998</v>
      </c>
      <c r="F345" s="9">
        <f t="shared" si="98"/>
        <v>316.01380760000001</v>
      </c>
      <c r="I345">
        <v>1</v>
      </c>
      <c r="J345">
        <f t="shared" si="93"/>
        <v>0.26269613783571649</v>
      </c>
      <c r="K345">
        <f t="shared" si="99"/>
        <v>0.89744560158331188</v>
      </c>
      <c r="O345">
        <f t="shared" si="100"/>
        <v>0.16194195280969431</v>
      </c>
      <c r="P345">
        <f t="shared" si="101"/>
        <v>0.20300535271074974</v>
      </c>
      <c r="Q345">
        <f t="shared" si="102"/>
        <v>0.96569334195228185</v>
      </c>
      <c r="R345">
        <f t="shared" si="92"/>
        <v>1</v>
      </c>
      <c r="AG345" s="8">
        <f t="shared" si="94"/>
        <v>-0.13497198837055693</v>
      </c>
      <c r="AH345" s="8">
        <f t="shared" si="95"/>
        <v>-9.7205824788465067E-2</v>
      </c>
      <c r="AI345" s="8">
        <f t="shared" si="96"/>
        <v>0.98606976932795798</v>
      </c>
      <c r="AJ345" s="8"/>
      <c r="AK345" s="8"/>
      <c r="AL345" s="8"/>
      <c r="AN345" s="8">
        <f t="shared" si="103"/>
        <v>0.99999999999999978</v>
      </c>
      <c r="AO345" s="8">
        <f t="shared" si="104"/>
        <v>3.7657425271091713</v>
      </c>
      <c r="AP345" s="8">
        <f t="shared" si="105"/>
        <v>0.16710890605677831</v>
      </c>
      <c r="AQ345" s="8"/>
      <c r="AR345" s="8">
        <f t="shared" si="106"/>
        <v>215.76115353628452</v>
      </c>
      <c r="AS345" s="8">
        <f t="shared" si="107"/>
        <v>80.425364963898446</v>
      </c>
    </row>
    <row r="346" spans="1:45">
      <c r="A346" s="19">
        <v>20.15346667</v>
      </c>
      <c r="B346" s="19">
        <v>707.99131120000004</v>
      </c>
      <c r="C346" s="19">
        <v>-224.69204010000001</v>
      </c>
      <c r="E346" s="9">
        <f t="shared" si="97"/>
        <v>252.00868879999996</v>
      </c>
      <c r="F346" s="9">
        <f t="shared" si="98"/>
        <v>315.30795990000001</v>
      </c>
      <c r="I346">
        <v>1</v>
      </c>
      <c r="J346">
        <f t="shared" si="93"/>
        <v>0.26231743924358919</v>
      </c>
      <c r="K346">
        <f t="shared" si="99"/>
        <v>0.89651518771925054</v>
      </c>
      <c r="O346">
        <f t="shared" si="100"/>
        <v>0.16190242622227424</v>
      </c>
      <c r="P346">
        <f t="shared" si="101"/>
        <v>0.20256890331078758</v>
      </c>
      <c r="Q346">
        <f t="shared" si="102"/>
        <v>0.96579161509862255</v>
      </c>
      <c r="R346">
        <f t="shared" si="92"/>
        <v>1</v>
      </c>
      <c r="AG346" s="8">
        <f t="shared" si="94"/>
        <v>-0.13453448260382045</v>
      </c>
      <c r="AH346" s="8">
        <f t="shared" si="95"/>
        <v>-9.7129856114569396E-2</v>
      </c>
      <c r="AI346" s="8">
        <f t="shared" si="96"/>
        <v>0.98613704120760282</v>
      </c>
      <c r="AJ346" s="8"/>
      <c r="AK346" s="8"/>
      <c r="AL346" s="8"/>
      <c r="AN346" s="8">
        <f t="shared" si="103"/>
        <v>1</v>
      </c>
      <c r="AO346" s="8">
        <f t="shared" si="104"/>
        <v>3.766911892368757</v>
      </c>
      <c r="AP346" s="8">
        <f t="shared" si="105"/>
        <v>0.16670397717433794</v>
      </c>
      <c r="AQ346" s="8"/>
      <c r="AR346" s="8">
        <f t="shared" si="106"/>
        <v>215.828153230368</v>
      </c>
      <c r="AS346" s="8">
        <f t="shared" si="107"/>
        <v>80.448565679865226</v>
      </c>
    </row>
    <row r="347" spans="1:45">
      <c r="A347" s="19">
        <v>20.186833329999999</v>
      </c>
      <c r="B347" s="19">
        <v>708.58133969999994</v>
      </c>
      <c r="C347" s="19">
        <v>-225.559954</v>
      </c>
      <c r="E347" s="9">
        <f t="shared" si="97"/>
        <v>251.41866030000006</v>
      </c>
      <c r="F347" s="9">
        <f t="shared" si="98"/>
        <v>314.440046</v>
      </c>
      <c r="I347">
        <v>1</v>
      </c>
      <c r="J347">
        <f t="shared" si="93"/>
        <v>0.26166031716444837</v>
      </c>
      <c r="K347">
        <f t="shared" si="99"/>
        <v>0.89631407923979878</v>
      </c>
      <c r="O347">
        <f t="shared" si="100"/>
        <v>0.16154679621625853</v>
      </c>
      <c r="P347">
        <f t="shared" si="101"/>
        <v>0.20204062010664109</v>
      </c>
      <c r="Q347">
        <f t="shared" si="102"/>
        <v>0.96596181107701484</v>
      </c>
      <c r="R347">
        <f t="shared" ref="R347:R410" si="108">SQRT(O347^2+P347^2+Q347^2)</f>
        <v>1</v>
      </c>
      <c r="AG347" s="8">
        <f t="shared" si="94"/>
        <v>-0.13391140437252169</v>
      </c>
      <c r="AH347" s="8">
        <f t="shared" si="95"/>
        <v>-9.7335104900396596E-2</v>
      </c>
      <c r="AI347" s="8">
        <f t="shared" si="96"/>
        <v>0.98620160876618312</v>
      </c>
      <c r="AJ347" s="8"/>
      <c r="AK347" s="8"/>
      <c r="AL347" s="8"/>
      <c r="AN347" s="8">
        <f t="shared" si="103"/>
        <v>1</v>
      </c>
      <c r="AO347" s="8">
        <f t="shared" si="104"/>
        <v>3.770120218873763</v>
      </c>
      <c r="AP347" s="8">
        <f t="shared" si="105"/>
        <v>0.16631440777453332</v>
      </c>
      <c r="AQ347" s="8"/>
      <c r="AR347" s="8">
        <f t="shared" si="106"/>
        <v>216.01197679840479</v>
      </c>
      <c r="AS347" s="8">
        <f t="shared" si="107"/>
        <v>80.470886362301471</v>
      </c>
    </row>
    <row r="348" spans="1:45">
      <c r="A348" s="19">
        <v>20.220199999999998</v>
      </c>
      <c r="B348" s="19">
        <v>709.56478849999996</v>
      </c>
      <c r="C348" s="19">
        <v>-226.1263683</v>
      </c>
      <c r="E348" s="9">
        <f t="shared" si="97"/>
        <v>250.43521150000004</v>
      </c>
      <c r="F348" s="9">
        <f t="shared" si="98"/>
        <v>313.87363170000003</v>
      </c>
      <c r="I348">
        <v>1</v>
      </c>
      <c r="J348">
        <f t="shared" si="93"/>
        <v>0.26099670988619239</v>
      </c>
      <c r="K348">
        <f t="shared" si="99"/>
        <v>0.8973460600936608</v>
      </c>
      <c r="O348">
        <f t="shared" si="100"/>
        <v>0.16093837749263779</v>
      </c>
      <c r="P348">
        <f t="shared" si="101"/>
        <v>0.20170611281441053</v>
      </c>
      <c r="Q348">
        <f t="shared" si="102"/>
        <v>0.96613326342867289</v>
      </c>
      <c r="R348">
        <f t="shared" si="108"/>
        <v>1</v>
      </c>
      <c r="AG348" s="8">
        <f t="shared" si="94"/>
        <v>-0.13340044614509464</v>
      </c>
      <c r="AH348" s="8">
        <f t="shared" si="95"/>
        <v>-9.783509999285131E-2</v>
      </c>
      <c r="AI348" s="8">
        <f t="shared" si="96"/>
        <v>0.98622138193089204</v>
      </c>
      <c r="AJ348" s="8"/>
      <c r="AK348" s="8"/>
      <c r="AL348" s="8"/>
      <c r="AN348" s="8">
        <f t="shared" si="103"/>
        <v>1</v>
      </c>
      <c r="AO348" s="8">
        <f t="shared" si="104"/>
        <v>3.7743810026246938</v>
      </c>
      <c r="AP348" s="8">
        <f t="shared" si="105"/>
        <v>0.16619492511489198</v>
      </c>
      <c r="AQ348" s="8"/>
      <c r="AR348" s="8">
        <f t="shared" si="106"/>
        <v>216.25610172475103</v>
      </c>
      <c r="AS348" s="8">
        <f t="shared" si="107"/>
        <v>80.477732214423924</v>
      </c>
    </row>
    <row r="349" spans="1:45">
      <c r="A349" s="19">
        <v>20.253566670000001</v>
      </c>
      <c r="B349" s="19">
        <v>709.77791449999995</v>
      </c>
      <c r="C349" s="19">
        <v>-226.97436690000001</v>
      </c>
      <c r="E349" s="9">
        <f t="shared" si="97"/>
        <v>250.22208550000005</v>
      </c>
      <c r="F349" s="9">
        <f t="shared" si="98"/>
        <v>313.02563309999999</v>
      </c>
      <c r="I349">
        <v>1</v>
      </c>
      <c r="J349">
        <f t="shared" si="93"/>
        <v>0.26049674482002183</v>
      </c>
      <c r="K349">
        <f t="shared" si="99"/>
        <v>0.89644201686605651</v>
      </c>
      <c r="O349">
        <f t="shared" si="100"/>
        <v>0.16081904022737634</v>
      </c>
      <c r="P349">
        <f t="shared" si="101"/>
        <v>0.20118320803344453</v>
      </c>
      <c r="Q349">
        <f t="shared" si="102"/>
        <v>0.96626215547630623</v>
      </c>
      <c r="R349">
        <f t="shared" si="108"/>
        <v>1</v>
      </c>
      <c r="AG349" s="8">
        <f t="shared" si="94"/>
        <v>-0.13285449556020679</v>
      </c>
      <c r="AH349" s="8">
        <f t="shared" si="95"/>
        <v>-9.781342723783322E-2</v>
      </c>
      <c r="AI349" s="8">
        <f t="shared" si="96"/>
        <v>0.98629722521227459</v>
      </c>
      <c r="AJ349" s="8"/>
      <c r="AK349" s="8"/>
      <c r="AL349" s="8"/>
      <c r="AN349" s="8">
        <f t="shared" si="103"/>
        <v>1.0000000000000002</v>
      </c>
      <c r="AO349" s="8">
        <f t="shared" si="104"/>
        <v>3.7762321352334136</v>
      </c>
      <c r="AP349" s="8">
        <f t="shared" si="105"/>
        <v>0.1657358379176983</v>
      </c>
      <c r="AQ349" s="8"/>
      <c r="AR349" s="8">
        <f t="shared" si="106"/>
        <v>216.36216381054973</v>
      </c>
      <c r="AS349" s="8">
        <f t="shared" si="107"/>
        <v>80.504035973251604</v>
      </c>
    </row>
    <row r="350" spans="1:45">
      <c r="A350" s="19">
        <v>20.28693333</v>
      </c>
      <c r="B350" s="19">
        <v>709.85617649999995</v>
      </c>
      <c r="C350" s="19">
        <v>-227.7696042</v>
      </c>
      <c r="E350" s="9">
        <f t="shared" si="97"/>
        <v>250.14382350000005</v>
      </c>
      <c r="F350" s="9">
        <f t="shared" si="98"/>
        <v>312.2303958</v>
      </c>
      <c r="I350">
        <v>1</v>
      </c>
      <c r="J350">
        <f t="shared" si="93"/>
        <v>0.26007575161863139</v>
      </c>
      <c r="K350">
        <f t="shared" si="99"/>
        <v>0.89535369629096739</v>
      </c>
      <c r="O350">
        <f t="shared" si="100"/>
        <v>0.1607835401044867</v>
      </c>
      <c r="P350">
        <f t="shared" si="101"/>
        <v>0.20069057737477591</v>
      </c>
      <c r="Q350">
        <f t="shared" si="102"/>
        <v>0.96637050109388578</v>
      </c>
      <c r="R350">
        <f t="shared" si="108"/>
        <v>1</v>
      </c>
      <c r="AG350" s="8">
        <f t="shared" si="94"/>
        <v>-0.13236355667435884</v>
      </c>
      <c r="AH350" s="8">
        <f t="shared" si="95"/>
        <v>-9.7718673305572074E-2</v>
      </c>
      <c r="AI350" s="8">
        <f t="shared" si="96"/>
        <v>0.98637262216259447</v>
      </c>
      <c r="AJ350" s="8"/>
      <c r="AK350" s="8"/>
      <c r="AL350" s="8"/>
      <c r="AN350" s="8">
        <f t="shared" si="103"/>
        <v>0.99999999999999967</v>
      </c>
      <c r="AO350" s="8">
        <f t="shared" si="104"/>
        <v>3.777537500445928</v>
      </c>
      <c r="AP350" s="8">
        <f t="shared" si="105"/>
        <v>0.1652782000839883</v>
      </c>
      <c r="AQ350" s="8"/>
      <c r="AR350" s="8">
        <f t="shared" si="106"/>
        <v>216.43695572794999</v>
      </c>
      <c r="AS350" s="8">
        <f t="shared" si="107"/>
        <v>80.530256689668704</v>
      </c>
    </row>
    <row r="351" spans="1:45">
      <c r="A351" s="19">
        <v>20.3203</v>
      </c>
      <c r="B351" s="19">
        <v>710.07941419999997</v>
      </c>
      <c r="C351" s="19">
        <v>-228.05278290000001</v>
      </c>
      <c r="E351" s="9">
        <f t="shared" si="97"/>
        <v>249.92058580000003</v>
      </c>
      <c r="F351" s="9">
        <f t="shared" si="98"/>
        <v>311.94721709999999</v>
      </c>
      <c r="I351">
        <v>1</v>
      </c>
      <c r="J351">
        <f t="shared" si="93"/>
        <v>0.2598490783870317</v>
      </c>
      <c r="K351">
        <f t="shared" si="99"/>
        <v>0.89534660625050211</v>
      </c>
      <c r="O351">
        <f t="shared" si="100"/>
        <v>0.16064799802064311</v>
      </c>
      <c r="P351">
        <f t="shared" si="101"/>
        <v>0.20051847971951223</v>
      </c>
      <c r="Q351">
        <f t="shared" si="102"/>
        <v>0.96642876614002704</v>
      </c>
      <c r="R351">
        <f t="shared" si="108"/>
        <v>1</v>
      </c>
      <c r="AG351" s="8">
        <f t="shared" si="94"/>
        <v>-0.13215464511157832</v>
      </c>
      <c r="AH351" s="8">
        <f t="shared" si="95"/>
        <v>-9.7804460339692742E-2</v>
      </c>
      <c r="AI351" s="8">
        <f t="shared" si="96"/>
        <v>0.98639213161556305</v>
      </c>
      <c r="AJ351" s="8"/>
      <c r="AK351" s="8"/>
      <c r="AL351" s="8"/>
      <c r="AN351" s="8">
        <f t="shared" si="103"/>
        <v>1</v>
      </c>
      <c r="AO351" s="8">
        <f t="shared" si="104"/>
        <v>3.7787119877047406</v>
      </c>
      <c r="AP351" s="8">
        <f t="shared" si="105"/>
        <v>0.16515957868597697</v>
      </c>
      <c r="AQ351" s="8"/>
      <c r="AR351" s="8">
        <f t="shared" si="106"/>
        <v>216.50424889097187</v>
      </c>
      <c r="AS351" s="8">
        <f t="shared" si="107"/>
        <v>80.537053195134689</v>
      </c>
    </row>
    <row r="352" spans="1:45">
      <c r="A352" s="19">
        <v>20.353666669999999</v>
      </c>
      <c r="B352" s="19">
        <v>710.89212829999997</v>
      </c>
      <c r="C352" s="19">
        <v>-228.87363619999999</v>
      </c>
      <c r="E352" s="9">
        <f t="shared" si="97"/>
        <v>249.10787170000003</v>
      </c>
      <c r="F352" s="9">
        <f t="shared" si="98"/>
        <v>311.12636380000004</v>
      </c>
      <c r="I352">
        <v>1</v>
      </c>
      <c r="J352">
        <f t="shared" ref="J352:J415" si="109">ATAN((SQRT(E352^2+F352^2)^$B$16)/($F$24))</f>
        <v>0.25912676931959533</v>
      </c>
      <c r="K352">
        <f t="shared" si="99"/>
        <v>0.89565026012122284</v>
      </c>
      <c r="O352">
        <f t="shared" si="100"/>
        <v>0.16015076496635494</v>
      </c>
      <c r="P352">
        <f t="shared" si="101"/>
        <v>0.20002228281158907</v>
      </c>
      <c r="Q352">
        <f t="shared" si="102"/>
        <v>0.96661410027969907</v>
      </c>
      <c r="R352">
        <f t="shared" si="108"/>
        <v>1</v>
      </c>
      <c r="AG352" s="8">
        <f t="shared" ref="AG352:AG415" si="110">$O352*$Z$27+$P352*$Z$31+$Q352*$Z$35</f>
        <v>-0.13152000778606468</v>
      </c>
      <c r="AH352" s="8">
        <f t="shared" ref="AH352:AH415" si="111">$O352*$AA$27+$P352*$AA$31+$Q352*$AA$35</f>
        <v>-9.8154504811151427E-2</v>
      </c>
      <c r="AI352" s="8">
        <f t="shared" ref="AI352:AI415" si="112">$AB$27*$O352+$P352*$AB$31+$AB$35*$Q352</f>
        <v>0.98644218317001797</v>
      </c>
      <c r="AJ352" s="8"/>
      <c r="AK352" s="8"/>
      <c r="AL352" s="8"/>
      <c r="AN352" s="8">
        <f t="shared" si="103"/>
        <v>1.0000000000000002</v>
      </c>
      <c r="AO352" s="8">
        <f t="shared" si="104"/>
        <v>3.7827270379135687</v>
      </c>
      <c r="AP352" s="8">
        <f t="shared" si="105"/>
        <v>0.16485486834693974</v>
      </c>
      <c r="AQ352" s="8"/>
      <c r="AR352" s="8">
        <f t="shared" si="106"/>
        <v>216.73429432247082</v>
      </c>
      <c r="AS352" s="8">
        <f t="shared" si="107"/>
        <v>80.554511811535519</v>
      </c>
    </row>
    <row r="353" spans="1:45">
      <c r="A353" s="19">
        <v>20.387033330000001</v>
      </c>
      <c r="B353" s="19">
        <v>712.16776230000005</v>
      </c>
      <c r="C353" s="19">
        <v>-229.926436</v>
      </c>
      <c r="E353" s="9">
        <f t="shared" ref="E353:E416" si="113">-(B353-($B$15/2))</f>
        <v>247.83223769999995</v>
      </c>
      <c r="F353" s="9">
        <f t="shared" ref="F353:F416" si="114">(($C$15/2)+C353)</f>
        <v>310.07356400000003</v>
      </c>
      <c r="I353">
        <v>1</v>
      </c>
      <c r="J353">
        <f t="shared" si="109"/>
        <v>0.25810836186903507</v>
      </c>
      <c r="K353">
        <f t="shared" ref="K353:K416" si="115">ATAN2(E353,F353)</f>
        <v>0.89650117631092485</v>
      </c>
      <c r="O353">
        <f t="shared" ref="O353:O416" si="116">COS(K353)*SIN(J353)</f>
        <v>0.15936581051228033</v>
      </c>
      <c r="P353">
        <f t="shared" ref="P353:P416" si="117">SIN(K353)*SIN(J353)</f>
        <v>0.19938941480691574</v>
      </c>
      <c r="Q353">
        <f t="shared" ref="Q353:Q416" si="118">COS(J353)</f>
        <v>0.96687455220556906</v>
      </c>
      <c r="R353">
        <f t="shared" si="108"/>
        <v>1</v>
      </c>
      <c r="AG353" s="8">
        <f t="shared" si="110"/>
        <v>-0.13066487180184744</v>
      </c>
      <c r="AH353" s="8">
        <f t="shared" si="111"/>
        <v>-9.8746345000631064E-2</v>
      </c>
      <c r="AI353" s="8">
        <f t="shared" si="112"/>
        <v>0.98649675652078206</v>
      </c>
      <c r="AJ353" s="8"/>
      <c r="AK353" s="8"/>
      <c r="AL353" s="8"/>
      <c r="AN353" s="8">
        <f t="shared" ref="AN353:AN416" si="119">AG353^2+AH353^2+AI353^2</f>
        <v>1</v>
      </c>
      <c r="AO353" s="8">
        <f t="shared" ref="AO353:AO416" si="120">IF(ATAN2(AG353,AH353)&gt;=0,ATAN2(AG353,AH353),ATAN2(AG353,AH353)+2*PI())</f>
        <v>3.7887459258912797</v>
      </c>
      <c r="AP353" s="8">
        <f t="shared" ref="AP353:AP416" si="121">ACOS(AI353/AN353)</f>
        <v>0.16452199234577969</v>
      </c>
      <c r="AQ353" s="8"/>
      <c r="AR353" s="8">
        <f t="shared" ref="AR353:AR416" si="122">DEGREES(AO353)</f>
        <v>217.07915120095569</v>
      </c>
      <c r="AS353" s="8">
        <f t="shared" ref="AS353:AS416" si="123">90-DEGREES(AP353)</f>
        <v>80.573584201503195</v>
      </c>
    </row>
    <row r="354" spans="1:45">
      <c r="A354" s="19">
        <v>20.420400000000001</v>
      </c>
      <c r="B354" s="19">
        <v>711.89780770000004</v>
      </c>
      <c r="C354" s="19">
        <v>-230.27274510000001</v>
      </c>
      <c r="E354" s="9">
        <f t="shared" si="113"/>
        <v>248.10219229999996</v>
      </c>
      <c r="F354" s="9">
        <f t="shared" si="114"/>
        <v>309.72725489999999</v>
      </c>
      <c r="I354">
        <v>1</v>
      </c>
      <c r="J354">
        <f t="shared" si="109"/>
        <v>0.25804434413477428</v>
      </c>
      <c r="K354">
        <f t="shared" si="115"/>
        <v>0.89542495824665225</v>
      </c>
      <c r="O354">
        <f t="shared" si="116"/>
        <v>0.15954160705537052</v>
      </c>
      <c r="P354">
        <f t="shared" si="117"/>
        <v>0.19916947745404665</v>
      </c>
      <c r="Q354">
        <f t="shared" si="118"/>
        <v>0.96689089088111269</v>
      </c>
      <c r="R354">
        <f t="shared" si="108"/>
        <v>1</v>
      </c>
      <c r="AG354" s="8">
        <f t="shared" si="110"/>
        <v>-0.13050393196362103</v>
      </c>
      <c r="AH354" s="8">
        <f t="shared" si="111"/>
        <v>-9.8518962276223032E-2</v>
      </c>
      <c r="AI354" s="8">
        <f t="shared" si="112"/>
        <v>0.98654079379113901</v>
      </c>
      <c r="AJ354" s="8"/>
      <c r="AK354" s="8"/>
      <c r="AL354" s="8"/>
      <c r="AN354" s="8">
        <f t="shared" si="119"/>
        <v>1</v>
      </c>
      <c r="AO354" s="8">
        <f t="shared" si="120"/>
        <v>3.7882299300600342</v>
      </c>
      <c r="AP354" s="8">
        <f t="shared" si="121"/>
        <v>0.1642528949328208</v>
      </c>
      <c r="AQ354" s="8"/>
      <c r="AR354" s="8">
        <f t="shared" si="122"/>
        <v>217.04958681757898</v>
      </c>
      <c r="AS354" s="8">
        <f t="shared" si="123"/>
        <v>80.589002347543627</v>
      </c>
    </row>
    <row r="355" spans="1:45">
      <c r="A355" s="19">
        <v>20.45376667</v>
      </c>
      <c r="B355" s="19">
        <v>712.32647959999997</v>
      </c>
      <c r="C355" s="19">
        <v>-230.9855446</v>
      </c>
      <c r="E355" s="9">
        <f t="shared" si="113"/>
        <v>247.67352040000003</v>
      </c>
      <c r="F355" s="9">
        <f t="shared" si="114"/>
        <v>309.01445539999997</v>
      </c>
      <c r="I355">
        <v>1</v>
      </c>
      <c r="J355">
        <f t="shared" si="109"/>
        <v>0.25752561079609892</v>
      </c>
      <c r="K355">
        <f t="shared" si="115"/>
        <v>0.89514450421623704</v>
      </c>
      <c r="O355">
        <f t="shared" si="116"/>
        <v>0.15928375945095499</v>
      </c>
      <c r="P355">
        <f t="shared" si="117"/>
        <v>0.19873333290255701</v>
      </c>
      <c r="Q355">
        <f t="shared" si="118"/>
        <v>0.96702313641846838</v>
      </c>
      <c r="R355">
        <f t="shared" si="108"/>
        <v>1</v>
      </c>
      <c r="AG355" s="8">
        <f t="shared" si="110"/>
        <v>-0.13000064033439584</v>
      </c>
      <c r="AH355" s="8">
        <f t="shared" si="111"/>
        <v>-9.8653438573289565E-2</v>
      </c>
      <c r="AI355" s="8">
        <f t="shared" si="112"/>
        <v>0.98659380322922829</v>
      </c>
      <c r="AJ355" s="8"/>
      <c r="AK355" s="8"/>
      <c r="AL355" s="8"/>
      <c r="AN355" s="8">
        <f t="shared" si="119"/>
        <v>1</v>
      </c>
      <c r="AO355" s="8">
        <f t="shared" si="120"/>
        <v>3.7907457158136166</v>
      </c>
      <c r="AP355" s="8">
        <f t="shared" si="121"/>
        <v>0.16392839090768496</v>
      </c>
      <c r="AQ355" s="8"/>
      <c r="AR355" s="8">
        <f t="shared" si="122"/>
        <v>217.19373072341841</v>
      </c>
      <c r="AS355" s="8">
        <f t="shared" si="123"/>
        <v>80.607595058618912</v>
      </c>
    </row>
    <row r="356" spans="1:45">
      <c r="A356" s="19">
        <v>20.487133329999999</v>
      </c>
      <c r="B356" s="19">
        <v>712.80658640000001</v>
      </c>
      <c r="C356" s="19">
        <v>-231.75954899999999</v>
      </c>
      <c r="E356" s="9">
        <f t="shared" si="113"/>
        <v>247.19341359999999</v>
      </c>
      <c r="F356" s="9">
        <f t="shared" si="114"/>
        <v>308.24045100000001</v>
      </c>
      <c r="I356">
        <v>1</v>
      </c>
      <c r="J356">
        <f t="shared" si="109"/>
        <v>0.25695645161683323</v>
      </c>
      <c r="K356">
        <f t="shared" si="115"/>
        <v>0.89486752243584233</v>
      </c>
      <c r="O356">
        <f t="shared" si="116"/>
        <v>0.15899443681692757</v>
      </c>
      <c r="P356">
        <f t="shared" si="117"/>
        <v>0.19825980068483812</v>
      </c>
      <c r="Q356">
        <f t="shared" si="118"/>
        <v>0.96716793810262147</v>
      </c>
      <c r="R356">
        <f t="shared" si="108"/>
        <v>1</v>
      </c>
      <c r="AG356" s="8">
        <f t="shared" si="110"/>
        <v>-0.12945139448253989</v>
      </c>
      <c r="AH356" s="8">
        <f t="shared" si="111"/>
        <v>-9.8808425878647244E-2</v>
      </c>
      <c r="AI356" s="8">
        <f t="shared" si="112"/>
        <v>0.98665051129663417</v>
      </c>
      <c r="AJ356" s="8"/>
      <c r="AK356" s="8"/>
      <c r="AL356" s="8"/>
      <c r="AN356" s="8">
        <f t="shared" si="119"/>
        <v>0.99999999999999989</v>
      </c>
      <c r="AO356" s="8">
        <f t="shared" si="120"/>
        <v>3.7935426639733549</v>
      </c>
      <c r="AP356" s="8">
        <f t="shared" si="121"/>
        <v>0.16358053898429059</v>
      </c>
      <c r="AQ356" s="8"/>
      <c r="AR356" s="8">
        <f t="shared" si="122"/>
        <v>217.35398404848829</v>
      </c>
      <c r="AS356" s="8">
        <f t="shared" si="123"/>
        <v>80.627525505724918</v>
      </c>
    </row>
    <row r="357" spans="1:45">
      <c r="A357" s="19">
        <v>20.520499999999998</v>
      </c>
      <c r="B357" s="19">
        <v>712.92200419999995</v>
      </c>
      <c r="C357" s="19">
        <v>-232.69900759999999</v>
      </c>
      <c r="E357" s="9">
        <f t="shared" si="113"/>
        <v>247.07799580000005</v>
      </c>
      <c r="F357" s="9">
        <f t="shared" si="114"/>
        <v>307.30099240000004</v>
      </c>
      <c r="I357">
        <v>1</v>
      </c>
      <c r="J357">
        <f t="shared" si="109"/>
        <v>0.25644973804438459</v>
      </c>
      <c r="K357">
        <f t="shared" si="115"/>
        <v>0.89360530713749309</v>
      </c>
      <c r="O357">
        <f t="shared" si="116"/>
        <v>0.15893745077861907</v>
      </c>
      <c r="P357">
        <f t="shared" si="117"/>
        <v>0.19767699748273496</v>
      </c>
      <c r="Q357">
        <f t="shared" si="118"/>
        <v>0.96729658916291272</v>
      </c>
      <c r="R357">
        <f t="shared" si="108"/>
        <v>1</v>
      </c>
      <c r="AG357" s="8">
        <f t="shared" si="110"/>
        <v>-0.12886625788313599</v>
      </c>
      <c r="AH357" s="8">
        <f t="shared" si="111"/>
        <v>-9.8710408822094947E-2</v>
      </c>
      <c r="AI357" s="8">
        <f t="shared" si="112"/>
        <v>0.98673691669531238</v>
      </c>
      <c r="AJ357" s="8"/>
      <c r="AK357" s="8"/>
      <c r="AL357" s="8"/>
      <c r="AN357" s="8">
        <f t="shared" si="119"/>
        <v>0.99999999999999989</v>
      </c>
      <c r="AO357" s="8">
        <f t="shared" si="120"/>
        <v>3.7952497705630481</v>
      </c>
      <c r="AP357" s="8">
        <f t="shared" si="121"/>
        <v>0.16304910715486276</v>
      </c>
      <c r="AQ357" s="8"/>
      <c r="AR357" s="8">
        <f t="shared" si="122"/>
        <v>217.45179405125668</v>
      </c>
      <c r="AS357" s="8">
        <f t="shared" si="123"/>
        <v>80.657974306650047</v>
      </c>
    </row>
    <row r="358" spans="1:45">
      <c r="A358" s="19">
        <v>20.553866670000001</v>
      </c>
      <c r="B358" s="19">
        <v>713.71114320000004</v>
      </c>
      <c r="C358" s="19">
        <v>-233.30492380000001</v>
      </c>
      <c r="E358" s="9">
        <f t="shared" si="113"/>
        <v>246.28885679999996</v>
      </c>
      <c r="F358" s="9">
        <f t="shared" si="114"/>
        <v>306.69507620000002</v>
      </c>
      <c r="I358">
        <v>1</v>
      </c>
      <c r="J358">
        <f t="shared" si="109"/>
        <v>0.25584097032994374</v>
      </c>
      <c r="K358">
        <f t="shared" si="115"/>
        <v>0.89420359515715397</v>
      </c>
      <c r="O358">
        <f t="shared" si="116"/>
        <v>0.15845041703317889</v>
      </c>
      <c r="P358">
        <f t="shared" si="117"/>
        <v>0.19731287625966432</v>
      </c>
      <c r="Q358">
        <f t="shared" si="118"/>
        <v>0.96745082262828741</v>
      </c>
      <c r="R358">
        <f t="shared" si="108"/>
        <v>1</v>
      </c>
      <c r="AG358" s="8">
        <f t="shared" si="110"/>
        <v>-0.12836365984920078</v>
      </c>
      <c r="AH358" s="8">
        <f t="shared" si="111"/>
        <v>-9.9084823333027983E-2</v>
      </c>
      <c r="AI358" s="8">
        <f t="shared" si="112"/>
        <v>0.98676490037656961</v>
      </c>
      <c r="AJ358" s="8"/>
      <c r="AK358" s="8"/>
      <c r="AL358" s="8"/>
      <c r="AN358" s="8">
        <f t="shared" si="119"/>
        <v>1</v>
      </c>
      <c r="AO358" s="8">
        <f t="shared" si="120"/>
        <v>3.7989675328235872</v>
      </c>
      <c r="AP358" s="8">
        <f t="shared" si="121"/>
        <v>0.16287662659768953</v>
      </c>
      <c r="AQ358" s="8"/>
      <c r="AR358" s="8">
        <f t="shared" si="122"/>
        <v>217.66480613801858</v>
      </c>
      <c r="AS358" s="8">
        <f t="shared" si="123"/>
        <v>80.667856714624136</v>
      </c>
    </row>
    <row r="359" spans="1:45">
      <c r="A359" s="19">
        <v>20.58723333</v>
      </c>
      <c r="B359" s="19">
        <v>713.95306770000002</v>
      </c>
      <c r="C359" s="19">
        <v>-233.88718119999999</v>
      </c>
      <c r="E359" s="9">
        <f t="shared" si="113"/>
        <v>246.04693229999998</v>
      </c>
      <c r="F359" s="9">
        <f t="shared" si="114"/>
        <v>306.11281880000001</v>
      </c>
      <c r="I359">
        <v>1</v>
      </c>
      <c r="J359">
        <f t="shared" si="109"/>
        <v>0.25545958644828565</v>
      </c>
      <c r="K359">
        <f t="shared" si="115"/>
        <v>0.89375560450933</v>
      </c>
      <c r="O359">
        <f t="shared" si="116"/>
        <v>0.15830762810722232</v>
      </c>
      <c r="P359">
        <f t="shared" si="117"/>
        <v>0.19695427138411814</v>
      </c>
      <c r="Q359">
        <f t="shared" si="118"/>
        <v>0.96754726492643062</v>
      </c>
      <c r="R359">
        <f t="shared" si="108"/>
        <v>1</v>
      </c>
      <c r="AG359" s="8">
        <f t="shared" si="110"/>
        <v>-0.12797095943123277</v>
      </c>
      <c r="AH359" s="8">
        <f t="shared" si="111"/>
        <v>-9.9128406094973046E-2</v>
      </c>
      <c r="AI359" s="8">
        <f t="shared" si="112"/>
        <v>0.98681152843251685</v>
      </c>
      <c r="AJ359" s="8"/>
      <c r="AK359" s="8"/>
      <c r="AL359" s="8"/>
      <c r="AN359" s="8">
        <f t="shared" si="119"/>
        <v>1.0000000000000002</v>
      </c>
      <c r="AO359" s="8">
        <f t="shared" si="120"/>
        <v>3.8006630317464158</v>
      </c>
      <c r="AP359" s="8">
        <f t="shared" si="121"/>
        <v>0.16258882650396567</v>
      </c>
      <c r="AQ359" s="8"/>
      <c r="AR359" s="8">
        <f t="shared" si="122"/>
        <v>217.76195107046564</v>
      </c>
      <c r="AS359" s="8">
        <f t="shared" si="123"/>
        <v>80.684346445337994</v>
      </c>
    </row>
    <row r="360" spans="1:45">
      <c r="A360" s="19">
        <v>20.6206</v>
      </c>
      <c r="B360" s="19">
        <v>714.23506569999995</v>
      </c>
      <c r="C360" s="19">
        <v>-234.47345680000001</v>
      </c>
      <c r="E360" s="9">
        <f t="shared" si="113"/>
        <v>245.76493430000005</v>
      </c>
      <c r="F360" s="9">
        <f t="shared" si="114"/>
        <v>305.52654319999999</v>
      </c>
      <c r="I360">
        <v>1</v>
      </c>
      <c r="J360">
        <f t="shared" si="109"/>
        <v>0.25506038322160546</v>
      </c>
      <c r="K360">
        <f t="shared" si="115"/>
        <v>0.89337943648576734</v>
      </c>
      <c r="O360">
        <f t="shared" si="116"/>
        <v>0.15813959875859074</v>
      </c>
      <c r="P360">
        <f t="shared" si="117"/>
        <v>0.19659372924523522</v>
      </c>
      <c r="Q360">
        <f t="shared" si="118"/>
        <v>0.96764806253406155</v>
      </c>
      <c r="R360">
        <f t="shared" si="108"/>
        <v>1</v>
      </c>
      <c r="AG360" s="8">
        <f t="shared" si="110"/>
        <v>-0.12756872896329421</v>
      </c>
      <c r="AH360" s="8">
        <f t="shared" si="111"/>
        <v>-9.9195805465240039E-2</v>
      </c>
      <c r="AI360" s="8">
        <f t="shared" si="112"/>
        <v>0.98685683438318039</v>
      </c>
      <c r="AJ360" s="8"/>
      <c r="AK360" s="8"/>
      <c r="AL360" s="8"/>
      <c r="AN360" s="8">
        <f t="shared" si="119"/>
        <v>1.0000000000000002</v>
      </c>
      <c r="AO360" s="8">
        <f t="shared" si="120"/>
        <v>3.8025170409816811</v>
      </c>
      <c r="AP360" s="8">
        <f t="shared" si="121"/>
        <v>0.1623087022822931</v>
      </c>
      <c r="AQ360" s="8"/>
      <c r="AR360" s="8">
        <f t="shared" si="122"/>
        <v>217.86817797482462</v>
      </c>
      <c r="AS360" s="8">
        <f t="shared" si="123"/>
        <v>80.700396380979214</v>
      </c>
    </row>
    <row r="361" spans="1:45">
      <c r="A361" s="19">
        <v>20.653966669999999</v>
      </c>
      <c r="B361" s="19">
        <v>714.457719</v>
      </c>
      <c r="C361" s="19">
        <v>-235.70262099999999</v>
      </c>
      <c r="E361" s="9">
        <f t="shared" si="113"/>
        <v>245.542281</v>
      </c>
      <c r="F361" s="9">
        <f t="shared" si="114"/>
        <v>304.29737899999998</v>
      </c>
      <c r="I361">
        <v>1</v>
      </c>
      <c r="J361">
        <f t="shared" si="109"/>
        <v>0.25436912596048367</v>
      </c>
      <c r="K361">
        <f t="shared" si="115"/>
        <v>0.89185279964146869</v>
      </c>
      <c r="O361">
        <f t="shared" si="116"/>
        <v>0.15801945776714343</v>
      </c>
      <c r="P361">
        <f t="shared" si="117"/>
        <v>0.19583147404883375</v>
      </c>
      <c r="Q361">
        <f t="shared" si="118"/>
        <v>0.96782223819193103</v>
      </c>
      <c r="R361">
        <f t="shared" si="108"/>
        <v>1</v>
      </c>
      <c r="AG361" s="8">
        <f t="shared" si="110"/>
        <v>-0.12678974669817833</v>
      </c>
      <c r="AH361" s="8">
        <f t="shared" si="111"/>
        <v>-9.9111321897827426E-2</v>
      </c>
      <c r="AI361" s="8">
        <f t="shared" si="112"/>
        <v>0.98696570659971605</v>
      </c>
      <c r="AJ361" s="8"/>
      <c r="AK361" s="8"/>
      <c r="AL361" s="8"/>
      <c r="AN361" s="8">
        <f t="shared" si="119"/>
        <v>0.99999999999999978</v>
      </c>
      <c r="AO361" s="8">
        <f t="shared" si="120"/>
        <v>3.8050739351925018</v>
      </c>
      <c r="AP361" s="8">
        <f t="shared" si="121"/>
        <v>0.16163358377006642</v>
      </c>
      <c r="AQ361" s="8"/>
      <c r="AR361" s="8">
        <f t="shared" si="122"/>
        <v>218.01467722176608</v>
      </c>
      <c r="AS361" s="8">
        <f t="shared" si="123"/>
        <v>80.739077822400958</v>
      </c>
    </row>
    <row r="362" spans="1:45">
      <c r="A362" s="19">
        <v>20.687333330000001</v>
      </c>
      <c r="B362" s="19">
        <v>715.77060089999998</v>
      </c>
      <c r="C362" s="19">
        <v>-236.06626829999999</v>
      </c>
      <c r="E362" s="9">
        <f t="shared" si="113"/>
        <v>244.22939910000002</v>
      </c>
      <c r="F362" s="9">
        <f t="shared" si="114"/>
        <v>303.93373170000001</v>
      </c>
      <c r="I362">
        <v>1</v>
      </c>
      <c r="J362">
        <f t="shared" si="109"/>
        <v>0.25367146986386796</v>
      </c>
      <c r="K362">
        <f t="shared" si="115"/>
        <v>0.8938876003773264</v>
      </c>
      <c r="O362">
        <f t="shared" si="116"/>
        <v>0.15719767406691562</v>
      </c>
      <c r="P362">
        <f t="shared" si="117"/>
        <v>0.19562622628472073</v>
      </c>
      <c r="Q362">
        <f t="shared" si="118"/>
        <v>0.96799755725804959</v>
      </c>
      <c r="R362">
        <f t="shared" si="108"/>
        <v>1</v>
      </c>
      <c r="AG362" s="8">
        <f t="shared" si="110"/>
        <v>-0.12634046393602877</v>
      </c>
      <c r="AH362" s="8">
        <f t="shared" si="111"/>
        <v>-9.9850275437556701E-2</v>
      </c>
      <c r="AI362" s="8">
        <f t="shared" si="112"/>
        <v>0.98694883842450165</v>
      </c>
      <c r="AJ362" s="8"/>
      <c r="AK362" s="8"/>
      <c r="AL362" s="8"/>
      <c r="AN362" s="8">
        <f t="shared" si="119"/>
        <v>1</v>
      </c>
      <c r="AO362" s="8">
        <f t="shared" si="120"/>
        <v>3.8104075103219124</v>
      </c>
      <c r="AP362" s="8">
        <f t="shared" si="121"/>
        <v>0.16173836648620532</v>
      </c>
      <c r="AQ362" s="8"/>
      <c r="AR362" s="8">
        <f t="shared" si="122"/>
        <v>218.32026856639726</v>
      </c>
      <c r="AS362" s="8">
        <f t="shared" si="123"/>
        <v>80.733074215000272</v>
      </c>
    </row>
    <row r="363" spans="1:45">
      <c r="A363" s="19">
        <v>20.720700000000001</v>
      </c>
      <c r="B363" s="19">
        <v>715.80779600000005</v>
      </c>
      <c r="C363" s="19">
        <v>-236.98879830000001</v>
      </c>
      <c r="E363" s="9">
        <f t="shared" si="113"/>
        <v>244.19220399999995</v>
      </c>
      <c r="F363" s="9">
        <f t="shared" si="114"/>
        <v>303.01120170000002</v>
      </c>
      <c r="I363">
        <v>1</v>
      </c>
      <c r="J363">
        <f t="shared" si="109"/>
        <v>0.25320354595147038</v>
      </c>
      <c r="K363">
        <f t="shared" si="115"/>
        <v>0.89247721364216659</v>
      </c>
      <c r="O363">
        <f t="shared" si="116"/>
        <v>0.15718919014492122</v>
      </c>
      <c r="P363">
        <f t="shared" si="117"/>
        <v>0.19505162171378077</v>
      </c>
      <c r="Q363">
        <f t="shared" si="118"/>
        <v>0.96811488128651757</v>
      </c>
      <c r="R363">
        <f t="shared" si="108"/>
        <v>1</v>
      </c>
      <c r="AG363" s="8">
        <f t="shared" si="110"/>
        <v>-0.12577822250559653</v>
      </c>
      <c r="AH363" s="8">
        <f t="shared" si="111"/>
        <v>-9.9707272088931348E-2</v>
      </c>
      <c r="AI363" s="8">
        <f t="shared" si="112"/>
        <v>0.98703510506765491</v>
      </c>
      <c r="AJ363" s="8"/>
      <c r="AK363" s="8"/>
      <c r="AL363" s="8"/>
      <c r="AN363" s="8">
        <f t="shared" si="119"/>
        <v>1.0000000000000002</v>
      </c>
      <c r="AO363" s="8">
        <f t="shared" si="120"/>
        <v>3.8118805361933341</v>
      </c>
      <c r="AP363" s="8">
        <f t="shared" si="121"/>
        <v>0.16120178003660857</v>
      </c>
      <c r="AQ363" s="8"/>
      <c r="AR363" s="8">
        <f t="shared" si="122"/>
        <v>218.40466673194328</v>
      </c>
      <c r="AS363" s="8">
        <f t="shared" si="123"/>
        <v>80.763818353906075</v>
      </c>
    </row>
    <row r="364" spans="1:45">
      <c r="A364" s="19">
        <v>20.75406667</v>
      </c>
      <c r="B364" s="19">
        <v>715.80458480000004</v>
      </c>
      <c r="C364" s="19">
        <v>-237.91960030000001</v>
      </c>
      <c r="E364" s="9">
        <f t="shared" si="113"/>
        <v>244.19541519999996</v>
      </c>
      <c r="F364" s="9">
        <f t="shared" si="114"/>
        <v>302.08039969999999</v>
      </c>
      <c r="I364">
        <v>1</v>
      </c>
      <c r="J364">
        <f t="shared" si="109"/>
        <v>0.25274797406991667</v>
      </c>
      <c r="K364">
        <f t="shared" si="115"/>
        <v>0.89096715237133273</v>
      </c>
      <c r="O364">
        <f t="shared" si="116"/>
        <v>0.15720626637311363</v>
      </c>
      <c r="P364">
        <f t="shared" si="117"/>
        <v>0.19447102126156071</v>
      </c>
      <c r="Q364">
        <f t="shared" si="118"/>
        <v>0.96822890459979105</v>
      </c>
      <c r="R364">
        <f t="shared" si="108"/>
        <v>1</v>
      </c>
      <c r="AG364" s="8">
        <f t="shared" si="110"/>
        <v>-0.1252179347467291</v>
      </c>
      <c r="AH364" s="8">
        <f t="shared" si="111"/>
        <v>-9.9537960583555074E-2</v>
      </c>
      <c r="AI364" s="8">
        <f t="shared" si="112"/>
        <v>0.98712342856434654</v>
      </c>
      <c r="AJ364" s="8"/>
      <c r="AK364" s="8"/>
      <c r="AL364" s="8"/>
      <c r="AN364" s="8">
        <f t="shared" si="119"/>
        <v>1</v>
      </c>
      <c r="AO364" s="8">
        <f t="shared" si="120"/>
        <v>3.8132269790800288</v>
      </c>
      <c r="AP364" s="8">
        <f t="shared" si="121"/>
        <v>0.16065055909249204</v>
      </c>
      <c r="AQ364" s="8"/>
      <c r="AR364" s="8">
        <f t="shared" si="122"/>
        <v>218.48181222670632</v>
      </c>
      <c r="AS364" s="8">
        <f t="shared" si="123"/>
        <v>80.795400987583179</v>
      </c>
    </row>
    <row r="365" spans="1:45">
      <c r="A365" s="19">
        <v>20.787433329999999</v>
      </c>
      <c r="B365" s="19">
        <v>716.19823269999995</v>
      </c>
      <c r="C365" s="19">
        <v>-238.25019739999999</v>
      </c>
      <c r="E365" s="9">
        <f t="shared" si="113"/>
        <v>243.80176730000005</v>
      </c>
      <c r="F365" s="9">
        <f t="shared" si="114"/>
        <v>301.74980260000001</v>
      </c>
      <c r="I365">
        <v>1</v>
      </c>
      <c r="J365">
        <f t="shared" si="109"/>
        <v>0.25242967635131963</v>
      </c>
      <c r="K365">
        <f t="shared" si="115"/>
        <v>0.89122054364635261</v>
      </c>
      <c r="O365">
        <f t="shared" si="116"/>
        <v>0.15696329317368984</v>
      </c>
      <c r="P365">
        <f t="shared" si="117"/>
        <v>0.19427112139152583</v>
      </c>
      <c r="Q365">
        <f t="shared" si="118"/>
        <v>0.96830845085094108</v>
      </c>
      <c r="R365">
        <f t="shared" si="108"/>
        <v>1</v>
      </c>
      <c r="AG365" s="8">
        <f t="shared" si="110"/>
        <v>-0.12494954234286425</v>
      </c>
      <c r="AH365" s="8">
        <f t="shared" si="111"/>
        <v>-9.9719739954861997E-2</v>
      </c>
      <c r="AI365" s="8">
        <f t="shared" si="112"/>
        <v>0.9871390911779574</v>
      </c>
      <c r="AJ365" s="8"/>
      <c r="AK365" s="8"/>
      <c r="AL365" s="8"/>
      <c r="AN365" s="8">
        <f t="shared" si="119"/>
        <v>1.0000000000000002</v>
      </c>
      <c r="AO365" s="8">
        <f t="shared" si="120"/>
        <v>3.8151618121137654</v>
      </c>
      <c r="AP365" s="8">
        <f t="shared" si="121"/>
        <v>0.16055261393674991</v>
      </c>
      <c r="AQ365" s="8"/>
      <c r="AR365" s="8">
        <f t="shared" si="122"/>
        <v>218.5926699936019</v>
      </c>
      <c r="AS365" s="8">
        <f t="shared" si="123"/>
        <v>80.801012831630942</v>
      </c>
    </row>
    <row r="366" spans="1:45">
      <c r="A366" s="19">
        <v>20.820799999999998</v>
      </c>
      <c r="B366" s="19">
        <v>717.01979679999999</v>
      </c>
      <c r="C366" s="19">
        <v>-239.06512520000001</v>
      </c>
      <c r="E366" s="9">
        <f t="shared" si="113"/>
        <v>242.98020320000001</v>
      </c>
      <c r="F366" s="9">
        <f t="shared" si="114"/>
        <v>300.93487479999999</v>
      </c>
      <c r="I366">
        <v>1</v>
      </c>
      <c r="J366">
        <f t="shared" si="109"/>
        <v>0.25170391035824563</v>
      </c>
      <c r="K366">
        <f t="shared" si="115"/>
        <v>0.89154861604803526</v>
      </c>
      <c r="O366">
        <f t="shared" si="116"/>
        <v>0.15645802571901685</v>
      </c>
      <c r="P366">
        <f t="shared" si="117"/>
        <v>0.19377577169302287</v>
      </c>
      <c r="Q366">
        <f t="shared" si="118"/>
        <v>0.96848946121931601</v>
      </c>
      <c r="R366">
        <f t="shared" si="108"/>
        <v>1</v>
      </c>
      <c r="AG366" s="8">
        <f t="shared" si="110"/>
        <v>-0.12431388379203751</v>
      </c>
      <c r="AH366" s="8">
        <f t="shared" si="111"/>
        <v>-0.10007670218929562</v>
      </c>
      <c r="AI366" s="8">
        <f t="shared" si="112"/>
        <v>0.98718322107674361</v>
      </c>
      <c r="AJ366" s="8"/>
      <c r="AK366" s="8"/>
      <c r="AL366" s="8"/>
      <c r="AN366" s="8">
        <f t="shared" si="119"/>
        <v>1</v>
      </c>
      <c r="AO366" s="8">
        <f t="shared" si="120"/>
        <v>3.8193945986276212</v>
      </c>
      <c r="AP366" s="8">
        <f t="shared" si="121"/>
        <v>0.16027633130287389</v>
      </c>
      <c r="AQ366" s="8"/>
      <c r="AR366" s="8">
        <f t="shared" si="122"/>
        <v>218.83519079642574</v>
      </c>
      <c r="AS366" s="8">
        <f t="shared" si="123"/>
        <v>80.816842660504804</v>
      </c>
    </row>
    <row r="367" spans="1:45">
      <c r="A367" s="19">
        <v>20.854166670000001</v>
      </c>
      <c r="B367" s="19">
        <v>717.09807360000002</v>
      </c>
      <c r="C367" s="19">
        <v>-239.30767449999999</v>
      </c>
      <c r="E367" s="9">
        <f t="shared" si="113"/>
        <v>242.90192639999998</v>
      </c>
      <c r="F367" s="9">
        <f t="shared" si="114"/>
        <v>300.69232550000004</v>
      </c>
      <c r="I367">
        <v>1</v>
      </c>
      <c r="J367">
        <f t="shared" si="109"/>
        <v>0.25155377906630122</v>
      </c>
      <c r="K367">
        <f t="shared" si="115"/>
        <v>0.89131198534974343</v>
      </c>
      <c r="O367">
        <f t="shared" si="116"/>
        <v>0.15641250431659773</v>
      </c>
      <c r="P367">
        <f t="shared" si="117"/>
        <v>0.193625634663705</v>
      </c>
      <c r="Q367">
        <f t="shared" si="118"/>
        <v>0.96852684118432553</v>
      </c>
      <c r="R367">
        <f t="shared" si="108"/>
        <v>1</v>
      </c>
      <c r="AG367" s="8">
        <f t="shared" si="110"/>
        <v>-0.12415387219405394</v>
      </c>
      <c r="AH367" s="8">
        <f t="shared" si="111"/>
        <v>-0.10008105865319819</v>
      </c>
      <c r="AI367" s="8">
        <f t="shared" si="112"/>
        <v>0.98720291618191525</v>
      </c>
      <c r="AJ367" s="8"/>
      <c r="AK367" s="8"/>
      <c r="AL367" s="8"/>
      <c r="AN367" s="8">
        <f t="shared" si="119"/>
        <v>1</v>
      </c>
      <c r="AO367" s="8">
        <f t="shared" si="120"/>
        <v>3.8200450940583224</v>
      </c>
      <c r="AP367" s="8">
        <f t="shared" si="121"/>
        <v>0.16015287429040614</v>
      </c>
      <c r="AQ367" s="8"/>
      <c r="AR367" s="8">
        <f t="shared" si="122"/>
        <v>218.87246143919745</v>
      </c>
      <c r="AS367" s="8">
        <f t="shared" si="123"/>
        <v>80.823916226270498</v>
      </c>
    </row>
    <row r="368" spans="1:45">
      <c r="A368" s="19">
        <v>20.88753333</v>
      </c>
      <c r="B368" s="19">
        <v>717.78649340000004</v>
      </c>
      <c r="C368" s="19">
        <v>-240.17768190000001</v>
      </c>
      <c r="E368" s="9">
        <f t="shared" si="113"/>
        <v>242.21350659999996</v>
      </c>
      <c r="F368" s="9">
        <f t="shared" si="114"/>
        <v>299.82231809999996</v>
      </c>
      <c r="I368">
        <v>1</v>
      </c>
      <c r="J368">
        <f t="shared" si="109"/>
        <v>0.25085348409588437</v>
      </c>
      <c r="K368">
        <f t="shared" si="115"/>
        <v>0.89128296347331748</v>
      </c>
      <c r="O368">
        <f t="shared" si="116"/>
        <v>0.15599186032616547</v>
      </c>
      <c r="P368">
        <f t="shared" si="117"/>
        <v>0.19309344810799395</v>
      </c>
      <c r="Q368">
        <f t="shared" si="118"/>
        <v>0.96870091349690979</v>
      </c>
      <c r="R368">
        <f t="shared" si="108"/>
        <v>1</v>
      </c>
      <c r="AG368" s="8">
        <f t="shared" si="110"/>
        <v>-0.12350807647752164</v>
      </c>
      <c r="AH368" s="8">
        <f t="shared" si="111"/>
        <v>-0.10034656054115067</v>
      </c>
      <c r="AI368" s="8">
        <f t="shared" si="112"/>
        <v>0.9872569689966153</v>
      </c>
      <c r="AJ368" s="8"/>
      <c r="AK368" s="8"/>
      <c r="AL368" s="8"/>
      <c r="AN368" s="8">
        <f t="shared" si="119"/>
        <v>1</v>
      </c>
      <c r="AO368" s="8">
        <f t="shared" si="120"/>
        <v>3.8238909115316861</v>
      </c>
      <c r="AP368" s="8">
        <f t="shared" si="121"/>
        <v>0.15981356318808371</v>
      </c>
      <c r="AQ368" s="8"/>
      <c r="AR368" s="8">
        <f t="shared" si="122"/>
        <v>219.09281054919887</v>
      </c>
      <c r="AS368" s="8">
        <f t="shared" si="123"/>
        <v>80.843357320375503</v>
      </c>
    </row>
    <row r="369" spans="1:45">
      <c r="A369" s="19">
        <v>20.9209</v>
      </c>
      <c r="B369" s="19">
        <v>718.23566900000003</v>
      </c>
      <c r="C369" s="19">
        <v>-241.3709388</v>
      </c>
      <c r="E369" s="9">
        <f t="shared" si="113"/>
        <v>241.76433099999997</v>
      </c>
      <c r="F369" s="9">
        <f t="shared" si="114"/>
        <v>298.62906120000002</v>
      </c>
      <c r="I369">
        <v>1</v>
      </c>
      <c r="J369">
        <f t="shared" si="109"/>
        <v>0.25008923942614897</v>
      </c>
      <c r="K369">
        <f t="shared" si="115"/>
        <v>0.89024072166440671</v>
      </c>
      <c r="O369">
        <f t="shared" si="116"/>
        <v>0.15572714940857296</v>
      </c>
      <c r="P369">
        <f t="shared" si="117"/>
        <v>0.19235530832393252</v>
      </c>
      <c r="Q369">
        <f t="shared" si="118"/>
        <v>0.96889033966527138</v>
      </c>
      <c r="R369">
        <f t="shared" si="108"/>
        <v>1</v>
      </c>
      <c r="AG369" s="8">
        <f t="shared" si="110"/>
        <v>-0.12270908555472261</v>
      </c>
      <c r="AH369" s="8">
        <f t="shared" si="111"/>
        <v>-0.10040725485087273</v>
      </c>
      <c r="AI369" s="8">
        <f t="shared" si="112"/>
        <v>0.98735042588517463</v>
      </c>
      <c r="AJ369" s="8"/>
      <c r="AK369" s="8"/>
      <c r="AL369" s="8"/>
      <c r="AN369" s="8">
        <f t="shared" si="119"/>
        <v>1</v>
      </c>
      <c r="AO369" s="8">
        <f t="shared" si="120"/>
        <v>3.8273656678816752</v>
      </c>
      <c r="AP369" s="8">
        <f t="shared" si="121"/>
        <v>0.15922520568205512</v>
      </c>
      <c r="AQ369" s="8"/>
      <c r="AR369" s="8">
        <f t="shared" si="122"/>
        <v>219.29189942288951</v>
      </c>
      <c r="AS369" s="8">
        <f t="shared" si="123"/>
        <v>80.877067722315786</v>
      </c>
    </row>
    <row r="370" spans="1:45">
      <c r="A370" s="19">
        <v>20.954266669999999</v>
      </c>
      <c r="B370" s="19">
        <v>718.23774400000002</v>
      </c>
      <c r="C370" s="19">
        <v>-241.59715109999999</v>
      </c>
      <c r="E370" s="9">
        <f t="shared" si="113"/>
        <v>241.76225599999998</v>
      </c>
      <c r="F370" s="9">
        <f t="shared" si="114"/>
        <v>298.40284889999998</v>
      </c>
      <c r="I370">
        <v>1</v>
      </c>
      <c r="J370">
        <f t="shared" si="109"/>
        <v>0.24997738570731323</v>
      </c>
      <c r="K370">
        <f t="shared" si="115"/>
        <v>0.88987429479652147</v>
      </c>
      <c r="O370">
        <f t="shared" si="116"/>
        <v>0.15572939965420901</v>
      </c>
      <c r="P370">
        <f t="shared" si="117"/>
        <v>0.19221402580848951</v>
      </c>
      <c r="Q370">
        <f t="shared" si="118"/>
        <v>0.96891801632843688</v>
      </c>
      <c r="R370">
        <f t="shared" si="108"/>
        <v>1</v>
      </c>
      <c r="AG370" s="8">
        <f t="shared" si="110"/>
        <v>-0.12257220897500158</v>
      </c>
      <c r="AH370" s="8">
        <f t="shared" si="111"/>
        <v>-0.10036781946443356</v>
      </c>
      <c r="AI370" s="8">
        <f t="shared" si="112"/>
        <v>0.98737143689846707</v>
      </c>
      <c r="AJ370" s="8"/>
      <c r="AK370" s="8"/>
      <c r="AL370" s="8"/>
      <c r="AN370" s="8">
        <f t="shared" si="119"/>
        <v>1.0000000000000002</v>
      </c>
      <c r="AO370" s="8">
        <f t="shared" si="120"/>
        <v>3.8277201621094368</v>
      </c>
      <c r="AP370" s="8">
        <f t="shared" si="121"/>
        <v>0.15909263389053052</v>
      </c>
      <c r="AQ370" s="8"/>
      <c r="AR370" s="8">
        <f t="shared" si="122"/>
        <v>219.31221044600201</v>
      </c>
      <c r="AS370" s="8">
        <f t="shared" si="123"/>
        <v>80.884663526452641</v>
      </c>
    </row>
    <row r="371" spans="1:45">
      <c r="A371" s="19">
        <v>20.987633330000001</v>
      </c>
      <c r="B371" s="19">
        <v>718.91147060000003</v>
      </c>
      <c r="C371" s="19">
        <v>-242.4808467</v>
      </c>
      <c r="E371" s="9">
        <f t="shared" si="113"/>
        <v>241.08852939999997</v>
      </c>
      <c r="F371" s="9">
        <f t="shared" si="114"/>
        <v>297.51915329999997</v>
      </c>
      <c r="I371">
        <v>1</v>
      </c>
      <c r="J371">
        <f t="shared" si="109"/>
        <v>0.24927571615281696</v>
      </c>
      <c r="K371">
        <f t="shared" si="115"/>
        <v>0.88978860369433266</v>
      </c>
      <c r="O371">
        <f t="shared" si="116"/>
        <v>0.15531780790603028</v>
      </c>
      <c r="P371">
        <f t="shared" si="117"/>
        <v>0.19167242346874663</v>
      </c>
      <c r="Q371">
        <f t="shared" si="118"/>
        <v>0.96909135824693171</v>
      </c>
      <c r="R371">
        <f t="shared" si="108"/>
        <v>1</v>
      </c>
      <c r="AG371" s="8">
        <f t="shared" si="110"/>
        <v>-0.12192011429382933</v>
      </c>
      <c r="AH371" s="8">
        <f t="shared" si="111"/>
        <v>-0.10062188543456685</v>
      </c>
      <c r="AI371" s="8">
        <f t="shared" si="112"/>
        <v>0.98742631213785892</v>
      </c>
      <c r="AJ371" s="8"/>
      <c r="AK371" s="8"/>
      <c r="AL371" s="8"/>
      <c r="AN371" s="8">
        <f t="shared" si="119"/>
        <v>0.99999999999999989</v>
      </c>
      <c r="AO371" s="8">
        <f t="shared" si="120"/>
        <v>3.831577105473158</v>
      </c>
      <c r="AP371" s="8">
        <f t="shared" si="121"/>
        <v>0.1587458734897409</v>
      </c>
      <c r="AQ371" s="8"/>
      <c r="AR371" s="8">
        <f t="shared" si="122"/>
        <v>219.53319702256422</v>
      </c>
      <c r="AS371" s="8">
        <f t="shared" si="123"/>
        <v>80.904531433920141</v>
      </c>
    </row>
    <row r="372" spans="1:45">
      <c r="A372" s="19">
        <v>21.021000000000001</v>
      </c>
      <c r="B372" s="19">
        <v>719.1766202</v>
      </c>
      <c r="C372" s="19">
        <v>-243.29462609999999</v>
      </c>
      <c r="E372" s="9">
        <f t="shared" si="113"/>
        <v>240.8233798</v>
      </c>
      <c r="F372" s="9">
        <f t="shared" si="114"/>
        <v>296.70537390000004</v>
      </c>
      <c r="I372">
        <v>1</v>
      </c>
      <c r="J372">
        <f t="shared" si="109"/>
        <v>0.24877079585857473</v>
      </c>
      <c r="K372">
        <f t="shared" si="115"/>
        <v>0.8889869804337448</v>
      </c>
      <c r="O372">
        <f t="shared" si="116"/>
        <v>0.15516302217999084</v>
      </c>
      <c r="P372">
        <f t="shared" si="117"/>
        <v>0.1911679113116084</v>
      </c>
      <c r="Q372">
        <f t="shared" si="118"/>
        <v>0.9692157996198415</v>
      </c>
      <c r="R372">
        <f t="shared" si="108"/>
        <v>1</v>
      </c>
      <c r="AG372" s="8">
        <f t="shared" si="110"/>
        <v>-0.12138202709762723</v>
      </c>
      <c r="AH372" s="8">
        <f t="shared" si="111"/>
        <v>-0.10063799541211645</v>
      </c>
      <c r="AI372" s="8">
        <f t="shared" si="112"/>
        <v>0.9874909606558947</v>
      </c>
      <c r="AJ372" s="8"/>
      <c r="AK372" s="8"/>
      <c r="AL372" s="8"/>
      <c r="AN372" s="8">
        <f t="shared" si="119"/>
        <v>1</v>
      </c>
      <c r="AO372" s="8">
        <f t="shared" si="120"/>
        <v>3.8338281272848356</v>
      </c>
      <c r="AP372" s="8">
        <f t="shared" si="121"/>
        <v>0.15833638895516633</v>
      </c>
      <c r="AQ372" s="8"/>
      <c r="AR372" s="8">
        <f t="shared" si="122"/>
        <v>219.66217107196525</v>
      </c>
      <c r="AS372" s="8">
        <f t="shared" si="123"/>
        <v>80.927993169527142</v>
      </c>
    </row>
    <row r="373" spans="1:45">
      <c r="A373" s="19">
        <v>21.05436667</v>
      </c>
      <c r="B373" s="19">
        <v>719.92208619999997</v>
      </c>
      <c r="C373" s="19">
        <v>-244.00779900000001</v>
      </c>
      <c r="E373" s="9">
        <f t="shared" si="113"/>
        <v>240.07791380000003</v>
      </c>
      <c r="F373" s="9">
        <f t="shared" si="114"/>
        <v>295.99220100000002</v>
      </c>
      <c r="I373">
        <v>1</v>
      </c>
      <c r="J373">
        <f t="shared" si="109"/>
        <v>0.2481238866426082</v>
      </c>
      <c r="K373">
        <f t="shared" si="115"/>
        <v>0.88932641635873944</v>
      </c>
      <c r="O373">
        <f t="shared" si="116"/>
        <v>0.15470312550329099</v>
      </c>
      <c r="P373">
        <f t="shared" si="117"/>
        <v>0.19073357434055779</v>
      </c>
      <c r="Q373">
        <f t="shared" si="118"/>
        <v>0.96937487412186829</v>
      </c>
      <c r="R373">
        <f t="shared" si="108"/>
        <v>1</v>
      </c>
      <c r="AG373" s="8">
        <f t="shared" si="110"/>
        <v>-0.12081980472471643</v>
      </c>
      <c r="AH373" s="8">
        <f t="shared" si="111"/>
        <v>-0.10096679972409442</v>
      </c>
      <c r="AI373" s="8">
        <f t="shared" si="112"/>
        <v>0.98752634402316375</v>
      </c>
      <c r="AJ373" s="8"/>
      <c r="AK373" s="8"/>
      <c r="AL373" s="8"/>
      <c r="AN373" s="8">
        <f t="shared" si="119"/>
        <v>0.99999999999999989</v>
      </c>
      <c r="AO373" s="8">
        <f t="shared" si="120"/>
        <v>3.8377147636735724</v>
      </c>
      <c r="AP373" s="8">
        <f t="shared" si="121"/>
        <v>0.15811182496997289</v>
      </c>
      <c r="AQ373" s="8"/>
      <c r="AR373" s="8">
        <f t="shared" si="122"/>
        <v>219.88485893354184</v>
      </c>
      <c r="AS373" s="8">
        <f t="shared" si="123"/>
        <v>80.940859738109367</v>
      </c>
    </row>
    <row r="374" spans="1:45">
      <c r="A374" s="19">
        <v>21.087733329999999</v>
      </c>
      <c r="B374" s="19">
        <v>720.06571359999998</v>
      </c>
      <c r="C374" s="19">
        <v>-244.91403170000001</v>
      </c>
      <c r="E374" s="9">
        <f t="shared" si="113"/>
        <v>239.93428640000002</v>
      </c>
      <c r="F374" s="9">
        <f t="shared" si="114"/>
        <v>295.08596829999999</v>
      </c>
      <c r="I374">
        <v>1</v>
      </c>
      <c r="J374">
        <f t="shared" si="109"/>
        <v>0.247621889225485</v>
      </c>
      <c r="K374">
        <f t="shared" si="115"/>
        <v>0.8881186997032664</v>
      </c>
      <c r="O374">
        <f t="shared" si="116"/>
        <v>0.15462634757574803</v>
      </c>
      <c r="P374">
        <f t="shared" si="117"/>
        <v>0.19016900912199913</v>
      </c>
      <c r="Q374">
        <f t="shared" si="118"/>
        <v>0.96949803537961898</v>
      </c>
      <c r="R374">
        <f t="shared" si="108"/>
        <v>1</v>
      </c>
      <c r="AG374" s="8">
        <f t="shared" si="110"/>
        <v>-0.12024697148880704</v>
      </c>
      <c r="AH374" s="8">
        <f t="shared" si="111"/>
        <v>-0.10089170408675008</v>
      </c>
      <c r="AI374" s="8">
        <f t="shared" si="112"/>
        <v>0.98760393371748045</v>
      </c>
      <c r="AJ374" s="8"/>
      <c r="AK374" s="8"/>
      <c r="AL374" s="8"/>
      <c r="AN374" s="8">
        <f t="shared" si="119"/>
        <v>0.99999999999999978</v>
      </c>
      <c r="AO374" s="8">
        <f t="shared" si="120"/>
        <v>3.839687823635574</v>
      </c>
      <c r="AP374" s="8">
        <f t="shared" si="121"/>
        <v>0.15761828377084419</v>
      </c>
      <c r="AQ374" s="8"/>
      <c r="AR374" s="8">
        <f t="shared" si="122"/>
        <v>219.99790694209076</v>
      </c>
      <c r="AS374" s="8">
        <f t="shared" si="123"/>
        <v>80.969137565835268</v>
      </c>
    </row>
    <row r="375" spans="1:45">
      <c r="A375" s="19">
        <v>21.121099999999998</v>
      </c>
      <c r="B375" s="19">
        <v>720.74683419999997</v>
      </c>
      <c r="C375" s="19">
        <v>-245.07976590000001</v>
      </c>
      <c r="E375" s="9">
        <f t="shared" si="113"/>
        <v>239.25316580000003</v>
      </c>
      <c r="F375" s="9">
        <f t="shared" si="114"/>
        <v>294.92023410000002</v>
      </c>
      <c r="I375">
        <v>1</v>
      </c>
      <c r="J375">
        <f t="shared" si="109"/>
        <v>0.24726900654217254</v>
      </c>
      <c r="K375">
        <f t="shared" si="115"/>
        <v>0.88923496135979019</v>
      </c>
      <c r="O375">
        <f t="shared" si="116"/>
        <v>0.1541984261222295</v>
      </c>
      <c r="P375">
        <f t="shared" si="117"/>
        <v>0.1900757959785353</v>
      </c>
      <c r="Q375">
        <f t="shared" si="118"/>
        <v>0.96958446623517724</v>
      </c>
      <c r="R375">
        <f t="shared" si="108"/>
        <v>1</v>
      </c>
      <c r="AG375" s="8">
        <f t="shared" si="110"/>
        <v>-0.12002655653635452</v>
      </c>
      <c r="AH375" s="8">
        <f t="shared" si="111"/>
        <v>-0.10127968168553803</v>
      </c>
      <c r="AI375" s="8">
        <f t="shared" si="112"/>
        <v>0.98759103469184106</v>
      </c>
      <c r="AJ375" s="8"/>
      <c r="AK375" s="8"/>
      <c r="AL375" s="8"/>
      <c r="AN375" s="8">
        <f t="shared" si="119"/>
        <v>0.99999999999999978</v>
      </c>
      <c r="AO375" s="8">
        <f t="shared" si="120"/>
        <v>3.8424824642501267</v>
      </c>
      <c r="AP375" s="8">
        <f t="shared" si="121"/>
        <v>0.15770043949102286</v>
      </c>
      <c r="AQ375" s="8"/>
      <c r="AR375" s="8">
        <f t="shared" si="122"/>
        <v>220.1580280545605</v>
      </c>
      <c r="AS375" s="8">
        <f t="shared" si="123"/>
        <v>80.964430389806168</v>
      </c>
    </row>
    <row r="376" spans="1:45">
      <c r="A376" s="19">
        <v>21.154466670000001</v>
      </c>
      <c r="B376" s="19">
        <v>721.65602660000002</v>
      </c>
      <c r="C376" s="19">
        <v>-246.0449208</v>
      </c>
      <c r="E376" s="9">
        <f t="shared" si="113"/>
        <v>238.34397339999998</v>
      </c>
      <c r="F376" s="9">
        <f t="shared" si="114"/>
        <v>293.9550792</v>
      </c>
      <c r="I376">
        <v>1</v>
      </c>
      <c r="J376">
        <f t="shared" si="109"/>
        <v>0.24643262300308671</v>
      </c>
      <c r="K376">
        <f t="shared" si="115"/>
        <v>0.88949396098340805</v>
      </c>
      <c r="O376">
        <f t="shared" si="116"/>
        <v>0.15363840049985522</v>
      </c>
      <c r="P376">
        <f t="shared" si="117"/>
        <v>0.18948575683641039</v>
      </c>
      <c r="Q376">
        <f t="shared" si="118"/>
        <v>0.96978883776210734</v>
      </c>
      <c r="R376">
        <f t="shared" si="108"/>
        <v>1</v>
      </c>
      <c r="AG376" s="8">
        <f t="shared" si="110"/>
        <v>-0.11928255929422966</v>
      </c>
      <c r="AH376" s="8">
        <f t="shared" si="111"/>
        <v>-0.10166366283785813</v>
      </c>
      <c r="AI376" s="8">
        <f t="shared" si="112"/>
        <v>0.98764172183368659</v>
      </c>
      <c r="AJ376" s="8"/>
      <c r="AK376" s="8"/>
      <c r="AL376" s="8"/>
      <c r="AN376" s="8">
        <f t="shared" si="119"/>
        <v>1.0000000000000002</v>
      </c>
      <c r="AO376" s="8">
        <f t="shared" si="120"/>
        <v>3.8474162837069104</v>
      </c>
      <c r="AP376" s="8">
        <f t="shared" si="121"/>
        <v>0.15737736110325473</v>
      </c>
      <c r="AQ376" s="8"/>
      <c r="AR376" s="8">
        <f t="shared" si="122"/>
        <v>220.44071508631373</v>
      </c>
      <c r="AS376" s="8">
        <f t="shared" si="123"/>
        <v>80.982941417877186</v>
      </c>
    </row>
    <row r="377" spans="1:45">
      <c r="A377" s="19">
        <v>21.18783333</v>
      </c>
      <c r="B377" s="19">
        <v>721.0620639</v>
      </c>
      <c r="C377" s="19">
        <v>-246.78610520000001</v>
      </c>
      <c r="E377" s="9">
        <f t="shared" si="113"/>
        <v>238.9379361</v>
      </c>
      <c r="F377" s="9">
        <f t="shared" si="114"/>
        <v>293.21389479999999</v>
      </c>
      <c r="I377">
        <v>1</v>
      </c>
      <c r="J377">
        <f t="shared" si="109"/>
        <v>0.24630577746400431</v>
      </c>
      <c r="K377">
        <f t="shared" si="115"/>
        <v>0.88704005775837158</v>
      </c>
      <c r="O377">
        <f t="shared" si="116"/>
        <v>0.15402520721829341</v>
      </c>
      <c r="P377">
        <f t="shared" si="117"/>
        <v>0.18901281078677939</v>
      </c>
      <c r="Q377">
        <f t="shared" si="118"/>
        <v>0.96981977341145342</v>
      </c>
      <c r="R377">
        <f t="shared" si="108"/>
        <v>1</v>
      </c>
      <c r="AG377" s="8">
        <f t="shared" si="110"/>
        <v>-0.11893944355351901</v>
      </c>
      <c r="AH377" s="8">
        <f t="shared" si="111"/>
        <v>-0.10116569883453749</v>
      </c>
      <c r="AI377" s="8">
        <f t="shared" si="112"/>
        <v>0.98773423052281573</v>
      </c>
      <c r="AJ377" s="8"/>
      <c r="AK377" s="8"/>
      <c r="AL377" s="8"/>
      <c r="AN377" s="8">
        <f t="shared" si="119"/>
        <v>1</v>
      </c>
      <c r="AO377" s="8">
        <f t="shared" si="120"/>
        <v>3.8464144966705591</v>
      </c>
      <c r="AP377" s="8">
        <f t="shared" si="121"/>
        <v>0.15678601129388769</v>
      </c>
      <c r="AQ377" s="8"/>
      <c r="AR377" s="8">
        <f t="shared" si="122"/>
        <v>220.38331691715987</v>
      </c>
      <c r="AS377" s="8">
        <f t="shared" si="123"/>
        <v>81.01682326616978</v>
      </c>
    </row>
    <row r="378" spans="1:45">
      <c r="A378" s="19">
        <v>21.2212</v>
      </c>
      <c r="B378" s="19">
        <v>721.87114229999997</v>
      </c>
      <c r="C378" s="19">
        <v>-247.42590000000001</v>
      </c>
      <c r="E378" s="9">
        <f t="shared" si="113"/>
        <v>238.12885770000003</v>
      </c>
      <c r="F378" s="9">
        <f t="shared" si="114"/>
        <v>292.57409999999999</v>
      </c>
      <c r="I378">
        <v>1</v>
      </c>
      <c r="J378">
        <f t="shared" si="109"/>
        <v>0.245668579956106</v>
      </c>
      <c r="K378">
        <f t="shared" si="115"/>
        <v>0.88763130338912644</v>
      </c>
      <c r="O378">
        <f t="shared" si="116"/>
        <v>0.15352330401881509</v>
      </c>
      <c r="P378">
        <f t="shared" si="117"/>
        <v>0.18862452428558057</v>
      </c>
      <c r="Q378">
        <f t="shared" si="118"/>
        <v>0.96997493986246108</v>
      </c>
      <c r="R378">
        <f t="shared" si="108"/>
        <v>1</v>
      </c>
      <c r="AG378" s="8">
        <f t="shared" si="110"/>
        <v>-0.11840948584762238</v>
      </c>
      <c r="AH378" s="8">
        <f t="shared" si="111"/>
        <v>-0.10154687009241224</v>
      </c>
      <c r="AI378" s="8">
        <f t="shared" si="112"/>
        <v>0.98775878980434106</v>
      </c>
      <c r="AJ378" s="8"/>
      <c r="AK378" s="8"/>
      <c r="AL378" s="8"/>
      <c r="AN378" s="8">
        <f t="shared" si="119"/>
        <v>1</v>
      </c>
      <c r="AO378" s="8">
        <f t="shared" si="120"/>
        <v>3.8504770185219597</v>
      </c>
      <c r="AP378" s="8">
        <f t="shared" si="121"/>
        <v>0.15662864731989101</v>
      </c>
      <c r="AQ378" s="8"/>
      <c r="AR378" s="8">
        <f t="shared" si="122"/>
        <v>220.61608227342481</v>
      </c>
      <c r="AS378" s="8">
        <f t="shared" si="123"/>
        <v>81.025839557727195</v>
      </c>
    </row>
    <row r="379" spans="1:45">
      <c r="A379" s="19">
        <v>21.254566669999999</v>
      </c>
      <c r="B379" s="19">
        <v>722.05392930000005</v>
      </c>
      <c r="C379" s="19">
        <v>-248.1989768</v>
      </c>
      <c r="E379" s="9">
        <f t="shared" si="113"/>
        <v>237.94607069999995</v>
      </c>
      <c r="F379" s="9">
        <f t="shared" si="114"/>
        <v>291.80102320000003</v>
      </c>
      <c r="I379">
        <v>1</v>
      </c>
      <c r="J379">
        <f t="shared" si="109"/>
        <v>0.245216165489098</v>
      </c>
      <c r="K379">
        <f t="shared" si="115"/>
        <v>0.88671172097185924</v>
      </c>
      <c r="O379">
        <f t="shared" si="116"/>
        <v>0.15341935402366444</v>
      </c>
      <c r="P379">
        <f t="shared" si="117"/>
        <v>0.18814315509009302</v>
      </c>
      <c r="Q379">
        <f t="shared" si="118"/>
        <v>0.97008487000040711</v>
      </c>
      <c r="R379">
        <f t="shared" si="108"/>
        <v>1</v>
      </c>
      <c r="AG379" s="8">
        <f t="shared" si="110"/>
        <v>-0.11790953488533042</v>
      </c>
      <c r="AH379" s="8">
        <f t="shared" si="111"/>
        <v>-0.10151971511377246</v>
      </c>
      <c r="AI379" s="8">
        <f t="shared" si="112"/>
        <v>0.9878213851837504</v>
      </c>
      <c r="AJ379" s="8"/>
      <c r="AK379" s="8"/>
      <c r="AL379" s="8"/>
      <c r="AN379" s="8">
        <f t="shared" si="119"/>
        <v>0.99999999999999989</v>
      </c>
      <c r="AO379" s="8">
        <f t="shared" si="120"/>
        <v>3.8524363007294147</v>
      </c>
      <c r="AP379" s="8">
        <f t="shared" si="121"/>
        <v>0.15622685549582394</v>
      </c>
      <c r="AQ379" s="8"/>
      <c r="AR379" s="8">
        <f t="shared" si="122"/>
        <v>220.72834087478705</v>
      </c>
      <c r="AS379" s="8">
        <f t="shared" si="123"/>
        <v>81.048860533489091</v>
      </c>
    </row>
    <row r="380" spans="1:45">
      <c r="A380" s="19">
        <v>21.287933330000001</v>
      </c>
      <c r="B380" s="19">
        <v>722.55074720000005</v>
      </c>
      <c r="C380" s="19">
        <v>-249.13259189999999</v>
      </c>
      <c r="E380" s="9">
        <f t="shared" si="113"/>
        <v>237.44925279999995</v>
      </c>
      <c r="F380" s="9">
        <f t="shared" si="114"/>
        <v>290.86740810000003</v>
      </c>
      <c r="I380">
        <v>1</v>
      </c>
      <c r="J380">
        <f t="shared" si="109"/>
        <v>0.24455937127535096</v>
      </c>
      <c r="K380">
        <f t="shared" si="115"/>
        <v>0.88616581271857564</v>
      </c>
      <c r="O380">
        <f t="shared" si="116"/>
        <v>0.1531190841529865</v>
      </c>
      <c r="P380">
        <f t="shared" si="117"/>
        <v>0.18756576663451593</v>
      </c>
      <c r="Q380">
        <f t="shared" si="118"/>
        <v>0.9702441080753631</v>
      </c>
      <c r="R380">
        <f t="shared" si="108"/>
        <v>1</v>
      </c>
      <c r="AG380" s="8">
        <f t="shared" si="110"/>
        <v>-0.11725671010936382</v>
      </c>
      <c r="AH380" s="8">
        <f t="shared" si="111"/>
        <v>-0.10165633112464335</v>
      </c>
      <c r="AI380" s="8">
        <f t="shared" si="112"/>
        <v>0.98788504102279295</v>
      </c>
      <c r="AJ380" s="8"/>
      <c r="AK380" s="8"/>
      <c r="AL380" s="8"/>
      <c r="AN380" s="8">
        <f t="shared" si="119"/>
        <v>0.99999999999999989</v>
      </c>
      <c r="AO380" s="8">
        <f t="shared" si="120"/>
        <v>3.8558481808776488</v>
      </c>
      <c r="AP380" s="8">
        <f t="shared" si="121"/>
        <v>0.15581720285777689</v>
      </c>
      <c r="AQ380" s="8"/>
      <c r="AR380" s="8">
        <f t="shared" si="122"/>
        <v>220.92382720748535</v>
      </c>
      <c r="AS380" s="8">
        <f t="shared" si="123"/>
        <v>81.072331900715596</v>
      </c>
    </row>
    <row r="381" spans="1:45">
      <c r="A381" s="19">
        <v>21.321300000000001</v>
      </c>
      <c r="B381" s="19">
        <v>723.03399690000003</v>
      </c>
      <c r="C381" s="19">
        <v>-249.86050420000001</v>
      </c>
      <c r="E381" s="9">
        <f t="shared" si="113"/>
        <v>236.96600309999997</v>
      </c>
      <c r="F381" s="9">
        <f t="shared" si="114"/>
        <v>290.13949579999996</v>
      </c>
      <c r="I381">
        <v>1</v>
      </c>
      <c r="J381">
        <f t="shared" si="109"/>
        <v>0.24400878129165796</v>
      </c>
      <c r="K381">
        <f t="shared" si="115"/>
        <v>0.88593631781724547</v>
      </c>
      <c r="O381">
        <f t="shared" si="116"/>
        <v>0.15282418207279111</v>
      </c>
      <c r="P381">
        <f t="shared" si="117"/>
        <v>0.18711684609853221</v>
      </c>
      <c r="Q381">
        <f t="shared" si="118"/>
        <v>0.9703772747132533</v>
      </c>
      <c r="R381">
        <f t="shared" si="108"/>
        <v>1</v>
      </c>
      <c r="AG381" s="8">
        <f t="shared" si="110"/>
        <v>-0.1167305638904779</v>
      </c>
      <c r="AH381" s="8">
        <f t="shared" si="111"/>
        <v>-0.10182171044734928</v>
      </c>
      <c r="AI381" s="8">
        <f t="shared" si="112"/>
        <v>0.98793031876513804</v>
      </c>
      <c r="AJ381" s="8"/>
      <c r="AK381" s="8"/>
      <c r="AL381" s="8"/>
      <c r="AN381" s="8">
        <f t="shared" si="119"/>
        <v>1</v>
      </c>
      <c r="AO381" s="8">
        <f t="shared" si="120"/>
        <v>3.8588799184469877</v>
      </c>
      <c r="AP381" s="8">
        <f t="shared" si="121"/>
        <v>0.15552516979053221</v>
      </c>
      <c r="AQ381" s="8"/>
      <c r="AR381" s="8">
        <f t="shared" si="122"/>
        <v>221.09753297479972</v>
      </c>
      <c r="AS381" s="8">
        <f t="shared" si="123"/>
        <v>81.089064162946968</v>
      </c>
    </row>
    <row r="382" spans="1:45">
      <c r="A382" s="19">
        <v>21.35466667</v>
      </c>
      <c r="B382" s="19">
        <v>723.68042590000005</v>
      </c>
      <c r="C382" s="19">
        <v>-250.3946775</v>
      </c>
      <c r="E382" s="9">
        <f t="shared" si="113"/>
        <v>236.31957409999995</v>
      </c>
      <c r="F382" s="9">
        <f t="shared" si="114"/>
        <v>289.6053225</v>
      </c>
      <c r="I382">
        <v>1</v>
      </c>
      <c r="J382">
        <f t="shared" si="109"/>
        <v>0.24348775067639442</v>
      </c>
      <c r="K382">
        <f t="shared" si="115"/>
        <v>0.88637176424895969</v>
      </c>
      <c r="O382">
        <f t="shared" si="116"/>
        <v>0.15242301575324266</v>
      </c>
      <c r="P382">
        <f t="shared" si="117"/>
        <v>0.1867916223264742</v>
      </c>
      <c r="Q382">
        <f t="shared" si="118"/>
        <v>0.97050302116857445</v>
      </c>
      <c r="R382">
        <f t="shared" si="108"/>
        <v>1</v>
      </c>
      <c r="AG382" s="8">
        <f t="shared" si="110"/>
        <v>-0.11629262860371031</v>
      </c>
      <c r="AH382" s="8">
        <f t="shared" si="111"/>
        <v>-0.1021222169749019</v>
      </c>
      <c r="AI382" s="8">
        <f t="shared" si="112"/>
        <v>0.9879509488494711</v>
      </c>
      <c r="AJ382" s="8"/>
      <c r="AK382" s="8"/>
      <c r="AL382" s="8"/>
      <c r="AN382" s="8">
        <f t="shared" si="119"/>
        <v>0.99999999999999967</v>
      </c>
      <c r="AO382" s="8">
        <f t="shared" si="120"/>
        <v>3.8622031896961224</v>
      </c>
      <c r="AP382" s="8">
        <f t="shared" si="121"/>
        <v>0.1553919290321597</v>
      </c>
      <c r="AQ382" s="8"/>
      <c r="AR382" s="8">
        <f t="shared" si="122"/>
        <v>221.28794239155229</v>
      </c>
      <c r="AS382" s="8">
        <f t="shared" si="123"/>
        <v>81.096698296060836</v>
      </c>
    </row>
    <row r="383" spans="1:45">
      <c r="A383" s="19">
        <v>21.388033329999999</v>
      </c>
      <c r="B383" s="19">
        <v>723.86334769999996</v>
      </c>
      <c r="C383" s="19">
        <v>-251.09142550000001</v>
      </c>
      <c r="E383" s="9">
        <f t="shared" si="113"/>
        <v>236.13665230000004</v>
      </c>
      <c r="F383" s="9">
        <f t="shared" si="114"/>
        <v>288.90857449999999</v>
      </c>
      <c r="I383">
        <v>1</v>
      </c>
      <c r="J383">
        <f t="shared" si="109"/>
        <v>0.24307256112777917</v>
      </c>
      <c r="K383">
        <f t="shared" si="115"/>
        <v>0.88557103650563229</v>
      </c>
      <c r="O383">
        <f t="shared" si="116"/>
        <v>0.15231752169105628</v>
      </c>
      <c r="P383">
        <f t="shared" si="117"/>
        <v>0.18635750797054848</v>
      </c>
      <c r="Q383">
        <f t="shared" si="118"/>
        <v>0.97060303513274759</v>
      </c>
      <c r="R383">
        <f t="shared" si="108"/>
        <v>1</v>
      </c>
      <c r="AG383" s="8">
        <f t="shared" si="110"/>
        <v>-0.11583830403258946</v>
      </c>
      <c r="AH383" s="8">
        <f t="shared" si="111"/>
        <v>-0.10210886301755664</v>
      </c>
      <c r="AI383" s="8">
        <f t="shared" si="112"/>
        <v>0.98800570211518279</v>
      </c>
      <c r="AJ383" s="8"/>
      <c r="AK383" s="8"/>
      <c r="AL383" s="8"/>
      <c r="AN383" s="8">
        <f t="shared" si="119"/>
        <v>1.0000000000000002</v>
      </c>
      <c r="AO383" s="8">
        <f t="shared" si="120"/>
        <v>3.8640795916484731</v>
      </c>
      <c r="AP383" s="8">
        <f t="shared" si="121"/>
        <v>0.15503775068853209</v>
      </c>
      <c r="AQ383" s="8"/>
      <c r="AR383" s="8">
        <f t="shared" si="122"/>
        <v>221.39545230409209</v>
      </c>
      <c r="AS383" s="8">
        <f t="shared" si="123"/>
        <v>81.116991220345639</v>
      </c>
    </row>
    <row r="384" spans="1:45">
      <c r="A384" s="19">
        <v>21.421399999999998</v>
      </c>
      <c r="B384" s="19">
        <v>723.98545709999996</v>
      </c>
      <c r="C384" s="19">
        <v>-251.9332009</v>
      </c>
      <c r="E384" s="9">
        <f t="shared" si="113"/>
        <v>236.01454290000004</v>
      </c>
      <c r="F384" s="9">
        <f t="shared" si="114"/>
        <v>288.06679910000003</v>
      </c>
      <c r="I384">
        <v>1</v>
      </c>
      <c r="J384">
        <f t="shared" si="109"/>
        <v>0.24261076200640402</v>
      </c>
      <c r="K384">
        <f t="shared" si="115"/>
        <v>0.88439444298488978</v>
      </c>
      <c r="O384">
        <f t="shared" si="116"/>
        <v>0.15225260166380233</v>
      </c>
      <c r="P384">
        <f t="shared" si="117"/>
        <v>0.18583142833923594</v>
      </c>
      <c r="Q384">
        <f t="shared" si="118"/>
        <v>0.97071408021518002</v>
      </c>
      <c r="R384">
        <f t="shared" si="108"/>
        <v>1</v>
      </c>
      <c r="AG384" s="8">
        <f t="shared" si="110"/>
        <v>-0.11530681615650452</v>
      </c>
      <c r="AH384" s="8">
        <f t="shared" si="111"/>
        <v>-0.10203198337028468</v>
      </c>
      <c r="AI384" s="8">
        <f t="shared" si="112"/>
        <v>0.98807581314258264</v>
      </c>
      <c r="AJ384" s="8"/>
      <c r="AK384" s="8"/>
      <c r="AL384" s="8"/>
      <c r="AN384" s="8">
        <f t="shared" si="119"/>
        <v>0.99999999999999989</v>
      </c>
      <c r="AO384" s="8">
        <f t="shared" si="120"/>
        <v>3.86598761928665</v>
      </c>
      <c r="AP384" s="8">
        <f t="shared" si="121"/>
        <v>0.15458305344631684</v>
      </c>
      <c r="AQ384" s="8"/>
      <c r="AR384" s="8">
        <f t="shared" si="122"/>
        <v>221.50477423495394</v>
      </c>
      <c r="AS384" s="8">
        <f t="shared" si="123"/>
        <v>81.143043453280811</v>
      </c>
    </row>
    <row r="385" spans="1:45">
      <c r="A385" s="19">
        <v>21.454766670000001</v>
      </c>
      <c r="B385" s="19">
        <v>724.9929406</v>
      </c>
      <c r="C385" s="19">
        <v>-252.72692910000001</v>
      </c>
      <c r="E385" s="9">
        <f t="shared" si="113"/>
        <v>235.0070594</v>
      </c>
      <c r="F385" s="9">
        <f t="shared" si="114"/>
        <v>287.27307089999999</v>
      </c>
      <c r="I385">
        <v>1</v>
      </c>
      <c r="J385">
        <f t="shared" si="109"/>
        <v>0.241816968672246</v>
      </c>
      <c r="K385">
        <f t="shared" si="115"/>
        <v>0.88513884998347359</v>
      </c>
      <c r="O385">
        <f t="shared" si="116"/>
        <v>0.15162628128504435</v>
      </c>
      <c r="P385">
        <f t="shared" si="117"/>
        <v>0.18534825109131123</v>
      </c>
      <c r="Q385">
        <f t="shared" si="118"/>
        <v>0.97090447348905595</v>
      </c>
      <c r="R385">
        <f t="shared" si="108"/>
        <v>1</v>
      </c>
      <c r="AG385" s="8">
        <f t="shared" si="110"/>
        <v>-0.11464713422875691</v>
      </c>
      <c r="AH385" s="8">
        <f t="shared" si="111"/>
        <v>-0.10250742807313534</v>
      </c>
      <c r="AI385" s="8">
        <f t="shared" si="112"/>
        <v>0.98810336595062986</v>
      </c>
      <c r="AJ385" s="8"/>
      <c r="AK385" s="8"/>
      <c r="AL385" s="8"/>
      <c r="AN385" s="8">
        <f t="shared" si="119"/>
        <v>1</v>
      </c>
      <c r="AO385" s="8">
        <f t="shared" si="120"/>
        <v>3.8711454166733374</v>
      </c>
      <c r="AP385" s="8">
        <f t="shared" si="121"/>
        <v>0.15440399921057568</v>
      </c>
      <c r="AQ385" s="8"/>
      <c r="AR385" s="8">
        <f t="shared" si="122"/>
        <v>221.80029425679473</v>
      </c>
      <c r="AS385" s="8">
        <f t="shared" si="123"/>
        <v>81.153302505292714</v>
      </c>
    </row>
    <row r="386" spans="1:45">
      <c r="A386" s="19">
        <v>21.48813333</v>
      </c>
      <c r="B386" s="19">
        <v>725.16529720000005</v>
      </c>
      <c r="C386" s="19">
        <v>-253.0871416</v>
      </c>
      <c r="E386" s="9">
        <f t="shared" si="113"/>
        <v>234.83470279999995</v>
      </c>
      <c r="F386" s="9">
        <f t="shared" si="114"/>
        <v>286.9128584</v>
      </c>
      <c r="I386">
        <v>1</v>
      </c>
      <c r="J386">
        <f t="shared" si="109"/>
        <v>0.24157103177374861</v>
      </c>
      <c r="K386">
        <f t="shared" si="115"/>
        <v>0.88488349767386554</v>
      </c>
      <c r="O386">
        <f t="shared" si="116"/>
        <v>0.1515223616822601</v>
      </c>
      <c r="P386">
        <f t="shared" si="117"/>
        <v>0.1851247425675448</v>
      </c>
      <c r="Q386">
        <f t="shared" si="118"/>
        <v>0.97096333792761225</v>
      </c>
      <c r="R386">
        <f t="shared" si="108"/>
        <v>1</v>
      </c>
      <c r="AG386" s="8">
        <f t="shared" si="110"/>
        <v>-0.114398244729961</v>
      </c>
      <c r="AH386" s="8">
        <f t="shared" si="111"/>
        <v>-0.10254827968227151</v>
      </c>
      <c r="AI386" s="8">
        <f t="shared" si="112"/>
        <v>0.98812797346138848</v>
      </c>
      <c r="AJ386" s="8"/>
      <c r="AK386" s="8"/>
      <c r="AL386" s="8"/>
      <c r="AN386" s="8">
        <f t="shared" si="119"/>
        <v>0.99999999999999989</v>
      </c>
      <c r="AO386" s="8">
        <f t="shared" si="120"/>
        <v>3.8724234471363328</v>
      </c>
      <c r="AP386" s="8">
        <f t="shared" si="121"/>
        <v>0.15424391092238565</v>
      </c>
      <c r="AQ386" s="8"/>
      <c r="AR386" s="8">
        <f t="shared" si="122"/>
        <v>221.87352000841352</v>
      </c>
      <c r="AS386" s="8">
        <f t="shared" si="123"/>
        <v>81.162474888555479</v>
      </c>
    </row>
    <row r="387" spans="1:45">
      <c r="A387" s="19">
        <v>21.5215</v>
      </c>
      <c r="B387" s="19">
        <v>725.79702280000004</v>
      </c>
      <c r="C387" s="19">
        <v>-253.95578649999999</v>
      </c>
      <c r="E387" s="9">
        <f t="shared" si="113"/>
        <v>234.20297719999996</v>
      </c>
      <c r="F387" s="9">
        <f t="shared" si="114"/>
        <v>286.04421350000001</v>
      </c>
      <c r="I387">
        <v>1</v>
      </c>
      <c r="J387">
        <f t="shared" si="109"/>
        <v>0.24089107170780669</v>
      </c>
      <c r="K387">
        <f t="shared" si="115"/>
        <v>0.88471761180134401</v>
      </c>
      <c r="O387">
        <f t="shared" si="116"/>
        <v>0.15113478185558071</v>
      </c>
      <c r="P387">
        <f t="shared" si="117"/>
        <v>0.18458872865418749</v>
      </c>
      <c r="Q387">
        <f t="shared" si="118"/>
        <v>0.97112577916936016</v>
      </c>
      <c r="R387">
        <f t="shared" si="108"/>
        <v>1</v>
      </c>
      <c r="AG387" s="8">
        <f t="shared" si="110"/>
        <v>-0.11375951442122099</v>
      </c>
      <c r="AH387" s="8">
        <f t="shared" si="111"/>
        <v>-0.10277951151318097</v>
      </c>
      <c r="AI387" s="8">
        <f t="shared" si="112"/>
        <v>0.98817768892631852</v>
      </c>
      <c r="AJ387" s="8"/>
      <c r="AK387" s="8"/>
      <c r="AL387" s="8"/>
      <c r="AN387" s="8">
        <f t="shared" si="119"/>
        <v>1</v>
      </c>
      <c r="AO387" s="8">
        <f t="shared" si="120"/>
        <v>3.8763274004093562</v>
      </c>
      <c r="AP387" s="8">
        <f t="shared" si="121"/>
        <v>0.15391997465624696</v>
      </c>
      <c r="AQ387" s="8"/>
      <c r="AR387" s="8">
        <f t="shared" si="122"/>
        <v>222.09720005437404</v>
      </c>
      <c r="AS387" s="8">
        <f t="shared" si="123"/>
        <v>81.181035069436462</v>
      </c>
    </row>
    <row r="388" spans="1:45">
      <c r="A388" s="19">
        <v>21.554866669999999</v>
      </c>
      <c r="B388" s="19">
        <v>726.12207030000002</v>
      </c>
      <c r="C388" s="19">
        <v>-254.8811268</v>
      </c>
      <c r="E388" s="9">
        <f t="shared" si="113"/>
        <v>233.87792969999998</v>
      </c>
      <c r="F388" s="9">
        <f t="shared" si="114"/>
        <v>285.1188732</v>
      </c>
      <c r="I388">
        <v>1</v>
      </c>
      <c r="J388">
        <f t="shared" si="109"/>
        <v>0.24030642825419524</v>
      </c>
      <c r="K388">
        <f t="shared" si="115"/>
        <v>0.88380997525012639</v>
      </c>
      <c r="O388">
        <f t="shared" si="116"/>
        <v>0.15094215265482414</v>
      </c>
      <c r="P388">
        <f t="shared" si="117"/>
        <v>0.18401247410788008</v>
      </c>
      <c r="Q388">
        <f t="shared" si="118"/>
        <v>0.97126509044885601</v>
      </c>
      <c r="R388">
        <f t="shared" si="108"/>
        <v>1</v>
      </c>
      <c r="AG388" s="8">
        <f t="shared" si="110"/>
        <v>-0.11314069150562435</v>
      </c>
      <c r="AH388" s="8">
        <f t="shared" si="111"/>
        <v>-0.10281214287204593</v>
      </c>
      <c r="AI388" s="8">
        <f t="shared" si="112"/>
        <v>0.98824533755727229</v>
      </c>
      <c r="AJ388" s="8"/>
      <c r="AK388" s="8"/>
      <c r="AL388" s="8"/>
      <c r="AN388" s="8">
        <f t="shared" si="119"/>
        <v>0.99999999999999989</v>
      </c>
      <c r="AO388" s="8">
        <f t="shared" si="120"/>
        <v>3.8791994372522498</v>
      </c>
      <c r="AP388" s="8">
        <f t="shared" si="121"/>
        <v>0.15347809995761508</v>
      </c>
      <c r="AQ388" s="8"/>
      <c r="AR388" s="8">
        <f t="shared" si="122"/>
        <v>222.26175564407794</v>
      </c>
      <c r="AS388" s="8">
        <f t="shared" si="123"/>
        <v>81.206352624741683</v>
      </c>
    </row>
    <row r="389" spans="1:45">
      <c r="A389" s="19">
        <v>21.588233330000001</v>
      </c>
      <c r="B389" s="19">
        <v>726.33397879999995</v>
      </c>
      <c r="C389" s="19">
        <v>-255.1915037</v>
      </c>
      <c r="E389" s="9">
        <f t="shared" si="113"/>
        <v>233.66602120000005</v>
      </c>
      <c r="F389" s="9">
        <f t="shared" si="114"/>
        <v>284.8084963</v>
      </c>
      <c r="I389">
        <v>1</v>
      </c>
      <c r="J389">
        <f t="shared" si="109"/>
        <v>0.24006893208682842</v>
      </c>
      <c r="K389">
        <f t="shared" si="115"/>
        <v>0.88372038473672232</v>
      </c>
      <c r="O389">
        <f t="shared" si="116"/>
        <v>0.15081232325841218</v>
      </c>
      <c r="P389">
        <f t="shared" si="117"/>
        <v>0.18382061195784116</v>
      </c>
      <c r="Q389">
        <f t="shared" si="118"/>
        <v>0.97132158720623774</v>
      </c>
      <c r="R389">
        <f t="shared" si="108"/>
        <v>1</v>
      </c>
      <c r="AG389" s="8">
        <f t="shared" si="110"/>
        <v>-0.11291478545355937</v>
      </c>
      <c r="AH389" s="8">
        <f t="shared" si="111"/>
        <v>-0.10288628270982542</v>
      </c>
      <c r="AI389" s="8">
        <f t="shared" si="112"/>
        <v>0.98826345882873279</v>
      </c>
      <c r="AJ389" s="8"/>
      <c r="AK389" s="8"/>
      <c r="AL389" s="8"/>
      <c r="AN389" s="8">
        <f t="shared" si="119"/>
        <v>0.99999999999999989</v>
      </c>
      <c r="AO389" s="8">
        <f t="shared" si="120"/>
        <v>3.880553173643885</v>
      </c>
      <c r="AP389" s="8">
        <f t="shared" si="121"/>
        <v>0.15335951896381816</v>
      </c>
      <c r="AQ389" s="8"/>
      <c r="AR389" s="8">
        <f t="shared" si="122"/>
        <v>222.33931902589188</v>
      </c>
      <c r="AS389" s="8">
        <f t="shared" si="123"/>
        <v>81.213146815216703</v>
      </c>
    </row>
    <row r="390" spans="1:45">
      <c r="A390" s="19">
        <v>21.621600000000001</v>
      </c>
      <c r="B390" s="19">
        <v>726.72664350000002</v>
      </c>
      <c r="C390" s="19">
        <v>-255.96136730000001</v>
      </c>
      <c r="E390" s="9">
        <f t="shared" si="113"/>
        <v>233.27335649999998</v>
      </c>
      <c r="F390" s="9">
        <f t="shared" si="114"/>
        <v>284.03863269999999</v>
      </c>
      <c r="I390">
        <v>1</v>
      </c>
      <c r="J390">
        <f t="shared" si="109"/>
        <v>0.23953328383275546</v>
      </c>
      <c r="K390">
        <f t="shared" si="115"/>
        <v>0.8832177675499211</v>
      </c>
      <c r="O390">
        <f t="shared" si="116"/>
        <v>0.15057446475244426</v>
      </c>
      <c r="P390">
        <f t="shared" si="117"/>
        <v>0.1833426917223554</v>
      </c>
      <c r="Q390">
        <f t="shared" si="118"/>
        <v>0.97144880871640182</v>
      </c>
      <c r="R390">
        <f t="shared" si="108"/>
        <v>1</v>
      </c>
      <c r="AG390" s="8">
        <f t="shared" si="110"/>
        <v>-0.11237797429683948</v>
      </c>
      <c r="AH390" s="8">
        <f t="shared" si="111"/>
        <v>-0.10298850451562098</v>
      </c>
      <c r="AI390" s="8">
        <f t="shared" si="112"/>
        <v>0.98831399809502585</v>
      </c>
      <c r="AJ390" s="8"/>
      <c r="AK390" s="8"/>
      <c r="AL390" s="8"/>
      <c r="AN390" s="8">
        <f t="shared" si="119"/>
        <v>1</v>
      </c>
      <c r="AO390" s="8">
        <f t="shared" si="120"/>
        <v>3.8834207703201087</v>
      </c>
      <c r="AP390" s="8">
        <f t="shared" si="121"/>
        <v>0.15302832117098397</v>
      </c>
      <c r="AQ390" s="8"/>
      <c r="AR390" s="8">
        <f t="shared" si="122"/>
        <v>222.50362021278525</v>
      </c>
      <c r="AS390" s="8">
        <f t="shared" si="123"/>
        <v>81.232123050930156</v>
      </c>
    </row>
    <row r="391" spans="1:45">
      <c r="A391" s="19">
        <v>21.65496667</v>
      </c>
      <c r="B391" s="19">
        <v>726.96575970000004</v>
      </c>
      <c r="C391" s="19">
        <v>-257.00181409999999</v>
      </c>
      <c r="E391" s="9">
        <f t="shared" si="113"/>
        <v>233.03424029999996</v>
      </c>
      <c r="F391" s="9">
        <f t="shared" si="114"/>
        <v>282.99818590000001</v>
      </c>
      <c r="I391">
        <v>1</v>
      </c>
      <c r="J391">
        <f t="shared" si="109"/>
        <v>0.23892686669393567</v>
      </c>
      <c r="K391">
        <f t="shared" si="115"/>
        <v>0.88192055689951798</v>
      </c>
      <c r="O391">
        <f t="shared" si="116"/>
        <v>0.15043766930914471</v>
      </c>
      <c r="P391">
        <f t="shared" si="117"/>
        <v>0.18269241228544073</v>
      </c>
      <c r="Q391">
        <f t="shared" si="118"/>
        <v>0.97159250210474501</v>
      </c>
      <c r="R391">
        <f t="shared" si="108"/>
        <v>1</v>
      </c>
      <c r="AG391" s="8">
        <f t="shared" si="110"/>
        <v>-0.11170415141931604</v>
      </c>
      <c r="AH391" s="8">
        <f t="shared" si="111"/>
        <v>-0.10294750111567889</v>
      </c>
      <c r="AI391" s="8">
        <f t="shared" si="112"/>
        <v>0.98839465527173287</v>
      </c>
      <c r="AJ391" s="8"/>
      <c r="AK391" s="8"/>
      <c r="AL391" s="8"/>
      <c r="AN391" s="8">
        <f t="shared" si="119"/>
        <v>0.99999999999999989</v>
      </c>
      <c r="AO391" s="8">
        <f t="shared" si="120"/>
        <v>3.8862187222162614</v>
      </c>
      <c r="AP391" s="8">
        <f t="shared" si="121"/>
        <v>0.15249827405765926</v>
      </c>
      <c r="AQ391" s="8"/>
      <c r="AR391" s="8">
        <f t="shared" si="122"/>
        <v>222.66393104771544</v>
      </c>
      <c r="AS391" s="8">
        <f t="shared" si="123"/>
        <v>81.262492513466754</v>
      </c>
    </row>
    <row r="392" spans="1:45">
      <c r="A392" s="19">
        <v>21.688333329999999</v>
      </c>
      <c r="B392" s="19">
        <v>727.87763829999994</v>
      </c>
      <c r="C392" s="19">
        <v>-257.34964189999999</v>
      </c>
      <c r="E392" s="9">
        <f t="shared" si="113"/>
        <v>232.12236170000006</v>
      </c>
      <c r="F392" s="9">
        <f t="shared" si="114"/>
        <v>282.65035810000001</v>
      </c>
      <c r="I392">
        <v>1</v>
      </c>
      <c r="J392">
        <f t="shared" si="109"/>
        <v>0.23838863585838693</v>
      </c>
      <c r="K392">
        <f t="shared" si="115"/>
        <v>0.88324067521392602</v>
      </c>
      <c r="O392">
        <f t="shared" si="116"/>
        <v>0.14986445637570395</v>
      </c>
      <c r="P392">
        <f t="shared" si="117"/>
        <v>0.18248669344404031</v>
      </c>
      <c r="Q392">
        <f t="shared" si="118"/>
        <v>0.97171973913833587</v>
      </c>
      <c r="R392">
        <f t="shared" si="108"/>
        <v>1</v>
      </c>
      <c r="AG392" s="8">
        <f t="shared" si="110"/>
        <v>-0.11133066997563199</v>
      </c>
      <c r="AH392" s="8">
        <f t="shared" si="111"/>
        <v>-0.10344499290016887</v>
      </c>
      <c r="AI392" s="8">
        <f t="shared" si="112"/>
        <v>0.98838485185005787</v>
      </c>
      <c r="AJ392" s="8"/>
      <c r="AK392" s="8"/>
      <c r="AL392" s="8"/>
      <c r="AN392" s="8">
        <f t="shared" si="119"/>
        <v>0.99999999999999989</v>
      </c>
      <c r="AO392" s="8">
        <f t="shared" si="120"/>
        <v>3.8902914238194279</v>
      </c>
      <c r="AP392" s="8">
        <f t="shared" si="121"/>
        <v>0.15256279581918575</v>
      </c>
      <c r="AQ392" s="8"/>
      <c r="AR392" s="8">
        <f t="shared" si="122"/>
        <v>222.89727966079303</v>
      </c>
      <c r="AS392" s="8">
        <f t="shared" si="123"/>
        <v>81.258795688844543</v>
      </c>
    </row>
    <row r="393" spans="1:45">
      <c r="A393" s="19">
        <v>21.721699999999998</v>
      </c>
      <c r="B393" s="19">
        <v>728.15982020000001</v>
      </c>
      <c r="C393" s="19">
        <v>-258.10620419999998</v>
      </c>
      <c r="E393" s="9">
        <f t="shared" si="113"/>
        <v>231.84017979999999</v>
      </c>
      <c r="F393" s="9">
        <f t="shared" si="114"/>
        <v>281.89379580000002</v>
      </c>
      <c r="I393">
        <v>1</v>
      </c>
      <c r="J393">
        <f t="shared" si="109"/>
        <v>0.23790373711252799</v>
      </c>
      <c r="K393">
        <f t="shared" si="115"/>
        <v>0.88252261185834502</v>
      </c>
      <c r="O393">
        <f t="shared" si="116"/>
        <v>0.14969613768532722</v>
      </c>
      <c r="P393">
        <f t="shared" si="117"/>
        <v>0.18201509550725564</v>
      </c>
      <c r="Q393">
        <f t="shared" si="118"/>
        <v>0.97183412749788745</v>
      </c>
      <c r="R393">
        <f t="shared" si="108"/>
        <v>1</v>
      </c>
      <c r="AG393" s="8">
        <f t="shared" si="110"/>
        <v>-0.1108211431711129</v>
      </c>
      <c r="AH393" s="8">
        <f t="shared" si="111"/>
        <v>-0.10348173380518071</v>
      </c>
      <c r="AI393" s="8">
        <f t="shared" si="112"/>
        <v>0.98843826564683401</v>
      </c>
      <c r="AJ393" s="8"/>
      <c r="AK393" s="8"/>
      <c r="AL393" s="8"/>
      <c r="AN393" s="8">
        <f t="shared" si="119"/>
        <v>0.99999999999999978</v>
      </c>
      <c r="AO393" s="8">
        <f t="shared" si="120"/>
        <v>3.8927563634504425</v>
      </c>
      <c r="AP393" s="8">
        <f t="shared" si="121"/>
        <v>0.15221092108371326</v>
      </c>
      <c r="AQ393" s="8"/>
      <c r="AR393" s="8">
        <f t="shared" si="122"/>
        <v>223.0385102984047</v>
      </c>
      <c r="AS393" s="8">
        <f t="shared" si="123"/>
        <v>81.278956626104389</v>
      </c>
    </row>
    <row r="394" spans="1:45">
      <c r="A394" s="19">
        <v>21.755066670000001</v>
      </c>
      <c r="B394" s="19">
        <v>728.73166979999996</v>
      </c>
      <c r="C394" s="19">
        <v>-258.96137979999997</v>
      </c>
      <c r="E394" s="9">
        <f t="shared" si="113"/>
        <v>231.26833020000004</v>
      </c>
      <c r="F394" s="9">
        <f t="shared" si="114"/>
        <v>281.03862020000003</v>
      </c>
      <c r="I394">
        <v>1</v>
      </c>
      <c r="J394">
        <f t="shared" si="109"/>
        <v>0.23725355421582725</v>
      </c>
      <c r="K394">
        <f t="shared" si="115"/>
        <v>0.8822436061661042</v>
      </c>
      <c r="O394">
        <f t="shared" si="116"/>
        <v>0.14934538049831109</v>
      </c>
      <c r="P394">
        <f t="shared" si="117"/>
        <v>0.18148537515790539</v>
      </c>
      <c r="Q394">
        <f t="shared" si="118"/>
        <v>0.97198714802594433</v>
      </c>
      <c r="R394">
        <f t="shared" si="108"/>
        <v>1</v>
      </c>
      <c r="AG394" s="8">
        <f t="shared" si="110"/>
        <v>-0.11019994963482704</v>
      </c>
      <c r="AH394" s="8">
        <f t="shared" si="111"/>
        <v>-0.10367867406518314</v>
      </c>
      <c r="AI394" s="8">
        <f t="shared" si="112"/>
        <v>0.98848707813737602</v>
      </c>
      <c r="AJ394" s="8"/>
      <c r="AK394" s="8"/>
      <c r="AL394" s="8"/>
      <c r="AN394" s="8">
        <f t="shared" si="119"/>
        <v>0.99999999999999989</v>
      </c>
      <c r="AO394" s="8">
        <f t="shared" si="120"/>
        <v>3.8965097165472731</v>
      </c>
      <c r="AP394" s="8">
        <f t="shared" si="121"/>
        <v>0.15188865109347205</v>
      </c>
      <c r="AQ394" s="8"/>
      <c r="AR394" s="8">
        <f t="shared" si="122"/>
        <v>223.25356158987546</v>
      </c>
      <c r="AS394" s="8">
        <f t="shared" si="123"/>
        <v>81.297421336408931</v>
      </c>
    </row>
    <row r="395" spans="1:45">
      <c r="A395" s="19">
        <v>21.78843333</v>
      </c>
      <c r="B395" s="19">
        <v>728.90879299999995</v>
      </c>
      <c r="C395" s="19">
        <v>-259.79227600000002</v>
      </c>
      <c r="E395" s="9">
        <f t="shared" si="113"/>
        <v>231.09120700000005</v>
      </c>
      <c r="F395" s="9">
        <f t="shared" si="114"/>
        <v>280.20772399999998</v>
      </c>
      <c r="I395">
        <v>1</v>
      </c>
      <c r="J395">
        <f t="shared" si="109"/>
        <v>0.23677460339497111</v>
      </c>
      <c r="K395">
        <f t="shared" si="115"/>
        <v>0.88116653573515913</v>
      </c>
      <c r="O395">
        <f t="shared" si="116"/>
        <v>0.14924455243787532</v>
      </c>
      <c r="P395">
        <f t="shared" si="117"/>
        <v>0.18096524268885611</v>
      </c>
      <c r="Q395">
        <f t="shared" si="118"/>
        <v>0.97209960626788738</v>
      </c>
      <c r="R395">
        <f t="shared" si="108"/>
        <v>1</v>
      </c>
      <c r="AG395" s="8">
        <f t="shared" si="110"/>
        <v>-0.10966370872424816</v>
      </c>
      <c r="AH395" s="8">
        <f t="shared" si="111"/>
        <v>-0.10363738070762607</v>
      </c>
      <c r="AI395" s="8">
        <f t="shared" si="112"/>
        <v>0.98855104284447837</v>
      </c>
      <c r="AJ395" s="8"/>
      <c r="AK395" s="8"/>
      <c r="AL395" s="8"/>
      <c r="AN395" s="8">
        <f t="shared" si="119"/>
        <v>0.99999999999999989</v>
      </c>
      <c r="AO395" s="8">
        <f t="shared" si="120"/>
        <v>3.8987456478375608</v>
      </c>
      <c r="AP395" s="8">
        <f t="shared" si="121"/>
        <v>0.15146531310509759</v>
      </c>
      <c r="AQ395" s="8"/>
      <c r="AR395" s="8">
        <f t="shared" si="122"/>
        <v>223.38167101609019</v>
      </c>
      <c r="AS395" s="8">
        <f t="shared" si="123"/>
        <v>81.321676816450349</v>
      </c>
    </row>
    <row r="396" spans="1:45">
      <c r="A396" s="19">
        <v>21.8218</v>
      </c>
      <c r="B396" s="19">
        <v>729.70085719999997</v>
      </c>
      <c r="C396" s="19">
        <v>-260.39278309999997</v>
      </c>
      <c r="E396" s="9">
        <f t="shared" si="113"/>
        <v>230.29914280000003</v>
      </c>
      <c r="F396" s="9">
        <f t="shared" si="114"/>
        <v>279.60721690000003</v>
      </c>
      <c r="I396">
        <v>1</v>
      </c>
      <c r="J396">
        <f t="shared" si="109"/>
        <v>0.23616004657376233</v>
      </c>
      <c r="K396">
        <f t="shared" si="115"/>
        <v>0.88179868377387827</v>
      </c>
      <c r="O396">
        <f t="shared" si="116"/>
        <v>0.14875028573128299</v>
      </c>
      <c r="P396">
        <f t="shared" si="117"/>
        <v>0.18059838565062961</v>
      </c>
      <c r="Q396">
        <f t="shared" si="118"/>
        <v>0.97224357832553887</v>
      </c>
      <c r="R396">
        <f t="shared" si="108"/>
        <v>1</v>
      </c>
      <c r="AG396" s="8">
        <f t="shared" si="110"/>
        <v>-0.10915755010276869</v>
      </c>
      <c r="AH396" s="8">
        <f t="shared" si="111"/>
        <v>-0.10401573232731871</v>
      </c>
      <c r="AI396" s="8">
        <f t="shared" si="112"/>
        <v>0.98856732531678038</v>
      </c>
      <c r="AJ396" s="8"/>
      <c r="AK396" s="8"/>
      <c r="AL396" s="8"/>
      <c r="AN396" s="8">
        <f t="shared" si="119"/>
        <v>1</v>
      </c>
      <c r="AO396" s="8">
        <f t="shared" si="120"/>
        <v>3.9028751261817654</v>
      </c>
      <c r="AP396" s="8">
        <f t="shared" si="121"/>
        <v>0.1513573631127394</v>
      </c>
      <c r="AQ396" s="8"/>
      <c r="AR396" s="8">
        <f t="shared" si="122"/>
        <v>223.61827269680379</v>
      </c>
      <c r="AS396" s="8">
        <f t="shared" si="123"/>
        <v>81.327861895410948</v>
      </c>
    </row>
    <row r="397" spans="1:45">
      <c r="A397" s="19">
        <v>21.855166669999999</v>
      </c>
      <c r="B397" s="19">
        <v>729.85040400000003</v>
      </c>
      <c r="C397" s="19">
        <v>-261.08942000000002</v>
      </c>
      <c r="E397" s="9">
        <f t="shared" si="113"/>
        <v>230.14959599999997</v>
      </c>
      <c r="F397" s="9">
        <f t="shared" si="114"/>
        <v>278.91057999999998</v>
      </c>
      <c r="I397">
        <v>1</v>
      </c>
      <c r="J397">
        <f t="shared" si="109"/>
        <v>0.23575795719794218</v>
      </c>
      <c r="K397">
        <f t="shared" si="115"/>
        <v>0.88089310554466516</v>
      </c>
      <c r="O397">
        <f t="shared" si="116"/>
        <v>0.14866494710581732</v>
      </c>
      <c r="P397">
        <f t="shared" si="117"/>
        <v>0.18016206564600196</v>
      </c>
      <c r="Q397">
        <f t="shared" si="118"/>
        <v>0.97233757697838163</v>
      </c>
      <c r="R397">
        <f t="shared" si="108"/>
        <v>1</v>
      </c>
      <c r="AG397" s="8">
        <f t="shared" si="110"/>
        <v>-0.10870753743374262</v>
      </c>
      <c r="AH397" s="8">
        <f t="shared" si="111"/>
        <v>-0.1039817344971343</v>
      </c>
      <c r="AI397" s="8">
        <f t="shared" si="112"/>
        <v>0.9886204884565456</v>
      </c>
      <c r="AJ397" s="8"/>
      <c r="AK397" s="8"/>
      <c r="AL397" s="8"/>
      <c r="AN397" s="8">
        <f t="shared" si="119"/>
        <v>0.99999999999999989</v>
      </c>
      <c r="AO397" s="8">
        <f t="shared" si="120"/>
        <v>3.9047751903132601</v>
      </c>
      <c r="AP397" s="8">
        <f t="shared" si="121"/>
        <v>0.15100436741908818</v>
      </c>
      <c r="AQ397" s="8"/>
      <c r="AR397" s="8">
        <f t="shared" si="122"/>
        <v>223.72713835234262</v>
      </c>
      <c r="AS397" s="8">
        <f t="shared" si="123"/>
        <v>81.348087058843447</v>
      </c>
    </row>
    <row r="398" spans="1:45">
      <c r="A398" s="19">
        <v>21.888533330000001</v>
      </c>
      <c r="B398" s="19">
        <v>730.41592949999995</v>
      </c>
      <c r="C398" s="19">
        <v>-261.68865479999999</v>
      </c>
      <c r="E398" s="9">
        <f t="shared" si="113"/>
        <v>229.58407050000005</v>
      </c>
      <c r="F398" s="9">
        <f t="shared" si="114"/>
        <v>278.31134520000001</v>
      </c>
      <c r="I398">
        <v>1</v>
      </c>
      <c r="J398">
        <f t="shared" si="109"/>
        <v>0.23523534098334251</v>
      </c>
      <c r="K398">
        <f t="shared" si="115"/>
        <v>0.88104500646375594</v>
      </c>
      <c r="O398">
        <f t="shared" si="116"/>
        <v>0.14831419345286359</v>
      </c>
      <c r="P398">
        <f t="shared" si="117"/>
        <v>0.17979262499450932</v>
      </c>
      <c r="Q398">
        <f t="shared" si="118"/>
        <v>0.97245951690443666</v>
      </c>
      <c r="R398">
        <f t="shared" si="108"/>
        <v>1</v>
      </c>
      <c r="AG398" s="8">
        <f t="shared" si="110"/>
        <v>-0.10824232144004871</v>
      </c>
      <c r="AH398" s="8">
        <f t="shared" si="111"/>
        <v>-0.10422108819092207</v>
      </c>
      <c r="AI398" s="8">
        <f t="shared" si="112"/>
        <v>0.98864632939467745</v>
      </c>
      <c r="AJ398" s="8"/>
      <c r="AK398" s="8"/>
      <c r="AL398" s="8"/>
      <c r="AN398" s="8">
        <f t="shared" si="119"/>
        <v>0.99999999999999989</v>
      </c>
      <c r="AO398" s="8">
        <f t="shared" si="120"/>
        <v>3.9080663669053251</v>
      </c>
      <c r="AP398" s="8">
        <f t="shared" si="121"/>
        <v>0.15083249117192588</v>
      </c>
      <c r="AQ398" s="8"/>
      <c r="AR398" s="8">
        <f t="shared" si="122"/>
        <v>223.91570888070018</v>
      </c>
      <c r="AS398" s="8">
        <f t="shared" si="123"/>
        <v>81.357934842404404</v>
      </c>
    </row>
    <row r="399" spans="1:45">
      <c r="A399" s="19">
        <v>21.921900000000001</v>
      </c>
      <c r="B399" s="19">
        <v>730.88699250000002</v>
      </c>
      <c r="C399" s="19">
        <v>-262.34747019999998</v>
      </c>
      <c r="E399" s="9">
        <f t="shared" si="113"/>
        <v>229.11300749999998</v>
      </c>
      <c r="F399" s="9">
        <f t="shared" si="114"/>
        <v>277.65252980000002</v>
      </c>
      <c r="I399">
        <v>1</v>
      </c>
      <c r="J399">
        <f t="shared" si="109"/>
        <v>0.23472161153413421</v>
      </c>
      <c r="K399">
        <f t="shared" si="115"/>
        <v>0.88088984639193735</v>
      </c>
      <c r="O399">
        <f t="shared" si="116"/>
        <v>0.1480241028368626</v>
      </c>
      <c r="P399">
        <f t="shared" si="117"/>
        <v>0.17938425702010946</v>
      </c>
      <c r="Q399">
        <f t="shared" si="118"/>
        <v>0.97257912444833261</v>
      </c>
      <c r="R399">
        <f t="shared" si="108"/>
        <v>1</v>
      </c>
      <c r="AG399" s="8">
        <f t="shared" si="110"/>
        <v>-0.10775763106395239</v>
      </c>
      <c r="AH399" s="8">
        <f t="shared" si="111"/>
        <v>-0.10439160562627958</v>
      </c>
      <c r="AI399" s="8">
        <f t="shared" si="112"/>
        <v>0.9886812861697406</v>
      </c>
      <c r="AJ399" s="8"/>
      <c r="AK399" s="8"/>
      <c r="AL399" s="8"/>
      <c r="AN399" s="8">
        <f t="shared" si="119"/>
        <v>1</v>
      </c>
      <c r="AO399" s="8">
        <f t="shared" si="120"/>
        <v>3.9111258387357286</v>
      </c>
      <c r="AP399" s="8">
        <f t="shared" si="121"/>
        <v>0.1505996728241239</v>
      </c>
      <c r="AQ399" s="8"/>
      <c r="AR399" s="8">
        <f t="shared" si="122"/>
        <v>224.09100370412148</v>
      </c>
      <c r="AS399" s="8">
        <f t="shared" si="123"/>
        <v>81.371274351126658</v>
      </c>
    </row>
    <row r="400" spans="1:45">
      <c r="A400" s="19">
        <v>21.95526667</v>
      </c>
      <c r="B400" s="19">
        <v>731.33363340000005</v>
      </c>
      <c r="C400" s="19">
        <v>-263.0852835</v>
      </c>
      <c r="E400" s="9">
        <f t="shared" si="113"/>
        <v>228.66636659999995</v>
      </c>
      <c r="F400" s="9">
        <f t="shared" si="114"/>
        <v>276.9147165</v>
      </c>
      <c r="I400">
        <v>1</v>
      </c>
      <c r="J400">
        <f t="shared" si="109"/>
        <v>0.23417891781418251</v>
      </c>
      <c r="K400">
        <f t="shared" si="115"/>
        <v>0.88054151051615004</v>
      </c>
      <c r="O400">
        <f t="shared" si="116"/>
        <v>0.14775048198460525</v>
      </c>
      <c r="P400">
        <f t="shared" si="117"/>
        <v>0.17892566991749861</v>
      </c>
      <c r="Q400">
        <f t="shared" si="118"/>
        <v>0.97270519671578359</v>
      </c>
      <c r="R400">
        <f t="shared" si="108"/>
        <v>1</v>
      </c>
      <c r="AG400" s="8">
        <f t="shared" si="110"/>
        <v>-0.10722913148540959</v>
      </c>
      <c r="AH400" s="8">
        <f t="shared" si="111"/>
        <v>-0.10453282668715645</v>
      </c>
      <c r="AI400" s="8">
        <f t="shared" si="112"/>
        <v>0.98872382468800546</v>
      </c>
      <c r="AJ400" s="8"/>
      <c r="AK400" s="8"/>
      <c r="AL400" s="8"/>
      <c r="AN400" s="8">
        <f t="shared" si="119"/>
        <v>1.0000000000000002</v>
      </c>
      <c r="AO400" s="8">
        <f t="shared" si="120"/>
        <v>3.914258789358009</v>
      </c>
      <c r="AP400" s="8">
        <f t="shared" si="121"/>
        <v>0.15031587600442897</v>
      </c>
      <c r="AQ400" s="8"/>
      <c r="AR400" s="8">
        <f t="shared" si="122"/>
        <v>224.27050855220102</v>
      </c>
      <c r="AS400" s="8">
        <f t="shared" si="123"/>
        <v>81.387534711134421</v>
      </c>
    </row>
    <row r="401" spans="1:45">
      <c r="A401" s="19">
        <v>21.988633329999999</v>
      </c>
      <c r="B401" s="19">
        <v>731.8857256</v>
      </c>
      <c r="C401" s="19">
        <v>-263.923968</v>
      </c>
      <c r="E401" s="9">
        <f t="shared" si="113"/>
        <v>228.1142744</v>
      </c>
      <c r="F401" s="9">
        <f t="shared" si="114"/>
        <v>276.076032</v>
      </c>
      <c r="I401">
        <v>1</v>
      </c>
      <c r="J401">
        <f t="shared" si="109"/>
        <v>0.23354392168016047</v>
      </c>
      <c r="K401">
        <f t="shared" si="115"/>
        <v>0.88023907677276003</v>
      </c>
      <c r="O401">
        <f t="shared" si="116"/>
        <v>0.14741112709049925</v>
      </c>
      <c r="P401">
        <f t="shared" si="117"/>
        <v>0.17840478920854735</v>
      </c>
      <c r="Q401">
        <f t="shared" si="118"/>
        <v>0.97285234789117025</v>
      </c>
      <c r="R401">
        <f t="shared" si="108"/>
        <v>1</v>
      </c>
      <c r="AG401" s="8">
        <f t="shared" si="110"/>
        <v>-0.10662024913282092</v>
      </c>
      <c r="AH401" s="8">
        <f t="shared" si="111"/>
        <v>-0.10472065907202641</v>
      </c>
      <c r="AI401" s="8">
        <f t="shared" si="112"/>
        <v>0.98876979425869171</v>
      </c>
      <c r="AJ401" s="8"/>
      <c r="AK401" s="8"/>
      <c r="AL401" s="8"/>
      <c r="AN401" s="8">
        <f t="shared" si="119"/>
        <v>0.99999999999999989</v>
      </c>
      <c r="AO401" s="8">
        <f t="shared" si="120"/>
        <v>3.9180027846936643</v>
      </c>
      <c r="AP401" s="8">
        <f t="shared" si="121"/>
        <v>0.15000858978127818</v>
      </c>
      <c r="AQ401" s="8"/>
      <c r="AR401" s="8">
        <f t="shared" si="122"/>
        <v>224.48502368345075</v>
      </c>
      <c r="AS401" s="8">
        <f t="shared" si="123"/>
        <v>81.405140914823477</v>
      </c>
    </row>
    <row r="402" spans="1:45">
      <c r="A402" s="19">
        <v>22.021999999999998</v>
      </c>
      <c r="B402" s="19">
        <v>732.08754650000003</v>
      </c>
      <c r="C402" s="19">
        <v>-264.7002751</v>
      </c>
      <c r="E402" s="9">
        <f t="shared" si="113"/>
        <v>227.91245349999997</v>
      </c>
      <c r="F402" s="9">
        <f t="shared" si="114"/>
        <v>275.2997249</v>
      </c>
      <c r="I402">
        <v>1</v>
      </c>
      <c r="J402">
        <f t="shared" si="109"/>
        <v>0.23308144799454983</v>
      </c>
      <c r="K402">
        <f t="shared" si="115"/>
        <v>0.87929083679190601</v>
      </c>
      <c r="O402">
        <f t="shared" si="116"/>
        <v>0.14729330357191128</v>
      </c>
      <c r="P402">
        <f t="shared" si="117"/>
        <v>0.17791834246108609</v>
      </c>
      <c r="Q402">
        <f t="shared" si="118"/>
        <v>0.97295927260023196</v>
      </c>
      <c r="R402">
        <f t="shared" si="108"/>
        <v>1</v>
      </c>
      <c r="AG402" s="8">
        <f t="shared" si="110"/>
        <v>-0.10611182407178996</v>
      </c>
      <c r="AH402" s="8">
        <f t="shared" si="111"/>
        <v>-0.10470433678291055</v>
      </c>
      <c r="AI402" s="8">
        <f t="shared" si="112"/>
        <v>0.98882621458525677</v>
      </c>
      <c r="AJ402" s="8"/>
      <c r="AK402" s="8"/>
      <c r="AL402" s="8"/>
      <c r="AN402" s="8">
        <f t="shared" si="119"/>
        <v>0.99999999999999989</v>
      </c>
      <c r="AO402" s="8">
        <f t="shared" si="120"/>
        <v>3.9203145433500222</v>
      </c>
      <c r="AP402" s="8">
        <f t="shared" si="121"/>
        <v>0.14963058882167712</v>
      </c>
      <c r="AQ402" s="8"/>
      <c r="AR402" s="8">
        <f t="shared" si="122"/>
        <v>224.61747769771287</v>
      </c>
      <c r="AS402" s="8">
        <f t="shared" si="123"/>
        <v>81.426798774460508</v>
      </c>
    </row>
    <row r="403" spans="1:45">
      <c r="A403" s="19">
        <v>22.055366670000002</v>
      </c>
      <c r="B403" s="19">
        <v>732.68284059999996</v>
      </c>
      <c r="C403" s="19">
        <v>-265.39085110000002</v>
      </c>
      <c r="E403" s="9">
        <f t="shared" si="113"/>
        <v>227.31715940000004</v>
      </c>
      <c r="F403" s="9">
        <f t="shared" si="114"/>
        <v>274.60914889999998</v>
      </c>
      <c r="I403">
        <v>1</v>
      </c>
      <c r="J403">
        <f t="shared" si="109"/>
        <v>0.23250131457193207</v>
      </c>
      <c r="K403">
        <f t="shared" si="115"/>
        <v>0.87934180234752823</v>
      </c>
      <c r="O403">
        <f t="shared" si="116"/>
        <v>0.14692428710659333</v>
      </c>
      <c r="P403">
        <f t="shared" si="117"/>
        <v>0.17749101537946119</v>
      </c>
      <c r="Q403">
        <f t="shared" si="118"/>
        <v>0.97309310619168765</v>
      </c>
      <c r="R403">
        <f t="shared" si="108"/>
        <v>1</v>
      </c>
      <c r="AG403" s="8">
        <f t="shared" si="110"/>
        <v>-0.10558498382513419</v>
      </c>
      <c r="AH403" s="8">
        <f t="shared" si="111"/>
        <v>-0.10494554671566544</v>
      </c>
      <c r="AI403" s="8">
        <f t="shared" si="112"/>
        <v>0.98885703891674659</v>
      </c>
      <c r="AJ403" s="8"/>
      <c r="AK403" s="8"/>
      <c r="AL403" s="8"/>
      <c r="AN403" s="8">
        <f t="shared" si="119"/>
        <v>0.99999999999999989</v>
      </c>
      <c r="AO403" s="8">
        <f t="shared" si="120"/>
        <v>3.9239535608630494</v>
      </c>
      <c r="AP403" s="8">
        <f t="shared" si="121"/>
        <v>0.14942367322543415</v>
      </c>
      <c r="AQ403" s="8"/>
      <c r="AR403" s="8">
        <f t="shared" si="122"/>
        <v>224.82597804278353</v>
      </c>
      <c r="AS403" s="8">
        <f t="shared" si="123"/>
        <v>81.438654164840656</v>
      </c>
    </row>
    <row r="404" spans="1:45">
      <c r="A404" s="19">
        <v>22.08873333</v>
      </c>
      <c r="B404" s="19">
        <v>732.74130070000001</v>
      </c>
      <c r="C404" s="19">
        <v>-266.09585659999999</v>
      </c>
      <c r="E404" s="9">
        <f t="shared" si="113"/>
        <v>227.25869929999999</v>
      </c>
      <c r="F404" s="9">
        <f t="shared" si="114"/>
        <v>273.90414340000001</v>
      </c>
      <c r="I404">
        <v>1</v>
      </c>
      <c r="J404">
        <f t="shared" si="109"/>
        <v>0.23213203684887049</v>
      </c>
      <c r="K404">
        <f t="shared" si="115"/>
        <v>0.8782052149009828</v>
      </c>
      <c r="O404">
        <f t="shared" si="116"/>
        <v>0.14689646456833624</v>
      </c>
      <c r="P404">
        <f t="shared" si="117"/>
        <v>0.17704734921044493</v>
      </c>
      <c r="Q404">
        <f t="shared" si="118"/>
        <v>0.97317812595376307</v>
      </c>
      <c r="R404">
        <f t="shared" si="108"/>
        <v>1</v>
      </c>
      <c r="AG404" s="8">
        <f t="shared" si="110"/>
        <v>-0.10514538723708973</v>
      </c>
      <c r="AH404" s="8">
        <f t="shared" si="111"/>
        <v>-0.10485390641482001</v>
      </c>
      <c r="AI404" s="8">
        <f t="shared" si="112"/>
        <v>0.98891359878015361</v>
      </c>
      <c r="AJ404" s="8"/>
      <c r="AK404" s="8"/>
      <c r="AL404" s="8"/>
      <c r="AN404" s="8">
        <f t="shared" si="119"/>
        <v>1</v>
      </c>
      <c r="AO404" s="8">
        <f t="shared" si="120"/>
        <v>3.9256028092943813</v>
      </c>
      <c r="AP404" s="8">
        <f t="shared" si="121"/>
        <v>0.14904326024557046</v>
      </c>
      <c r="AQ404" s="8"/>
      <c r="AR404" s="8">
        <f t="shared" si="122"/>
        <v>224.92047301726743</v>
      </c>
      <c r="AS404" s="8">
        <f t="shared" si="123"/>
        <v>81.460450223058842</v>
      </c>
    </row>
    <row r="405" spans="1:45">
      <c r="A405" s="19">
        <v>22.1221</v>
      </c>
      <c r="B405" s="19">
        <v>732.89810590000002</v>
      </c>
      <c r="C405" s="19">
        <v>-266.30877090000001</v>
      </c>
      <c r="E405" s="9">
        <f t="shared" si="113"/>
        <v>227.10189409999998</v>
      </c>
      <c r="F405" s="9">
        <f t="shared" si="114"/>
        <v>273.69122909999999</v>
      </c>
      <c r="I405">
        <v>1</v>
      </c>
      <c r="J405">
        <f t="shared" si="109"/>
        <v>0.23196398073005964</v>
      </c>
      <c r="K405">
        <f t="shared" si="115"/>
        <v>0.87816226022509514</v>
      </c>
      <c r="O405">
        <f t="shared" si="116"/>
        <v>0.14679963075479427</v>
      </c>
      <c r="P405">
        <f t="shared" si="117"/>
        <v>0.1769151751548769</v>
      </c>
      <c r="Q405">
        <f t="shared" si="118"/>
        <v>0.97321677400781337</v>
      </c>
      <c r="R405">
        <f t="shared" si="108"/>
        <v>1</v>
      </c>
      <c r="AG405" s="8">
        <f t="shared" si="110"/>
        <v>-0.10498767656338194</v>
      </c>
      <c r="AH405" s="8">
        <f t="shared" si="111"/>
        <v>-0.10491183014602176</v>
      </c>
      <c r="AI405" s="8">
        <f t="shared" si="112"/>
        <v>0.98892421128478547</v>
      </c>
      <c r="AJ405" s="8"/>
      <c r="AK405" s="8"/>
      <c r="AL405" s="8"/>
      <c r="AN405" s="8">
        <f t="shared" si="119"/>
        <v>1</v>
      </c>
      <c r="AO405" s="8">
        <f t="shared" si="120"/>
        <v>3.9266294706684812</v>
      </c>
      <c r="AP405" s="8">
        <f t="shared" si="121"/>
        <v>0.14897177473410128</v>
      </c>
      <c r="AQ405" s="8"/>
      <c r="AR405" s="8">
        <f t="shared" si="122"/>
        <v>224.97929638099245</v>
      </c>
      <c r="AS405" s="8">
        <f t="shared" si="123"/>
        <v>81.464546041162365</v>
      </c>
    </row>
    <row r="406" spans="1:45">
      <c r="A406" s="19">
        <v>22.155466669999999</v>
      </c>
      <c r="B406" s="19">
        <v>733.88231499999995</v>
      </c>
      <c r="C406" s="19">
        <v>-267.37801889999997</v>
      </c>
      <c r="E406" s="9">
        <f t="shared" si="113"/>
        <v>226.11768500000005</v>
      </c>
      <c r="F406" s="9">
        <f t="shared" si="114"/>
        <v>272.62198110000003</v>
      </c>
      <c r="I406">
        <v>1</v>
      </c>
      <c r="J406">
        <f t="shared" si="109"/>
        <v>0.23103982468519821</v>
      </c>
      <c r="K406">
        <f t="shared" si="115"/>
        <v>0.87837296114352448</v>
      </c>
      <c r="O406">
        <f t="shared" si="116"/>
        <v>0.1461881052097895</v>
      </c>
      <c r="P406">
        <f t="shared" si="117"/>
        <v>0.17625375412607835</v>
      </c>
      <c r="Q406">
        <f t="shared" si="118"/>
        <v>0.97342881201022369</v>
      </c>
      <c r="R406">
        <f t="shared" si="108"/>
        <v>1</v>
      </c>
      <c r="AG406" s="8">
        <f t="shared" si="110"/>
        <v>-0.1041601640943956</v>
      </c>
      <c r="AH406" s="8">
        <f t="shared" si="111"/>
        <v>-0.10532379314732193</v>
      </c>
      <c r="AI406" s="8">
        <f t="shared" si="112"/>
        <v>0.98896792607894446</v>
      </c>
      <c r="AJ406" s="8"/>
      <c r="AK406" s="8"/>
      <c r="AL406" s="8"/>
      <c r="AN406" s="8">
        <f t="shared" si="119"/>
        <v>0.99999999999999989</v>
      </c>
      <c r="AO406" s="8">
        <f t="shared" si="120"/>
        <v>3.9325455005080645</v>
      </c>
      <c r="AP406" s="8">
        <f t="shared" si="121"/>
        <v>0.14867695349664145</v>
      </c>
      <c r="AQ406" s="8"/>
      <c r="AR406" s="8">
        <f t="shared" si="122"/>
        <v>225.31825992227402</v>
      </c>
      <c r="AS406" s="8">
        <f t="shared" si="123"/>
        <v>81.481438053779641</v>
      </c>
    </row>
    <row r="407" spans="1:45">
      <c r="A407" s="19">
        <v>22.188833330000001</v>
      </c>
      <c r="B407" s="19">
        <v>734.05443060000005</v>
      </c>
      <c r="C407" s="19">
        <v>-268.06093120000003</v>
      </c>
      <c r="E407" s="9">
        <f t="shared" si="113"/>
        <v>225.94556939999995</v>
      </c>
      <c r="F407" s="9">
        <f t="shared" si="114"/>
        <v>271.93906879999997</v>
      </c>
      <c r="I407">
        <v>1</v>
      </c>
      <c r="J407">
        <f t="shared" si="109"/>
        <v>0.23063512066475492</v>
      </c>
      <c r="K407">
        <f t="shared" si="115"/>
        <v>0.87751455082437579</v>
      </c>
      <c r="O407">
        <f t="shared" si="116"/>
        <v>0.14608757746012796</v>
      </c>
      <c r="P407">
        <f t="shared" si="117"/>
        <v>0.17582517720197025</v>
      </c>
      <c r="Q407">
        <f t="shared" si="118"/>
        <v>0.97352140540089149</v>
      </c>
      <c r="R407">
        <f t="shared" si="108"/>
        <v>1</v>
      </c>
      <c r="AG407" s="8">
        <f t="shared" si="110"/>
        <v>-0.10371333513482621</v>
      </c>
      <c r="AH407" s="8">
        <f t="shared" si="111"/>
        <v>-0.1053060401476455</v>
      </c>
      <c r="AI407" s="8">
        <f t="shared" si="112"/>
        <v>0.98901677540051547</v>
      </c>
      <c r="AJ407" s="8"/>
      <c r="AK407" s="8"/>
      <c r="AL407" s="8"/>
      <c r="AN407" s="8">
        <f t="shared" si="119"/>
        <v>1</v>
      </c>
      <c r="AO407" s="8">
        <f t="shared" si="120"/>
        <v>3.9346105612627644</v>
      </c>
      <c r="AP407" s="8">
        <f t="shared" si="121"/>
        <v>0.14834681592320065</v>
      </c>
      <c r="AQ407" s="8"/>
      <c r="AR407" s="8">
        <f t="shared" si="122"/>
        <v>225.43657918795643</v>
      </c>
      <c r="AS407" s="8">
        <f t="shared" si="123"/>
        <v>81.500353543396486</v>
      </c>
    </row>
    <row r="408" spans="1:45">
      <c r="A408" s="19">
        <v>22.222200000000001</v>
      </c>
      <c r="B408" s="19">
        <v>734.85277359999998</v>
      </c>
      <c r="C408" s="19">
        <v>-269.01181539999999</v>
      </c>
      <c r="E408" s="9">
        <f t="shared" si="113"/>
        <v>225.14722640000002</v>
      </c>
      <c r="F408" s="9">
        <f t="shared" si="114"/>
        <v>270.98818460000001</v>
      </c>
      <c r="I408">
        <v>1</v>
      </c>
      <c r="J408">
        <f t="shared" si="109"/>
        <v>0.22984411888945774</v>
      </c>
      <c r="K408">
        <f t="shared" si="115"/>
        <v>0.87753263464304221</v>
      </c>
      <c r="O408">
        <f t="shared" si="116"/>
        <v>0.14559224647662927</v>
      </c>
      <c r="P408">
        <f t="shared" si="117"/>
        <v>0.17523546345822319</v>
      </c>
      <c r="Q408">
        <f t="shared" si="118"/>
        <v>0.97370192056525706</v>
      </c>
      <c r="R408">
        <f t="shared" si="108"/>
        <v>1</v>
      </c>
      <c r="AG408" s="8">
        <f t="shared" si="110"/>
        <v>-0.10299072157049227</v>
      </c>
      <c r="AH408" s="8">
        <f t="shared" si="111"/>
        <v>-0.10562511581741851</v>
      </c>
      <c r="AI408" s="8">
        <f t="shared" si="112"/>
        <v>0.98905826227727667</v>
      </c>
      <c r="AJ408" s="8"/>
      <c r="AK408" s="8"/>
      <c r="AL408" s="8"/>
      <c r="AN408" s="8">
        <f t="shared" si="119"/>
        <v>1</v>
      </c>
      <c r="AO408" s="8">
        <f t="shared" si="120"/>
        <v>3.9396181144233378</v>
      </c>
      <c r="AP408" s="8">
        <f t="shared" si="121"/>
        <v>0.14806586205408934</v>
      </c>
      <c r="AQ408" s="8"/>
      <c r="AR408" s="8">
        <f t="shared" si="122"/>
        <v>225.72349084974468</v>
      </c>
      <c r="AS408" s="8">
        <f t="shared" si="123"/>
        <v>81.516451014334436</v>
      </c>
    </row>
    <row r="409" spans="1:45">
      <c r="A409" s="19">
        <v>22.25556667</v>
      </c>
      <c r="B409" s="19">
        <v>734.93772939999997</v>
      </c>
      <c r="C409" s="19">
        <v>-269.7111347</v>
      </c>
      <c r="E409" s="9">
        <f t="shared" si="113"/>
        <v>225.06227060000003</v>
      </c>
      <c r="F409" s="9">
        <f t="shared" si="114"/>
        <v>270.2888653</v>
      </c>
      <c r="I409">
        <v>1</v>
      </c>
      <c r="J409">
        <f t="shared" si="109"/>
        <v>0.22946688042378191</v>
      </c>
      <c r="K409">
        <f t="shared" si="115"/>
        <v>0.87644781597269639</v>
      </c>
      <c r="O409">
        <f t="shared" si="116"/>
        <v>0.1455472079708014</v>
      </c>
      <c r="P409">
        <f t="shared" si="117"/>
        <v>0.1747951337429145</v>
      </c>
      <c r="Q409">
        <f t="shared" si="118"/>
        <v>0.97378779591433617</v>
      </c>
      <c r="R409">
        <f t="shared" si="108"/>
        <v>1</v>
      </c>
      <c r="AG409" s="8">
        <f t="shared" si="110"/>
        <v>-0.10254928876817394</v>
      </c>
      <c r="AH409" s="8">
        <f t="shared" si="111"/>
        <v>-0.10555071830358037</v>
      </c>
      <c r="AI409" s="8">
        <f t="shared" si="112"/>
        <v>0.98911207112174082</v>
      </c>
      <c r="AJ409" s="8"/>
      <c r="AK409" s="8"/>
      <c r="AL409" s="8"/>
      <c r="AN409" s="8">
        <f t="shared" si="119"/>
        <v>0.99999999999999978</v>
      </c>
      <c r="AO409" s="8">
        <f t="shared" si="120"/>
        <v>3.9414128320612507</v>
      </c>
      <c r="AP409" s="8">
        <f t="shared" si="121"/>
        <v>0.14770067215946292</v>
      </c>
      <c r="AQ409" s="8"/>
      <c r="AR409" s="8">
        <f t="shared" si="122"/>
        <v>225.82632059581479</v>
      </c>
      <c r="AS409" s="8">
        <f t="shared" si="123"/>
        <v>81.537374854017358</v>
      </c>
    </row>
    <row r="410" spans="1:45">
      <c r="A410" s="19">
        <v>22.288933329999999</v>
      </c>
      <c r="B410" s="19">
        <v>735.32781650000004</v>
      </c>
      <c r="C410" s="19">
        <v>-270.17384929999997</v>
      </c>
      <c r="E410" s="9">
        <f t="shared" si="113"/>
        <v>224.67218349999996</v>
      </c>
      <c r="F410" s="9">
        <f t="shared" si="114"/>
        <v>269.82615070000003</v>
      </c>
      <c r="I410">
        <v>1</v>
      </c>
      <c r="J410">
        <f t="shared" si="109"/>
        <v>0.22908115801181789</v>
      </c>
      <c r="K410">
        <f t="shared" si="115"/>
        <v>0.87645831508712158</v>
      </c>
      <c r="O410">
        <f t="shared" si="116"/>
        <v>0.14530501666393228</v>
      </c>
      <c r="P410">
        <f t="shared" si="117"/>
        <v>0.1745079996688963</v>
      </c>
      <c r="Q410">
        <f t="shared" si="118"/>
        <v>0.9738754592779586</v>
      </c>
      <c r="R410">
        <f t="shared" si="108"/>
        <v>1</v>
      </c>
      <c r="AG410" s="8">
        <f t="shared" si="110"/>
        <v>-0.10219718075668981</v>
      </c>
      <c r="AH410" s="8">
        <f t="shared" si="111"/>
        <v>-0.10570697811170476</v>
      </c>
      <c r="AI410" s="8">
        <f t="shared" si="112"/>
        <v>0.98913182691887735</v>
      </c>
      <c r="AJ410" s="8"/>
      <c r="AK410" s="8"/>
      <c r="AL410" s="8"/>
      <c r="AN410" s="8">
        <f t="shared" si="119"/>
        <v>0.99999999999999989</v>
      </c>
      <c r="AO410" s="8">
        <f t="shared" si="120"/>
        <v>3.9438710179694851</v>
      </c>
      <c r="AP410" s="8">
        <f t="shared" si="121"/>
        <v>0.14756636834337744</v>
      </c>
      <c r="AQ410" s="8"/>
      <c r="AR410" s="8">
        <f t="shared" si="122"/>
        <v>225.96716427361514</v>
      </c>
      <c r="AS410" s="8">
        <f t="shared" si="123"/>
        <v>81.545069895851555</v>
      </c>
    </row>
    <row r="411" spans="1:45">
      <c r="A411" s="19">
        <v>22.322299999999998</v>
      </c>
      <c r="B411" s="19">
        <v>735.82746529999997</v>
      </c>
      <c r="C411" s="19">
        <v>-270.9249231</v>
      </c>
      <c r="E411" s="9">
        <f t="shared" si="113"/>
        <v>224.17253470000003</v>
      </c>
      <c r="F411" s="9">
        <f t="shared" si="114"/>
        <v>269.0750769</v>
      </c>
      <c r="I411">
        <v>1</v>
      </c>
      <c r="J411">
        <f t="shared" si="109"/>
        <v>0.22850941280139889</v>
      </c>
      <c r="K411">
        <f t="shared" si="115"/>
        <v>0.87618241526193363</v>
      </c>
      <c r="O411">
        <f t="shared" si="116"/>
        <v>0.14499672712343462</v>
      </c>
      <c r="P411">
        <f t="shared" si="117"/>
        <v>0.17404007834054469</v>
      </c>
      <c r="Q411">
        <f t="shared" si="118"/>
        <v>0.97400513358745155</v>
      </c>
      <c r="R411">
        <f t="shared" ref="R411:R474" si="124">SQRT(O411^2+P411^2+Q411^2)</f>
        <v>1</v>
      </c>
      <c r="AG411" s="8">
        <f t="shared" si="110"/>
        <v>-0.10164949511580455</v>
      </c>
      <c r="AH411" s="8">
        <f t="shared" si="111"/>
        <v>-0.10587843463394687</v>
      </c>
      <c r="AI411" s="8">
        <f t="shared" si="112"/>
        <v>0.9891699233307526</v>
      </c>
      <c r="AJ411" s="8"/>
      <c r="AK411" s="8"/>
      <c r="AL411" s="8"/>
      <c r="AN411" s="8">
        <f t="shared" si="119"/>
        <v>0.99999999999999989</v>
      </c>
      <c r="AO411" s="8">
        <f t="shared" si="120"/>
        <v>3.9473656856280983</v>
      </c>
      <c r="AP411" s="8">
        <f t="shared" si="121"/>
        <v>0.14730703818602819</v>
      </c>
      <c r="AQ411" s="8"/>
      <c r="AR411" s="8">
        <f t="shared" si="122"/>
        <v>226.16739398125455</v>
      </c>
      <c r="AS411" s="8">
        <f t="shared" si="123"/>
        <v>81.559928419368134</v>
      </c>
    </row>
    <row r="412" spans="1:45">
      <c r="A412" s="19">
        <v>22.355666670000002</v>
      </c>
      <c r="B412" s="19">
        <v>736.51092570000003</v>
      </c>
      <c r="C412" s="19">
        <v>-271.9415315</v>
      </c>
      <c r="E412" s="9">
        <f t="shared" si="113"/>
        <v>223.48907429999997</v>
      </c>
      <c r="F412" s="9">
        <f t="shared" si="114"/>
        <v>268.0584685</v>
      </c>
      <c r="I412">
        <v>1</v>
      </c>
      <c r="J412">
        <f t="shared" si="109"/>
        <v>0.22773241935117902</v>
      </c>
      <c r="K412">
        <f t="shared" si="115"/>
        <v>0.87582248519082906</v>
      </c>
      <c r="O412">
        <f t="shared" si="116"/>
        <v>0.14457469056505209</v>
      </c>
      <c r="P412">
        <f t="shared" si="117"/>
        <v>0.17340655357812843</v>
      </c>
      <c r="Q412">
        <f t="shared" si="118"/>
        <v>0.97418084872582833</v>
      </c>
      <c r="R412">
        <f t="shared" si="124"/>
        <v>1</v>
      </c>
      <c r="AG412" s="8">
        <f t="shared" si="110"/>
        <v>-0.10090663451973346</v>
      </c>
      <c r="AH412" s="8">
        <f t="shared" si="111"/>
        <v>-0.10611493061148441</v>
      </c>
      <c r="AI412" s="8">
        <f t="shared" si="112"/>
        <v>0.989220638993759</v>
      </c>
      <c r="AJ412" s="8"/>
      <c r="AK412" s="8"/>
      <c r="AL412" s="8"/>
      <c r="AN412" s="8">
        <f t="shared" si="119"/>
        <v>1</v>
      </c>
      <c r="AO412" s="8">
        <f t="shared" si="120"/>
        <v>3.9521437408639764</v>
      </c>
      <c r="AP412" s="8">
        <f t="shared" si="121"/>
        <v>0.14696110122961037</v>
      </c>
      <c r="AQ412" s="8"/>
      <c r="AR412" s="8">
        <f t="shared" si="122"/>
        <v>226.44115638055075</v>
      </c>
      <c r="AS412" s="8">
        <f t="shared" si="123"/>
        <v>81.579749146948473</v>
      </c>
    </row>
    <row r="413" spans="1:45">
      <c r="A413" s="19">
        <v>22.38903333</v>
      </c>
      <c r="B413" s="19">
        <v>736.80798879999998</v>
      </c>
      <c r="C413" s="19">
        <v>-272.41606769999999</v>
      </c>
      <c r="E413" s="9">
        <f t="shared" si="113"/>
        <v>223.19201120000002</v>
      </c>
      <c r="F413" s="9">
        <f t="shared" si="114"/>
        <v>267.58393230000001</v>
      </c>
      <c r="I413">
        <v>1</v>
      </c>
      <c r="J413">
        <f t="shared" si="109"/>
        <v>0.22737863056702545</v>
      </c>
      <c r="K413">
        <f t="shared" si="115"/>
        <v>0.87560520397801256</v>
      </c>
      <c r="O413">
        <f t="shared" si="116"/>
        <v>0.14439159393538897</v>
      </c>
      <c r="P413">
        <f t="shared" si="117"/>
        <v>0.17311045448519263</v>
      </c>
      <c r="Q413">
        <f t="shared" si="118"/>
        <v>0.97426066232232111</v>
      </c>
      <c r="R413">
        <f t="shared" si="124"/>
        <v>1</v>
      </c>
      <c r="AG413" s="8">
        <f t="shared" si="110"/>
        <v>-0.10056373005811108</v>
      </c>
      <c r="AH413" s="8">
        <f t="shared" si="111"/>
        <v>-0.10621180399333394</v>
      </c>
      <c r="AI413" s="8">
        <f t="shared" si="112"/>
        <v>0.98924516116546213</v>
      </c>
      <c r="AJ413" s="8"/>
      <c r="AK413" s="8"/>
      <c r="AL413" s="8"/>
      <c r="AN413" s="8">
        <f t="shared" si="119"/>
        <v>1.0000000000000002</v>
      </c>
      <c r="AO413" s="8">
        <f t="shared" si="120"/>
        <v>3.9542990277780294</v>
      </c>
      <c r="AP413" s="8">
        <f t="shared" si="121"/>
        <v>0.14679354259577981</v>
      </c>
      <c r="AQ413" s="8"/>
      <c r="AR413" s="8">
        <f t="shared" si="122"/>
        <v>226.56464522436576</v>
      </c>
      <c r="AS413" s="8">
        <f t="shared" si="123"/>
        <v>81.589349549487935</v>
      </c>
    </row>
    <row r="414" spans="1:45">
      <c r="A414" s="19">
        <v>22.4224</v>
      </c>
      <c r="B414" s="19">
        <v>737.10540639999999</v>
      </c>
      <c r="C414" s="19">
        <v>-273.0075167</v>
      </c>
      <c r="E414" s="9">
        <f t="shared" si="113"/>
        <v>222.89459360000001</v>
      </c>
      <c r="F414" s="9">
        <f t="shared" si="114"/>
        <v>266.9924833</v>
      </c>
      <c r="I414">
        <v>1</v>
      </c>
      <c r="J414">
        <f t="shared" si="109"/>
        <v>0.22696739596043849</v>
      </c>
      <c r="K414">
        <f t="shared" si="115"/>
        <v>0.87517264351633817</v>
      </c>
      <c r="O414">
        <f t="shared" si="116"/>
        <v>0.14420968684975127</v>
      </c>
      <c r="P414">
        <f t="shared" si="117"/>
        <v>0.17274040516669778</v>
      </c>
      <c r="Q414">
        <f t="shared" si="118"/>
        <v>0.97435328225523099</v>
      </c>
      <c r="R414">
        <f t="shared" si="124"/>
        <v>1</v>
      </c>
      <c r="AG414" s="8">
        <f t="shared" si="110"/>
        <v>-0.1001493668762201</v>
      </c>
      <c r="AH414" s="8">
        <f t="shared" si="111"/>
        <v>-0.1062876997521084</v>
      </c>
      <c r="AI414" s="8">
        <f t="shared" si="112"/>
        <v>0.98927904516152465</v>
      </c>
      <c r="AJ414" s="8"/>
      <c r="AK414" s="8"/>
      <c r="AL414" s="8"/>
      <c r="AN414" s="8">
        <f t="shared" si="119"/>
        <v>1</v>
      </c>
      <c r="AO414" s="8">
        <f t="shared" si="120"/>
        <v>3.9567167032731629</v>
      </c>
      <c r="AP414" s="8">
        <f t="shared" si="121"/>
        <v>0.14656170218420117</v>
      </c>
      <c r="AQ414" s="8"/>
      <c r="AR414" s="8">
        <f t="shared" si="122"/>
        <v>226.70316782646913</v>
      </c>
      <c r="AS414" s="8">
        <f t="shared" si="123"/>
        <v>81.602633026591974</v>
      </c>
    </row>
    <row r="415" spans="1:45">
      <c r="A415" s="19">
        <v>22.455766669999999</v>
      </c>
      <c r="B415" s="19">
        <v>737.86331380000001</v>
      </c>
      <c r="C415" s="19">
        <v>-274.02000509999999</v>
      </c>
      <c r="E415" s="9">
        <f t="shared" si="113"/>
        <v>222.13668619999999</v>
      </c>
      <c r="F415" s="9">
        <f t="shared" si="114"/>
        <v>265.97999490000001</v>
      </c>
      <c r="I415">
        <v>1</v>
      </c>
      <c r="J415">
        <f t="shared" si="109"/>
        <v>0.22616155495727686</v>
      </c>
      <c r="K415">
        <f t="shared" si="115"/>
        <v>0.87497913939792205</v>
      </c>
      <c r="O415">
        <f t="shared" si="116"/>
        <v>0.14373975682220014</v>
      </c>
      <c r="P415">
        <f t="shared" si="117"/>
        <v>0.17210979618231129</v>
      </c>
      <c r="Q415">
        <f t="shared" si="118"/>
        <v>0.97453429922541879</v>
      </c>
      <c r="R415">
        <f t="shared" si="124"/>
        <v>1</v>
      </c>
      <c r="AG415" s="8">
        <f t="shared" si="110"/>
        <v>-9.9395020260496389E-2</v>
      </c>
      <c r="AH415" s="8">
        <f t="shared" si="111"/>
        <v>-0.10657080583734224</v>
      </c>
      <c r="AI415" s="8">
        <f t="shared" si="112"/>
        <v>0.98932466525938534</v>
      </c>
      <c r="AJ415" s="8"/>
      <c r="AK415" s="8"/>
      <c r="AL415" s="8"/>
      <c r="AN415" s="8">
        <f t="shared" si="119"/>
        <v>0.99999999999999989</v>
      </c>
      <c r="AO415" s="8">
        <f t="shared" si="120"/>
        <v>3.9618164212775677</v>
      </c>
      <c r="AP415" s="8">
        <f t="shared" si="121"/>
        <v>0.14624898490492844</v>
      </c>
      <c r="AQ415" s="8"/>
      <c r="AR415" s="8">
        <f t="shared" si="122"/>
        <v>226.9953601448284</v>
      </c>
      <c r="AS415" s="8">
        <f t="shared" si="123"/>
        <v>81.620550406875111</v>
      </c>
    </row>
    <row r="416" spans="1:45">
      <c r="A416" s="19">
        <v>22.489133330000001</v>
      </c>
      <c r="B416" s="19">
        <v>738.18470239999999</v>
      </c>
      <c r="C416" s="19">
        <v>-274.50572620000003</v>
      </c>
      <c r="E416" s="9">
        <f t="shared" si="113"/>
        <v>221.81529760000001</v>
      </c>
      <c r="F416" s="9">
        <f t="shared" si="114"/>
        <v>265.49427379999997</v>
      </c>
      <c r="I416">
        <v>1</v>
      </c>
      <c r="J416">
        <f t="shared" ref="J416:J479" si="125">ATAN((SQRT(E416^2+F416^2)^$B$16)/($F$24))</f>
        <v>0.22579214751061677</v>
      </c>
      <c r="K416">
        <f t="shared" si="115"/>
        <v>0.8747921877406003</v>
      </c>
      <c r="O416">
        <f t="shared" si="116"/>
        <v>0.14354110428590669</v>
      </c>
      <c r="P416">
        <f t="shared" si="117"/>
        <v>0.171806641179273</v>
      </c>
      <c r="Q416">
        <f t="shared" si="118"/>
        <v>0.97461706809755744</v>
      </c>
      <c r="R416">
        <f t="shared" si="124"/>
        <v>1</v>
      </c>
      <c r="AG416" s="8">
        <f t="shared" ref="AG416:AG479" si="126">$O416*$Z$27+$P416*$Z$31+$Q416*$Z$35</f>
        <v>-9.9040631531856507E-2</v>
      </c>
      <c r="AH416" s="8">
        <f t="shared" ref="AH416:AH479" si="127">$O416*$AA$27+$P416*$AA$31+$Q416*$AA$35</f>
        <v>-0.10668063865731757</v>
      </c>
      <c r="AI416" s="8">
        <f t="shared" ref="AI416:AI479" si="128">$AB$27*$O416+$P416*$AB$31+$AB$35*$Q416</f>
        <v>0.98934836869600074</v>
      </c>
      <c r="AJ416" s="8"/>
      <c r="AK416" s="8"/>
      <c r="AL416" s="8"/>
      <c r="AN416" s="8">
        <f t="shared" si="119"/>
        <v>1</v>
      </c>
      <c r="AO416" s="8">
        <f t="shared" si="120"/>
        <v>3.9641114202237144</v>
      </c>
      <c r="AP416" s="8">
        <f t="shared" si="121"/>
        <v>0.14608623988239811</v>
      </c>
      <c r="AQ416" s="8"/>
      <c r="AR416" s="8">
        <f t="shared" si="122"/>
        <v>227.12685389842957</v>
      </c>
      <c r="AS416" s="8">
        <f t="shared" si="123"/>
        <v>81.629875009802859</v>
      </c>
    </row>
    <row r="417" spans="1:45">
      <c r="A417" s="19">
        <v>22.522500000000001</v>
      </c>
      <c r="B417" s="19">
        <v>738.13996499999996</v>
      </c>
      <c r="C417" s="19">
        <v>-274.87038580000001</v>
      </c>
      <c r="E417" s="9">
        <f t="shared" ref="E417:E480" si="129">-(B417-($B$15/2))</f>
        <v>221.86003500000004</v>
      </c>
      <c r="F417" s="9">
        <f t="shared" ref="F417:F480" si="130">(($C$15/2)+C417)</f>
        <v>265.12961419999999</v>
      </c>
      <c r="I417">
        <v>1</v>
      </c>
      <c r="J417">
        <f t="shared" si="125"/>
        <v>0.22563190276784731</v>
      </c>
      <c r="K417">
        <f t="shared" ref="K417:K480" si="131">ATAN2(E417,F417)</f>
        <v>0.87401657934146548</v>
      </c>
      <c r="O417">
        <f t="shared" ref="O417:O480" si="132">COS(K417)*SIN(J417)</f>
        <v>0.1435740869564858</v>
      </c>
      <c r="P417">
        <f t="shared" ref="P417:P480" si="133">SIN(K417)*SIN(J417)</f>
        <v>0.17157548128886901</v>
      </c>
      <c r="Q417">
        <f t="shared" ref="Q417:Q480" si="134">COS(J417)</f>
        <v>0.97465293093239325</v>
      </c>
      <c r="R417">
        <f t="shared" si="124"/>
        <v>1</v>
      </c>
      <c r="AG417" s="8">
        <f t="shared" si="126"/>
        <v>-9.8826075057469182E-2</v>
      </c>
      <c r="AH417" s="8">
        <f t="shared" si="127"/>
        <v>-0.10658694344638528</v>
      </c>
      <c r="AI417" s="8">
        <f t="shared" si="128"/>
        <v>0.98937992216109405</v>
      </c>
      <c r="AJ417" s="8"/>
      <c r="AK417" s="8"/>
      <c r="AL417" s="8"/>
      <c r="AN417" s="8">
        <f t="shared" ref="AN417:AN480" si="135">AG417^2+AH417^2+AI417^2</f>
        <v>1</v>
      </c>
      <c r="AO417" s="8">
        <f t="shared" ref="AO417:AO480" si="136">IF(ATAN2(AG417,AH417)&gt;=0,ATAN2(AG417,AH417),ATAN2(AG417,AH417)+2*PI())</f>
        <v>3.9647546297295611</v>
      </c>
      <c r="AP417" s="8">
        <f t="shared" ref="AP417:AP480" si="137">ACOS(AI417/AN417)</f>
        <v>0.14586931776269596</v>
      </c>
      <c r="AQ417" s="8"/>
      <c r="AR417" s="8">
        <f t="shared" ref="AR417:AR480" si="138">DEGREES(AO417)</f>
        <v>227.16370708845727</v>
      </c>
      <c r="AS417" s="8">
        <f t="shared" ref="AS417:AS480" si="139">90-DEGREES(AP417)</f>
        <v>81.642303731744832</v>
      </c>
    </row>
    <row r="418" spans="1:45">
      <c r="A418" s="19">
        <v>22.55586667</v>
      </c>
      <c r="B418" s="19">
        <v>738.44453850000002</v>
      </c>
      <c r="C418" s="19">
        <v>-275.87625420000001</v>
      </c>
      <c r="E418" s="9">
        <f t="shared" si="129"/>
        <v>221.55546149999998</v>
      </c>
      <c r="F418" s="9">
        <f t="shared" si="130"/>
        <v>264.12374579999999</v>
      </c>
      <c r="I418">
        <v>1</v>
      </c>
      <c r="J418">
        <f t="shared" si="125"/>
        <v>0.22501482361718683</v>
      </c>
      <c r="K418">
        <f t="shared" si="131"/>
        <v>0.87282167341974315</v>
      </c>
      <c r="O418">
        <f t="shared" si="132"/>
        <v>0.14339244908349025</v>
      </c>
      <c r="P418">
        <f t="shared" si="133"/>
        <v>0.17094297976205486</v>
      </c>
      <c r="Q418">
        <f t="shared" si="134"/>
        <v>0.97479079971853877</v>
      </c>
      <c r="R418">
        <f t="shared" si="124"/>
        <v>1</v>
      </c>
      <c r="AG418" s="8">
        <f t="shared" si="126"/>
        <v>-9.8156994289157279E-2</v>
      </c>
      <c r="AH418" s="8">
        <f t="shared" si="127"/>
        <v>-0.10659203898434461</v>
      </c>
      <c r="AI418" s="8">
        <f t="shared" si="128"/>
        <v>0.98944597714947446</v>
      </c>
      <c r="AJ418" s="8"/>
      <c r="AK418" s="8"/>
      <c r="AL418" s="8"/>
      <c r="AN418" s="8">
        <f t="shared" si="135"/>
        <v>1</v>
      </c>
      <c r="AO418" s="8">
        <f t="shared" si="136"/>
        <v>3.9681645282841562</v>
      </c>
      <c r="AP418" s="8">
        <f t="shared" si="137"/>
        <v>0.14541416604344537</v>
      </c>
      <c r="AQ418" s="8"/>
      <c r="AR418" s="8">
        <f t="shared" si="138"/>
        <v>227.35907988420334</v>
      </c>
      <c r="AS418" s="8">
        <f t="shared" si="139"/>
        <v>81.668382004296006</v>
      </c>
    </row>
    <row r="419" spans="1:45">
      <c r="A419" s="19">
        <v>22.589233329999999</v>
      </c>
      <c r="B419" s="19">
        <v>739.4464461</v>
      </c>
      <c r="C419" s="19">
        <v>-276.87456689999999</v>
      </c>
      <c r="E419" s="9">
        <f t="shared" si="129"/>
        <v>220.5535539</v>
      </c>
      <c r="F419" s="9">
        <f t="shared" si="130"/>
        <v>263.12543310000001</v>
      </c>
      <c r="I419">
        <v>1</v>
      </c>
      <c r="J419">
        <f t="shared" si="125"/>
        <v>0.22411524332985611</v>
      </c>
      <c r="K419">
        <f t="shared" si="131"/>
        <v>0.87318873180568657</v>
      </c>
      <c r="O419">
        <f t="shared" si="132"/>
        <v>0.14276632547776782</v>
      </c>
      <c r="P419">
        <f t="shared" si="133"/>
        <v>0.17032349086728196</v>
      </c>
      <c r="Q419">
        <f t="shared" si="134"/>
        <v>0.97499112035359536</v>
      </c>
      <c r="R419">
        <f t="shared" si="124"/>
        <v>1</v>
      </c>
      <c r="AG419" s="8">
        <f t="shared" si="126"/>
        <v>-9.7366504471729259E-2</v>
      </c>
      <c r="AH419" s="8">
        <f t="shared" si="127"/>
        <v>-0.10702802989405154</v>
      </c>
      <c r="AI419" s="8">
        <f t="shared" si="128"/>
        <v>0.98947701571282332</v>
      </c>
      <c r="AJ419" s="8"/>
      <c r="AK419" s="8"/>
      <c r="AL419" s="8"/>
      <c r="AN419" s="8">
        <f t="shared" si="135"/>
        <v>1</v>
      </c>
      <c r="AO419" s="8">
        <f t="shared" si="136"/>
        <v>3.9742246596795998</v>
      </c>
      <c r="AP419" s="8">
        <f t="shared" si="137"/>
        <v>0.14519980567937663</v>
      </c>
      <c r="AQ419" s="8"/>
      <c r="AR419" s="8">
        <f t="shared" si="138"/>
        <v>227.70629983645699</v>
      </c>
      <c r="AS419" s="8">
        <f t="shared" si="139"/>
        <v>81.680663948452036</v>
      </c>
    </row>
    <row r="420" spans="1:45">
      <c r="A420" s="19">
        <v>22.622599999999998</v>
      </c>
      <c r="B420" s="19">
        <v>739.50497389999998</v>
      </c>
      <c r="C420" s="19">
        <v>-277.62407830000001</v>
      </c>
      <c r="E420" s="9">
        <f t="shared" si="129"/>
        <v>220.49502610000002</v>
      </c>
      <c r="F420" s="9">
        <f t="shared" si="130"/>
        <v>262.37592169999999</v>
      </c>
      <c r="I420">
        <v>1</v>
      </c>
      <c r="J420">
        <f t="shared" si="125"/>
        <v>0.22372450389590293</v>
      </c>
      <c r="K420">
        <f t="shared" si="131"/>
        <v>0.87191475564538357</v>
      </c>
      <c r="O420">
        <f t="shared" si="132"/>
        <v>0.14273808677445513</v>
      </c>
      <c r="P420">
        <f t="shared" si="133"/>
        <v>0.16984980451285669</v>
      </c>
      <c r="Q420">
        <f t="shared" si="134"/>
        <v>0.97507788534604378</v>
      </c>
      <c r="R420">
        <f t="shared" si="124"/>
        <v>1</v>
      </c>
      <c r="AG420" s="8">
        <f t="shared" si="126"/>
        <v>-9.6898016254368502E-2</v>
      </c>
      <c r="AH420" s="8">
        <f t="shared" si="127"/>
        <v>-0.10692804407011738</v>
      </c>
      <c r="AI420" s="8">
        <f t="shared" si="128"/>
        <v>0.9895338133875502</v>
      </c>
      <c r="AJ420" s="8"/>
      <c r="AK420" s="8"/>
      <c r="AL420" s="8"/>
      <c r="AN420" s="8">
        <f t="shared" si="135"/>
        <v>0.99999999999999989</v>
      </c>
      <c r="AO420" s="8">
        <f t="shared" si="136"/>
        <v>3.9761599155354177</v>
      </c>
      <c r="AP420" s="8">
        <f t="shared" si="137"/>
        <v>0.1448067303874454</v>
      </c>
      <c r="AQ420" s="8"/>
      <c r="AR420" s="8">
        <f t="shared" si="138"/>
        <v>227.81718182927332</v>
      </c>
      <c r="AS420" s="8">
        <f t="shared" si="139"/>
        <v>81.703185503710571</v>
      </c>
    </row>
    <row r="421" spans="1:45">
      <c r="A421" s="19">
        <v>22.655966670000002</v>
      </c>
      <c r="B421" s="19">
        <v>739.99025229999995</v>
      </c>
      <c r="C421" s="19">
        <v>-278.05040910000002</v>
      </c>
      <c r="E421" s="9">
        <f t="shared" si="129"/>
        <v>220.00974770000005</v>
      </c>
      <c r="F421" s="9">
        <f t="shared" si="130"/>
        <v>261.94959089999998</v>
      </c>
      <c r="I421">
        <v>1</v>
      </c>
      <c r="J421">
        <f t="shared" si="125"/>
        <v>0.22331655040845197</v>
      </c>
      <c r="K421">
        <f t="shared" si="131"/>
        <v>0.87219897139635849</v>
      </c>
      <c r="O421">
        <f t="shared" si="132"/>
        <v>0.14243396110164511</v>
      </c>
      <c r="P421">
        <f t="shared" si="133"/>
        <v>0.16958574895380615</v>
      </c>
      <c r="Q421">
        <f t="shared" si="134"/>
        <v>0.97516831392158743</v>
      </c>
      <c r="R421">
        <f t="shared" si="124"/>
        <v>1</v>
      </c>
      <c r="AG421" s="8">
        <f t="shared" si="126"/>
        <v>-9.6549881990120545E-2</v>
      </c>
      <c r="AH421" s="8">
        <f t="shared" si="127"/>
        <v>-0.10714962115475668</v>
      </c>
      <c r="AI421" s="8">
        <f t="shared" si="128"/>
        <v>0.98954387420370904</v>
      </c>
      <c r="AJ421" s="8"/>
      <c r="AK421" s="8"/>
      <c r="AL421" s="8"/>
      <c r="AN421" s="8">
        <f t="shared" si="135"/>
        <v>1</v>
      </c>
      <c r="AO421" s="8">
        <f t="shared" si="136"/>
        <v>3.9789800821833277</v>
      </c>
      <c r="AP421" s="8">
        <f t="shared" si="137"/>
        <v>0.1447369927595541</v>
      </c>
      <c r="AQ421" s="8"/>
      <c r="AR421" s="8">
        <f t="shared" si="138"/>
        <v>227.97876547572213</v>
      </c>
      <c r="AS421" s="8">
        <f t="shared" si="139"/>
        <v>81.707181175461997</v>
      </c>
    </row>
    <row r="422" spans="1:45">
      <c r="A422" s="19">
        <v>22.68933333</v>
      </c>
      <c r="B422" s="19">
        <v>740.5119254</v>
      </c>
      <c r="C422" s="19">
        <v>-278.89299790000001</v>
      </c>
      <c r="E422" s="9">
        <f t="shared" si="129"/>
        <v>219.4880746</v>
      </c>
      <c r="F422" s="9">
        <f t="shared" si="130"/>
        <v>261.10700209999999</v>
      </c>
      <c r="I422">
        <v>1</v>
      </c>
      <c r="J422">
        <f t="shared" si="125"/>
        <v>0.22268991126291193</v>
      </c>
      <c r="K422">
        <f t="shared" si="131"/>
        <v>0.87178139320190706</v>
      </c>
      <c r="O422">
        <f t="shared" si="132"/>
        <v>0.14211152896128607</v>
      </c>
      <c r="P422">
        <f t="shared" si="133"/>
        <v>0.1690584573150597</v>
      </c>
      <c r="Q422">
        <f t="shared" si="134"/>
        <v>0.97530690110679408</v>
      </c>
      <c r="R422">
        <f t="shared" si="124"/>
        <v>1</v>
      </c>
      <c r="AG422" s="8">
        <f t="shared" si="126"/>
        <v>-9.5940659656568325E-2</v>
      </c>
      <c r="AH422" s="8">
        <f t="shared" si="127"/>
        <v>-0.10731806257766327</v>
      </c>
      <c r="AI422" s="8">
        <f t="shared" si="128"/>
        <v>0.98958487421203012</v>
      </c>
      <c r="AJ422" s="8"/>
      <c r="AK422" s="8"/>
      <c r="AL422" s="8"/>
      <c r="AN422" s="8">
        <f t="shared" si="135"/>
        <v>1.0000000000000002</v>
      </c>
      <c r="AO422" s="8">
        <f t="shared" si="136"/>
        <v>3.9829074464485621</v>
      </c>
      <c r="AP422" s="8">
        <f t="shared" si="137"/>
        <v>0.14445245106928639</v>
      </c>
      <c r="AQ422" s="8"/>
      <c r="AR422" s="8">
        <f t="shared" si="138"/>
        <v>228.20378687273055</v>
      </c>
      <c r="AS422" s="8">
        <f t="shared" si="139"/>
        <v>81.723484213409847</v>
      </c>
    </row>
    <row r="423" spans="1:45">
      <c r="A423" s="19">
        <v>22.7227</v>
      </c>
      <c r="B423" s="19">
        <v>741.09518809999997</v>
      </c>
      <c r="C423" s="19">
        <v>-280.10873609999999</v>
      </c>
      <c r="E423" s="9">
        <f t="shared" si="129"/>
        <v>218.90481190000003</v>
      </c>
      <c r="F423" s="9">
        <f t="shared" si="130"/>
        <v>259.89126390000001</v>
      </c>
      <c r="I423">
        <v>1</v>
      </c>
      <c r="J423">
        <f t="shared" si="125"/>
        <v>0.22185531576899514</v>
      </c>
      <c r="K423">
        <f t="shared" si="131"/>
        <v>0.8707931302567663</v>
      </c>
      <c r="O423">
        <f t="shared" si="132"/>
        <v>0.14175409760601015</v>
      </c>
      <c r="P423">
        <f t="shared" si="133"/>
        <v>0.16829530273943669</v>
      </c>
      <c r="Q423">
        <f t="shared" si="134"/>
        <v>0.97549088508696336</v>
      </c>
      <c r="R423">
        <f t="shared" si="124"/>
        <v>1</v>
      </c>
      <c r="AG423" s="8">
        <f t="shared" si="126"/>
        <v>-9.5091940883585024E-2</v>
      </c>
      <c r="AH423" s="8">
        <f t="shared" si="127"/>
        <v>-0.10745668599523669</v>
      </c>
      <c r="AI423" s="8">
        <f t="shared" si="128"/>
        <v>0.98965174855295124</v>
      </c>
      <c r="AJ423" s="8"/>
      <c r="AK423" s="8"/>
      <c r="AL423" s="8"/>
      <c r="AN423" s="8">
        <f t="shared" si="135"/>
        <v>1</v>
      </c>
      <c r="AO423" s="8">
        <f t="shared" si="136"/>
        <v>3.9879609657588482</v>
      </c>
      <c r="AP423" s="8">
        <f t="shared" si="137"/>
        <v>0.14398714234858967</v>
      </c>
      <c r="AQ423" s="8"/>
      <c r="AR423" s="8">
        <f t="shared" si="138"/>
        <v>228.49333220089781</v>
      </c>
      <c r="AS423" s="8">
        <f t="shared" si="139"/>
        <v>81.750144439276411</v>
      </c>
    </row>
    <row r="424" spans="1:45">
      <c r="A424" s="19">
        <v>22.756066669999999</v>
      </c>
      <c r="B424" s="19">
        <v>741.12115589999996</v>
      </c>
      <c r="C424" s="19">
        <v>-280.41433360000002</v>
      </c>
      <c r="E424" s="9">
        <f t="shared" si="129"/>
        <v>218.87884410000004</v>
      </c>
      <c r="F424" s="9">
        <f t="shared" si="130"/>
        <v>259.58566639999998</v>
      </c>
      <c r="I424">
        <v>1</v>
      </c>
      <c r="J424">
        <f t="shared" si="125"/>
        <v>0.22169522731973879</v>
      </c>
      <c r="K424">
        <f t="shared" si="131"/>
        <v>0.87027181665522801</v>
      </c>
      <c r="O424">
        <f t="shared" si="132"/>
        <v>0.14174114437762678</v>
      </c>
      <c r="P424">
        <f t="shared" si="133"/>
        <v>0.16810199071937099</v>
      </c>
      <c r="Q424">
        <f t="shared" si="134"/>
        <v>0.97552609842418125</v>
      </c>
      <c r="R424">
        <f t="shared" si="124"/>
        <v>1</v>
      </c>
      <c r="AG424" s="8">
        <f t="shared" si="126"/>
        <v>-9.4900363011299463E-2</v>
      </c>
      <c r="AH424" s="8">
        <f t="shared" si="127"/>
        <v>-0.10741717753888154</v>
      </c>
      <c r="AI424" s="8">
        <f t="shared" si="128"/>
        <v>0.9896744268040395</v>
      </c>
      <c r="AJ424" s="8"/>
      <c r="AK424" s="8"/>
      <c r="AL424" s="8"/>
      <c r="AN424" s="8">
        <f t="shared" si="135"/>
        <v>1.0000000000000002</v>
      </c>
      <c r="AO424" s="8">
        <f t="shared" si="136"/>
        <v>3.9887792388010834</v>
      </c>
      <c r="AP424" s="8">
        <f t="shared" si="137"/>
        <v>0.14382900864710546</v>
      </c>
      <c r="AQ424" s="8"/>
      <c r="AR424" s="8">
        <f t="shared" si="138"/>
        <v>228.54021579270722</v>
      </c>
      <c r="AS424" s="8">
        <f t="shared" si="139"/>
        <v>81.759204832970241</v>
      </c>
    </row>
    <row r="425" spans="1:45">
      <c r="A425" s="19">
        <v>22.789433330000001</v>
      </c>
      <c r="B425" s="19">
        <v>741.7784183</v>
      </c>
      <c r="C425" s="19">
        <v>-281.03605879999998</v>
      </c>
      <c r="E425" s="9">
        <f t="shared" si="129"/>
        <v>218.2215817</v>
      </c>
      <c r="F425" s="9">
        <f t="shared" si="130"/>
        <v>258.96394120000002</v>
      </c>
      <c r="I425">
        <v>1</v>
      </c>
      <c r="J425">
        <f t="shared" si="125"/>
        <v>0.22112043513397917</v>
      </c>
      <c r="K425">
        <f t="shared" si="131"/>
        <v>0.87057213999060012</v>
      </c>
      <c r="O425">
        <f t="shared" si="132"/>
        <v>0.14132930469241498</v>
      </c>
      <c r="P425">
        <f t="shared" si="133"/>
        <v>0.16771573858592118</v>
      </c>
      <c r="Q425">
        <f t="shared" si="134"/>
        <v>0.97565232468627749</v>
      </c>
      <c r="R425">
        <f t="shared" si="124"/>
        <v>1</v>
      </c>
      <c r="AG425" s="8">
        <f t="shared" si="126"/>
        <v>-9.4401217287136505E-2</v>
      </c>
      <c r="AH425" s="8">
        <f t="shared" si="127"/>
        <v>-0.10770929674290025</v>
      </c>
      <c r="AI425" s="8">
        <f t="shared" si="128"/>
        <v>0.98969041501363275</v>
      </c>
      <c r="AJ425" s="8"/>
      <c r="AK425" s="8"/>
      <c r="AL425" s="8"/>
      <c r="AN425" s="8">
        <f t="shared" si="135"/>
        <v>0.99999999999999989</v>
      </c>
      <c r="AO425" s="8">
        <f t="shared" si="136"/>
        <v>3.9927414603668554</v>
      </c>
      <c r="AP425" s="8">
        <f t="shared" si="137"/>
        <v>0.14371742023938983</v>
      </c>
      <c r="AQ425" s="8"/>
      <c r="AR425" s="8">
        <f t="shared" si="138"/>
        <v>228.76723436592167</v>
      </c>
      <c r="AS425" s="8">
        <f t="shared" si="139"/>
        <v>81.765598377774921</v>
      </c>
    </row>
    <row r="426" spans="1:45">
      <c r="A426" s="19">
        <v>22.822800000000001</v>
      </c>
      <c r="B426" s="19">
        <v>742.25433840000005</v>
      </c>
      <c r="C426" s="19">
        <v>-281.99885119999999</v>
      </c>
      <c r="E426" s="9">
        <f t="shared" si="129"/>
        <v>217.74566159999995</v>
      </c>
      <c r="F426" s="9">
        <f t="shared" si="130"/>
        <v>258.00114880000001</v>
      </c>
      <c r="I426">
        <v>1</v>
      </c>
      <c r="J426">
        <f t="shared" si="125"/>
        <v>0.22045350741369038</v>
      </c>
      <c r="K426">
        <f t="shared" si="131"/>
        <v>0.86981244373339872</v>
      </c>
      <c r="O426">
        <f t="shared" si="132"/>
        <v>0.14103697029976253</v>
      </c>
      <c r="P426">
        <f t="shared" si="133"/>
        <v>0.16711102344465828</v>
      </c>
      <c r="Q426">
        <f t="shared" si="134"/>
        <v>0.97579838022613197</v>
      </c>
      <c r="R426">
        <f t="shared" si="124"/>
        <v>1</v>
      </c>
      <c r="AG426" s="8">
        <f t="shared" si="126"/>
        <v>-9.3726069345707305E-2</v>
      </c>
      <c r="AH426" s="8">
        <f t="shared" si="127"/>
        <v>-0.10782769521033954</v>
      </c>
      <c r="AI426" s="8">
        <f t="shared" si="128"/>
        <v>0.9897416895688641</v>
      </c>
      <c r="AJ426" s="8"/>
      <c r="AK426" s="8"/>
      <c r="AL426" s="8"/>
      <c r="AN426" s="8">
        <f t="shared" si="135"/>
        <v>1</v>
      </c>
      <c r="AO426" s="8">
        <f t="shared" si="136"/>
        <v>3.9968415780603457</v>
      </c>
      <c r="AP426" s="8">
        <f t="shared" si="137"/>
        <v>0.14335897174840673</v>
      </c>
      <c r="AQ426" s="8"/>
      <c r="AR426" s="8">
        <f t="shared" si="138"/>
        <v>229.00215380526558</v>
      </c>
      <c r="AS426" s="8">
        <f t="shared" si="139"/>
        <v>81.786135963481087</v>
      </c>
    </row>
    <row r="427" spans="1:45">
      <c r="A427" s="19">
        <v>22.85616667</v>
      </c>
      <c r="B427" s="19">
        <v>742.81726749999996</v>
      </c>
      <c r="C427" s="19">
        <v>-282.76029940000001</v>
      </c>
      <c r="E427" s="9">
        <f t="shared" si="129"/>
        <v>217.18273250000004</v>
      </c>
      <c r="F427" s="9">
        <f t="shared" si="130"/>
        <v>257.23970059999999</v>
      </c>
      <c r="I427">
        <v>1</v>
      </c>
      <c r="J427">
        <f t="shared" si="125"/>
        <v>0.21984901020996631</v>
      </c>
      <c r="K427">
        <f t="shared" si="131"/>
        <v>0.86963150130802214</v>
      </c>
      <c r="O427">
        <f t="shared" si="132"/>
        <v>0.14068665144702924</v>
      </c>
      <c r="P427">
        <f t="shared" si="133"/>
        <v>0.1666347581138862</v>
      </c>
      <c r="Q427">
        <f t="shared" si="134"/>
        <v>0.97593038865123405</v>
      </c>
      <c r="R427">
        <f t="shared" si="124"/>
        <v>1</v>
      </c>
      <c r="AG427" s="8">
        <f t="shared" si="126"/>
        <v>-9.3158174149536199E-2</v>
      </c>
      <c r="AH427" s="8">
        <f t="shared" si="127"/>
        <v>-0.10803631106952089</v>
      </c>
      <c r="AI427" s="8">
        <f t="shared" si="128"/>
        <v>0.98977255472134329</v>
      </c>
      <c r="AJ427" s="8"/>
      <c r="AK427" s="8"/>
      <c r="AL427" s="8"/>
      <c r="AN427" s="8">
        <f t="shared" si="135"/>
        <v>1.0000000000000002</v>
      </c>
      <c r="AO427" s="8">
        <f t="shared" si="136"/>
        <v>4.0008054912841642</v>
      </c>
      <c r="AP427" s="8">
        <f t="shared" si="137"/>
        <v>0.14314277083783122</v>
      </c>
      <c r="AQ427" s="8"/>
      <c r="AR427" s="8">
        <f t="shared" si="138"/>
        <v>229.22926930334648</v>
      </c>
      <c r="AS427" s="8">
        <f t="shared" si="139"/>
        <v>81.798523363183946</v>
      </c>
    </row>
    <row r="428" spans="1:45">
      <c r="A428" s="19">
        <v>22.889533329999999</v>
      </c>
      <c r="B428" s="19">
        <v>743.05188310000005</v>
      </c>
      <c r="C428" s="19">
        <v>-283.17620570000003</v>
      </c>
      <c r="E428" s="9">
        <f t="shared" si="129"/>
        <v>216.94811689999995</v>
      </c>
      <c r="F428" s="9">
        <f t="shared" si="130"/>
        <v>256.82379429999997</v>
      </c>
      <c r="I428">
        <v>1</v>
      </c>
      <c r="J428">
        <f t="shared" si="125"/>
        <v>0.21954885451617734</v>
      </c>
      <c r="K428">
        <f t="shared" si="131"/>
        <v>0.86936666198468993</v>
      </c>
      <c r="O428">
        <f t="shared" si="132"/>
        <v>0.14054174012297899</v>
      </c>
      <c r="P428">
        <f t="shared" si="133"/>
        <v>0.16637370939958604</v>
      </c>
      <c r="Q428">
        <f t="shared" si="134"/>
        <v>0.97599580332285607</v>
      </c>
      <c r="R428">
        <f t="shared" si="124"/>
        <v>1</v>
      </c>
      <c r="AG428" s="8">
        <f t="shared" si="126"/>
        <v>-9.2861115875543576E-2</v>
      </c>
      <c r="AH428" s="8">
        <f t="shared" si="127"/>
        <v>-0.10810534710662886</v>
      </c>
      <c r="AI428" s="8">
        <f t="shared" si="128"/>
        <v>0.98979293141813462</v>
      </c>
      <c r="AJ428" s="8"/>
      <c r="AK428" s="8"/>
      <c r="AL428" s="8"/>
      <c r="AN428" s="8">
        <f t="shared" si="135"/>
        <v>1</v>
      </c>
      <c r="AO428" s="8">
        <f t="shared" si="136"/>
        <v>4.0027004329071811</v>
      </c>
      <c r="AP428" s="8">
        <f t="shared" si="137"/>
        <v>0.14299986043295076</v>
      </c>
      <c r="AQ428" s="8"/>
      <c r="AR428" s="8">
        <f t="shared" si="138"/>
        <v>229.33784146076903</v>
      </c>
      <c r="AS428" s="8">
        <f t="shared" si="139"/>
        <v>81.806711526232107</v>
      </c>
    </row>
    <row r="429" spans="1:45">
      <c r="A429" s="19">
        <v>22.922899999999998</v>
      </c>
      <c r="B429" s="19">
        <v>743.85598110000001</v>
      </c>
      <c r="C429" s="19">
        <v>-283.8361587</v>
      </c>
      <c r="E429" s="9">
        <f t="shared" si="129"/>
        <v>216.14401889999999</v>
      </c>
      <c r="F429" s="9">
        <f t="shared" si="130"/>
        <v>256.1638413</v>
      </c>
      <c r="I429">
        <v>1</v>
      </c>
      <c r="J429">
        <f t="shared" si="125"/>
        <v>0.21889421025866962</v>
      </c>
      <c r="K429">
        <f t="shared" si="131"/>
        <v>0.86992874368288686</v>
      </c>
      <c r="O429">
        <f t="shared" si="132"/>
        <v>0.14003613839000806</v>
      </c>
      <c r="P429">
        <f t="shared" si="133"/>
        <v>0.16596432005550565</v>
      </c>
      <c r="Q429">
        <f t="shared" si="134"/>
        <v>0.97613816871041781</v>
      </c>
      <c r="R429">
        <f t="shared" si="124"/>
        <v>1</v>
      </c>
      <c r="AG429" s="8">
        <f t="shared" si="126"/>
        <v>-9.2311394692773691E-2</v>
      </c>
      <c r="AH429" s="8">
        <f t="shared" si="127"/>
        <v>-0.10848111432435695</v>
      </c>
      <c r="AI429" s="8">
        <f t="shared" si="128"/>
        <v>0.98980324016686305</v>
      </c>
      <c r="AJ429" s="8"/>
      <c r="AK429" s="8"/>
      <c r="AL429" s="8"/>
      <c r="AN429" s="8">
        <f t="shared" si="135"/>
        <v>1</v>
      </c>
      <c r="AO429" s="8">
        <f t="shared" si="136"/>
        <v>4.0073469096779393</v>
      </c>
      <c r="AP429" s="8">
        <f t="shared" si="137"/>
        <v>0.14292750675209387</v>
      </c>
      <c r="AQ429" s="8"/>
      <c r="AR429" s="8">
        <f t="shared" si="138"/>
        <v>229.60406496933902</v>
      </c>
      <c r="AS429" s="8">
        <f t="shared" si="139"/>
        <v>81.810857086777446</v>
      </c>
    </row>
    <row r="430" spans="1:45">
      <c r="A430" s="19">
        <v>22.956266670000002</v>
      </c>
      <c r="B430" s="19">
        <v>743.86097150000001</v>
      </c>
      <c r="C430" s="19">
        <v>-285.00475490000002</v>
      </c>
      <c r="E430" s="9">
        <f t="shared" si="129"/>
        <v>216.13902849999999</v>
      </c>
      <c r="F430" s="9">
        <f t="shared" si="130"/>
        <v>254.99524509999998</v>
      </c>
      <c r="I430">
        <v>1</v>
      </c>
      <c r="J430">
        <f t="shared" si="125"/>
        <v>0.21832100498562801</v>
      </c>
      <c r="K430">
        <f t="shared" si="131"/>
        <v>0.86768569287659492</v>
      </c>
      <c r="O430">
        <f t="shared" si="132"/>
        <v>0.1400462421609848</v>
      </c>
      <c r="P430">
        <f t="shared" si="133"/>
        <v>0.16522294049810754</v>
      </c>
      <c r="Q430">
        <f t="shared" si="134"/>
        <v>0.97626248006862659</v>
      </c>
      <c r="R430">
        <f t="shared" si="124"/>
        <v>1</v>
      </c>
      <c r="AG430" s="8">
        <f t="shared" si="126"/>
        <v>-9.1594914371974784E-2</v>
      </c>
      <c r="AH430" s="8">
        <f t="shared" si="127"/>
        <v>-0.10827171648077885</v>
      </c>
      <c r="AI430" s="8">
        <f t="shared" si="128"/>
        <v>0.9898927250321099</v>
      </c>
      <c r="AJ430" s="8"/>
      <c r="AK430" s="8"/>
      <c r="AL430" s="8"/>
      <c r="AN430" s="8">
        <f t="shared" si="135"/>
        <v>0.99999999999999989</v>
      </c>
      <c r="AO430" s="8">
        <f t="shared" si="136"/>
        <v>4.0102376333014451</v>
      </c>
      <c r="AP430" s="8">
        <f t="shared" si="137"/>
        <v>0.14229790705115675</v>
      </c>
      <c r="AQ430" s="8"/>
      <c r="AR430" s="8">
        <f t="shared" si="138"/>
        <v>229.76969123270467</v>
      </c>
      <c r="AS430" s="8">
        <f t="shared" si="139"/>
        <v>81.846930492423837</v>
      </c>
    </row>
    <row r="431" spans="1:45">
      <c r="A431" s="19">
        <v>22.98963333</v>
      </c>
      <c r="B431" s="19">
        <v>744.00388769999995</v>
      </c>
      <c r="C431" s="19">
        <v>-285.39495260000001</v>
      </c>
      <c r="E431" s="9">
        <f t="shared" si="129"/>
        <v>215.99611230000005</v>
      </c>
      <c r="F431" s="9">
        <f t="shared" si="130"/>
        <v>254.60504739999999</v>
      </c>
      <c r="I431">
        <v>1</v>
      </c>
      <c r="J431">
        <f t="shared" si="125"/>
        <v>0.21807131038746619</v>
      </c>
      <c r="K431">
        <f t="shared" si="131"/>
        <v>0.86725656697951881</v>
      </c>
      <c r="O431">
        <f t="shared" si="132"/>
        <v>0.13995942804561159</v>
      </c>
      <c r="P431">
        <f t="shared" si="133"/>
        <v>0.16497693607622321</v>
      </c>
      <c r="Q431">
        <f t="shared" si="134"/>
        <v>0.97631653118445505</v>
      </c>
      <c r="R431">
        <f t="shared" si="124"/>
        <v>1</v>
      </c>
      <c r="AG431" s="8">
        <f t="shared" si="126"/>
        <v>-9.1330015587257798E-2</v>
      </c>
      <c r="AH431" s="8">
        <f t="shared" si="127"/>
        <v>-0.10828887211563477</v>
      </c>
      <c r="AI431" s="8">
        <f t="shared" si="128"/>
        <v>0.98991532386803416</v>
      </c>
      <c r="AJ431" s="8"/>
      <c r="AK431" s="8"/>
      <c r="AL431" s="8"/>
      <c r="AN431" s="8">
        <f t="shared" si="135"/>
        <v>1</v>
      </c>
      <c r="AO431" s="8">
        <f t="shared" si="136"/>
        <v>4.0117434775873821</v>
      </c>
      <c r="AP431" s="8">
        <f t="shared" si="137"/>
        <v>0.1421384675501296</v>
      </c>
      <c r="AQ431" s="8"/>
      <c r="AR431" s="8">
        <f t="shared" si="138"/>
        <v>229.85596975489275</v>
      </c>
      <c r="AS431" s="8">
        <f t="shared" si="139"/>
        <v>81.856065702920375</v>
      </c>
    </row>
    <row r="432" spans="1:45">
      <c r="A432" s="19">
        <v>23.023</v>
      </c>
      <c r="B432" s="19">
        <v>744.2600774</v>
      </c>
      <c r="C432" s="19">
        <v>-285.9514393</v>
      </c>
      <c r="E432" s="9">
        <f t="shared" si="129"/>
        <v>215.7399226</v>
      </c>
      <c r="F432" s="9">
        <f t="shared" si="130"/>
        <v>254.0485607</v>
      </c>
      <c r="I432">
        <v>1</v>
      </c>
      <c r="J432">
        <f t="shared" si="125"/>
        <v>0.21769352472323772</v>
      </c>
      <c r="K432">
        <f t="shared" si="131"/>
        <v>0.86676257650898347</v>
      </c>
      <c r="O432">
        <f t="shared" si="132"/>
        <v>0.13980214980030167</v>
      </c>
      <c r="P432">
        <f t="shared" si="133"/>
        <v>0.16462662316507395</v>
      </c>
      <c r="Q432">
        <f t="shared" si="134"/>
        <v>0.97639819431238128</v>
      </c>
      <c r="R432">
        <f t="shared" si="124"/>
        <v>1</v>
      </c>
      <c r="AG432" s="8">
        <f t="shared" si="126"/>
        <v>-9.0942670140055859E-2</v>
      </c>
      <c r="AH432" s="8">
        <f t="shared" si="127"/>
        <v>-0.10834562249242367</v>
      </c>
      <c r="AI432" s="8">
        <f t="shared" si="128"/>
        <v>0.9899447746387301</v>
      </c>
      <c r="AJ432" s="8"/>
      <c r="AK432" s="8"/>
      <c r="AL432" s="8"/>
      <c r="AN432" s="8">
        <f t="shared" si="135"/>
        <v>0.99999999999999989</v>
      </c>
      <c r="AO432" s="8">
        <f t="shared" si="136"/>
        <v>4.0140953658978731</v>
      </c>
      <c r="AP432" s="8">
        <f t="shared" si="137"/>
        <v>0.14193041923562788</v>
      </c>
      <c r="AQ432" s="8"/>
      <c r="AR432" s="8">
        <f t="shared" si="138"/>
        <v>229.99072302897005</v>
      </c>
      <c r="AS432" s="8">
        <f t="shared" si="139"/>
        <v>81.867985993276122</v>
      </c>
    </row>
    <row r="433" spans="1:45">
      <c r="A433" s="19">
        <v>23.056366669999999</v>
      </c>
      <c r="B433" s="19">
        <v>745.60029380000003</v>
      </c>
      <c r="C433" s="19">
        <v>-286.7397919</v>
      </c>
      <c r="E433" s="9">
        <f t="shared" si="129"/>
        <v>214.39970619999997</v>
      </c>
      <c r="F433" s="9">
        <f t="shared" si="130"/>
        <v>253.2602081</v>
      </c>
      <c r="I433">
        <v>1</v>
      </c>
      <c r="J433">
        <f t="shared" si="125"/>
        <v>0.21675335459990999</v>
      </c>
      <c r="K433">
        <f t="shared" si="131"/>
        <v>0.86830334086517125</v>
      </c>
      <c r="O433">
        <f t="shared" si="132"/>
        <v>0.13895514380991347</v>
      </c>
      <c r="P433">
        <f t="shared" si="133"/>
        <v>0.16414112342596168</v>
      </c>
      <c r="Q433">
        <f t="shared" si="134"/>
        <v>0.97660081896813367</v>
      </c>
      <c r="R433">
        <f t="shared" si="124"/>
        <v>1</v>
      </c>
      <c r="AG433" s="8">
        <f t="shared" si="126"/>
        <v>-9.021637987956635E-2</v>
      </c>
      <c r="AH433" s="8">
        <f t="shared" si="127"/>
        <v>-0.10902871500610892</v>
      </c>
      <c r="AI433" s="8">
        <f t="shared" si="128"/>
        <v>0.98993623234304462</v>
      </c>
      <c r="AJ433" s="8"/>
      <c r="AK433" s="8"/>
      <c r="AL433" s="8"/>
      <c r="AN433" s="8">
        <f t="shared" si="135"/>
        <v>0.99999999999999989</v>
      </c>
      <c r="AO433" s="8">
        <f t="shared" si="136"/>
        <v>4.021129795491424</v>
      </c>
      <c r="AP433" s="8">
        <f t="shared" si="137"/>
        <v>0.14199079552825222</v>
      </c>
      <c r="AQ433" s="8"/>
      <c r="AR433" s="8">
        <f t="shared" si="138"/>
        <v>230.39376615596245</v>
      </c>
      <c r="AS433" s="8">
        <f t="shared" si="139"/>
        <v>81.864526686526105</v>
      </c>
    </row>
    <row r="434" spans="1:45">
      <c r="A434" s="19">
        <v>23.089733330000001</v>
      </c>
      <c r="B434" s="19">
        <v>745.63457700000004</v>
      </c>
      <c r="C434" s="19">
        <v>-287.7070779</v>
      </c>
      <c r="E434" s="9">
        <f t="shared" si="129"/>
        <v>214.36542299999996</v>
      </c>
      <c r="F434" s="9">
        <f t="shared" si="130"/>
        <v>252.2929221</v>
      </c>
      <c r="I434">
        <v>1</v>
      </c>
      <c r="J434">
        <f t="shared" si="125"/>
        <v>0.21626657686449074</v>
      </c>
      <c r="K434">
        <f t="shared" si="131"/>
        <v>0.86649457579729761</v>
      </c>
      <c r="O434">
        <f t="shared" si="132"/>
        <v>0.13894397826617566</v>
      </c>
      <c r="P434">
        <f t="shared" si="133"/>
        <v>0.163527222788035</v>
      </c>
      <c r="Q434">
        <f t="shared" si="134"/>
        <v>0.9767053897213841</v>
      </c>
      <c r="R434">
        <f t="shared" si="124"/>
        <v>1</v>
      </c>
      <c r="AG434" s="8">
        <f t="shared" si="126"/>
        <v>-8.9617337794532084E-2</v>
      </c>
      <c r="AH434" s="8">
        <f t="shared" si="127"/>
        <v>-0.1088738698295709</v>
      </c>
      <c r="AI434" s="8">
        <f t="shared" si="128"/>
        <v>0.99000768342218137</v>
      </c>
      <c r="AJ434" s="8"/>
      <c r="AK434" s="8"/>
      <c r="AL434" s="8"/>
      <c r="AN434" s="8">
        <f t="shared" si="135"/>
        <v>0.99999999999999967</v>
      </c>
      <c r="AO434" s="8">
        <f t="shared" si="136"/>
        <v>4.0237026972885754</v>
      </c>
      <c r="AP434" s="8">
        <f t="shared" si="137"/>
        <v>0.14148499657504932</v>
      </c>
      <c r="AQ434" s="8"/>
      <c r="AR434" s="8">
        <f t="shared" si="138"/>
        <v>230.54118257004083</v>
      </c>
      <c r="AS434" s="8">
        <f t="shared" si="139"/>
        <v>81.89350683182677</v>
      </c>
    </row>
    <row r="435" spans="1:45">
      <c r="A435" s="19">
        <v>23.123100000000001</v>
      </c>
      <c r="B435" s="19">
        <v>745.72621809999998</v>
      </c>
      <c r="C435" s="19">
        <v>-289.08584689999998</v>
      </c>
      <c r="E435" s="9">
        <f t="shared" si="129"/>
        <v>214.27378190000002</v>
      </c>
      <c r="F435" s="9">
        <f t="shared" si="130"/>
        <v>250.91415310000002</v>
      </c>
      <c r="I435">
        <v>1</v>
      </c>
      <c r="J435">
        <f t="shared" si="125"/>
        <v>0.21555597214724254</v>
      </c>
      <c r="K435">
        <f t="shared" si="131"/>
        <v>0.86400054862958153</v>
      </c>
      <c r="O435">
        <f t="shared" si="132"/>
        <v>0.13890063456467266</v>
      </c>
      <c r="P435">
        <f t="shared" si="133"/>
        <v>0.16265235428155492</v>
      </c>
      <c r="Q435">
        <f t="shared" si="134"/>
        <v>0.97685762799099785</v>
      </c>
      <c r="R435">
        <f t="shared" si="124"/>
        <v>1</v>
      </c>
      <c r="AG435" s="8">
        <f t="shared" si="126"/>
        <v>-8.8755455968035107E-2</v>
      </c>
      <c r="AH435" s="8">
        <f t="shared" si="127"/>
        <v>-0.10867942672843525</v>
      </c>
      <c r="AI435" s="8">
        <f t="shared" si="128"/>
        <v>0.99010668679788483</v>
      </c>
      <c r="AJ435" s="8"/>
      <c r="AK435" s="8"/>
      <c r="AL435" s="8"/>
      <c r="AN435" s="8">
        <f t="shared" si="135"/>
        <v>0.99999999999999989</v>
      </c>
      <c r="AO435" s="8">
        <f t="shared" si="136"/>
        <v>4.0275644732556461</v>
      </c>
      <c r="AP435" s="8">
        <f t="shared" si="137"/>
        <v>0.14078117287159553</v>
      </c>
      <c r="AQ435" s="8"/>
      <c r="AR435" s="8">
        <f t="shared" si="138"/>
        <v>230.76244603437905</v>
      </c>
      <c r="AS435" s="8">
        <f t="shared" si="139"/>
        <v>81.933832959555929</v>
      </c>
    </row>
    <row r="436" spans="1:45">
      <c r="A436" s="19">
        <v>23.15646667</v>
      </c>
      <c r="B436" s="19">
        <v>746.67572829999995</v>
      </c>
      <c r="C436" s="19">
        <v>-289.11960520000002</v>
      </c>
      <c r="E436" s="9">
        <f t="shared" si="129"/>
        <v>213.32427170000005</v>
      </c>
      <c r="F436" s="9">
        <f t="shared" si="130"/>
        <v>250.88039479999998</v>
      </c>
      <c r="I436">
        <v>1</v>
      </c>
      <c r="J436">
        <f t="shared" si="125"/>
        <v>0.21514481827117862</v>
      </c>
      <c r="K436">
        <f t="shared" si="131"/>
        <v>0.86612656828953705</v>
      </c>
      <c r="O436">
        <f t="shared" si="132"/>
        <v>0.13829433260885021</v>
      </c>
      <c r="P436">
        <f t="shared" si="133"/>
        <v>0.16264129949686754</v>
      </c>
      <c r="Q436">
        <f t="shared" si="134"/>
        <v>0.97694548735650699</v>
      </c>
      <c r="R436">
        <f t="shared" si="124"/>
        <v>1</v>
      </c>
      <c r="AG436" s="8">
        <f t="shared" si="126"/>
        <v>-8.856213190181908E-2</v>
      </c>
      <c r="AH436" s="8">
        <f t="shared" si="127"/>
        <v>-0.10925900349496116</v>
      </c>
      <c r="AI436" s="8">
        <f t="shared" si="128"/>
        <v>0.99006020975913023</v>
      </c>
      <c r="AJ436" s="8"/>
      <c r="AK436" s="8"/>
      <c r="AL436" s="8"/>
      <c r="AN436" s="8">
        <f t="shared" si="135"/>
        <v>1</v>
      </c>
      <c r="AO436" s="8">
        <f t="shared" si="136"/>
        <v>4.0312357259373002</v>
      </c>
      <c r="AP436" s="8">
        <f t="shared" si="137"/>
        <v>0.14111201649013205</v>
      </c>
      <c r="AQ436" s="8"/>
      <c r="AR436" s="8">
        <f t="shared" si="138"/>
        <v>230.9727933185639</v>
      </c>
      <c r="AS436" s="8">
        <f t="shared" si="139"/>
        <v>81.914877016534959</v>
      </c>
    </row>
    <row r="437" spans="1:45">
      <c r="A437" s="19">
        <v>23.189833329999999</v>
      </c>
      <c r="B437" s="19">
        <v>746.83675419999997</v>
      </c>
      <c r="C437" s="19">
        <v>-289.94840119999998</v>
      </c>
      <c r="E437" s="9">
        <f t="shared" si="129"/>
        <v>213.16324580000003</v>
      </c>
      <c r="F437" s="9">
        <f t="shared" si="130"/>
        <v>250.05159880000002</v>
      </c>
      <c r="I437">
        <v>1</v>
      </c>
      <c r="J437">
        <f t="shared" si="125"/>
        <v>0.21467340155633424</v>
      </c>
      <c r="K437">
        <f t="shared" si="131"/>
        <v>0.86486597213370453</v>
      </c>
      <c r="O437">
        <f t="shared" si="132"/>
        <v>0.13820045512571658</v>
      </c>
      <c r="P437">
        <f t="shared" si="133"/>
        <v>0.1621163377831859</v>
      </c>
      <c r="Q437">
        <f t="shared" si="134"/>
        <v>0.97704602103831972</v>
      </c>
      <c r="R437">
        <f t="shared" si="124"/>
        <v>1</v>
      </c>
      <c r="AG437" s="8">
        <f t="shared" si="126"/>
        <v>-8.8024570964336621E-2</v>
      </c>
      <c r="AH437" s="8">
        <f t="shared" si="127"/>
        <v>-0.10920745407964674</v>
      </c>
      <c r="AI437" s="8">
        <f t="shared" si="128"/>
        <v>0.99011383531389274</v>
      </c>
      <c r="AJ437" s="8"/>
      <c r="AK437" s="8"/>
      <c r="AL437" s="8"/>
      <c r="AN437" s="8">
        <f t="shared" si="135"/>
        <v>1</v>
      </c>
      <c r="AO437" s="8">
        <f t="shared" si="136"/>
        <v>4.033981527319825</v>
      </c>
      <c r="AP437" s="8">
        <f t="shared" si="137"/>
        <v>0.14073021809313513</v>
      </c>
      <c r="AQ437" s="8"/>
      <c r="AR437" s="8">
        <f t="shared" si="138"/>
        <v>231.13011614916377</v>
      </c>
      <c r="AS437" s="8">
        <f t="shared" si="139"/>
        <v>81.936752453307747</v>
      </c>
    </row>
    <row r="438" spans="1:45">
      <c r="A438" s="19">
        <v>23.223199999999999</v>
      </c>
      <c r="B438" s="19">
        <v>746.87844889999997</v>
      </c>
      <c r="C438" s="19">
        <v>-290.7433853</v>
      </c>
      <c r="E438" s="9">
        <f t="shared" si="129"/>
        <v>213.12155110000003</v>
      </c>
      <c r="F438" s="9">
        <f t="shared" si="130"/>
        <v>249.2566147</v>
      </c>
      <c r="I438">
        <v>1</v>
      </c>
      <c r="J438">
        <f t="shared" si="125"/>
        <v>0.21426843037694293</v>
      </c>
      <c r="K438">
        <f t="shared" si="131"/>
        <v>0.86339009681210876</v>
      </c>
      <c r="O438">
        <f t="shared" si="132"/>
        <v>0.13818242120819285</v>
      </c>
      <c r="P438">
        <f t="shared" si="133"/>
        <v>0.16161144822581777</v>
      </c>
      <c r="Q438">
        <f t="shared" si="134"/>
        <v>0.97713221125464667</v>
      </c>
      <c r="R438">
        <f t="shared" si="124"/>
        <v>1</v>
      </c>
      <c r="AG438" s="8">
        <f t="shared" si="126"/>
        <v>-8.7529351484221973E-2</v>
      </c>
      <c r="AH438" s="8">
        <f t="shared" si="127"/>
        <v>-0.10908840269213224</v>
      </c>
      <c r="AI438" s="8">
        <f t="shared" si="128"/>
        <v>0.99017086052197623</v>
      </c>
      <c r="AJ438" s="8"/>
      <c r="AK438" s="8"/>
      <c r="AL438" s="8"/>
      <c r="AN438" s="8">
        <f t="shared" si="135"/>
        <v>1.0000000000000002</v>
      </c>
      <c r="AO438" s="8">
        <f t="shared" si="136"/>
        <v>4.0362040851125345</v>
      </c>
      <c r="AP438" s="8">
        <f t="shared" si="137"/>
        <v>0.14032308301905361</v>
      </c>
      <c r="AQ438" s="8"/>
      <c r="AR438" s="8">
        <f t="shared" si="138"/>
        <v>231.25745933040994</v>
      </c>
      <c r="AS438" s="8">
        <f t="shared" si="139"/>
        <v>81.960079574744356</v>
      </c>
    </row>
    <row r="439" spans="1:45">
      <c r="A439" s="19">
        <v>23.256566670000002</v>
      </c>
      <c r="B439" s="19">
        <v>748.04303909999999</v>
      </c>
      <c r="C439" s="19">
        <v>-291.36270810000002</v>
      </c>
      <c r="E439" s="9">
        <f t="shared" si="129"/>
        <v>211.95696090000001</v>
      </c>
      <c r="F439" s="9">
        <f t="shared" si="130"/>
        <v>248.63729189999998</v>
      </c>
      <c r="I439">
        <v>1</v>
      </c>
      <c r="J439">
        <f t="shared" si="125"/>
        <v>0.21348150407053709</v>
      </c>
      <c r="K439">
        <f t="shared" si="131"/>
        <v>0.86486741799590228</v>
      </c>
      <c r="O439">
        <f t="shared" si="132"/>
        <v>0.13744463872302815</v>
      </c>
      <c r="P439">
        <f t="shared" si="133"/>
        <v>0.16123019792867577</v>
      </c>
      <c r="Q439">
        <f t="shared" si="134"/>
        <v>0.97729923491332804</v>
      </c>
      <c r="R439">
        <f t="shared" si="124"/>
        <v>1</v>
      </c>
      <c r="AG439" s="8">
        <f t="shared" si="126"/>
        <v>-8.6937394472809612E-2</v>
      </c>
      <c r="AH439" s="8">
        <f t="shared" si="127"/>
        <v>-0.10969415874182403</v>
      </c>
      <c r="AI439" s="8">
        <f t="shared" si="128"/>
        <v>0.99015608920018394</v>
      </c>
      <c r="AJ439" s="8"/>
      <c r="AK439" s="8"/>
      <c r="AL439" s="8"/>
      <c r="AN439" s="8">
        <f t="shared" si="135"/>
        <v>1</v>
      </c>
      <c r="AO439" s="8">
        <f t="shared" si="136"/>
        <v>4.0422112397427066</v>
      </c>
      <c r="AP439" s="8">
        <f t="shared" si="137"/>
        <v>0.14042865633463419</v>
      </c>
      <c r="AQ439" s="8"/>
      <c r="AR439" s="8">
        <f t="shared" si="138"/>
        <v>231.60164393760127</v>
      </c>
      <c r="AS439" s="8">
        <f t="shared" si="139"/>
        <v>81.954030669332383</v>
      </c>
    </row>
    <row r="440" spans="1:45">
      <c r="A440" s="19">
        <v>23.28993333</v>
      </c>
      <c r="B440" s="19">
        <v>748.0083932</v>
      </c>
      <c r="C440" s="19">
        <v>-291.94276739999998</v>
      </c>
      <c r="E440" s="9">
        <f t="shared" si="129"/>
        <v>211.9916068</v>
      </c>
      <c r="F440" s="9">
        <f t="shared" si="130"/>
        <v>248.05723260000002</v>
      </c>
      <c r="I440">
        <v>1</v>
      </c>
      <c r="J440">
        <f t="shared" si="125"/>
        <v>0.21321295780274913</v>
      </c>
      <c r="K440">
        <f t="shared" si="131"/>
        <v>0.86363336327968976</v>
      </c>
      <c r="O440">
        <f t="shared" si="132"/>
        <v>0.1374729874763603</v>
      </c>
      <c r="P440">
        <f t="shared" si="133"/>
        <v>0.16086093853146077</v>
      </c>
      <c r="Q440">
        <f t="shared" si="134"/>
        <v>0.97735609486466191</v>
      </c>
      <c r="R440">
        <f t="shared" si="124"/>
        <v>1</v>
      </c>
      <c r="AG440" s="8">
        <f t="shared" si="126"/>
        <v>-8.6587748131187789E-2</v>
      </c>
      <c r="AH440" s="8">
        <f t="shared" si="127"/>
        <v>-0.10956712197210461</v>
      </c>
      <c r="AI440" s="8">
        <f t="shared" si="128"/>
        <v>0.99020079158538343</v>
      </c>
      <c r="AJ440" s="8"/>
      <c r="AK440" s="8"/>
      <c r="AL440" s="8"/>
      <c r="AN440" s="8">
        <f t="shared" si="135"/>
        <v>1</v>
      </c>
      <c r="AO440" s="8">
        <f t="shared" si="136"/>
        <v>4.0436084094116129</v>
      </c>
      <c r="AP440" s="8">
        <f t="shared" si="137"/>
        <v>0.14010891797702896</v>
      </c>
      <c r="AQ440" s="8"/>
      <c r="AR440" s="8">
        <f t="shared" si="138"/>
        <v>231.68169586289329</v>
      </c>
      <c r="AS440" s="8">
        <f t="shared" si="139"/>
        <v>81.972350327771608</v>
      </c>
    </row>
    <row r="441" spans="1:45">
      <c r="A441" s="19">
        <v>23.3233</v>
      </c>
      <c r="B441" s="19">
        <v>748.86977660000002</v>
      </c>
      <c r="C441" s="19">
        <v>-292.08042769999997</v>
      </c>
      <c r="E441" s="9">
        <f t="shared" si="129"/>
        <v>211.13022339999998</v>
      </c>
      <c r="F441" s="9">
        <f t="shared" si="130"/>
        <v>247.91957230000003</v>
      </c>
      <c r="I441">
        <v>1</v>
      </c>
      <c r="J441">
        <f t="shared" si="125"/>
        <v>0.21278717040277495</v>
      </c>
      <c r="K441">
        <f t="shared" si="131"/>
        <v>0.86536963448184911</v>
      </c>
      <c r="O441">
        <f t="shared" si="132"/>
        <v>0.13692365791792971</v>
      </c>
      <c r="P441">
        <f t="shared" si="133"/>
        <v>0.16078254530357611</v>
      </c>
      <c r="Q441">
        <f t="shared" si="134"/>
        <v>0.97744610338784266</v>
      </c>
      <c r="R441">
        <f t="shared" si="124"/>
        <v>1</v>
      </c>
      <c r="AG441" s="8">
        <f t="shared" si="126"/>
        <v>-8.6346357881580862E-2</v>
      </c>
      <c r="AH441" s="8">
        <f t="shared" si="127"/>
        <v>-0.11007358939580388</v>
      </c>
      <c r="AI441" s="8">
        <f t="shared" si="128"/>
        <v>0.99016569896058793</v>
      </c>
      <c r="AJ441" s="8"/>
      <c r="AK441" s="8"/>
      <c r="AL441" s="8"/>
      <c r="AN441" s="8">
        <f t="shared" si="135"/>
        <v>0.99999999999999967</v>
      </c>
      <c r="AO441" s="8">
        <f t="shared" si="136"/>
        <v>4.047206815823877</v>
      </c>
      <c r="AP441" s="8">
        <f t="shared" si="137"/>
        <v>0.14035998260084925</v>
      </c>
      <c r="AQ441" s="8"/>
      <c r="AR441" s="8">
        <f t="shared" si="138"/>
        <v>231.88786936328884</v>
      </c>
      <c r="AS441" s="8">
        <f t="shared" si="139"/>
        <v>81.957965384441664</v>
      </c>
    </row>
    <row r="442" spans="1:45">
      <c r="A442" s="19">
        <v>23.356666669999999</v>
      </c>
      <c r="B442" s="19">
        <v>749.77103380000005</v>
      </c>
      <c r="C442" s="19">
        <v>-293.95138709999998</v>
      </c>
      <c r="E442" s="9">
        <f t="shared" si="129"/>
        <v>210.22896619999995</v>
      </c>
      <c r="F442" s="9">
        <f t="shared" si="130"/>
        <v>246.04861290000002</v>
      </c>
      <c r="I442">
        <v>1</v>
      </c>
      <c r="J442">
        <f t="shared" si="125"/>
        <v>0.21149849859713313</v>
      </c>
      <c r="K442">
        <f t="shared" si="131"/>
        <v>0.86374155582402445</v>
      </c>
      <c r="O442">
        <f t="shared" si="132"/>
        <v>0.13636689169967017</v>
      </c>
      <c r="P442">
        <f t="shared" si="133"/>
        <v>0.15960162462230851</v>
      </c>
      <c r="Q442">
        <f t="shared" si="134"/>
        <v>0.97771743989052895</v>
      </c>
      <c r="R442">
        <f t="shared" si="124"/>
        <v>1</v>
      </c>
      <c r="AG442" s="8">
        <f t="shared" si="126"/>
        <v>-8.5033432186367316E-2</v>
      </c>
      <c r="AH442" s="8">
        <f t="shared" si="127"/>
        <v>-0.1102889353146902</v>
      </c>
      <c r="AI442" s="8">
        <f t="shared" si="128"/>
        <v>0.99025535401620457</v>
      </c>
      <c r="AJ442" s="8"/>
      <c r="AK442" s="8"/>
      <c r="AL442" s="8"/>
      <c r="AN442" s="8">
        <f t="shared" si="135"/>
        <v>1.0000000000000002</v>
      </c>
      <c r="AO442" s="8">
        <f t="shared" si="136"/>
        <v>4.0555790093991266</v>
      </c>
      <c r="AP442" s="8">
        <f t="shared" si="137"/>
        <v>0.13971766955692155</v>
      </c>
      <c r="AQ442" s="8"/>
      <c r="AR442" s="8">
        <f t="shared" si="138"/>
        <v>232.36756072041717</v>
      </c>
      <c r="AS442" s="8">
        <f t="shared" si="139"/>
        <v>81.994767210984932</v>
      </c>
    </row>
    <row r="443" spans="1:45">
      <c r="A443" s="19">
        <v>23.390033330000001</v>
      </c>
      <c r="B443" s="19">
        <v>749.88676829999997</v>
      </c>
      <c r="C443" s="19">
        <v>-294.0942751</v>
      </c>
      <c r="E443" s="9">
        <f t="shared" si="129"/>
        <v>210.11323170000003</v>
      </c>
      <c r="F443" s="9">
        <f t="shared" si="130"/>
        <v>245.9057249</v>
      </c>
      <c r="I443">
        <v>1</v>
      </c>
      <c r="J443">
        <f t="shared" si="125"/>
        <v>0.21138052038904107</v>
      </c>
      <c r="K443">
        <f t="shared" si="131"/>
        <v>0.86372662524177324</v>
      </c>
      <c r="O443">
        <f t="shared" si="132"/>
        <v>0.13629434173279403</v>
      </c>
      <c r="P443">
        <f t="shared" si="133"/>
        <v>0.15951189095708451</v>
      </c>
      <c r="Q443">
        <f t="shared" si="134"/>
        <v>0.97774219969014298</v>
      </c>
      <c r="R443">
        <f t="shared" si="124"/>
        <v>1</v>
      </c>
      <c r="AG443" s="8">
        <f t="shared" si="126"/>
        <v>-8.4924575721265314E-2</v>
      </c>
      <c r="AH443" s="8">
        <f t="shared" si="127"/>
        <v>-0.11033432899790548</v>
      </c>
      <c r="AI443" s="8">
        <f t="shared" si="128"/>
        <v>0.99025963882364954</v>
      </c>
      <c r="AJ443" s="8"/>
      <c r="AK443" s="8"/>
      <c r="AL443" s="8"/>
      <c r="AN443" s="8">
        <f t="shared" si="135"/>
        <v>0.99999999999999978</v>
      </c>
      <c r="AO443" s="8">
        <f t="shared" si="136"/>
        <v>4.0563972441692577</v>
      </c>
      <c r="AP443" s="8">
        <f t="shared" si="137"/>
        <v>0.13968689857242889</v>
      </c>
      <c r="AQ443" s="8"/>
      <c r="AR443" s="8">
        <f t="shared" si="138"/>
        <v>232.41444211939654</v>
      </c>
      <c r="AS443" s="8">
        <f t="shared" si="139"/>
        <v>81.996530258527827</v>
      </c>
    </row>
    <row r="444" spans="1:45">
      <c r="A444" s="19">
        <v>23.423400000000001</v>
      </c>
      <c r="B444" s="19">
        <v>750.07180159999996</v>
      </c>
      <c r="C444" s="19">
        <v>-294.52097889999999</v>
      </c>
      <c r="E444" s="9">
        <f t="shared" si="129"/>
        <v>209.92819840000004</v>
      </c>
      <c r="F444" s="9">
        <f t="shared" si="130"/>
        <v>245.47902110000001</v>
      </c>
      <c r="I444">
        <v>1</v>
      </c>
      <c r="J444">
        <f t="shared" si="125"/>
        <v>0.21109515443616811</v>
      </c>
      <c r="K444">
        <f t="shared" si="131"/>
        <v>0.86330397824526828</v>
      </c>
      <c r="O444">
        <f t="shared" si="132"/>
        <v>0.1361804014385308</v>
      </c>
      <c r="P444">
        <f t="shared" si="133"/>
        <v>0.15924221659083018</v>
      </c>
      <c r="Q444">
        <f t="shared" si="134"/>
        <v>0.97780203247859931</v>
      </c>
      <c r="R444">
        <f t="shared" si="124"/>
        <v>1</v>
      </c>
      <c r="AG444" s="8">
        <f t="shared" si="126"/>
        <v>-8.4628760714014026E-2</v>
      </c>
      <c r="AH444" s="8">
        <f t="shared" si="127"/>
        <v>-0.11037077007485455</v>
      </c>
      <c r="AI444" s="8">
        <f t="shared" si="128"/>
        <v>0.99028090255901313</v>
      </c>
      <c r="AJ444" s="8"/>
      <c r="AK444" s="8"/>
      <c r="AL444" s="8"/>
      <c r="AN444" s="8">
        <f t="shared" si="135"/>
        <v>0.99999999999999989</v>
      </c>
      <c r="AO444" s="8">
        <f t="shared" si="136"/>
        <v>4.0582425176334525</v>
      </c>
      <c r="AP444" s="8">
        <f t="shared" si="137"/>
        <v>0.13953409510254455</v>
      </c>
      <c r="AQ444" s="8"/>
      <c r="AR444" s="8">
        <f t="shared" si="138"/>
        <v>232.52016850094239</v>
      </c>
      <c r="AS444" s="8">
        <f t="shared" si="139"/>
        <v>82.005285252447152</v>
      </c>
    </row>
    <row r="445" spans="1:45">
      <c r="A445" s="19">
        <v>23.45676667</v>
      </c>
      <c r="B445" s="19">
        <v>750.08081970000001</v>
      </c>
      <c r="C445" s="19">
        <v>-295.9172337</v>
      </c>
      <c r="E445" s="9">
        <f t="shared" si="129"/>
        <v>209.91918029999999</v>
      </c>
      <c r="F445" s="9">
        <f t="shared" si="130"/>
        <v>244.0827663</v>
      </c>
      <c r="I445">
        <v>1</v>
      </c>
      <c r="J445">
        <f t="shared" si="125"/>
        <v>0.2104109525088457</v>
      </c>
      <c r="K445">
        <f t="shared" si="131"/>
        <v>0.8605064756150731</v>
      </c>
      <c r="O445">
        <f t="shared" si="132"/>
        <v>0.13618908357644904</v>
      </c>
      <c r="P445">
        <f t="shared" si="133"/>
        <v>0.15835336347872342</v>
      </c>
      <c r="Q445">
        <f t="shared" si="134"/>
        <v>0.97794516502183404</v>
      </c>
      <c r="R445">
        <f t="shared" si="124"/>
        <v>1</v>
      </c>
      <c r="AG445" s="8">
        <f t="shared" si="126"/>
        <v>-8.3769418814410843E-2</v>
      </c>
      <c r="AH445" s="8">
        <f t="shared" si="127"/>
        <v>-0.11012177826607597</v>
      </c>
      <c r="AI445" s="8">
        <f t="shared" si="128"/>
        <v>0.99038168320249786</v>
      </c>
      <c r="AJ445" s="8"/>
      <c r="AK445" s="8"/>
      <c r="AL445" s="8"/>
      <c r="AN445" s="8">
        <f t="shared" si="135"/>
        <v>0.99999999999999978</v>
      </c>
      <c r="AO445" s="8">
        <f t="shared" si="136"/>
        <v>4.0620762220994564</v>
      </c>
      <c r="AP445" s="8">
        <f t="shared" si="137"/>
        <v>0.13880760164314854</v>
      </c>
      <c r="AQ445" s="8"/>
      <c r="AR445" s="8">
        <f t="shared" si="138"/>
        <v>232.73982358674488</v>
      </c>
      <c r="AS445" s="8">
        <f t="shared" si="139"/>
        <v>82.046910261514398</v>
      </c>
    </row>
    <row r="446" spans="1:45">
      <c r="A446" s="19">
        <v>23.490133329999999</v>
      </c>
      <c r="B446" s="19">
        <v>750.99980310000001</v>
      </c>
      <c r="C446" s="19">
        <v>-296.23612229999998</v>
      </c>
      <c r="E446" s="9">
        <f t="shared" si="129"/>
        <v>209.00019689999999</v>
      </c>
      <c r="F446" s="9">
        <f t="shared" si="130"/>
        <v>243.76387770000002</v>
      </c>
      <c r="I446">
        <v>1</v>
      </c>
      <c r="J446">
        <f t="shared" si="125"/>
        <v>0.20987115391405764</v>
      </c>
      <c r="K446">
        <f t="shared" si="131"/>
        <v>0.86202881720079494</v>
      </c>
      <c r="O446">
        <f t="shared" si="132"/>
        <v>0.13560423306554389</v>
      </c>
      <c r="P446">
        <f t="shared" si="133"/>
        <v>0.15815972508584533</v>
      </c>
      <c r="Q446">
        <f t="shared" si="134"/>
        <v>0.9780577658479459</v>
      </c>
      <c r="R446">
        <f t="shared" si="124"/>
        <v>1</v>
      </c>
      <c r="AG446" s="8">
        <f t="shared" si="126"/>
        <v>-8.3405699082006665E-2</v>
      </c>
      <c r="AH446" s="8">
        <f t="shared" si="127"/>
        <v>-0.11063094848296801</v>
      </c>
      <c r="AI446" s="8">
        <f t="shared" si="128"/>
        <v>0.99035563440533847</v>
      </c>
      <c r="AJ446" s="8"/>
      <c r="AK446" s="8"/>
      <c r="AL446" s="8"/>
      <c r="AN446" s="8">
        <f t="shared" si="135"/>
        <v>0.99999999999999989</v>
      </c>
      <c r="AO446" s="8">
        <f t="shared" si="136"/>
        <v>4.0663906214578969</v>
      </c>
      <c r="AP446" s="8">
        <f t="shared" si="137"/>
        <v>0.13899574012121541</v>
      </c>
      <c r="AQ446" s="8"/>
      <c r="AR446" s="8">
        <f t="shared" si="138"/>
        <v>232.98702046111745</v>
      </c>
      <c r="AS446" s="8">
        <f t="shared" si="139"/>
        <v>82.036130720757157</v>
      </c>
    </row>
    <row r="447" spans="1:45">
      <c r="A447" s="19">
        <v>23.523499999999999</v>
      </c>
      <c r="B447" s="19">
        <v>751.52398270000003</v>
      </c>
      <c r="C447" s="19">
        <v>-297.04174260000002</v>
      </c>
      <c r="E447" s="9">
        <f t="shared" si="129"/>
        <v>208.47601729999997</v>
      </c>
      <c r="F447" s="9">
        <f t="shared" si="130"/>
        <v>242.95825739999998</v>
      </c>
      <c r="I447">
        <v>1</v>
      </c>
      <c r="J447">
        <f t="shared" si="125"/>
        <v>0.20925922006175557</v>
      </c>
      <c r="K447">
        <f t="shared" si="131"/>
        <v>0.86163387229105004</v>
      </c>
      <c r="O447">
        <f t="shared" si="132"/>
        <v>0.13527691492461558</v>
      </c>
      <c r="P447">
        <f t="shared" si="133"/>
        <v>0.15765191575603191</v>
      </c>
      <c r="Q447">
        <f t="shared" si="134"/>
        <v>0.97818506927213489</v>
      </c>
      <c r="R447">
        <f t="shared" si="124"/>
        <v>1</v>
      </c>
      <c r="AG447" s="8">
        <f t="shared" si="126"/>
        <v>-8.2814852597820843E-2</v>
      </c>
      <c r="AH447" s="8">
        <f t="shared" si="127"/>
        <v>-0.1108076526434409</v>
      </c>
      <c r="AI447" s="8">
        <f t="shared" si="128"/>
        <v>0.99038546248662784</v>
      </c>
      <c r="AJ447" s="8"/>
      <c r="AK447" s="8"/>
      <c r="AL447" s="8"/>
      <c r="AN447" s="8">
        <f t="shared" si="135"/>
        <v>1</v>
      </c>
      <c r="AO447" s="8">
        <f t="shared" si="136"/>
        <v>4.0705700867332784</v>
      </c>
      <c r="AP447" s="8">
        <f t="shared" si="137"/>
        <v>0.13878028456258806</v>
      </c>
      <c r="AQ447" s="8"/>
      <c r="AR447" s="8">
        <f t="shared" si="138"/>
        <v>233.22648618201831</v>
      </c>
      <c r="AS447" s="8">
        <f t="shared" si="139"/>
        <v>82.048475414939134</v>
      </c>
    </row>
    <row r="448" spans="1:45">
      <c r="A448" s="19">
        <v>23.556866670000002</v>
      </c>
      <c r="B448" s="19">
        <v>751.90794070000004</v>
      </c>
      <c r="C448" s="19">
        <v>-297.73929020000003</v>
      </c>
      <c r="E448" s="9">
        <f t="shared" si="129"/>
        <v>208.09205929999996</v>
      </c>
      <c r="F448" s="9">
        <f t="shared" si="130"/>
        <v>242.26070979999997</v>
      </c>
      <c r="I448">
        <v>1</v>
      </c>
      <c r="J448">
        <f t="shared" si="125"/>
        <v>0.2087585517937976</v>
      </c>
      <c r="K448">
        <f t="shared" si="131"/>
        <v>0.86112394038327245</v>
      </c>
      <c r="O448">
        <f t="shared" si="132"/>
        <v>0.13503816068977872</v>
      </c>
      <c r="P448">
        <f t="shared" si="133"/>
        <v>0.15721138408087376</v>
      </c>
      <c r="Q448">
        <f t="shared" si="134"/>
        <v>0.97828895315898234</v>
      </c>
      <c r="R448">
        <f t="shared" si="124"/>
        <v>1</v>
      </c>
      <c r="AG448" s="8">
        <f t="shared" si="126"/>
        <v>-8.2315912760971444E-2</v>
      </c>
      <c r="AH448" s="8">
        <f t="shared" si="127"/>
        <v>-0.11091748968264971</v>
      </c>
      <c r="AI448" s="8">
        <f t="shared" si="128"/>
        <v>0.9904147621016296</v>
      </c>
      <c r="AJ448" s="8"/>
      <c r="AK448" s="8"/>
      <c r="AL448" s="8"/>
      <c r="AN448" s="8">
        <f t="shared" si="135"/>
        <v>1</v>
      </c>
      <c r="AO448" s="8">
        <f t="shared" si="136"/>
        <v>4.0739395642157836</v>
      </c>
      <c r="AP448" s="8">
        <f t="shared" si="137"/>
        <v>0.13856832219125925</v>
      </c>
      <c r="AQ448" s="8"/>
      <c r="AR448" s="8">
        <f t="shared" si="138"/>
        <v>233.41954302093023</v>
      </c>
      <c r="AS448" s="8">
        <f t="shared" si="139"/>
        <v>82.060619964231861</v>
      </c>
    </row>
    <row r="449" spans="1:45">
      <c r="A449" s="19">
        <v>23.59023333</v>
      </c>
      <c r="B449" s="19">
        <v>752.15382090000003</v>
      </c>
      <c r="C449" s="19">
        <v>-298.5911658</v>
      </c>
      <c r="E449" s="9">
        <f t="shared" si="129"/>
        <v>207.84617909999997</v>
      </c>
      <c r="F449" s="9">
        <f t="shared" si="130"/>
        <v>241.4088342</v>
      </c>
      <c r="I449">
        <v>1</v>
      </c>
      <c r="J449">
        <f t="shared" si="125"/>
        <v>0.20824054172946502</v>
      </c>
      <c r="K449">
        <f t="shared" si="131"/>
        <v>0.85996699964232448</v>
      </c>
      <c r="O449">
        <f t="shared" si="132"/>
        <v>0.1348892922182314</v>
      </c>
      <c r="P449">
        <f t="shared" si="133"/>
        <v>0.15667099064062792</v>
      </c>
      <c r="Q449">
        <f t="shared" si="134"/>
        <v>0.97839617718823335</v>
      </c>
      <c r="R449">
        <f t="shared" si="124"/>
        <v>1</v>
      </c>
      <c r="AG449" s="8">
        <f t="shared" si="126"/>
        <v>-8.1747217393230723E-2</v>
      </c>
      <c r="AH449" s="8">
        <f t="shared" si="127"/>
        <v>-0.11091389935600462</v>
      </c>
      <c r="AI449" s="8">
        <f t="shared" si="128"/>
        <v>0.99046226549935257</v>
      </c>
      <c r="AJ449" s="8"/>
      <c r="AK449" s="8"/>
      <c r="AL449" s="8"/>
      <c r="AN449" s="8">
        <f t="shared" si="135"/>
        <v>1</v>
      </c>
      <c r="AO449" s="8">
        <f t="shared" si="136"/>
        <v>4.0772384562083825</v>
      </c>
      <c r="AP449" s="8">
        <f t="shared" si="137"/>
        <v>0.13822398183577556</v>
      </c>
      <c r="AQ449" s="8"/>
      <c r="AR449" s="8">
        <f t="shared" si="138"/>
        <v>233.60855560917565</v>
      </c>
      <c r="AS449" s="8">
        <f t="shared" si="139"/>
        <v>82.080349213317106</v>
      </c>
    </row>
    <row r="450" spans="1:45">
      <c r="A450" s="19">
        <v>23.6236</v>
      </c>
      <c r="B450" s="19">
        <v>752.40652939999995</v>
      </c>
      <c r="C450" s="19">
        <v>-299.28114090000003</v>
      </c>
      <c r="E450" s="9">
        <f t="shared" si="129"/>
        <v>207.59347060000005</v>
      </c>
      <c r="F450" s="9">
        <f t="shared" si="130"/>
        <v>240.71885909999997</v>
      </c>
      <c r="I450">
        <v>1</v>
      </c>
      <c r="J450">
        <f t="shared" si="125"/>
        <v>0.20779862919660855</v>
      </c>
      <c r="K450">
        <f t="shared" si="131"/>
        <v>0.85915322043985265</v>
      </c>
      <c r="O450">
        <f t="shared" si="132"/>
        <v>0.13473436112696791</v>
      </c>
      <c r="P450">
        <f t="shared" si="133"/>
        <v>0.15623372738222863</v>
      </c>
      <c r="Q450">
        <f t="shared" si="134"/>
        <v>0.97848744210641925</v>
      </c>
      <c r="R450">
        <f t="shared" si="124"/>
        <v>1</v>
      </c>
      <c r="AG450" s="8">
        <f t="shared" si="126"/>
        <v>-8.1276713147039881E-2</v>
      </c>
      <c r="AH450" s="8">
        <f t="shared" si="127"/>
        <v>-0.1109440424973627</v>
      </c>
      <c r="AI450" s="8">
        <f t="shared" si="128"/>
        <v>0.99049760995893221</v>
      </c>
      <c r="AJ450" s="8"/>
      <c r="AK450" s="8"/>
      <c r="AL450" s="8"/>
      <c r="AN450" s="8">
        <f t="shared" si="135"/>
        <v>0.99999999999999989</v>
      </c>
      <c r="AO450" s="8">
        <f t="shared" si="136"/>
        <v>4.0801224251136148</v>
      </c>
      <c r="AP450" s="8">
        <f t="shared" si="137"/>
        <v>0.13796722457412014</v>
      </c>
      <c r="AQ450" s="8"/>
      <c r="AR450" s="8">
        <f t="shared" si="138"/>
        <v>233.77379485569242</v>
      </c>
      <c r="AS450" s="8">
        <f t="shared" si="139"/>
        <v>82.095060320769306</v>
      </c>
    </row>
    <row r="451" spans="1:45">
      <c r="A451" s="19">
        <v>23.656966669999999</v>
      </c>
      <c r="B451" s="19">
        <v>752.97864760000004</v>
      </c>
      <c r="C451" s="19">
        <v>-299.91437020000001</v>
      </c>
      <c r="E451" s="9">
        <f t="shared" si="129"/>
        <v>207.02135239999996</v>
      </c>
      <c r="F451" s="9">
        <f t="shared" si="130"/>
        <v>240.08562979999999</v>
      </c>
      <c r="I451">
        <v>1</v>
      </c>
      <c r="J451">
        <f t="shared" si="125"/>
        <v>0.20725024848956936</v>
      </c>
      <c r="K451">
        <f t="shared" si="131"/>
        <v>0.85921539577338513</v>
      </c>
      <c r="O451">
        <f t="shared" si="132"/>
        <v>0.13437422052590062</v>
      </c>
      <c r="P451">
        <f t="shared" si="133"/>
        <v>0.15583570964946006</v>
      </c>
      <c r="Q451">
        <f t="shared" si="134"/>
        <v>0.97860042941749514</v>
      </c>
      <c r="R451">
        <f t="shared" si="124"/>
        <v>1</v>
      </c>
      <c r="AG451" s="8">
        <f t="shared" si="126"/>
        <v>-8.0782574488119929E-2</v>
      </c>
      <c r="AH451" s="8">
        <f t="shared" si="127"/>
        <v>-0.11118178813282539</v>
      </c>
      <c r="AI451" s="8">
        <f t="shared" si="128"/>
        <v>0.99051137582900028</v>
      </c>
      <c r="AJ451" s="8"/>
      <c r="AK451" s="8"/>
      <c r="AL451" s="8"/>
      <c r="AN451" s="8">
        <f t="shared" si="135"/>
        <v>1.0000000000000002</v>
      </c>
      <c r="AO451" s="8">
        <f t="shared" si="136"/>
        <v>4.084045271735552</v>
      </c>
      <c r="AP451" s="8">
        <f t="shared" si="137"/>
        <v>0.13786709484717807</v>
      </c>
      <c r="AQ451" s="8"/>
      <c r="AR451" s="8">
        <f t="shared" si="138"/>
        <v>233.99855741080657</v>
      </c>
      <c r="AS451" s="8">
        <f t="shared" si="139"/>
        <v>82.100797331526877</v>
      </c>
    </row>
    <row r="452" spans="1:45">
      <c r="A452" s="19">
        <v>23.690333330000001</v>
      </c>
      <c r="B452" s="19">
        <v>753.61902740000005</v>
      </c>
      <c r="C452" s="19">
        <v>-300.36187109999997</v>
      </c>
      <c r="E452" s="9">
        <f t="shared" si="129"/>
        <v>206.38097259999995</v>
      </c>
      <c r="F452" s="9">
        <f t="shared" si="130"/>
        <v>239.63812890000003</v>
      </c>
      <c r="I452">
        <v>1</v>
      </c>
      <c r="J452">
        <f t="shared" si="125"/>
        <v>0.20676357096731929</v>
      </c>
      <c r="K452">
        <f t="shared" si="131"/>
        <v>0.85982485502982131</v>
      </c>
      <c r="O452">
        <f t="shared" si="132"/>
        <v>0.13396840924278589</v>
      </c>
      <c r="P452">
        <f t="shared" si="133"/>
        <v>0.15555668004759995</v>
      </c>
      <c r="Q452">
        <f t="shared" si="134"/>
        <v>0.97870045704368913</v>
      </c>
      <c r="R452">
        <f t="shared" si="124"/>
        <v>1</v>
      </c>
      <c r="AG452" s="8">
        <f t="shared" si="126"/>
        <v>-8.0390081156117593E-2</v>
      </c>
      <c r="AH452" s="8">
        <f t="shared" si="127"/>
        <v>-0.11149560918675722</v>
      </c>
      <c r="AI452" s="8">
        <f t="shared" si="128"/>
        <v>0.99050803327574621</v>
      </c>
      <c r="AJ452" s="8"/>
      <c r="AK452" s="8"/>
      <c r="AL452" s="8"/>
      <c r="AN452" s="8">
        <f t="shared" si="135"/>
        <v>1</v>
      </c>
      <c r="AO452" s="8">
        <f t="shared" si="136"/>
        <v>4.0876973426489585</v>
      </c>
      <c r="AP452" s="8">
        <f t="shared" si="137"/>
        <v>0.13789141444120045</v>
      </c>
      <c r="AQ452" s="8"/>
      <c r="AR452" s="8">
        <f t="shared" si="138"/>
        <v>234.20780566062726</v>
      </c>
      <c r="AS452" s="8">
        <f t="shared" si="139"/>
        <v>82.099403921429925</v>
      </c>
    </row>
    <row r="453" spans="1:45">
      <c r="A453" s="19">
        <v>23.723700000000001</v>
      </c>
      <c r="B453" s="19">
        <v>753.77989379999997</v>
      </c>
      <c r="C453" s="19">
        <v>-301.3092757</v>
      </c>
      <c r="E453" s="9">
        <f t="shared" si="129"/>
        <v>206.22010620000003</v>
      </c>
      <c r="F453" s="9">
        <f t="shared" si="130"/>
        <v>238.6907243</v>
      </c>
      <c r="I453">
        <v>1</v>
      </c>
      <c r="J453">
        <f t="shared" si="125"/>
        <v>0.20623473632012429</v>
      </c>
      <c r="K453">
        <f t="shared" si="131"/>
        <v>0.85825130326246279</v>
      </c>
      <c r="O453">
        <f t="shared" si="132"/>
        <v>0.13387463311039344</v>
      </c>
      <c r="P453">
        <f t="shared" si="133"/>
        <v>0.1549540136087689</v>
      </c>
      <c r="Q453">
        <f t="shared" si="134"/>
        <v>0.97880888649219522</v>
      </c>
      <c r="R453">
        <f t="shared" si="124"/>
        <v>1</v>
      </c>
      <c r="AG453" s="8">
        <f t="shared" si="126"/>
        <v>-7.97777075583046E-2</v>
      </c>
      <c r="AH453" s="8">
        <f t="shared" si="127"/>
        <v>-0.11142201229433095</v>
      </c>
      <c r="AI453" s="8">
        <f t="shared" si="128"/>
        <v>0.99056582444228503</v>
      </c>
      <c r="AJ453" s="8"/>
      <c r="AK453" s="8"/>
      <c r="AL453" s="8"/>
      <c r="AN453" s="8">
        <f t="shared" si="135"/>
        <v>1.0000000000000002</v>
      </c>
      <c r="AO453" s="8">
        <f t="shared" si="136"/>
        <v>4.0910079685813683</v>
      </c>
      <c r="AP453" s="8">
        <f t="shared" si="137"/>
        <v>0.13747033814571519</v>
      </c>
      <c r="AQ453" s="8"/>
      <c r="AR453" s="8">
        <f t="shared" si="138"/>
        <v>234.3974905541009</v>
      </c>
      <c r="AS453" s="8">
        <f t="shared" si="139"/>
        <v>82.123529816014226</v>
      </c>
    </row>
    <row r="454" spans="1:45">
      <c r="A454" s="19">
        <v>23.75706667</v>
      </c>
      <c r="B454" s="19">
        <v>754.17458710000005</v>
      </c>
      <c r="C454" s="19">
        <v>-302.2591486</v>
      </c>
      <c r="E454" s="9">
        <f t="shared" si="129"/>
        <v>205.82541289999995</v>
      </c>
      <c r="F454" s="9">
        <f t="shared" si="130"/>
        <v>237.7408514</v>
      </c>
      <c r="I454">
        <v>1</v>
      </c>
      <c r="J454">
        <f t="shared" si="125"/>
        <v>0.20560663616323344</v>
      </c>
      <c r="K454">
        <f t="shared" si="131"/>
        <v>0.85722628759921549</v>
      </c>
      <c r="O454">
        <f t="shared" si="132"/>
        <v>0.13363096382529296</v>
      </c>
      <c r="P454">
        <f t="shared" si="133"/>
        <v>0.15435187844691922</v>
      </c>
      <c r="Q454">
        <f t="shared" si="134"/>
        <v>0.97893731317537935</v>
      </c>
      <c r="R454">
        <f t="shared" si="124"/>
        <v>1</v>
      </c>
      <c r="AG454" s="8">
        <f t="shared" si="126"/>
        <v>-7.9120834185379657E-2</v>
      </c>
      <c r="AH454" s="8">
        <f t="shared" si="127"/>
        <v>-0.11149235404128273</v>
      </c>
      <c r="AI454" s="8">
        <f t="shared" si="128"/>
        <v>0.99061059381986361</v>
      </c>
      <c r="AJ454" s="8"/>
      <c r="AK454" s="8"/>
      <c r="AL454" s="8"/>
      <c r="AN454" s="8">
        <f t="shared" si="135"/>
        <v>0.99999999999999989</v>
      </c>
      <c r="AO454" s="8">
        <f t="shared" si="136"/>
        <v>4.0952141234724335</v>
      </c>
      <c r="AP454" s="8">
        <f t="shared" si="137"/>
        <v>0.13714325774984504</v>
      </c>
      <c r="AQ454" s="8"/>
      <c r="AR454" s="8">
        <f t="shared" si="138"/>
        <v>234.63848547733724</v>
      </c>
      <c r="AS454" s="8">
        <f t="shared" si="139"/>
        <v>82.142270142259065</v>
      </c>
    </row>
    <row r="455" spans="1:45">
      <c r="A455" s="19">
        <v>23.790433329999999</v>
      </c>
      <c r="B455" s="19">
        <v>754.87309149999999</v>
      </c>
      <c r="C455" s="19">
        <v>-302.7775082</v>
      </c>
      <c r="E455" s="9">
        <f t="shared" si="129"/>
        <v>205.12690850000001</v>
      </c>
      <c r="F455" s="9">
        <f t="shared" si="130"/>
        <v>237.2224918</v>
      </c>
      <c r="I455">
        <v>1</v>
      </c>
      <c r="J455">
        <f t="shared" si="125"/>
        <v>0.20506048640573249</v>
      </c>
      <c r="K455">
        <f t="shared" si="131"/>
        <v>0.85782832333907832</v>
      </c>
      <c r="O455">
        <f t="shared" si="132"/>
        <v>0.13318829194811854</v>
      </c>
      <c r="P455">
        <f t="shared" si="133"/>
        <v>0.15402785878050007</v>
      </c>
      <c r="Q455">
        <f t="shared" si="134"/>
        <v>0.97904866968268589</v>
      </c>
      <c r="R455">
        <f t="shared" si="124"/>
        <v>1</v>
      </c>
      <c r="AG455" s="8">
        <f t="shared" si="126"/>
        <v>-7.8673741762398747E-2</v>
      </c>
      <c r="AH455" s="8">
        <f t="shared" si="127"/>
        <v>-0.11182917775347165</v>
      </c>
      <c r="AI455" s="8">
        <f t="shared" si="128"/>
        <v>0.99060823606513881</v>
      </c>
      <c r="AJ455" s="8"/>
      <c r="AK455" s="8"/>
      <c r="AL455" s="8"/>
      <c r="AN455" s="8">
        <f t="shared" si="135"/>
        <v>0.99999999999999989</v>
      </c>
      <c r="AO455" s="8">
        <f t="shared" si="136"/>
        <v>4.0993064268480905</v>
      </c>
      <c r="AP455" s="8">
        <f t="shared" si="137"/>
        <v>0.1371605025939393</v>
      </c>
      <c r="AQ455" s="8"/>
      <c r="AR455" s="8">
        <f t="shared" si="138"/>
        <v>234.87295718924952</v>
      </c>
      <c r="AS455" s="8">
        <f t="shared" si="139"/>
        <v>82.141282085474103</v>
      </c>
    </row>
    <row r="456" spans="1:45">
      <c r="A456" s="19">
        <v>23.823799999999999</v>
      </c>
      <c r="B456" s="19">
        <v>755.56186200000002</v>
      </c>
      <c r="C456" s="19">
        <v>-303.69795490000001</v>
      </c>
      <c r="E456" s="9">
        <f t="shared" si="129"/>
        <v>204.43813799999998</v>
      </c>
      <c r="F456" s="9">
        <f t="shared" si="130"/>
        <v>236.30204509999999</v>
      </c>
      <c r="I456">
        <v>1</v>
      </c>
      <c r="J456">
        <f t="shared" si="125"/>
        <v>0.20432266064983676</v>
      </c>
      <c r="K456">
        <f t="shared" si="131"/>
        <v>0.85756894960371299</v>
      </c>
      <c r="O456">
        <f t="shared" si="132"/>
        <v>0.13275557305728675</v>
      </c>
      <c r="P456">
        <f t="shared" si="133"/>
        <v>0.15344697285327122</v>
      </c>
      <c r="Q456">
        <f t="shared" si="134"/>
        <v>0.97919864396576795</v>
      </c>
      <c r="R456">
        <f t="shared" si="124"/>
        <v>1</v>
      </c>
      <c r="AG456" s="8">
        <f t="shared" si="126"/>
        <v>-7.7980736295414604E-2</v>
      </c>
      <c r="AH456" s="8">
        <f t="shared" si="127"/>
        <v>-0.11208656662297788</v>
      </c>
      <c r="AI456" s="8">
        <f t="shared" si="128"/>
        <v>0.99063394165024332</v>
      </c>
      <c r="AJ456" s="8"/>
      <c r="AK456" s="8"/>
      <c r="AL456" s="8"/>
      <c r="AN456" s="8">
        <f t="shared" si="135"/>
        <v>1</v>
      </c>
      <c r="AO456" s="8">
        <f t="shared" si="136"/>
        <v>4.1045420592638298</v>
      </c>
      <c r="AP456" s="8">
        <f t="shared" si="137"/>
        <v>0.13697237301466747</v>
      </c>
      <c r="AQ456" s="8"/>
      <c r="AR456" s="8">
        <f t="shared" si="138"/>
        <v>235.17293682975327</v>
      </c>
      <c r="AS456" s="8">
        <f t="shared" si="139"/>
        <v>82.152061116367946</v>
      </c>
    </row>
    <row r="457" spans="1:45">
      <c r="A457" s="19">
        <v>23.857166670000002</v>
      </c>
      <c r="B457" s="19">
        <v>755.75510580000002</v>
      </c>
      <c r="C457" s="19">
        <v>-303.99910340000002</v>
      </c>
      <c r="E457" s="9">
        <f t="shared" si="129"/>
        <v>204.24489419999998</v>
      </c>
      <c r="F457" s="9">
        <f t="shared" si="130"/>
        <v>236.00089659999998</v>
      </c>
      <c r="I457">
        <v>1</v>
      </c>
      <c r="J457">
        <f t="shared" si="125"/>
        <v>0.20409474265442665</v>
      </c>
      <c r="K457">
        <f t="shared" si="131"/>
        <v>0.85740588711548238</v>
      </c>
      <c r="O457">
        <f t="shared" si="132"/>
        <v>0.13263454199857899</v>
      </c>
      <c r="P457">
        <f t="shared" si="133"/>
        <v>0.15325656464706378</v>
      </c>
      <c r="Q457">
        <f t="shared" si="134"/>
        <v>0.97924486399541943</v>
      </c>
      <c r="R457">
        <f t="shared" si="124"/>
        <v>1</v>
      </c>
      <c r="AG457" s="8">
        <f t="shared" si="126"/>
        <v>-7.7759842340403937E-2</v>
      </c>
      <c r="AH457" s="8">
        <f t="shared" si="127"/>
        <v>-0.11215094361458502</v>
      </c>
      <c r="AI457" s="8">
        <f t="shared" si="128"/>
        <v>0.99064401919435907</v>
      </c>
      <c r="AJ457" s="8"/>
      <c r="AK457" s="8"/>
      <c r="AL457" s="8"/>
      <c r="AN457" s="8">
        <f t="shared" si="135"/>
        <v>1</v>
      </c>
      <c r="AO457" s="8">
        <f t="shared" si="136"/>
        <v>4.1061401472340391</v>
      </c>
      <c r="AP457" s="8">
        <f t="shared" si="137"/>
        <v>0.13689854912991328</v>
      </c>
      <c r="AQ457" s="8"/>
      <c r="AR457" s="8">
        <f t="shared" si="138"/>
        <v>235.26450052573688</v>
      </c>
      <c r="AS457" s="8">
        <f t="shared" si="139"/>
        <v>82.156290913391615</v>
      </c>
    </row>
    <row r="458" spans="1:45">
      <c r="A458" s="19">
        <v>23.89053333</v>
      </c>
      <c r="B458" s="19">
        <v>755.95421099999999</v>
      </c>
      <c r="C458" s="19">
        <v>-305.06632280000002</v>
      </c>
      <c r="E458" s="9">
        <f t="shared" si="129"/>
        <v>204.04578900000001</v>
      </c>
      <c r="F458" s="9">
        <f t="shared" si="130"/>
        <v>234.93367719999998</v>
      </c>
      <c r="I458">
        <v>1</v>
      </c>
      <c r="J458">
        <f t="shared" si="125"/>
        <v>0.20349181562293248</v>
      </c>
      <c r="K458">
        <f t="shared" si="131"/>
        <v>0.85564533149754396</v>
      </c>
      <c r="O458">
        <f t="shared" si="132"/>
        <v>0.13251697638961024</v>
      </c>
      <c r="P458">
        <f t="shared" si="133"/>
        <v>0.15257703041662232</v>
      </c>
      <c r="Q458">
        <f t="shared" si="134"/>
        <v>0.97936688771767277</v>
      </c>
      <c r="R458">
        <f t="shared" si="124"/>
        <v>1</v>
      </c>
      <c r="AG458" s="8">
        <f t="shared" si="126"/>
        <v>-7.7066007699779407E-2</v>
      </c>
      <c r="AH458" s="8">
        <f t="shared" si="127"/>
        <v>-0.11207895464551397</v>
      </c>
      <c r="AI458" s="8">
        <f t="shared" si="128"/>
        <v>0.99070638353792106</v>
      </c>
      <c r="AJ458" s="8"/>
      <c r="AK458" s="8"/>
      <c r="AL458" s="8"/>
      <c r="AN458" s="8">
        <f t="shared" si="135"/>
        <v>1</v>
      </c>
      <c r="AO458" s="8">
        <f t="shared" si="136"/>
        <v>4.1100305918977904</v>
      </c>
      <c r="AP458" s="8">
        <f t="shared" si="137"/>
        <v>0.13644081106812123</v>
      </c>
      <c r="AQ458" s="8"/>
      <c r="AR458" s="8">
        <f t="shared" si="138"/>
        <v>235.48740658539904</v>
      </c>
      <c r="AS458" s="8">
        <f t="shared" si="139"/>
        <v>82.182517372454811</v>
      </c>
    </row>
    <row r="459" spans="1:45">
      <c r="A459" s="19">
        <v>23.9239</v>
      </c>
      <c r="B459" s="19">
        <v>756.76224790000003</v>
      </c>
      <c r="C459" s="19">
        <v>-305.82205069999998</v>
      </c>
      <c r="E459" s="9">
        <f t="shared" si="129"/>
        <v>203.23775209999997</v>
      </c>
      <c r="F459" s="9">
        <f t="shared" si="130"/>
        <v>234.17794930000002</v>
      </c>
      <c r="I459">
        <v>1</v>
      </c>
      <c r="J459">
        <f t="shared" si="125"/>
        <v>0.20278341937601443</v>
      </c>
      <c r="K459">
        <f t="shared" si="131"/>
        <v>0.85601462806063955</v>
      </c>
      <c r="O459">
        <f t="shared" si="132"/>
        <v>0.13200584821726183</v>
      </c>
      <c r="P459">
        <f t="shared" si="133"/>
        <v>0.15210195208179261</v>
      </c>
      <c r="Q459">
        <f t="shared" si="134"/>
        <v>0.97950980199758553</v>
      </c>
      <c r="R459">
        <f t="shared" si="124"/>
        <v>1</v>
      </c>
      <c r="AG459" s="8">
        <f t="shared" si="126"/>
        <v>-7.6452101984128537E-2</v>
      </c>
      <c r="AH459" s="8">
        <f t="shared" si="127"/>
        <v>-0.11244013552384395</v>
      </c>
      <c r="AI459" s="8">
        <f t="shared" si="128"/>
        <v>0.99071302203291345</v>
      </c>
      <c r="AJ459" s="8"/>
      <c r="AK459" s="8"/>
      <c r="AL459" s="8"/>
      <c r="AN459" s="8">
        <f t="shared" si="135"/>
        <v>1</v>
      </c>
      <c r="AO459" s="8">
        <f t="shared" si="136"/>
        <v>4.1152560507999807</v>
      </c>
      <c r="AP459" s="8">
        <f t="shared" si="137"/>
        <v>0.13639199634074028</v>
      </c>
      <c r="AQ459" s="8"/>
      <c r="AR459" s="8">
        <f t="shared" si="138"/>
        <v>235.78680332651359</v>
      </c>
      <c r="AS459" s="8">
        <f t="shared" si="139"/>
        <v>82.185314250311819</v>
      </c>
    </row>
    <row r="460" spans="1:45">
      <c r="A460" s="19">
        <v>23.957266669999999</v>
      </c>
      <c r="B460" s="19">
        <v>757.16618889999995</v>
      </c>
      <c r="C460" s="19">
        <v>-306.1153511</v>
      </c>
      <c r="E460" s="9">
        <f t="shared" si="129"/>
        <v>202.83381110000005</v>
      </c>
      <c r="F460" s="9">
        <f t="shared" si="130"/>
        <v>233.8846489</v>
      </c>
      <c r="I460">
        <v>1</v>
      </c>
      <c r="J460">
        <f t="shared" si="125"/>
        <v>0.20247033184077801</v>
      </c>
      <c r="K460">
        <f t="shared" si="131"/>
        <v>0.85637907081199871</v>
      </c>
      <c r="O460">
        <f t="shared" si="132"/>
        <v>0.13174947580483534</v>
      </c>
      <c r="P460">
        <f t="shared" si="133"/>
        <v>0.15191835978559373</v>
      </c>
      <c r="Q460">
        <f t="shared" si="134"/>
        <v>0.97957280872082497</v>
      </c>
      <c r="R460">
        <f t="shared" si="124"/>
        <v>1</v>
      </c>
      <c r="AG460" s="8">
        <f t="shared" si="126"/>
        <v>-7.619719882663592E-2</v>
      </c>
      <c r="AH460" s="8">
        <f t="shared" si="127"/>
        <v>-0.1126361464104626</v>
      </c>
      <c r="AI460" s="8">
        <f t="shared" si="128"/>
        <v>0.99071039431953822</v>
      </c>
      <c r="AJ460" s="8"/>
      <c r="AK460" s="8"/>
      <c r="AL460" s="8"/>
      <c r="AN460" s="8">
        <f t="shared" si="135"/>
        <v>0.99999999999999989</v>
      </c>
      <c r="AO460" s="8">
        <f t="shared" si="136"/>
        <v>4.1176165751941518</v>
      </c>
      <c r="AP460" s="8">
        <f t="shared" si="137"/>
        <v>0.13641132073464401</v>
      </c>
      <c r="AQ460" s="8"/>
      <c r="AR460" s="8">
        <f t="shared" si="138"/>
        <v>235.92205141173727</v>
      </c>
      <c r="AS460" s="8">
        <f t="shared" si="139"/>
        <v>82.18420704409948</v>
      </c>
    </row>
    <row r="461" spans="1:45">
      <c r="A461" s="19">
        <v>23.990633330000001</v>
      </c>
      <c r="B461" s="19">
        <v>757.13856810000004</v>
      </c>
      <c r="C461" s="19">
        <v>-307.10361180000001</v>
      </c>
      <c r="E461" s="9">
        <f t="shared" si="129"/>
        <v>202.86143189999996</v>
      </c>
      <c r="F461" s="9">
        <f t="shared" si="130"/>
        <v>232.89638819999999</v>
      </c>
      <c r="I461">
        <v>1</v>
      </c>
      <c r="J461">
        <f t="shared" si="125"/>
        <v>0.20200166357456609</v>
      </c>
      <c r="K461">
        <f t="shared" si="131"/>
        <v>0.85421512323059579</v>
      </c>
      <c r="O461">
        <f t="shared" si="132"/>
        <v>0.13177635771457724</v>
      </c>
      <c r="P461">
        <f t="shared" si="133"/>
        <v>0.15128670577956346</v>
      </c>
      <c r="Q461">
        <f t="shared" si="134"/>
        <v>0.97966694554927569</v>
      </c>
      <c r="R461">
        <f t="shared" si="124"/>
        <v>1</v>
      </c>
      <c r="AG461" s="8">
        <f t="shared" si="126"/>
        <v>-7.5593257086172344E-2</v>
      </c>
      <c r="AH461" s="8">
        <f t="shared" si="127"/>
        <v>-0.1124384034021188</v>
      </c>
      <c r="AI461" s="8">
        <f t="shared" si="128"/>
        <v>0.99077912014913105</v>
      </c>
      <c r="AJ461" s="8"/>
      <c r="AK461" s="8"/>
      <c r="AL461" s="8"/>
      <c r="AN461" s="8">
        <f t="shared" si="135"/>
        <v>1</v>
      </c>
      <c r="AO461" s="8">
        <f t="shared" si="136"/>
        <v>4.1204908842859975</v>
      </c>
      <c r="AP461" s="8">
        <f t="shared" si="137"/>
        <v>0.13590500778028991</v>
      </c>
      <c r="AQ461" s="8"/>
      <c r="AR461" s="8">
        <f t="shared" si="138"/>
        <v>236.08673719171611</v>
      </c>
      <c r="AS461" s="8">
        <f t="shared" si="139"/>
        <v>82.213216639496778</v>
      </c>
    </row>
    <row r="462" spans="1:45">
      <c r="A462" s="19">
        <v>24.024000000000001</v>
      </c>
      <c r="B462" s="19">
        <v>757.9767981</v>
      </c>
      <c r="C462" s="19">
        <v>-307.79582370000003</v>
      </c>
      <c r="E462" s="9">
        <f t="shared" si="129"/>
        <v>202.0232019</v>
      </c>
      <c r="F462" s="9">
        <f t="shared" si="130"/>
        <v>232.20417629999997</v>
      </c>
      <c r="I462">
        <v>1</v>
      </c>
      <c r="J462">
        <f t="shared" si="125"/>
        <v>0.20131088980375358</v>
      </c>
      <c r="K462">
        <f t="shared" si="131"/>
        <v>0.85479156285545421</v>
      </c>
      <c r="O462">
        <f t="shared" si="132"/>
        <v>0.13124490877311976</v>
      </c>
      <c r="P462">
        <f t="shared" si="133"/>
        <v>0.15085205881607661</v>
      </c>
      <c r="Q462">
        <f t="shared" si="134"/>
        <v>0.97980530222697126</v>
      </c>
      <c r="R462">
        <f t="shared" si="124"/>
        <v>1</v>
      </c>
      <c r="AG462" s="8">
        <f t="shared" si="126"/>
        <v>-7.5012533987385707E-2</v>
      </c>
      <c r="AH462" s="8">
        <f t="shared" si="127"/>
        <v>-0.1128298865791391</v>
      </c>
      <c r="AI462" s="8">
        <f t="shared" si="128"/>
        <v>0.99077875251709446</v>
      </c>
      <c r="AJ462" s="8"/>
      <c r="AK462" s="8"/>
      <c r="AL462" s="8"/>
      <c r="AN462" s="8">
        <f t="shared" si="135"/>
        <v>1</v>
      </c>
      <c r="AO462" s="8">
        <f t="shared" si="136"/>
        <v>4.125659973771727</v>
      </c>
      <c r="AP462" s="8">
        <f t="shared" si="137"/>
        <v>0.13590772116467464</v>
      </c>
      <c r="AQ462" s="8"/>
      <c r="AR462" s="8">
        <f t="shared" si="138"/>
        <v>236.38290420317387</v>
      </c>
      <c r="AS462" s="8">
        <f t="shared" si="139"/>
        <v>82.213061174023323</v>
      </c>
    </row>
    <row r="463" spans="1:45">
      <c r="A463" s="19">
        <v>24.05736667</v>
      </c>
      <c r="B463" s="19">
        <v>758.24233049999998</v>
      </c>
      <c r="C463" s="19">
        <v>-308.9214394</v>
      </c>
      <c r="E463" s="9">
        <f t="shared" si="129"/>
        <v>201.75766950000002</v>
      </c>
      <c r="F463" s="9">
        <f t="shared" si="130"/>
        <v>231.0785606</v>
      </c>
      <c r="I463">
        <v>1</v>
      </c>
      <c r="J463">
        <f t="shared" si="125"/>
        <v>0.20065181455057549</v>
      </c>
      <c r="K463">
        <f t="shared" si="131"/>
        <v>0.85303613380704102</v>
      </c>
      <c r="O463">
        <f t="shared" si="132"/>
        <v>0.13108476862051754</v>
      </c>
      <c r="P463">
        <f t="shared" si="133"/>
        <v>0.15013496004628088</v>
      </c>
      <c r="Q463">
        <f t="shared" si="134"/>
        <v>0.97993687409322805</v>
      </c>
      <c r="R463">
        <f t="shared" si="124"/>
        <v>1</v>
      </c>
      <c r="AG463" s="8">
        <f t="shared" si="126"/>
        <v>-7.4269730287769509E-2</v>
      </c>
      <c r="AH463" s="8">
        <f t="shared" si="127"/>
        <v>-0.1127881325936575</v>
      </c>
      <c r="AI463" s="8">
        <f t="shared" si="128"/>
        <v>0.99083946444871562</v>
      </c>
      <c r="AJ463" s="8"/>
      <c r="AK463" s="8"/>
      <c r="AL463" s="8"/>
      <c r="AN463" s="8">
        <f t="shared" si="135"/>
        <v>1</v>
      </c>
      <c r="AO463" s="8">
        <f t="shared" si="136"/>
        <v>4.1300693150356436</v>
      </c>
      <c r="AP463" s="8">
        <f t="shared" si="137"/>
        <v>0.13545889205980632</v>
      </c>
      <c r="AQ463" s="8"/>
      <c r="AR463" s="8">
        <f t="shared" si="138"/>
        <v>236.63554084802917</v>
      </c>
      <c r="AS463" s="8">
        <f t="shared" si="139"/>
        <v>82.238777187454914</v>
      </c>
    </row>
    <row r="464" spans="1:45">
      <c r="A464" s="19">
        <v>24.090733329999999</v>
      </c>
      <c r="B464" s="19">
        <v>758.20063870000001</v>
      </c>
      <c r="C464" s="19">
        <v>-309.32196099999999</v>
      </c>
      <c r="E464" s="9">
        <f t="shared" si="129"/>
        <v>201.79936129999999</v>
      </c>
      <c r="F464" s="9">
        <f t="shared" si="130"/>
        <v>230.67803900000001</v>
      </c>
      <c r="I464">
        <v>1</v>
      </c>
      <c r="J464">
        <f t="shared" si="125"/>
        <v>0.20047517383751268</v>
      </c>
      <c r="K464">
        <f t="shared" si="131"/>
        <v>0.85207417875668023</v>
      </c>
      <c r="O464">
        <f t="shared" si="132"/>
        <v>0.13111515802849436</v>
      </c>
      <c r="P464">
        <f t="shared" si="133"/>
        <v>0.14987850973534367</v>
      </c>
      <c r="Q464">
        <f t="shared" si="134"/>
        <v>0.97997206473178378</v>
      </c>
      <c r="R464">
        <f t="shared" si="124"/>
        <v>1</v>
      </c>
      <c r="AG464" s="8">
        <f t="shared" si="126"/>
        <v>-7.4030425253989604E-2</v>
      </c>
      <c r="AH464" s="8">
        <f t="shared" si="127"/>
        <v>-0.11268908505783959</v>
      </c>
      <c r="AI464" s="8">
        <f t="shared" si="128"/>
        <v>0.99086864227582672</v>
      </c>
      <c r="AJ464" s="8"/>
      <c r="AK464" s="8"/>
      <c r="AL464" s="8"/>
      <c r="AN464" s="8">
        <f t="shared" si="135"/>
        <v>0.99999999999999978</v>
      </c>
      <c r="AO464" s="8">
        <f t="shared" si="136"/>
        <v>4.1311476486676835</v>
      </c>
      <c r="AP464" s="8">
        <f t="shared" si="137"/>
        <v>0.13524266052003919</v>
      </c>
      <c r="AQ464" s="8"/>
      <c r="AR464" s="8">
        <f t="shared" si="138"/>
        <v>236.69732481405208</v>
      </c>
      <c r="AS464" s="8">
        <f t="shared" si="139"/>
        <v>82.251166342081191</v>
      </c>
    </row>
    <row r="465" spans="1:45">
      <c r="A465" s="19">
        <v>24.124099999999999</v>
      </c>
      <c r="B465" s="19">
        <v>758.89581399999997</v>
      </c>
      <c r="C465" s="19">
        <v>-310.08493129999999</v>
      </c>
      <c r="E465" s="9">
        <f t="shared" si="129"/>
        <v>201.10418600000003</v>
      </c>
      <c r="F465" s="9">
        <f t="shared" si="130"/>
        <v>229.91506870000001</v>
      </c>
      <c r="I465">
        <v>1</v>
      </c>
      <c r="J465">
        <f t="shared" si="125"/>
        <v>0.19981014127970717</v>
      </c>
      <c r="K465">
        <f t="shared" si="131"/>
        <v>0.85214248489188593</v>
      </c>
      <c r="O465">
        <f t="shared" si="132"/>
        <v>0.13067582131643982</v>
      </c>
      <c r="P465">
        <f t="shared" si="133"/>
        <v>0.14939689239187778</v>
      </c>
      <c r="Q465">
        <f t="shared" si="134"/>
        <v>0.98010427928201782</v>
      </c>
      <c r="R465">
        <f t="shared" si="124"/>
        <v>1</v>
      </c>
      <c r="AG465" s="8">
        <f t="shared" si="126"/>
        <v>-7.343197046025067E-2</v>
      </c>
      <c r="AH465" s="8">
        <f t="shared" si="127"/>
        <v>-0.11297920995256457</v>
      </c>
      <c r="AI465" s="8">
        <f t="shared" si="128"/>
        <v>0.99088013595632207</v>
      </c>
      <c r="AJ465" s="8"/>
      <c r="AK465" s="8"/>
      <c r="AL465" s="8"/>
      <c r="AN465" s="8">
        <f t="shared" si="135"/>
        <v>1</v>
      </c>
      <c r="AO465" s="8">
        <f t="shared" si="136"/>
        <v>4.1360418601554931</v>
      </c>
      <c r="AP465" s="8">
        <f t="shared" si="137"/>
        <v>0.13515738856138659</v>
      </c>
      <c r="AQ465" s="8"/>
      <c r="AR465" s="8">
        <f t="shared" si="138"/>
        <v>236.977742476348</v>
      </c>
      <c r="AS465" s="8">
        <f t="shared" si="139"/>
        <v>82.256052065422793</v>
      </c>
    </row>
    <row r="466" spans="1:45">
      <c r="A466" s="19">
        <v>24.157466670000002</v>
      </c>
      <c r="B466" s="19">
        <v>759.61714070000005</v>
      </c>
      <c r="C466" s="19">
        <v>-310.94178290000002</v>
      </c>
      <c r="E466" s="9">
        <f t="shared" si="129"/>
        <v>200.38285929999995</v>
      </c>
      <c r="F466" s="9">
        <f t="shared" si="130"/>
        <v>229.05821709999998</v>
      </c>
      <c r="I466">
        <v>1</v>
      </c>
      <c r="J466">
        <f t="shared" si="125"/>
        <v>0.19908830406503361</v>
      </c>
      <c r="K466">
        <f t="shared" si="131"/>
        <v>0.85207285878734051</v>
      </c>
      <c r="O466">
        <f t="shared" si="132"/>
        <v>0.13022036960332189</v>
      </c>
      <c r="P466">
        <f t="shared" si="133"/>
        <v>0.14885527532463924</v>
      </c>
      <c r="Q466">
        <f t="shared" si="134"/>
        <v>0.98024729652695297</v>
      </c>
      <c r="R466">
        <f t="shared" si="124"/>
        <v>1</v>
      </c>
      <c r="AG466" s="8">
        <f t="shared" si="126"/>
        <v>-7.2770611263929211E-2</v>
      </c>
      <c r="AH466" s="8">
        <f t="shared" si="127"/>
        <v>-0.11326833649079476</v>
      </c>
      <c r="AI466" s="8">
        <f t="shared" si="128"/>
        <v>0.99089591889606754</v>
      </c>
      <c r="AJ466" s="8"/>
      <c r="AK466" s="8"/>
      <c r="AL466" s="8"/>
      <c r="AN466" s="8">
        <f t="shared" si="135"/>
        <v>0.99999999999999978</v>
      </c>
      <c r="AO466" s="8">
        <f t="shared" si="136"/>
        <v>4.1413310885740842</v>
      </c>
      <c r="AP466" s="8">
        <f t="shared" si="137"/>
        <v>0.13504020725922894</v>
      </c>
      <c r="AQ466" s="8"/>
      <c r="AR466" s="8">
        <f t="shared" si="138"/>
        <v>237.28079294161392</v>
      </c>
      <c r="AS466" s="8">
        <f t="shared" si="139"/>
        <v>82.262766059474274</v>
      </c>
    </row>
    <row r="467" spans="1:45">
      <c r="A467" s="19">
        <v>24.19083333</v>
      </c>
      <c r="B467" s="19">
        <v>759.95426559999999</v>
      </c>
      <c r="C467" s="19">
        <v>-311.52913539999997</v>
      </c>
      <c r="E467" s="9">
        <f t="shared" si="129"/>
        <v>200.04573440000001</v>
      </c>
      <c r="F467" s="9">
        <f t="shared" si="130"/>
        <v>228.47086460000003</v>
      </c>
      <c r="I467">
        <v>1</v>
      </c>
      <c r="J467">
        <f t="shared" si="125"/>
        <v>0.19866020755423078</v>
      </c>
      <c r="K467">
        <f t="shared" si="131"/>
        <v>0.85163491635883515</v>
      </c>
      <c r="O467">
        <f t="shared" si="132"/>
        <v>0.13000909540779426</v>
      </c>
      <c r="P467">
        <f t="shared" si="133"/>
        <v>0.14848249837854402</v>
      </c>
      <c r="Q467">
        <f t="shared" si="134"/>
        <v>0.98033187379912967</v>
      </c>
      <c r="R467">
        <f t="shared" si="124"/>
        <v>1</v>
      </c>
      <c r="AG467" s="8">
        <f t="shared" si="126"/>
        <v>-7.2346129004870474E-2</v>
      </c>
      <c r="AH467" s="8">
        <f t="shared" si="127"/>
        <v>-0.11336926081891019</v>
      </c>
      <c r="AI467" s="8">
        <f t="shared" si="128"/>
        <v>0.99091545972367612</v>
      </c>
      <c r="AJ467" s="8"/>
      <c r="AK467" s="8"/>
      <c r="AL467" s="8"/>
      <c r="AN467" s="8">
        <f t="shared" si="135"/>
        <v>0.99999999999999989</v>
      </c>
      <c r="AO467" s="8">
        <f t="shared" si="136"/>
        <v>4.1443922342425452</v>
      </c>
      <c r="AP467" s="8">
        <f t="shared" si="137"/>
        <v>0.13489498513720233</v>
      </c>
      <c r="AQ467" s="8"/>
      <c r="AR467" s="8">
        <f t="shared" si="138"/>
        <v>237.4561836688915</v>
      </c>
      <c r="AS467" s="8">
        <f t="shared" si="139"/>
        <v>82.27108667415834</v>
      </c>
    </row>
    <row r="468" spans="1:45">
      <c r="A468" s="19">
        <v>24.2242</v>
      </c>
      <c r="B468" s="19">
        <v>760.18840190000003</v>
      </c>
      <c r="C468" s="19">
        <v>-312.0907358</v>
      </c>
      <c r="E468" s="9">
        <f t="shared" si="129"/>
        <v>199.81159809999997</v>
      </c>
      <c r="F468" s="9">
        <f t="shared" si="130"/>
        <v>227.9092642</v>
      </c>
      <c r="I468">
        <v>1</v>
      </c>
      <c r="J468">
        <f t="shared" si="125"/>
        <v>0.19828835021511956</v>
      </c>
      <c r="K468">
        <f t="shared" si="131"/>
        <v>0.85099550848530736</v>
      </c>
      <c r="O468">
        <f t="shared" si="132"/>
        <v>0.12986368084378067</v>
      </c>
      <c r="P468">
        <f t="shared" si="133"/>
        <v>0.14812521509685922</v>
      </c>
      <c r="Q468">
        <f t="shared" si="134"/>
        <v>0.98040519432029427</v>
      </c>
      <c r="R468">
        <f t="shared" si="124"/>
        <v>1</v>
      </c>
      <c r="AG468" s="8">
        <f t="shared" si="126"/>
        <v>-7.1956441040345487E-2</v>
      </c>
      <c r="AH468" s="8">
        <f t="shared" si="127"/>
        <v>-0.11341121602458706</v>
      </c>
      <c r="AI468" s="8">
        <f t="shared" si="128"/>
        <v>0.9909390327727694</v>
      </c>
      <c r="AJ468" s="8"/>
      <c r="AK468" s="8"/>
      <c r="AL468" s="8"/>
      <c r="AN468" s="8">
        <f t="shared" si="135"/>
        <v>1</v>
      </c>
      <c r="AO468" s="8">
        <f t="shared" si="136"/>
        <v>4.1470060593701259</v>
      </c>
      <c r="AP468" s="8">
        <f t="shared" si="137"/>
        <v>0.13471958957727548</v>
      </c>
      <c r="AQ468" s="8"/>
      <c r="AR468" s="8">
        <f t="shared" si="138"/>
        <v>237.60594481708711</v>
      </c>
      <c r="AS468" s="8">
        <f t="shared" si="139"/>
        <v>82.281136099487483</v>
      </c>
    </row>
    <row r="469" spans="1:45">
      <c r="A469" s="19">
        <v>24.257566669999999</v>
      </c>
      <c r="B469" s="19">
        <v>760.96595969999998</v>
      </c>
      <c r="C469" s="19">
        <v>-313.08058599999998</v>
      </c>
      <c r="E469" s="9">
        <f t="shared" si="129"/>
        <v>199.03404030000002</v>
      </c>
      <c r="F469" s="9">
        <f t="shared" si="130"/>
        <v>226.91941400000002</v>
      </c>
      <c r="I469">
        <v>1</v>
      </c>
      <c r="J469">
        <f t="shared" si="125"/>
        <v>0.19747774303991986</v>
      </c>
      <c r="K469">
        <f t="shared" si="131"/>
        <v>0.85077065609207547</v>
      </c>
      <c r="O469">
        <f t="shared" si="132"/>
        <v>0.12937289742848546</v>
      </c>
      <c r="P469">
        <f t="shared" si="133"/>
        <v>0.14749849838602722</v>
      </c>
      <c r="Q469">
        <f t="shared" si="134"/>
        <v>0.98056455492987593</v>
      </c>
      <c r="R469">
        <f t="shared" si="124"/>
        <v>1</v>
      </c>
      <c r="AG469" s="8">
        <f t="shared" si="126"/>
        <v>-7.120218631021577E-2</v>
      </c>
      <c r="AH469" s="8">
        <f t="shared" si="127"/>
        <v>-0.11371076838941049</v>
      </c>
      <c r="AI469" s="8">
        <f t="shared" si="128"/>
        <v>0.99095918675641492</v>
      </c>
      <c r="AJ469" s="8"/>
      <c r="AK469" s="8"/>
      <c r="AL469" s="8"/>
      <c r="AN469" s="8">
        <f t="shared" si="135"/>
        <v>1</v>
      </c>
      <c r="AO469" s="8">
        <f t="shared" si="136"/>
        <v>4.1529492994416373</v>
      </c>
      <c r="AP469" s="8">
        <f t="shared" si="137"/>
        <v>0.13456945343924875</v>
      </c>
      <c r="AQ469" s="8"/>
      <c r="AR469" s="8">
        <f t="shared" si="138"/>
        <v>237.94646738981774</v>
      </c>
      <c r="AS469" s="8">
        <f t="shared" si="139"/>
        <v>82.28973826654881</v>
      </c>
    </row>
    <row r="470" spans="1:45">
      <c r="A470" s="19">
        <v>24.290933330000001</v>
      </c>
      <c r="B470" s="19">
        <v>760.99076679999996</v>
      </c>
      <c r="C470" s="19">
        <v>-313.73473480000001</v>
      </c>
      <c r="E470" s="9">
        <f t="shared" si="129"/>
        <v>199.00923320000004</v>
      </c>
      <c r="F470" s="9">
        <f t="shared" si="130"/>
        <v>226.26526519999999</v>
      </c>
      <c r="I470">
        <v>1</v>
      </c>
      <c r="J470">
        <f t="shared" si="125"/>
        <v>0.19715014734879294</v>
      </c>
      <c r="K470">
        <f t="shared" si="131"/>
        <v>0.84940107206735938</v>
      </c>
      <c r="O470">
        <f t="shared" si="132"/>
        <v>0.12936263062086387</v>
      </c>
      <c r="P470">
        <f t="shared" si="133"/>
        <v>0.14707995932522089</v>
      </c>
      <c r="Q470">
        <f t="shared" si="134"/>
        <v>0.98062877551280403</v>
      </c>
      <c r="R470">
        <f t="shared" si="124"/>
        <v>1</v>
      </c>
      <c r="AG470" s="8">
        <f t="shared" si="126"/>
        <v>-7.0793784809071836E-2</v>
      </c>
      <c r="AH470" s="8">
        <f t="shared" si="127"/>
        <v>-0.11360630754937723</v>
      </c>
      <c r="AI470" s="8">
        <f t="shared" si="128"/>
        <v>0.99100042730434945</v>
      </c>
      <c r="AJ470" s="8"/>
      <c r="AK470" s="8"/>
      <c r="AL470" s="8"/>
      <c r="AN470" s="8">
        <f t="shared" si="135"/>
        <v>1</v>
      </c>
      <c r="AO470" s="8">
        <f t="shared" si="136"/>
        <v>4.1551210179659259</v>
      </c>
      <c r="AP470" s="8">
        <f t="shared" si="137"/>
        <v>0.13426171385145436</v>
      </c>
      <c r="AQ470" s="8"/>
      <c r="AR470" s="8">
        <f t="shared" si="138"/>
        <v>238.07089769554986</v>
      </c>
      <c r="AS470" s="8">
        <f t="shared" si="139"/>
        <v>82.307370446118526</v>
      </c>
    </row>
    <row r="471" spans="1:45">
      <c r="A471" s="19">
        <v>24.324300000000001</v>
      </c>
      <c r="B471" s="19">
        <v>761.95944259999999</v>
      </c>
      <c r="C471" s="19">
        <v>-314.33230600000002</v>
      </c>
      <c r="E471" s="9">
        <f t="shared" si="129"/>
        <v>198.04055740000001</v>
      </c>
      <c r="F471" s="9">
        <f t="shared" si="130"/>
        <v>225.66769399999998</v>
      </c>
      <c r="I471">
        <v>1</v>
      </c>
      <c r="J471">
        <f t="shared" si="125"/>
        <v>0.19644803248295306</v>
      </c>
      <c r="K471">
        <f t="shared" si="131"/>
        <v>0.8505092019635907</v>
      </c>
      <c r="O471">
        <f t="shared" si="132"/>
        <v>0.12874539150994194</v>
      </c>
      <c r="P471">
        <f t="shared" si="133"/>
        <v>0.14670568491934455</v>
      </c>
      <c r="Q471">
        <f t="shared" si="134"/>
        <v>0.98076606088164464</v>
      </c>
      <c r="R471">
        <f t="shared" si="124"/>
        <v>1</v>
      </c>
      <c r="AG471" s="8">
        <f t="shared" si="126"/>
        <v>-7.0246142452770235E-2</v>
      </c>
      <c r="AH471" s="8">
        <f t="shared" si="127"/>
        <v>-0.11409590134875536</v>
      </c>
      <c r="AI471" s="8">
        <f t="shared" si="128"/>
        <v>0.99098315059637643</v>
      </c>
      <c r="AJ471" s="8"/>
      <c r="AK471" s="8"/>
      <c r="AL471" s="8"/>
      <c r="AN471" s="8">
        <f t="shared" si="135"/>
        <v>1.0000000000000002</v>
      </c>
      <c r="AO471" s="8">
        <f t="shared" si="136"/>
        <v>4.1605224597497843</v>
      </c>
      <c r="AP471" s="8">
        <f t="shared" si="137"/>
        <v>0.13439071899653188</v>
      </c>
      <c r="AQ471" s="8"/>
      <c r="AR471" s="8">
        <f t="shared" si="138"/>
        <v>238.38037751305058</v>
      </c>
      <c r="AS471" s="8">
        <f t="shared" si="139"/>
        <v>82.299978995770104</v>
      </c>
    </row>
    <row r="472" spans="1:45">
      <c r="A472" s="19">
        <v>24.35766667</v>
      </c>
      <c r="B472" s="19">
        <v>761.92603829999996</v>
      </c>
      <c r="C472" s="19">
        <v>-315.04432329999997</v>
      </c>
      <c r="E472" s="9">
        <f t="shared" si="129"/>
        <v>198.07396170000004</v>
      </c>
      <c r="F472" s="9">
        <f t="shared" si="130"/>
        <v>224.95567670000003</v>
      </c>
      <c r="I472">
        <v>1</v>
      </c>
      <c r="J472">
        <f t="shared" si="125"/>
        <v>0.19611718365667213</v>
      </c>
      <c r="K472">
        <f t="shared" si="131"/>
        <v>0.84885853753133589</v>
      </c>
      <c r="O472">
        <f t="shared" si="132"/>
        <v>0.12877293784998486</v>
      </c>
      <c r="P472">
        <f t="shared" si="133"/>
        <v>0.14624942686088752</v>
      </c>
      <c r="Q472">
        <f t="shared" si="134"/>
        <v>0.98083058456613492</v>
      </c>
      <c r="R472">
        <f t="shared" si="124"/>
        <v>1</v>
      </c>
      <c r="AG472" s="8">
        <f t="shared" si="126"/>
        <v>-6.9812601088564991E-2</v>
      </c>
      <c r="AH472" s="8">
        <f t="shared" si="127"/>
        <v>-0.11394480713803495</v>
      </c>
      <c r="AI472" s="8">
        <f t="shared" si="128"/>
        <v>0.99103117087986936</v>
      </c>
      <c r="AJ472" s="8"/>
      <c r="AK472" s="8"/>
      <c r="AL472" s="8"/>
      <c r="AN472" s="8">
        <f t="shared" si="135"/>
        <v>0.99999999999999989</v>
      </c>
      <c r="AO472" s="8">
        <f t="shared" si="136"/>
        <v>4.1626923616898175</v>
      </c>
      <c r="AP472" s="8">
        <f t="shared" si="137"/>
        <v>0.13403184641479715</v>
      </c>
      <c r="AQ472" s="8"/>
      <c r="AR472" s="8">
        <f t="shared" si="138"/>
        <v>238.50470373617171</v>
      </c>
      <c r="AS472" s="8">
        <f t="shared" si="139"/>
        <v>82.320540880086469</v>
      </c>
    </row>
    <row r="473" spans="1:45">
      <c r="A473" s="19">
        <v>24.391033329999999</v>
      </c>
      <c r="B473" s="19">
        <v>762.45098170000006</v>
      </c>
      <c r="C473" s="19">
        <v>-315.6088403</v>
      </c>
      <c r="E473" s="9">
        <f t="shared" si="129"/>
        <v>197.54901829999994</v>
      </c>
      <c r="F473" s="9">
        <f t="shared" si="130"/>
        <v>224.3911597</v>
      </c>
      <c r="I473">
        <v>1</v>
      </c>
      <c r="J473">
        <f t="shared" si="125"/>
        <v>0.19561987027594513</v>
      </c>
      <c r="K473">
        <f t="shared" si="131"/>
        <v>0.84892854157563147</v>
      </c>
      <c r="O473">
        <f t="shared" si="132"/>
        <v>0.12844036441841422</v>
      </c>
      <c r="P473">
        <f t="shared" si="133"/>
        <v>0.14589230851236576</v>
      </c>
      <c r="Q473">
        <f t="shared" si="134"/>
        <v>0.98092737096331328</v>
      </c>
      <c r="R473">
        <f t="shared" si="124"/>
        <v>1</v>
      </c>
      <c r="AG473" s="8">
        <f t="shared" si="126"/>
        <v>-6.9367038251997387E-2</v>
      </c>
      <c r="AH473" s="8">
        <f t="shared" si="127"/>
        <v>-0.11416604463659319</v>
      </c>
      <c r="AI473" s="8">
        <f t="shared" si="128"/>
        <v>0.99103699641142629</v>
      </c>
      <c r="AJ473" s="8"/>
      <c r="AK473" s="8"/>
      <c r="AL473" s="8"/>
      <c r="AN473" s="8">
        <f t="shared" si="135"/>
        <v>1</v>
      </c>
      <c r="AO473" s="8">
        <f t="shared" si="136"/>
        <v>4.1664015791703175</v>
      </c>
      <c r="AP473" s="8">
        <f t="shared" si="137"/>
        <v>0.13398824517122776</v>
      </c>
      <c r="AQ473" s="8"/>
      <c r="AR473" s="8">
        <f t="shared" si="138"/>
        <v>238.71722624310053</v>
      </c>
      <c r="AS473" s="8">
        <f t="shared" si="139"/>
        <v>82.323039047324514</v>
      </c>
    </row>
    <row r="474" spans="1:45">
      <c r="A474" s="19">
        <v>24.424399999999999</v>
      </c>
      <c r="B474" s="19">
        <v>762.77526220000004</v>
      </c>
      <c r="C474" s="19">
        <v>-316.89824340000001</v>
      </c>
      <c r="E474" s="9">
        <f t="shared" si="129"/>
        <v>197.22473779999996</v>
      </c>
      <c r="F474" s="9">
        <f t="shared" si="130"/>
        <v>223.10175659999999</v>
      </c>
      <c r="I474">
        <v>1</v>
      </c>
      <c r="J474">
        <f t="shared" si="125"/>
        <v>0.19485723933502133</v>
      </c>
      <c r="K474">
        <f t="shared" si="131"/>
        <v>0.84688465259975676</v>
      </c>
      <c r="O474">
        <f t="shared" si="132"/>
        <v>0.12824277386483257</v>
      </c>
      <c r="P474">
        <f t="shared" si="133"/>
        <v>0.14506896264460753</v>
      </c>
      <c r="Q474">
        <f t="shared" si="134"/>
        <v>0.98107532179169143</v>
      </c>
      <c r="R474">
        <f t="shared" si="124"/>
        <v>1</v>
      </c>
      <c r="AG474" s="8">
        <f t="shared" si="126"/>
        <v>-6.8510594138332895E-2</v>
      </c>
      <c r="AH474" s="8">
        <f t="shared" si="127"/>
        <v>-0.11413031025772191</v>
      </c>
      <c r="AI474" s="8">
        <f t="shared" si="128"/>
        <v>0.9911006864952161</v>
      </c>
      <c r="AJ474" s="8"/>
      <c r="AK474" s="8"/>
      <c r="AL474" s="8"/>
      <c r="AN474" s="8">
        <f t="shared" si="135"/>
        <v>0.99999999999999989</v>
      </c>
      <c r="AO474" s="8">
        <f t="shared" si="136"/>
        <v>4.1717607151109055</v>
      </c>
      <c r="AP474" s="8">
        <f t="shared" si="137"/>
        <v>0.13351063290630405</v>
      </c>
      <c r="AQ474" s="8"/>
      <c r="AR474" s="8">
        <f t="shared" si="138"/>
        <v>239.02428211433309</v>
      </c>
      <c r="AS474" s="8">
        <f t="shared" si="139"/>
        <v>82.35040421434833</v>
      </c>
    </row>
    <row r="475" spans="1:45">
      <c r="A475" s="19">
        <v>24.457766670000002</v>
      </c>
      <c r="B475" s="19">
        <v>763.82885209999995</v>
      </c>
      <c r="C475" s="19">
        <v>-317.28488809999999</v>
      </c>
      <c r="E475" s="9">
        <f t="shared" si="129"/>
        <v>196.17114790000005</v>
      </c>
      <c r="F475" s="9">
        <f t="shared" si="130"/>
        <v>222.71511190000001</v>
      </c>
      <c r="I475">
        <v>1</v>
      </c>
      <c r="J475">
        <f t="shared" si="125"/>
        <v>0.19421996706671457</v>
      </c>
      <c r="K475">
        <f t="shared" si="131"/>
        <v>0.84868150025560152</v>
      </c>
      <c r="O475">
        <f t="shared" si="132"/>
        <v>0.12756862579476402</v>
      </c>
      <c r="P475">
        <f t="shared" si="133"/>
        <v>0.14482996644997503</v>
      </c>
      <c r="Q475">
        <f t="shared" si="134"/>
        <v>0.98119851535300162</v>
      </c>
      <c r="R475">
        <f t="shared" ref="R475:R538" si="140">SQRT(O475^2+P475^2+Q475^2)</f>
        <v>1</v>
      </c>
      <c r="AG475" s="8">
        <f t="shared" si="126"/>
        <v>-6.8077018392908473E-2</v>
      </c>
      <c r="AH475" s="8">
        <f t="shared" si="127"/>
        <v>-0.1147111724590416</v>
      </c>
      <c r="AI475" s="8">
        <f t="shared" si="128"/>
        <v>0.99106350274833732</v>
      </c>
      <c r="AJ475" s="8"/>
      <c r="AK475" s="8"/>
      <c r="AL475" s="8"/>
      <c r="AN475" s="8">
        <f t="shared" si="135"/>
        <v>1</v>
      </c>
      <c r="AO475" s="8">
        <f t="shared" si="136"/>
        <v>4.1767887902726173</v>
      </c>
      <c r="AP475" s="8">
        <f t="shared" si="137"/>
        <v>0.13378967991528445</v>
      </c>
      <c r="AQ475" s="8"/>
      <c r="AR475" s="8">
        <f t="shared" si="138"/>
        <v>239.31236960017372</v>
      </c>
      <c r="AS475" s="8">
        <f t="shared" si="139"/>
        <v>82.334415998448009</v>
      </c>
    </row>
    <row r="476" spans="1:45">
      <c r="A476" s="19">
        <v>24.49113333</v>
      </c>
      <c r="B476" s="19">
        <v>763.86305649999997</v>
      </c>
      <c r="C476" s="19">
        <v>-317.91334189999998</v>
      </c>
      <c r="E476" s="9">
        <f t="shared" si="129"/>
        <v>196.13694350000003</v>
      </c>
      <c r="F476" s="9">
        <f t="shared" si="130"/>
        <v>222.08665810000002</v>
      </c>
      <c r="I476">
        <v>1</v>
      </c>
      <c r="J476">
        <f t="shared" si="125"/>
        <v>0.19390099570338168</v>
      </c>
      <c r="K476">
        <f t="shared" si="131"/>
        <v>0.84736618731669522</v>
      </c>
      <c r="O476">
        <f t="shared" si="132"/>
        <v>0.1275518293323826</v>
      </c>
      <c r="P476">
        <f t="shared" si="133"/>
        <v>0.14442745464201856</v>
      </c>
      <c r="Q476">
        <f t="shared" si="134"/>
        <v>0.98126002730142348</v>
      </c>
      <c r="R476">
        <f t="shared" si="140"/>
        <v>1</v>
      </c>
      <c r="AG476" s="8">
        <f t="shared" si="126"/>
        <v>-6.7682304417573946E-2</v>
      </c>
      <c r="AH476" s="8">
        <f t="shared" si="127"/>
        <v>-0.11461712500004309</v>
      </c>
      <c r="AI476" s="8">
        <f t="shared" si="128"/>
        <v>0.9911014177799623</v>
      </c>
      <c r="AJ476" s="8"/>
      <c r="AK476" s="8"/>
      <c r="AL476" s="8"/>
      <c r="AN476" s="8">
        <f t="shared" si="135"/>
        <v>1</v>
      </c>
      <c r="AO476" s="8">
        <f t="shared" si="136"/>
        <v>4.178978287977702</v>
      </c>
      <c r="AP476" s="8">
        <f t="shared" si="137"/>
        <v>0.13350513913555639</v>
      </c>
      <c r="AQ476" s="8"/>
      <c r="AR476" s="8">
        <f t="shared" si="138"/>
        <v>239.43781857792865</v>
      </c>
      <c r="AS476" s="8">
        <f t="shared" si="139"/>
        <v>82.350718984225779</v>
      </c>
    </row>
    <row r="477" spans="1:45">
      <c r="A477" s="19">
        <v>24.5245</v>
      </c>
      <c r="B477" s="19">
        <v>764.04560079999999</v>
      </c>
      <c r="C477" s="19">
        <v>-318.86812759999998</v>
      </c>
      <c r="E477" s="9">
        <f t="shared" si="129"/>
        <v>195.95439920000001</v>
      </c>
      <c r="F477" s="9">
        <f t="shared" si="130"/>
        <v>221.13187240000002</v>
      </c>
      <c r="I477">
        <v>1</v>
      </c>
      <c r="J477">
        <f t="shared" si="125"/>
        <v>0.193361020252414</v>
      </c>
      <c r="K477">
        <f t="shared" si="131"/>
        <v>0.8456901456038699</v>
      </c>
      <c r="O477">
        <f t="shared" si="132"/>
        <v>0.12744228927175894</v>
      </c>
      <c r="P477">
        <f t="shared" si="133"/>
        <v>0.14381688885097754</v>
      </c>
      <c r="Q477">
        <f t="shared" si="134"/>
        <v>0.98136393116233844</v>
      </c>
      <c r="R477">
        <f t="shared" si="140"/>
        <v>1</v>
      </c>
      <c r="AG477" s="8">
        <f t="shared" si="126"/>
        <v>-6.7058394332522281E-2</v>
      </c>
      <c r="AH477" s="8">
        <f t="shared" si="127"/>
        <v>-0.11455497812481179</v>
      </c>
      <c r="AI477" s="8">
        <f t="shared" si="128"/>
        <v>0.99115101207453138</v>
      </c>
      <c r="AJ477" s="8"/>
      <c r="AK477" s="8"/>
      <c r="AL477" s="8"/>
      <c r="AN477" s="8">
        <f t="shared" si="135"/>
        <v>1</v>
      </c>
      <c r="AO477" s="8">
        <f t="shared" si="136"/>
        <v>4.1827875372011976</v>
      </c>
      <c r="AP477" s="8">
        <f t="shared" si="137"/>
        <v>0.13313203652143613</v>
      </c>
      <c r="AQ477" s="8"/>
      <c r="AR477" s="8">
        <f t="shared" si="138"/>
        <v>239.65607248154845</v>
      </c>
      <c r="AS477" s="8">
        <f t="shared" si="139"/>
        <v>82.372096189340169</v>
      </c>
    </row>
    <row r="478" spans="1:45">
      <c r="A478" s="19">
        <v>24.557866669999999</v>
      </c>
      <c r="B478" s="19">
        <v>764.60235999999998</v>
      </c>
      <c r="C478" s="19">
        <v>-319.29466100000002</v>
      </c>
      <c r="E478" s="9">
        <f t="shared" si="129"/>
        <v>195.39764000000002</v>
      </c>
      <c r="F478" s="9">
        <f t="shared" si="130"/>
        <v>220.70533899999998</v>
      </c>
      <c r="I478">
        <v>1</v>
      </c>
      <c r="J478">
        <f t="shared" si="125"/>
        <v>0.19291631358030362</v>
      </c>
      <c r="K478">
        <f t="shared" si="131"/>
        <v>0.84614409306370852</v>
      </c>
      <c r="O478">
        <f t="shared" si="132"/>
        <v>0.12708768689951261</v>
      </c>
      <c r="P478">
        <f t="shared" si="133"/>
        <v>0.14354795185797939</v>
      </c>
      <c r="Q478">
        <f t="shared" si="134"/>
        <v>0.98144928822426214</v>
      </c>
      <c r="R478">
        <f t="shared" si="140"/>
        <v>1</v>
      </c>
      <c r="AG478" s="8">
        <f t="shared" si="126"/>
        <v>-6.6691735285137346E-2</v>
      </c>
      <c r="AH478" s="8">
        <f t="shared" si="127"/>
        <v>-0.11482121131106121</v>
      </c>
      <c r="AI478" s="8">
        <f t="shared" si="128"/>
        <v>0.99114494493879046</v>
      </c>
      <c r="AJ478" s="8"/>
      <c r="AK478" s="8"/>
      <c r="AL478" s="8"/>
      <c r="AN478" s="8">
        <f t="shared" si="135"/>
        <v>1.0000000000000002</v>
      </c>
      <c r="AO478" s="8">
        <f t="shared" si="136"/>
        <v>4.1861834851438884</v>
      </c>
      <c r="AP478" s="8">
        <f t="shared" si="137"/>
        <v>0.13317773594472748</v>
      </c>
      <c r="AQ478" s="8"/>
      <c r="AR478" s="8">
        <f t="shared" si="138"/>
        <v>239.85064596611076</v>
      </c>
      <c r="AS478" s="8">
        <f t="shared" si="139"/>
        <v>82.369477805259393</v>
      </c>
    </row>
    <row r="479" spans="1:45">
      <c r="A479" s="19">
        <v>24.591233330000001</v>
      </c>
      <c r="B479" s="19">
        <v>765.10784020000006</v>
      </c>
      <c r="C479" s="19">
        <v>-319.94399110000001</v>
      </c>
      <c r="E479" s="9">
        <f t="shared" si="129"/>
        <v>194.89215979999994</v>
      </c>
      <c r="F479" s="9">
        <f t="shared" si="130"/>
        <v>220.05600889999999</v>
      </c>
      <c r="I479">
        <v>1</v>
      </c>
      <c r="J479">
        <f t="shared" si="125"/>
        <v>0.19238574738308595</v>
      </c>
      <c r="K479">
        <f t="shared" si="131"/>
        <v>0.8459673410027041</v>
      </c>
      <c r="O479">
        <f t="shared" si="132"/>
        <v>0.12676779567669957</v>
      </c>
      <c r="P479">
        <f t="shared" si="133"/>
        <v>0.14313564589921071</v>
      </c>
      <c r="Q479">
        <f t="shared" si="134"/>
        <v>0.98155087125033225</v>
      </c>
      <c r="R479">
        <f t="shared" si="140"/>
        <v>1</v>
      </c>
      <c r="AG479" s="8">
        <f t="shared" si="126"/>
        <v>-6.6196730716965552E-2</v>
      </c>
      <c r="AH479" s="8">
        <f t="shared" si="127"/>
        <v>-0.11501486313965786</v>
      </c>
      <c r="AI479" s="8">
        <f t="shared" si="128"/>
        <v>0.99115567601631149</v>
      </c>
      <c r="AJ479" s="8"/>
      <c r="AK479" s="8"/>
      <c r="AL479" s="8"/>
      <c r="AN479" s="8">
        <f t="shared" si="135"/>
        <v>1.0000000000000002</v>
      </c>
      <c r="AO479" s="8">
        <f t="shared" si="136"/>
        <v>4.1901419409642857</v>
      </c>
      <c r="AP479" s="8">
        <f t="shared" si="137"/>
        <v>0.1330968957572578</v>
      </c>
      <c r="AQ479" s="8"/>
      <c r="AR479" s="8">
        <f t="shared" si="138"/>
        <v>240.07744877800852</v>
      </c>
      <c r="AS479" s="8">
        <f t="shared" si="139"/>
        <v>82.374109606816461</v>
      </c>
    </row>
    <row r="480" spans="1:45">
      <c r="A480" s="19">
        <v>24.624600000000001</v>
      </c>
      <c r="B480" s="19">
        <v>765.77037719999998</v>
      </c>
      <c r="C480" s="19">
        <v>-320.72173780000003</v>
      </c>
      <c r="E480" s="9">
        <f t="shared" si="129"/>
        <v>194.22962280000002</v>
      </c>
      <c r="F480" s="9">
        <f t="shared" si="130"/>
        <v>219.27826219999997</v>
      </c>
      <c r="I480">
        <v>1</v>
      </c>
      <c r="J480">
        <f t="shared" ref="J480:J543" si="141">ATAN((SQRT(E480^2+F480^2)^$B$16)/($F$24))</f>
        <v>0.19172567450695147</v>
      </c>
      <c r="K480">
        <f t="shared" si="131"/>
        <v>0.8459001982150971</v>
      </c>
      <c r="O480">
        <f t="shared" si="132"/>
        <v>0.12634778649651604</v>
      </c>
      <c r="P480">
        <f t="shared" si="133"/>
        <v>0.14264210915088416</v>
      </c>
      <c r="Q480">
        <f t="shared" si="134"/>
        <v>0.98167686411793265</v>
      </c>
      <c r="R480">
        <f t="shared" si="140"/>
        <v>1</v>
      </c>
      <c r="AG480" s="8">
        <f t="shared" ref="AG480:AG543" si="142">$O480*$Z$27+$P480*$Z$31+$Q480*$Z$35</f>
        <v>-6.559312463329893E-2</v>
      </c>
      <c r="AH480" s="8">
        <f t="shared" ref="AH480:AH543" si="143">$O480*$AA$27+$P480*$AA$31+$Q480*$AA$35</f>
        <v>-0.11528214149544229</v>
      </c>
      <c r="AI480" s="8">
        <f t="shared" ref="AI480:AI543" si="144">$AB$27*$O480+$P480*$AB$31+$AB$35*$Q480</f>
        <v>0.99116475414184557</v>
      </c>
      <c r="AJ480" s="8"/>
      <c r="AK480" s="8"/>
      <c r="AL480" s="8"/>
      <c r="AN480" s="8">
        <f t="shared" si="135"/>
        <v>0.99999999999999989</v>
      </c>
      <c r="AO480" s="8">
        <f t="shared" si="136"/>
        <v>4.195091368442216</v>
      </c>
      <c r="AP480" s="8">
        <f t="shared" si="137"/>
        <v>0.13302846958506143</v>
      </c>
      <c r="AQ480" s="8"/>
      <c r="AR480" s="8">
        <f t="shared" si="138"/>
        <v>240.3610300835</v>
      </c>
      <c r="AS480" s="8">
        <f t="shared" si="139"/>
        <v>82.378030137691539</v>
      </c>
    </row>
    <row r="481" spans="1:45">
      <c r="A481" s="19">
        <v>24.65796667</v>
      </c>
      <c r="B481" s="19">
        <v>765.95103989999996</v>
      </c>
      <c r="C481" s="19">
        <v>-321.37608929999999</v>
      </c>
      <c r="E481" s="9">
        <f t="shared" ref="E481:E544" si="145">-(B481-($B$15/2))</f>
        <v>194.04896010000004</v>
      </c>
      <c r="F481" s="9">
        <f t="shared" ref="F481:F544" si="146">(($C$15/2)+C481)</f>
        <v>218.62391070000001</v>
      </c>
      <c r="I481">
        <v>1</v>
      </c>
      <c r="J481">
        <f t="shared" si="141"/>
        <v>0.19133178257818936</v>
      </c>
      <c r="K481">
        <f t="shared" ref="K481:K544" si="147">ATAN2(E481,F481)</f>
        <v>0.84487859954224565</v>
      </c>
      <c r="O481">
        <f t="shared" ref="O481:O544" si="148">COS(K481)*SIN(J481)</f>
        <v>0.12623675058859815</v>
      </c>
      <c r="P481">
        <f t="shared" ref="P481:P544" si="149">SIN(K481)*SIN(J481)</f>
        <v>0.14222375669273091</v>
      </c>
      <c r="Q481">
        <f t="shared" ref="Q481:Q544" si="150">COS(J481)</f>
        <v>0.98175184534231408</v>
      </c>
      <c r="R481">
        <f t="shared" si="140"/>
        <v>1</v>
      </c>
      <c r="AG481" s="8">
        <f t="shared" si="142"/>
        <v>-6.515493535496017E-2</v>
      </c>
      <c r="AH481" s="8">
        <f t="shared" si="143"/>
        <v>-0.11527387559045559</v>
      </c>
      <c r="AI481" s="8">
        <f t="shared" si="144"/>
        <v>0.99119461661433927</v>
      </c>
      <c r="AJ481" s="8"/>
      <c r="AK481" s="8"/>
      <c r="AL481" s="8"/>
      <c r="AN481" s="8">
        <f t="shared" ref="AN481:AN544" si="151">AG481^2+AH481^2+AI481^2</f>
        <v>0.99999999999999989</v>
      </c>
      <c r="AO481" s="8">
        <f t="shared" ref="AO481:AO544" si="152">IF(ATAN2(AG481,AH481)&gt;=0,ATAN2(AG481,AH481),ATAN2(AG481,AH481)+2*PI())</f>
        <v>4.1979367724692285</v>
      </c>
      <c r="AP481" s="8">
        <f t="shared" ref="AP481:AP544" si="153">ACOS(AI481/AN481)</f>
        <v>0.1328031345852656</v>
      </c>
      <c r="AQ481" s="8"/>
      <c r="AR481" s="8">
        <f t="shared" ref="AR481:AR544" si="154">DEGREES(AO481)</f>
        <v>240.52405972525736</v>
      </c>
      <c r="AS481" s="8">
        <f t="shared" ref="AS481:AS544" si="155">90-DEGREES(AP481)</f>
        <v>82.390940882156428</v>
      </c>
    </row>
    <row r="482" spans="1:45">
      <c r="A482" s="19">
        <v>24.691333329999999</v>
      </c>
      <c r="B482" s="19">
        <v>766.76170349999995</v>
      </c>
      <c r="C482" s="19">
        <v>-322.38409030000003</v>
      </c>
      <c r="E482" s="9">
        <f t="shared" si="145"/>
        <v>193.23829650000005</v>
      </c>
      <c r="F482" s="9">
        <f t="shared" si="146"/>
        <v>217.61590969999997</v>
      </c>
      <c r="I482">
        <v>1</v>
      </c>
      <c r="J482">
        <f t="shared" si="141"/>
        <v>0.19049660426901813</v>
      </c>
      <c r="K482">
        <f t="shared" si="147"/>
        <v>0.84466265628122106</v>
      </c>
      <c r="O482">
        <f t="shared" si="148"/>
        <v>0.1257229906762187</v>
      </c>
      <c r="P482">
        <f t="shared" si="149"/>
        <v>0.1415833376807373</v>
      </c>
      <c r="Q482">
        <f t="shared" si="150"/>
        <v>0.98191032589876037</v>
      </c>
      <c r="R482">
        <f t="shared" si="140"/>
        <v>1</v>
      </c>
      <c r="AG482" s="8">
        <f t="shared" si="142"/>
        <v>-6.4381162638524086E-2</v>
      </c>
      <c r="AH482" s="8">
        <f t="shared" si="143"/>
        <v>-0.11559056231091901</v>
      </c>
      <c r="AI482" s="8">
        <f t="shared" si="144"/>
        <v>0.99120829687909573</v>
      </c>
      <c r="AJ482" s="8"/>
      <c r="AK482" s="8"/>
      <c r="AL482" s="8"/>
      <c r="AN482" s="8">
        <f t="shared" si="151"/>
        <v>1</v>
      </c>
      <c r="AO482" s="8">
        <f t="shared" si="152"/>
        <v>4.204205738824708</v>
      </c>
      <c r="AP482" s="8">
        <f t="shared" si="153"/>
        <v>0.13269977957182078</v>
      </c>
      <c r="AQ482" s="8"/>
      <c r="AR482" s="8">
        <f t="shared" si="154"/>
        <v>240.88324503933583</v>
      </c>
      <c r="AS482" s="8">
        <f t="shared" si="155"/>
        <v>82.396862688218334</v>
      </c>
    </row>
    <row r="483" spans="1:45">
      <c r="A483" s="19">
        <v>24.724699999999999</v>
      </c>
      <c r="B483" s="19">
        <v>766.9063999</v>
      </c>
      <c r="C483" s="19">
        <v>-322.92987419999997</v>
      </c>
      <c r="E483" s="9">
        <f t="shared" si="145"/>
        <v>193.0936001</v>
      </c>
      <c r="F483" s="9">
        <f t="shared" si="146"/>
        <v>217.07012580000003</v>
      </c>
      <c r="I483">
        <v>1</v>
      </c>
      <c r="J483">
        <f t="shared" si="141"/>
        <v>0.190170699883633</v>
      </c>
      <c r="K483">
        <f t="shared" si="147"/>
        <v>0.84378770387189483</v>
      </c>
      <c r="O483">
        <f t="shared" si="148"/>
        <v>0.12563412461911375</v>
      </c>
      <c r="P483">
        <f t="shared" si="149"/>
        <v>0.14123417462681562</v>
      </c>
      <c r="Q483">
        <f t="shared" si="150"/>
        <v>0.98197198261899055</v>
      </c>
      <c r="R483">
        <f t="shared" si="140"/>
        <v>1</v>
      </c>
      <c r="AG483" s="8">
        <f t="shared" si="142"/>
        <v>-6.4016631333448537E-2</v>
      </c>
      <c r="AH483" s="8">
        <f t="shared" si="143"/>
        <v>-0.11557993206724107</v>
      </c>
      <c r="AI483" s="8">
        <f t="shared" si="144"/>
        <v>0.99123314624564951</v>
      </c>
      <c r="AJ483" s="8"/>
      <c r="AK483" s="8"/>
      <c r="AL483" s="8"/>
      <c r="AN483" s="8">
        <f t="shared" si="151"/>
        <v>0.99999999999999989</v>
      </c>
      <c r="AO483" s="8">
        <f t="shared" si="152"/>
        <v>4.2065769378723621</v>
      </c>
      <c r="AP483" s="8">
        <f t="shared" si="153"/>
        <v>0.1325118365013418</v>
      </c>
      <c r="AQ483" s="8"/>
      <c r="AR483" s="8">
        <f t="shared" si="154"/>
        <v>241.01910473715185</v>
      </c>
      <c r="AS483" s="8">
        <f t="shared" si="155"/>
        <v>82.407631032945503</v>
      </c>
    </row>
    <row r="484" spans="1:45">
      <c r="A484" s="19">
        <v>24.758066670000002</v>
      </c>
      <c r="B484" s="19">
        <v>767.01574519999997</v>
      </c>
      <c r="C484" s="19">
        <v>-323.31848769999999</v>
      </c>
      <c r="E484" s="9">
        <f t="shared" si="145"/>
        <v>192.98425480000003</v>
      </c>
      <c r="F484" s="9">
        <f t="shared" si="146"/>
        <v>216.68151230000001</v>
      </c>
      <c r="I484">
        <v>1</v>
      </c>
      <c r="J484">
        <f t="shared" si="141"/>
        <v>0.18993599699879204</v>
      </c>
      <c r="K484">
        <f t="shared" si="147"/>
        <v>0.84317911883666874</v>
      </c>
      <c r="O484">
        <f t="shared" si="148"/>
        <v>0.12556676600227956</v>
      </c>
      <c r="P484">
        <f t="shared" si="149"/>
        <v>0.14098557822860353</v>
      </c>
      <c r="Q484">
        <f t="shared" si="150"/>
        <v>0.98201632064201205</v>
      </c>
      <c r="R484">
        <f t="shared" si="140"/>
        <v>1</v>
      </c>
      <c r="AG484" s="8">
        <f t="shared" si="142"/>
        <v>-6.3755877104249445E-2</v>
      </c>
      <c r="AH484" s="8">
        <f t="shared" si="143"/>
        <v>-0.11557626429370071</v>
      </c>
      <c r="AI484" s="8">
        <f t="shared" si="144"/>
        <v>0.99125037970564245</v>
      </c>
      <c r="AJ484" s="8"/>
      <c r="AK484" s="8"/>
      <c r="AL484" s="8"/>
      <c r="AN484" s="8">
        <f t="shared" si="151"/>
        <v>0.99999999999999989</v>
      </c>
      <c r="AO484" s="8">
        <f t="shared" si="152"/>
        <v>4.2082915930134011</v>
      </c>
      <c r="AP484" s="8">
        <f t="shared" si="153"/>
        <v>0.13238133900206583</v>
      </c>
      <c r="AQ484" s="8"/>
      <c r="AR484" s="8">
        <f t="shared" si="154"/>
        <v>241.11734724005379</v>
      </c>
      <c r="AS484" s="8">
        <f t="shared" si="155"/>
        <v>82.415107988891037</v>
      </c>
    </row>
    <row r="485" spans="1:45">
      <c r="A485" s="19">
        <v>24.79143333</v>
      </c>
      <c r="B485" s="19">
        <v>767.92472699999996</v>
      </c>
      <c r="C485" s="19">
        <v>-324.31038100000001</v>
      </c>
      <c r="E485" s="9">
        <f t="shared" si="145"/>
        <v>192.07527300000004</v>
      </c>
      <c r="F485" s="9">
        <f t="shared" si="146"/>
        <v>215.68961899999999</v>
      </c>
      <c r="I485">
        <v>1</v>
      </c>
      <c r="J485">
        <f t="shared" si="141"/>
        <v>0.18906599579912453</v>
      </c>
      <c r="K485">
        <f t="shared" si="147"/>
        <v>0.84324522305211369</v>
      </c>
      <c r="O485">
        <f t="shared" si="148"/>
        <v>0.12498921566413336</v>
      </c>
      <c r="P485">
        <f t="shared" si="149"/>
        <v>0.1403557880441266</v>
      </c>
      <c r="Q485">
        <f t="shared" si="150"/>
        <v>0.98218020176043919</v>
      </c>
      <c r="R485">
        <f t="shared" si="140"/>
        <v>1</v>
      </c>
      <c r="AG485" s="8">
        <f t="shared" si="142"/>
        <v>-6.2973408274865528E-2</v>
      </c>
      <c r="AH485" s="8">
        <f t="shared" si="143"/>
        <v>-0.11595674879961587</v>
      </c>
      <c r="AI485" s="8">
        <f t="shared" si="144"/>
        <v>0.991255962029016</v>
      </c>
      <c r="AJ485" s="8"/>
      <c r="AK485" s="8"/>
      <c r="AL485" s="8"/>
      <c r="AN485" s="8">
        <f t="shared" si="151"/>
        <v>1</v>
      </c>
      <c r="AO485" s="8">
        <f t="shared" si="152"/>
        <v>4.2148766987387827</v>
      </c>
      <c r="AP485" s="8">
        <f t="shared" si="153"/>
        <v>0.1323390403590794</v>
      </c>
      <c r="AQ485" s="8"/>
      <c r="AR485" s="8">
        <f t="shared" si="154"/>
        <v>241.49464600576559</v>
      </c>
      <c r="AS485" s="8">
        <f t="shared" si="155"/>
        <v>82.417531522613288</v>
      </c>
    </row>
    <row r="486" spans="1:45">
      <c r="A486" s="19">
        <v>24.8248</v>
      </c>
      <c r="B486" s="19">
        <v>768.17904580000004</v>
      </c>
      <c r="C486" s="19">
        <v>-325.30252239999999</v>
      </c>
      <c r="E486" s="9">
        <f t="shared" si="145"/>
        <v>191.82095419999996</v>
      </c>
      <c r="F486" s="9">
        <f t="shared" si="146"/>
        <v>214.69747760000001</v>
      </c>
      <c r="I486">
        <v>1</v>
      </c>
      <c r="J486">
        <f t="shared" si="141"/>
        <v>0.18847755220076443</v>
      </c>
      <c r="K486">
        <f t="shared" si="147"/>
        <v>0.84161313175813746</v>
      </c>
      <c r="O486">
        <f t="shared" si="148"/>
        <v>0.1248330303977141</v>
      </c>
      <c r="P486">
        <f t="shared" si="149"/>
        <v>0.13972058923035716</v>
      </c>
      <c r="Q486">
        <f t="shared" si="150"/>
        <v>0.98229062474750573</v>
      </c>
      <c r="R486">
        <f t="shared" si="140"/>
        <v>1</v>
      </c>
      <c r="AG486" s="8">
        <f t="shared" si="142"/>
        <v>-6.2312006543781967E-2</v>
      </c>
      <c r="AH486" s="8">
        <f t="shared" si="143"/>
        <v>-0.11593195758541552</v>
      </c>
      <c r="AI486" s="8">
        <f t="shared" si="144"/>
        <v>0.9913006582520264</v>
      </c>
      <c r="AJ486" s="8"/>
      <c r="AK486" s="8"/>
      <c r="AL486" s="8"/>
      <c r="AN486" s="8">
        <f t="shared" si="151"/>
        <v>0.99999999999999978</v>
      </c>
      <c r="AO486" s="8">
        <f t="shared" si="152"/>
        <v>4.219202831004834</v>
      </c>
      <c r="AP486" s="8">
        <f t="shared" si="153"/>
        <v>0.13199988016164088</v>
      </c>
      <c r="AQ486" s="8"/>
      <c r="AR486" s="8">
        <f t="shared" si="154"/>
        <v>241.7425151262257</v>
      </c>
      <c r="AS486" s="8">
        <f t="shared" si="155"/>
        <v>82.436963970505332</v>
      </c>
    </row>
    <row r="487" spans="1:45">
      <c r="A487" s="19">
        <v>24.858166669999999</v>
      </c>
      <c r="B487" s="19">
        <v>768.86215230000005</v>
      </c>
      <c r="C487" s="19">
        <v>-325.9836631</v>
      </c>
      <c r="E487" s="9">
        <f t="shared" si="145"/>
        <v>191.13784769999995</v>
      </c>
      <c r="F487" s="9">
        <f t="shared" si="146"/>
        <v>214.0163369</v>
      </c>
      <c r="I487">
        <v>1</v>
      </c>
      <c r="J487">
        <f t="shared" si="141"/>
        <v>0.18785446237173395</v>
      </c>
      <c r="K487">
        <f t="shared" si="147"/>
        <v>0.84180685648588649</v>
      </c>
      <c r="O487">
        <f t="shared" si="148"/>
        <v>0.12439823652724528</v>
      </c>
      <c r="P487">
        <f t="shared" si="149"/>
        <v>0.13928824258902031</v>
      </c>
      <c r="Q487">
        <f t="shared" si="150"/>
        <v>0.98240717842724146</v>
      </c>
      <c r="R487">
        <f t="shared" si="140"/>
        <v>1</v>
      </c>
      <c r="AG487" s="8">
        <f t="shared" si="142"/>
        <v>-6.1763459438006707E-2</v>
      </c>
      <c r="AH487" s="8">
        <f t="shared" si="143"/>
        <v>-0.1162296988718954</v>
      </c>
      <c r="AI487" s="8">
        <f t="shared" si="144"/>
        <v>0.99130012215191332</v>
      </c>
      <c r="AJ487" s="8"/>
      <c r="AK487" s="8"/>
      <c r="AL487" s="8"/>
      <c r="AN487" s="8">
        <f t="shared" si="151"/>
        <v>1</v>
      </c>
      <c r="AO487" s="8">
        <f t="shared" si="152"/>
        <v>4.2239447787725686</v>
      </c>
      <c r="AP487" s="8">
        <f t="shared" si="153"/>
        <v>0.13200395328555703</v>
      </c>
      <c r="AQ487" s="8"/>
      <c r="AR487" s="8">
        <f t="shared" si="154"/>
        <v>242.01420871998837</v>
      </c>
      <c r="AS487" s="8">
        <f t="shared" si="155"/>
        <v>82.436730597695501</v>
      </c>
    </row>
    <row r="488" spans="1:45">
      <c r="A488" s="19">
        <v>24.891533330000001</v>
      </c>
      <c r="B488" s="19">
        <v>768.94757960000004</v>
      </c>
      <c r="C488" s="19">
        <v>-326.65332649999999</v>
      </c>
      <c r="E488" s="9">
        <f t="shared" si="145"/>
        <v>191.05242039999996</v>
      </c>
      <c r="F488" s="9">
        <f t="shared" si="146"/>
        <v>213.34667350000001</v>
      </c>
      <c r="I488">
        <v>1</v>
      </c>
      <c r="J488">
        <f t="shared" si="141"/>
        <v>0.18749460546041335</v>
      </c>
      <c r="K488">
        <f t="shared" si="147"/>
        <v>0.84047174947784486</v>
      </c>
      <c r="O488">
        <f t="shared" si="148"/>
        <v>0.12434824099176302</v>
      </c>
      <c r="P488">
        <f t="shared" si="149"/>
        <v>0.13885866253683424</v>
      </c>
      <c r="Q488">
        <f t="shared" si="150"/>
        <v>0.98247431864692325</v>
      </c>
      <c r="R488">
        <f t="shared" si="140"/>
        <v>1</v>
      </c>
      <c r="AG488" s="8">
        <f t="shared" si="142"/>
        <v>-6.1332874535842852E-2</v>
      </c>
      <c r="AH488" s="8">
        <f t="shared" si="143"/>
        <v>-0.11615954844954475</v>
      </c>
      <c r="AI488" s="8">
        <f t="shared" si="144"/>
        <v>0.99133507847002389</v>
      </c>
      <c r="AJ488" s="8"/>
      <c r="AK488" s="8"/>
      <c r="AL488" s="8"/>
      <c r="AN488" s="8">
        <f t="shared" si="151"/>
        <v>1</v>
      </c>
      <c r="AO488" s="8">
        <f t="shared" si="152"/>
        <v>4.2265888338672566</v>
      </c>
      <c r="AP488" s="8">
        <f t="shared" si="153"/>
        <v>0.13173810384614759</v>
      </c>
      <c r="AQ488" s="8"/>
      <c r="AR488" s="8">
        <f t="shared" si="154"/>
        <v>242.16570191771407</v>
      </c>
      <c r="AS488" s="8">
        <f t="shared" si="155"/>
        <v>82.451962648559586</v>
      </c>
    </row>
    <row r="489" spans="1:45">
      <c r="A489" s="19">
        <v>24.924900000000001</v>
      </c>
      <c r="B489" s="19">
        <v>769.88609759999997</v>
      </c>
      <c r="C489" s="19">
        <v>-327.276275</v>
      </c>
      <c r="E489" s="9">
        <f t="shared" si="145"/>
        <v>190.11390240000003</v>
      </c>
      <c r="F489" s="9">
        <f t="shared" si="146"/>
        <v>212.723725</v>
      </c>
      <c r="I489">
        <v>1</v>
      </c>
      <c r="J489">
        <f t="shared" si="141"/>
        <v>0.18678914343855213</v>
      </c>
      <c r="K489">
        <f t="shared" si="147"/>
        <v>0.84146573064532482</v>
      </c>
      <c r="O489">
        <f t="shared" si="148"/>
        <v>0.12374826543457487</v>
      </c>
      <c r="P489">
        <f t="shared" si="149"/>
        <v>0.13846537077622739</v>
      </c>
      <c r="Q489">
        <f t="shared" si="150"/>
        <v>0.98260557086642653</v>
      </c>
      <c r="R489">
        <f t="shared" si="140"/>
        <v>1</v>
      </c>
      <c r="AG489" s="8">
        <f t="shared" si="142"/>
        <v>-6.0772712285436292E-2</v>
      </c>
      <c r="AH489" s="8">
        <f t="shared" si="143"/>
        <v>-0.11662611371234205</v>
      </c>
      <c r="AI489" s="8">
        <f t="shared" si="144"/>
        <v>0.99131479714661142</v>
      </c>
      <c r="AJ489" s="8"/>
      <c r="AK489" s="8"/>
      <c r="AL489" s="8"/>
      <c r="AN489" s="8">
        <f t="shared" si="151"/>
        <v>0.99999999999999989</v>
      </c>
      <c r="AO489" s="8">
        <f t="shared" si="152"/>
        <v>4.2320120016598839</v>
      </c>
      <c r="AP489" s="8">
        <f t="shared" si="153"/>
        <v>0.13189241204418023</v>
      </c>
      <c r="AQ489" s="8"/>
      <c r="AR489" s="8">
        <f t="shared" si="154"/>
        <v>242.4764265438229</v>
      </c>
      <c r="AS489" s="8">
        <f t="shared" si="155"/>
        <v>82.44312144006804</v>
      </c>
    </row>
    <row r="490" spans="1:45">
      <c r="A490" s="19">
        <v>24.95826667</v>
      </c>
      <c r="B490" s="19">
        <v>769.93679899999995</v>
      </c>
      <c r="C490" s="19">
        <v>-328.04551279999998</v>
      </c>
      <c r="E490" s="9">
        <f t="shared" si="145"/>
        <v>190.06320100000005</v>
      </c>
      <c r="F490" s="9">
        <f t="shared" si="146"/>
        <v>211.95448720000002</v>
      </c>
      <c r="I490">
        <v>1</v>
      </c>
      <c r="J490">
        <f t="shared" si="141"/>
        <v>0.18639625949999938</v>
      </c>
      <c r="K490">
        <f t="shared" si="147"/>
        <v>0.83979797712698634</v>
      </c>
      <c r="O490">
        <f t="shared" si="148"/>
        <v>0.1237212777195877</v>
      </c>
      <c r="P490">
        <f t="shared" si="149"/>
        <v>0.13797136866480531</v>
      </c>
      <c r="Q490">
        <f t="shared" si="150"/>
        <v>0.9826784554818494</v>
      </c>
      <c r="R490">
        <f t="shared" si="140"/>
        <v>1</v>
      </c>
      <c r="AG490" s="8">
        <f t="shared" si="142"/>
        <v>-6.028674149918635E-2</v>
      </c>
      <c r="AH490" s="8">
        <f t="shared" si="143"/>
        <v>-0.11651613296006524</v>
      </c>
      <c r="AI490" s="8">
        <f t="shared" si="144"/>
        <v>0.99135740253424376</v>
      </c>
      <c r="AJ490" s="8"/>
      <c r="AK490" s="8"/>
      <c r="AL490" s="8"/>
      <c r="AN490" s="8">
        <f t="shared" si="151"/>
        <v>0.99999999999999989</v>
      </c>
      <c r="AO490" s="8">
        <f t="shared" si="152"/>
        <v>4.2349097028307483</v>
      </c>
      <c r="AP490" s="8">
        <f t="shared" si="153"/>
        <v>0.13156804565576707</v>
      </c>
      <c r="AQ490" s="8"/>
      <c r="AR490" s="8">
        <f t="shared" si="154"/>
        <v>242.64245259120355</v>
      </c>
      <c r="AS490" s="8">
        <f t="shared" si="155"/>
        <v>82.461706265140023</v>
      </c>
    </row>
    <row r="491" spans="1:45">
      <c r="A491" s="19">
        <v>24.991633329999999</v>
      </c>
      <c r="B491" s="19">
        <v>770.05072210000003</v>
      </c>
      <c r="C491" s="19">
        <v>-328.80648409999998</v>
      </c>
      <c r="E491" s="9">
        <f t="shared" si="145"/>
        <v>189.94927789999997</v>
      </c>
      <c r="F491" s="9">
        <f t="shared" si="146"/>
        <v>211.19351590000002</v>
      </c>
      <c r="I491">
        <v>1</v>
      </c>
      <c r="J491">
        <f t="shared" si="141"/>
        <v>0.18598044647735937</v>
      </c>
      <c r="K491">
        <f t="shared" si="147"/>
        <v>0.83830802627214707</v>
      </c>
      <c r="O491">
        <f t="shared" si="148"/>
        <v>0.12365345342612213</v>
      </c>
      <c r="P491">
        <f t="shared" si="149"/>
        <v>0.13748305795607155</v>
      </c>
      <c r="Q491">
        <f t="shared" si="150"/>
        <v>0.98275542849217645</v>
      </c>
      <c r="R491">
        <f t="shared" si="140"/>
        <v>1</v>
      </c>
      <c r="AG491" s="8">
        <f t="shared" si="142"/>
        <v>-5.9794075799220942E-2</v>
      </c>
      <c r="AH491" s="8">
        <f t="shared" si="143"/>
        <v>-0.11644677942714333</v>
      </c>
      <c r="AI491" s="8">
        <f t="shared" si="144"/>
        <v>0.99139538835943919</v>
      </c>
      <c r="AJ491" s="8"/>
      <c r="AK491" s="8"/>
      <c r="AL491" s="8"/>
      <c r="AN491" s="8">
        <f t="shared" si="151"/>
        <v>1</v>
      </c>
      <c r="AO491" s="8">
        <f t="shared" si="152"/>
        <v>4.2380089345288177</v>
      </c>
      <c r="AP491" s="8">
        <f t="shared" si="153"/>
        <v>0.13127817734884428</v>
      </c>
      <c r="AQ491" s="8"/>
      <c r="AR491" s="8">
        <f t="shared" si="154"/>
        <v>242.82002548723608</v>
      </c>
      <c r="AS491" s="8">
        <f t="shared" si="155"/>
        <v>82.478314495741301</v>
      </c>
    </row>
    <row r="492" spans="1:45">
      <c r="A492" s="19">
        <v>25.024999999999999</v>
      </c>
      <c r="B492" s="19">
        <v>770.2053856</v>
      </c>
      <c r="C492" s="19">
        <v>-329.26580639999997</v>
      </c>
      <c r="E492" s="9">
        <f t="shared" si="145"/>
        <v>189.7946144</v>
      </c>
      <c r="F492" s="9">
        <f t="shared" si="146"/>
        <v>210.73419360000003</v>
      </c>
      <c r="I492">
        <v>1</v>
      </c>
      <c r="J492">
        <f t="shared" si="141"/>
        <v>0.18569240783000954</v>
      </c>
      <c r="K492">
        <f t="shared" si="147"/>
        <v>0.83763044428836753</v>
      </c>
      <c r="O492">
        <f t="shared" si="148"/>
        <v>0.12355713727146708</v>
      </c>
      <c r="P492">
        <f t="shared" si="149"/>
        <v>0.13718889636958595</v>
      </c>
      <c r="Q492">
        <f t="shared" si="150"/>
        <v>0.98280864899642328</v>
      </c>
      <c r="R492">
        <f t="shared" si="140"/>
        <v>1</v>
      </c>
      <c r="AG492" s="8">
        <f t="shared" si="142"/>
        <v>-5.9480698564872536E-2</v>
      </c>
      <c r="AH492" s="8">
        <f t="shared" si="143"/>
        <v>-0.11645809029407421</v>
      </c>
      <c r="AI492" s="8">
        <f t="shared" si="144"/>
        <v>0.99141291080119176</v>
      </c>
      <c r="AJ492" s="8"/>
      <c r="AK492" s="8"/>
      <c r="AL492" s="8"/>
      <c r="AN492" s="8">
        <f t="shared" si="151"/>
        <v>0.99999999999999978</v>
      </c>
      <c r="AO492" s="8">
        <f t="shared" si="152"/>
        <v>4.2401802482813498</v>
      </c>
      <c r="AP492" s="8">
        <f t="shared" si="153"/>
        <v>0.13114424960504634</v>
      </c>
      <c r="AQ492" s="8"/>
      <c r="AR492" s="8">
        <f t="shared" si="154"/>
        <v>242.94443260125487</v>
      </c>
      <c r="AS492" s="8">
        <f t="shared" si="155"/>
        <v>82.485987990220636</v>
      </c>
    </row>
    <row r="493" spans="1:45">
      <c r="A493" s="19">
        <v>25.058366670000002</v>
      </c>
      <c r="B493" s="19">
        <v>771.17899609999995</v>
      </c>
      <c r="C493" s="19">
        <v>-330.0386651</v>
      </c>
      <c r="E493" s="9">
        <f t="shared" si="145"/>
        <v>188.82100390000005</v>
      </c>
      <c r="F493" s="9">
        <f t="shared" si="146"/>
        <v>209.9613349</v>
      </c>
      <c r="I493">
        <v>1</v>
      </c>
      <c r="J493">
        <f t="shared" si="141"/>
        <v>0.18489863606666043</v>
      </c>
      <c r="K493">
        <f t="shared" si="147"/>
        <v>0.83836079176959699</v>
      </c>
      <c r="O493">
        <f t="shared" si="148"/>
        <v>0.12293521344200777</v>
      </c>
      <c r="P493">
        <f t="shared" si="149"/>
        <v>0.13669899527793139</v>
      </c>
      <c r="Q493">
        <f t="shared" si="150"/>
        <v>0.98295489112470058</v>
      </c>
      <c r="R493">
        <f t="shared" si="140"/>
        <v>1</v>
      </c>
      <c r="AG493" s="8">
        <f t="shared" si="142"/>
        <v>-5.8820653456111871E-2</v>
      </c>
      <c r="AH493" s="8">
        <f t="shared" si="143"/>
        <v>-0.11691884944745977</v>
      </c>
      <c r="AI493" s="8">
        <f t="shared" si="144"/>
        <v>0.99139805999955333</v>
      </c>
      <c r="AJ493" s="8"/>
      <c r="AK493" s="8"/>
      <c r="AL493" s="8"/>
      <c r="AN493" s="8">
        <f t="shared" si="151"/>
        <v>0.99999999999999967</v>
      </c>
      <c r="AO493" s="8">
        <f t="shared" si="152"/>
        <v>4.2462727727896095</v>
      </c>
      <c r="AP493" s="8">
        <f t="shared" si="153"/>
        <v>0.13125776621457708</v>
      </c>
      <c r="AQ493" s="8"/>
      <c r="AR493" s="8">
        <f t="shared" si="154"/>
        <v>243.29350854215818</v>
      </c>
      <c r="AS493" s="8">
        <f t="shared" si="155"/>
        <v>82.479483967589886</v>
      </c>
    </row>
    <row r="494" spans="1:45">
      <c r="A494" s="19">
        <v>25.09173333</v>
      </c>
      <c r="B494" s="19">
        <v>771.26559269999996</v>
      </c>
      <c r="C494" s="19">
        <v>-330.85850590000001</v>
      </c>
      <c r="E494" s="9">
        <f t="shared" si="145"/>
        <v>188.73440730000004</v>
      </c>
      <c r="F494" s="9">
        <f t="shared" si="146"/>
        <v>209.14149409999999</v>
      </c>
      <c r="I494">
        <v>1</v>
      </c>
      <c r="J494">
        <f t="shared" si="141"/>
        <v>0.18446657246841153</v>
      </c>
      <c r="K494">
        <f t="shared" si="147"/>
        <v>0.8366433384243126</v>
      </c>
      <c r="O494">
        <f t="shared" si="148"/>
        <v>0.12288526392251252</v>
      </c>
      <c r="P494">
        <f t="shared" si="149"/>
        <v>0.13617234963826907</v>
      </c>
      <c r="Q494">
        <f t="shared" si="150"/>
        <v>0.98303423292614156</v>
      </c>
      <c r="R494">
        <f t="shared" si="140"/>
        <v>1</v>
      </c>
      <c r="AG494" s="8">
        <f t="shared" si="142"/>
        <v>-5.8296339281179888E-2</v>
      </c>
      <c r="AH494" s="8">
        <f t="shared" si="143"/>
        <v>-0.11682168629122758</v>
      </c>
      <c r="AI494" s="8">
        <f t="shared" si="144"/>
        <v>0.99144048254975325</v>
      </c>
      <c r="AJ494" s="8"/>
      <c r="AK494" s="8"/>
      <c r="AL494" s="8"/>
      <c r="AN494" s="8">
        <f t="shared" si="151"/>
        <v>1</v>
      </c>
      <c r="AO494" s="8">
        <f t="shared" si="152"/>
        <v>4.2495258062263837</v>
      </c>
      <c r="AP494" s="8">
        <f t="shared" si="153"/>
        <v>0.13093323710054627</v>
      </c>
      <c r="AQ494" s="8"/>
      <c r="AR494" s="8">
        <f t="shared" si="154"/>
        <v>243.47989362870027</v>
      </c>
      <c r="AS494" s="8">
        <f t="shared" si="155"/>
        <v>82.498078116152968</v>
      </c>
    </row>
    <row r="495" spans="1:45">
      <c r="A495" s="19">
        <v>25.1251</v>
      </c>
      <c r="B495" s="19">
        <v>771.93951130000005</v>
      </c>
      <c r="C495" s="19">
        <v>-331.38900960000001</v>
      </c>
      <c r="E495" s="9">
        <f t="shared" si="145"/>
        <v>188.06048869999995</v>
      </c>
      <c r="F495" s="9">
        <f t="shared" si="146"/>
        <v>208.61099039999999</v>
      </c>
      <c r="I495">
        <v>1</v>
      </c>
      <c r="J495">
        <f t="shared" si="141"/>
        <v>0.18391899196526759</v>
      </c>
      <c r="K495">
        <f t="shared" si="147"/>
        <v>0.83715924648058626</v>
      </c>
      <c r="O495">
        <f t="shared" si="148"/>
        <v>0.12245455072700925</v>
      </c>
      <c r="P495">
        <f t="shared" si="149"/>
        <v>0.13583589664546292</v>
      </c>
      <c r="Q495">
        <f t="shared" si="150"/>
        <v>0.98313452395324286</v>
      </c>
      <c r="R495">
        <f t="shared" si="140"/>
        <v>1</v>
      </c>
      <c r="AG495" s="8">
        <f t="shared" si="142"/>
        <v>-5.7842024888355228E-2</v>
      </c>
      <c r="AH495" s="8">
        <f t="shared" si="143"/>
        <v>-0.11714144799273049</v>
      </c>
      <c r="AI495" s="8">
        <f t="shared" si="144"/>
        <v>0.99142936274803828</v>
      </c>
      <c r="AJ495" s="8"/>
      <c r="AK495" s="8"/>
      <c r="AL495" s="8"/>
      <c r="AN495" s="8">
        <f t="shared" si="151"/>
        <v>1</v>
      </c>
      <c r="AO495" s="8">
        <f t="shared" si="152"/>
        <v>4.2537302854431536</v>
      </c>
      <c r="AP495" s="8">
        <f t="shared" si="153"/>
        <v>0.13101837998553956</v>
      </c>
      <c r="AQ495" s="8"/>
      <c r="AR495" s="8">
        <f t="shared" si="154"/>
        <v>243.72079254287166</v>
      </c>
      <c r="AS495" s="8">
        <f t="shared" si="155"/>
        <v>82.493199788187283</v>
      </c>
    </row>
    <row r="496" spans="1:45">
      <c r="A496" s="19">
        <v>25.158466669999999</v>
      </c>
      <c r="B496" s="19">
        <v>772.74154950000002</v>
      </c>
      <c r="C496" s="19">
        <v>-332.03304420000001</v>
      </c>
      <c r="E496" s="9">
        <f t="shared" si="145"/>
        <v>187.25845049999998</v>
      </c>
      <c r="F496" s="9">
        <f t="shared" si="146"/>
        <v>207.96695579999999</v>
      </c>
      <c r="I496">
        <v>1</v>
      </c>
      <c r="J496">
        <f t="shared" si="141"/>
        <v>0.18326115006084442</v>
      </c>
      <c r="K496">
        <f t="shared" si="147"/>
        <v>0.83774698760823407</v>
      </c>
      <c r="O496">
        <f t="shared" si="148"/>
        <v>0.12194190320687784</v>
      </c>
      <c r="P496">
        <f t="shared" si="149"/>
        <v>0.13542719341465792</v>
      </c>
      <c r="Q496">
        <f t="shared" si="150"/>
        <v>0.98325461988546647</v>
      </c>
      <c r="R496">
        <f t="shared" si="140"/>
        <v>1</v>
      </c>
      <c r="AG496" s="8">
        <f t="shared" si="142"/>
        <v>-5.7293355484117181E-2</v>
      </c>
      <c r="AH496" s="8">
        <f t="shared" si="143"/>
        <v>-0.11751968629895035</v>
      </c>
      <c r="AI496" s="8">
        <f t="shared" si="144"/>
        <v>0.9914164587848876</v>
      </c>
      <c r="AJ496" s="8"/>
      <c r="AK496" s="8"/>
      <c r="AL496" s="8"/>
      <c r="AN496" s="8">
        <f t="shared" si="151"/>
        <v>0.99999999999999989</v>
      </c>
      <c r="AO496" s="8">
        <f t="shared" si="152"/>
        <v>4.258774038419376</v>
      </c>
      <c r="AP496" s="8">
        <f t="shared" si="153"/>
        <v>0.13111711505385504</v>
      </c>
      <c r="AQ496" s="8"/>
      <c r="AR496" s="8">
        <f t="shared" si="154"/>
        <v>244.00977830131575</v>
      </c>
      <c r="AS496" s="8">
        <f t="shared" si="155"/>
        <v>82.487542685482879</v>
      </c>
    </row>
    <row r="497" spans="1:45">
      <c r="A497" s="19">
        <v>25.191833330000001</v>
      </c>
      <c r="B497" s="19">
        <v>772.34902039999997</v>
      </c>
      <c r="C497" s="19">
        <v>-333.17494470000003</v>
      </c>
      <c r="E497" s="9">
        <f t="shared" si="145"/>
        <v>187.65097960000003</v>
      </c>
      <c r="F497" s="9">
        <f t="shared" si="146"/>
        <v>206.82505529999997</v>
      </c>
      <c r="I497">
        <v>1</v>
      </c>
      <c r="J497">
        <f t="shared" si="141"/>
        <v>0.18288275202742876</v>
      </c>
      <c r="K497">
        <f t="shared" si="147"/>
        <v>0.83396637854827027</v>
      </c>
      <c r="O497">
        <f t="shared" si="148"/>
        <v>0.12220301464394943</v>
      </c>
      <c r="P497">
        <f t="shared" si="149"/>
        <v>0.13468965264896249</v>
      </c>
      <c r="Q497">
        <f t="shared" si="150"/>
        <v>0.98332350764193188</v>
      </c>
      <c r="R497">
        <f t="shared" si="140"/>
        <v>1</v>
      </c>
      <c r="AG497" s="8">
        <f t="shared" si="142"/>
        <v>-5.6658271806674737E-2</v>
      </c>
      <c r="AH497" s="8">
        <f t="shared" si="143"/>
        <v>-0.11706643286942893</v>
      </c>
      <c r="AI497" s="8">
        <f t="shared" si="144"/>
        <v>0.99150657614113091</v>
      </c>
      <c r="AJ497" s="8"/>
      <c r="AK497" s="8"/>
      <c r="AL497" s="8"/>
      <c r="AN497" s="8">
        <f t="shared" si="151"/>
        <v>0.99999999999999978</v>
      </c>
      <c r="AO497" s="8">
        <f t="shared" si="152"/>
        <v>4.261636129621964</v>
      </c>
      <c r="AP497" s="8">
        <f t="shared" si="153"/>
        <v>0.13042602659019842</v>
      </c>
      <c r="AQ497" s="8"/>
      <c r="AR497" s="8">
        <f t="shared" si="154"/>
        <v>244.17376404780558</v>
      </c>
      <c r="AS497" s="8">
        <f t="shared" si="155"/>
        <v>82.527139137720582</v>
      </c>
    </row>
    <row r="498" spans="1:45">
      <c r="A498" s="19">
        <v>25.225200000000001</v>
      </c>
      <c r="B498" s="19">
        <v>773.71109239999998</v>
      </c>
      <c r="C498" s="19">
        <v>-334.09467599999999</v>
      </c>
      <c r="E498" s="9">
        <f t="shared" si="145"/>
        <v>186.28890760000002</v>
      </c>
      <c r="F498" s="9">
        <f t="shared" si="146"/>
        <v>205.90532400000001</v>
      </c>
      <c r="I498">
        <v>1</v>
      </c>
      <c r="J498">
        <f t="shared" si="141"/>
        <v>0.18184822841434101</v>
      </c>
      <c r="K498">
        <f t="shared" si="147"/>
        <v>0.83537361213422012</v>
      </c>
      <c r="O498">
        <f t="shared" si="148"/>
        <v>0.12133080066959678</v>
      </c>
      <c r="P498">
        <f t="shared" si="149"/>
        <v>0.13410706061305361</v>
      </c>
      <c r="Q498">
        <f t="shared" si="150"/>
        <v>0.98351112505278826</v>
      </c>
      <c r="R498">
        <f t="shared" si="140"/>
        <v>1</v>
      </c>
      <c r="AG498" s="8">
        <f t="shared" si="142"/>
        <v>-5.5833956444094557E-2</v>
      </c>
      <c r="AH498" s="8">
        <f t="shared" si="143"/>
        <v>-0.11774080677064869</v>
      </c>
      <c r="AI498" s="8">
        <f t="shared" si="144"/>
        <v>0.99147348513653943</v>
      </c>
      <c r="AJ498" s="8"/>
      <c r="AK498" s="8"/>
      <c r="AL498" s="8"/>
      <c r="AN498" s="8">
        <f t="shared" si="151"/>
        <v>1</v>
      </c>
      <c r="AO498" s="8">
        <f t="shared" si="152"/>
        <v>4.2695847969663241</v>
      </c>
      <c r="AP498" s="8">
        <f t="shared" si="153"/>
        <v>0.13068021578764011</v>
      </c>
      <c r="AQ498" s="8"/>
      <c r="AR498" s="8">
        <f t="shared" si="154"/>
        <v>244.62918913939086</v>
      </c>
      <c r="AS498" s="8">
        <f t="shared" si="155"/>
        <v>82.512575169509347</v>
      </c>
    </row>
    <row r="499" spans="1:45">
      <c r="A499" s="19">
        <v>25.25856667</v>
      </c>
      <c r="B499" s="19">
        <v>773.95906530000002</v>
      </c>
      <c r="C499" s="19">
        <v>-334.60814570000002</v>
      </c>
      <c r="E499" s="9">
        <f t="shared" si="145"/>
        <v>186.04093469999998</v>
      </c>
      <c r="F499" s="9">
        <f t="shared" si="146"/>
        <v>205.39185429999998</v>
      </c>
      <c r="I499">
        <v>1</v>
      </c>
      <c r="J499">
        <f t="shared" si="141"/>
        <v>0.18149356335977188</v>
      </c>
      <c r="K499">
        <f t="shared" si="147"/>
        <v>0.83479407278325346</v>
      </c>
      <c r="O499">
        <f t="shared" si="148"/>
        <v>0.12117432153097336</v>
      </c>
      <c r="P499">
        <f t="shared" si="149"/>
        <v>0.13377818506945521</v>
      </c>
      <c r="Q499">
        <f t="shared" si="150"/>
        <v>0.98357520353099126</v>
      </c>
      <c r="R499">
        <f t="shared" si="140"/>
        <v>1</v>
      </c>
      <c r="AG499" s="8">
        <f t="shared" si="142"/>
        <v>-5.5469155659347402E-2</v>
      </c>
      <c r="AH499" s="8">
        <f t="shared" si="143"/>
        <v>-0.11779988420085145</v>
      </c>
      <c r="AI499" s="8">
        <f t="shared" si="144"/>
        <v>0.99148694396482351</v>
      </c>
      <c r="AJ499" s="8"/>
      <c r="AK499" s="8"/>
      <c r="AL499" s="8"/>
      <c r="AN499" s="8">
        <f t="shared" si="151"/>
        <v>1</v>
      </c>
      <c r="AO499" s="8">
        <f t="shared" si="152"/>
        <v>4.272310710815006</v>
      </c>
      <c r="AP499" s="8">
        <f t="shared" si="153"/>
        <v>0.13057689089592461</v>
      </c>
      <c r="AQ499" s="8"/>
      <c r="AR499" s="8">
        <f t="shared" si="154"/>
        <v>244.7853724982366</v>
      </c>
      <c r="AS499" s="8">
        <f t="shared" si="155"/>
        <v>82.518495249723301</v>
      </c>
    </row>
    <row r="500" spans="1:45">
      <c r="A500" s="19">
        <v>25.291933329999999</v>
      </c>
      <c r="B500" s="19">
        <v>774.20521350000001</v>
      </c>
      <c r="C500" s="19">
        <v>-335.00702230000002</v>
      </c>
      <c r="E500" s="9">
        <f t="shared" si="145"/>
        <v>185.79478649999999</v>
      </c>
      <c r="F500" s="9">
        <f t="shared" si="146"/>
        <v>204.99297769999998</v>
      </c>
      <c r="I500">
        <v>1</v>
      </c>
      <c r="J500">
        <f t="shared" si="141"/>
        <v>0.18119476192130099</v>
      </c>
      <c r="K500">
        <f t="shared" si="147"/>
        <v>0.83448559817544754</v>
      </c>
      <c r="O500">
        <f t="shared" si="148"/>
        <v>0.12101821060437387</v>
      </c>
      <c r="P500">
        <f t="shared" si="149"/>
        <v>0.13352303266979088</v>
      </c>
      <c r="Q500">
        <f t="shared" si="150"/>
        <v>0.98362909292516221</v>
      </c>
      <c r="R500">
        <f t="shared" si="140"/>
        <v>1</v>
      </c>
      <c r="AG500" s="8">
        <f t="shared" si="142"/>
        <v>-5.5175759091202758E-2</v>
      </c>
      <c r="AH500" s="8">
        <f t="shared" si="143"/>
        <v>-0.11787892351204921</v>
      </c>
      <c r="AI500" s="8">
        <f t="shared" si="144"/>
        <v>0.99149392080856957</v>
      </c>
      <c r="AJ500" s="8"/>
      <c r="AK500" s="8"/>
      <c r="AL500" s="8"/>
      <c r="AN500" s="8">
        <f t="shared" si="151"/>
        <v>1</v>
      </c>
      <c r="AO500" s="8">
        <f t="shared" si="152"/>
        <v>4.2746088757372727</v>
      </c>
      <c r="AP500" s="8">
        <f t="shared" si="153"/>
        <v>0.13052329689901532</v>
      </c>
      <c r="AQ500" s="8"/>
      <c r="AR500" s="8">
        <f t="shared" si="154"/>
        <v>244.9170476489075</v>
      </c>
      <c r="AS500" s="8">
        <f t="shared" si="155"/>
        <v>82.521565959553442</v>
      </c>
    </row>
    <row r="501" spans="1:45">
      <c r="A501" s="19">
        <v>25.325299999999999</v>
      </c>
      <c r="B501" s="19">
        <v>774.41457630000002</v>
      </c>
      <c r="C501" s="19">
        <v>-336.21475140000001</v>
      </c>
      <c r="E501" s="9">
        <f t="shared" si="145"/>
        <v>185.58542369999998</v>
      </c>
      <c r="F501" s="9">
        <f t="shared" si="146"/>
        <v>203.78524859999999</v>
      </c>
      <c r="I501">
        <v>1</v>
      </c>
      <c r="J501">
        <f t="shared" si="141"/>
        <v>0.18052382493770622</v>
      </c>
      <c r="K501">
        <f t="shared" si="147"/>
        <v>0.83210581071053191</v>
      </c>
      <c r="O501">
        <f t="shared" si="148"/>
        <v>0.12089123692297375</v>
      </c>
      <c r="P501">
        <f t="shared" si="149"/>
        <v>0.13274669033131456</v>
      </c>
      <c r="Q501">
        <f t="shared" si="150"/>
        <v>0.98374977765756855</v>
      </c>
      <c r="R501">
        <f t="shared" si="140"/>
        <v>1</v>
      </c>
      <c r="AG501" s="8">
        <f t="shared" si="142"/>
        <v>-5.4387205042239053E-2</v>
      </c>
      <c r="AH501" s="8">
        <f t="shared" si="143"/>
        <v>-0.11778620158180615</v>
      </c>
      <c r="AI501" s="8">
        <f t="shared" si="144"/>
        <v>0.99154850745922851</v>
      </c>
      <c r="AJ501" s="8"/>
      <c r="AK501" s="8"/>
      <c r="AL501" s="8"/>
      <c r="AN501" s="8">
        <f t="shared" si="151"/>
        <v>1.0000000000000002</v>
      </c>
      <c r="AO501" s="8">
        <f t="shared" si="152"/>
        <v>4.2798108421844514</v>
      </c>
      <c r="AP501" s="8">
        <f t="shared" si="153"/>
        <v>0.13010322105713867</v>
      </c>
      <c r="AQ501" s="8"/>
      <c r="AR501" s="8">
        <f t="shared" si="154"/>
        <v>245.21509837149949</v>
      </c>
      <c r="AS501" s="8">
        <f t="shared" si="155"/>
        <v>82.545634532368368</v>
      </c>
    </row>
    <row r="502" spans="1:45">
      <c r="A502" s="19">
        <v>25.358666670000002</v>
      </c>
      <c r="B502" s="19">
        <v>774.93033860000003</v>
      </c>
      <c r="C502" s="19">
        <v>-336.7902163</v>
      </c>
      <c r="E502" s="9">
        <f t="shared" si="145"/>
        <v>185.06966139999997</v>
      </c>
      <c r="F502" s="9">
        <f t="shared" si="146"/>
        <v>203.2097837</v>
      </c>
      <c r="I502">
        <v>1</v>
      </c>
      <c r="J502">
        <f t="shared" si="141"/>
        <v>0.18002265623613112</v>
      </c>
      <c r="K502">
        <f t="shared" si="147"/>
        <v>0.83208346109136566</v>
      </c>
      <c r="O502">
        <f t="shared" si="148"/>
        <v>0.12056221693425999</v>
      </c>
      <c r="P502">
        <f t="shared" si="149"/>
        <v>0.13237946101090914</v>
      </c>
      <c r="Q502">
        <f t="shared" si="150"/>
        <v>0.98383963639932581</v>
      </c>
      <c r="R502">
        <f t="shared" si="140"/>
        <v>1</v>
      </c>
      <c r="AG502" s="8">
        <f t="shared" si="142"/>
        <v>-5.3933781035397213E-2</v>
      </c>
      <c r="AH502" s="8">
        <f t="shared" si="143"/>
        <v>-0.11799972536308845</v>
      </c>
      <c r="AI502" s="8">
        <f t="shared" si="144"/>
        <v>0.99154788693106577</v>
      </c>
      <c r="AJ502" s="8"/>
      <c r="AK502" s="8"/>
      <c r="AL502" s="8"/>
      <c r="AN502" s="8">
        <f t="shared" si="151"/>
        <v>1</v>
      </c>
      <c r="AO502" s="8">
        <f t="shared" si="152"/>
        <v>4.2836736955596635</v>
      </c>
      <c r="AP502" s="8">
        <f t="shared" si="153"/>
        <v>0.13010800395832223</v>
      </c>
      <c r="AQ502" s="8"/>
      <c r="AR502" s="8">
        <f t="shared" si="154"/>
        <v>245.43642356677702</v>
      </c>
      <c r="AS502" s="8">
        <f t="shared" si="155"/>
        <v>82.545360492316732</v>
      </c>
    </row>
    <row r="503" spans="1:45">
      <c r="A503" s="19">
        <v>25.39203333</v>
      </c>
      <c r="B503" s="19">
        <v>775.41666669999995</v>
      </c>
      <c r="C503" s="19">
        <v>-337.91666670000001</v>
      </c>
      <c r="E503" s="9">
        <f t="shared" si="145"/>
        <v>184.58333330000005</v>
      </c>
      <c r="F503" s="9">
        <f t="shared" si="146"/>
        <v>202.08333329999999</v>
      </c>
      <c r="I503">
        <v>1</v>
      </c>
      <c r="J503">
        <f t="shared" si="141"/>
        <v>0.179270191609984</v>
      </c>
      <c r="K503">
        <f t="shared" si="147"/>
        <v>0.83062592029533189</v>
      </c>
      <c r="O503">
        <f t="shared" si="148"/>
        <v>0.12025573158528224</v>
      </c>
      <c r="P503">
        <f t="shared" si="149"/>
        <v>0.131656952189106</v>
      </c>
      <c r="Q503">
        <f t="shared" si="150"/>
        <v>0.9839740880537271</v>
      </c>
      <c r="R503">
        <f t="shared" si="140"/>
        <v>1</v>
      </c>
      <c r="AG503" s="8">
        <f t="shared" si="142"/>
        <v>-5.3143688678193524E-2</v>
      </c>
      <c r="AH503" s="8">
        <f t="shared" si="143"/>
        <v>-0.11809348817021537</v>
      </c>
      <c r="AI503" s="8">
        <f t="shared" si="144"/>
        <v>0.99157938482275143</v>
      </c>
      <c r="AJ503" s="8"/>
      <c r="AK503" s="8"/>
      <c r="AL503" s="8"/>
      <c r="AN503" s="8">
        <f t="shared" si="151"/>
        <v>0.99999999999999978</v>
      </c>
      <c r="AO503" s="8">
        <f t="shared" si="152"/>
        <v>4.2895236534862402</v>
      </c>
      <c r="AP503" s="8">
        <f t="shared" si="153"/>
        <v>0.12986500359558395</v>
      </c>
      <c r="AQ503" s="8"/>
      <c r="AR503" s="8">
        <f t="shared" si="154"/>
        <v>245.77160146629896</v>
      </c>
      <c r="AS503" s="8">
        <f t="shared" si="155"/>
        <v>82.559283387521774</v>
      </c>
    </row>
    <row r="504" spans="1:45">
      <c r="A504" s="19">
        <v>25.4254</v>
      </c>
      <c r="B504" s="19">
        <v>775.43995510000002</v>
      </c>
      <c r="C504" s="19">
        <v>-337.95317249999999</v>
      </c>
      <c r="E504" s="9">
        <f t="shared" si="145"/>
        <v>184.56004489999998</v>
      </c>
      <c r="F504" s="9">
        <f t="shared" si="146"/>
        <v>202.04682750000001</v>
      </c>
      <c r="I504">
        <v>1</v>
      </c>
      <c r="J504">
        <f t="shared" si="141"/>
        <v>0.17924251574620617</v>
      </c>
      <c r="K504">
        <f t="shared" si="147"/>
        <v>0.83059878750466665</v>
      </c>
      <c r="O504">
        <f t="shared" si="148"/>
        <v>0.12024093731045774</v>
      </c>
      <c r="P504">
        <f t="shared" si="149"/>
        <v>0.13163358262275957</v>
      </c>
      <c r="Q504">
        <f t="shared" si="150"/>
        <v>0.98397902260190473</v>
      </c>
      <c r="R504">
        <f t="shared" si="140"/>
        <v>1</v>
      </c>
      <c r="AG504" s="8">
        <f t="shared" si="142"/>
        <v>-5.3116674685404791E-2</v>
      </c>
      <c r="AH504" s="8">
        <f t="shared" si="143"/>
        <v>-0.1181011901250085</v>
      </c>
      <c r="AI504" s="8">
        <f t="shared" si="144"/>
        <v>0.99157991496470999</v>
      </c>
      <c r="AJ504" s="8"/>
      <c r="AK504" s="8"/>
      <c r="AL504" s="8"/>
      <c r="AN504" s="8">
        <f t="shared" si="151"/>
        <v>1</v>
      </c>
      <c r="AO504" s="8">
        <f t="shared" si="152"/>
        <v>4.2897382945315812</v>
      </c>
      <c r="AP504" s="8">
        <f t="shared" si="153"/>
        <v>0.12986090978010756</v>
      </c>
      <c r="AQ504" s="8"/>
      <c r="AR504" s="8">
        <f t="shared" si="154"/>
        <v>245.78389949230728</v>
      </c>
      <c r="AS504" s="8">
        <f t="shared" si="155"/>
        <v>82.559517945870681</v>
      </c>
    </row>
    <row r="505" spans="1:45">
      <c r="A505" s="19">
        <v>25.458766669999999</v>
      </c>
      <c r="B505" s="19">
        <v>776.12880600000005</v>
      </c>
      <c r="C505" s="19">
        <v>-338.9816318</v>
      </c>
      <c r="E505" s="9">
        <f t="shared" si="145"/>
        <v>183.87119399999995</v>
      </c>
      <c r="F505" s="9">
        <f t="shared" si="146"/>
        <v>201.0183682</v>
      </c>
      <c r="I505">
        <v>1</v>
      </c>
      <c r="J505">
        <f t="shared" si="141"/>
        <v>0.17844843111697609</v>
      </c>
      <c r="K505">
        <f t="shared" si="147"/>
        <v>0.82991961813396919</v>
      </c>
      <c r="O505">
        <f t="shared" si="148"/>
        <v>0.11980290415018716</v>
      </c>
      <c r="P505">
        <f t="shared" si="149"/>
        <v>0.13097529729366766</v>
      </c>
      <c r="Q505">
        <f t="shared" si="150"/>
        <v>0.98412028515624883</v>
      </c>
      <c r="R505">
        <f t="shared" si="140"/>
        <v>1</v>
      </c>
      <c r="AG505" s="8">
        <f t="shared" si="142"/>
        <v>-5.2349398377645268E-2</v>
      </c>
      <c r="AH505" s="8">
        <f t="shared" si="143"/>
        <v>-0.11833846244742446</v>
      </c>
      <c r="AI505" s="8">
        <f t="shared" si="144"/>
        <v>0.99159243078750769</v>
      </c>
      <c r="AJ505" s="8"/>
      <c r="AK505" s="8"/>
      <c r="AL505" s="8"/>
      <c r="AN505" s="8">
        <f t="shared" si="151"/>
        <v>1.0000000000000002</v>
      </c>
      <c r="AO505" s="8">
        <f t="shared" si="152"/>
        <v>4.2958981617338949</v>
      </c>
      <c r="AP505" s="8">
        <f t="shared" si="153"/>
        <v>0.12976422389169451</v>
      </c>
      <c r="AQ505" s="8"/>
      <c r="AR505" s="8">
        <f t="shared" si="154"/>
        <v>246.13683388536091</v>
      </c>
      <c r="AS505" s="8">
        <f t="shared" si="155"/>
        <v>82.565057639215226</v>
      </c>
    </row>
    <row r="506" spans="1:45">
      <c r="A506" s="19">
        <v>25.492133330000001</v>
      </c>
      <c r="B506" s="19">
        <v>776.75060099999996</v>
      </c>
      <c r="C506" s="19">
        <v>-340.00364489999998</v>
      </c>
      <c r="E506" s="9">
        <f t="shared" si="145"/>
        <v>183.24939900000004</v>
      </c>
      <c r="F506" s="9">
        <f t="shared" si="146"/>
        <v>199.99635510000002</v>
      </c>
      <c r="I506">
        <v>1</v>
      </c>
      <c r="J506">
        <f t="shared" si="141"/>
        <v>0.17768672894694149</v>
      </c>
      <c r="K506">
        <f t="shared" si="147"/>
        <v>0.82906807687470696</v>
      </c>
      <c r="O506">
        <f t="shared" si="148"/>
        <v>0.11940795025688163</v>
      </c>
      <c r="P506">
        <f t="shared" si="149"/>
        <v>0.13032050828902542</v>
      </c>
      <c r="Q506">
        <f t="shared" si="150"/>
        <v>0.98425520396629862</v>
      </c>
      <c r="R506">
        <f t="shared" si="140"/>
        <v>1</v>
      </c>
      <c r="AG506" s="8">
        <f t="shared" si="142"/>
        <v>-5.1598450313690453E-2</v>
      </c>
      <c r="AH506" s="8">
        <f t="shared" si="143"/>
        <v>-0.11853535401730986</v>
      </c>
      <c r="AI506" s="8">
        <f t="shared" si="144"/>
        <v>0.9916082743569743</v>
      </c>
      <c r="AJ506" s="8"/>
      <c r="AK506" s="8"/>
      <c r="AL506" s="8"/>
      <c r="AN506" s="8">
        <f t="shared" si="151"/>
        <v>0.99999999999999978</v>
      </c>
      <c r="AO506" s="8">
        <f t="shared" si="152"/>
        <v>4.3018265110836031</v>
      </c>
      <c r="AP506" s="8">
        <f t="shared" si="153"/>
        <v>0.12964172801937646</v>
      </c>
      <c r="AQ506" s="8"/>
      <c r="AR506" s="8">
        <f t="shared" si="154"/>
        <v>246.47650328257831</v>
      </c>
      <c r="AS506" s="8">
        <f t="shared" si="155"/>
        <v>82.572076135706823</v>
      </c>
    </row>
    <row r="507" spans="1:45">
      <c r="A507" s="19">
        <v>25.525500000000001</v>
      </c>
      <c r="B507" s="19">
        <v>776.98028899999997</v>
      </c>
      <c r="C507" s="19">
        <v>-340.45676200000003</v>
      </c>
      <c r="E507" s="9">
        <f t="shared" si="145"/>
        <v>183.01971100000003</v>
      </c>
      <c r="F507" s="9">
        <f t="shared" si="146"/>
        <v>199.54323799999997</v>
      </c>
      <c r="I507">
        <v>1</v>
      </c>
      <c r="J507">
        <f t="shared" si="141"/>
        <v>0.1773691865216574</v>
      </c>
      <c r="K507">
        <f t="shared" si="147"/>
        <v>0.82856299037244852</v>
      </c>
      <c r="O507">
        <f t="shared" si="148"/>
        <v>0.11926249337636656</v>
      </c>
      <c r="P507">
        <f t="shared" si="149"/>
        <v>0.13002984197846171</v>
      </c>
      <c r="Q507">
        <f t="shared" si="150"/>
        <v>0.9843112809821436</v>
      </c>
      <c r="R507">
        <f t="shared" si="140"/>
        <v>1</v>
      </c>
      <c r="AG507" s="8">
        <f t="shared" si="142"/>
        <v>-5.1274047233209954E-2</v>
      </c>
      <c r="AH507" s="8">
        <f t="shared" si="143"/>
        <v>-0.11859414071722033</v>
      </c>
      <c r="AI507" s="8">
        <f t="shared" si="144"/>
        <v>0.99161807258030077</v>
      </c>
      <c r="AJ507" s="8"/>
      <c r="AK507" s="8"/>
      <c r="AL507" s="8"/>
      <c r="AN507" s="8">
        <f t="shared" si="151"/>
        <v>1</v>
      </c>
      <c r="AO507" s="8">
        <f t="shared" si="152"/>
        <v>4.3043102449002006</v>
      </c>
      <c r="AP507" s="8">
        <f t="shared" si="153"/>
        <v>0.12956591461009048</v>
      </c>
      <c r="AQ507" s="8"/>
      <c r="AR507" s="8">
        <f t="shared" si="154"/>
        <v>246.61881074770326</v>
      </c>
      <c r="AS507" s="8">
        <f t="shared" si="155"/>
        <v>82.576419924089407</v>
      </c>
    </row>
    <row r="508" spans="1:45">
      <c r="A508" s="19">
        <v>25.55886667</v>
      </c>
      <c r="B508" s="19">
        <v>777.46263180000005</v>
      </c>
      <c r="C508" s="19">
        <v>-341.00211250000001</v>
      </c>
      <c r="E508" s="9">
        <f t="shared" si="145"/>
        <v>182.53736819999995</v>
      </c>
      <c r="F508" s="9">
        <f t="shared" si="146"/>
        <v>198.99788749999999</v>
      </c>
      <c r="I508">
        <v>1</v>
      </c>
      <c r="J508">
        <f t="shared" si="141"/>
        <v>0.176896644015376</v>
      </c>
      <c r="K508">
        <f t="shared" si="147"/>
        <v>0.82851427850910231</v>
      </c>
      <c r="O508">
        <f t="shared" si="148"/>
        <v>0.11895440009077959</v>
      </c>
      <c r="P508">
        <f t="shared" si="149"/>
        <v>0.12968125135319525</v>
      </c>
      <c r="Q508">
        <f t="shared" si="150"/>
        <v>0.98439454678828453</v>
      </c>
      <c r="R508">
        <f t="shared" si="140"/>
        <v>1</v>
      </c>
      <c r="AG508" s="8">
        <f t="shared" si="142"/>
        <v>-5.0845065017028887E-2</v>
      </c>
      <c r="AH508" s="8">
        <f t="shared" si="143"/>
        <v>-0.1187924879327274</v>
      </c>
      <c r="AI508" s="8">
        <f t="shared" si="144"/>
        <v>0.99161641987926308</v>
      </c>
      <c r="AJ508" s="8"/>
      <c r="AK508" s="8"/>
      <c r="AL508" s="8"/>
      <c r="AN508" s="8">
        <f t="shared" si="151"/>
        <v>1</v>
      </c>
      <c r="AO508" s="8">
        <f t="shared" si="152"/>
        <v>4.3079666756655524</v>
      </c>
      <c r="AP508" s="8">
        <f t="shared" si="153"/>
        <v>0.1295787054188684</v>
      </c>
      <c r="AQ508" s="8"/>
      <c r="AR508" s="8">
        <f t="shared" si="154"/>
        <v>246.82830879863971</v>
      </c>
      <c r="AS508" s="8">
        <f t="shared" si="155"/>
        <v>82.575687064729877</v>
      </c>
    </row>
    <row r="509" spans="1:45">
      <c r="A509" s="19">
        <v>25.592233329999999</v>
      </c>
      <c r="B509" s="19">
        <v>777.8644309</v>
      </c>
      <c r="C509" s="19">
        <v>-341.93750210000002</v>
      </c>
      <c r="E509" s="9">
        <f t="shared" si="145"/>
        <v>182.1355691</v>
      </c>
      <c r="F509" s="9">
        <f t="shared" si="146"/>
        <v>198.06249789999998</v>
      </c>
      <c r="I509">
        <v>1</v>
      </c>
      <c r="J509">
        <f t="shared" si="141"/>
        <v>0.17627289548937958</v>
      </c>
      <c r="K509">
        <f t="shared" si="147"/>
        <v>0.82726482035954729</v>
      </c>
      <c r="O509">
        <f t="shared" si="148"/>
        <v>0.11870069398541838</v>
      </c>
      <c r="P509">
        <f t="shared" si="149"/>
        <v>0.1290805308890951</v>
      </c>
      <c r="Q509">
        <f t="shared" si="150"/>
        <v>0.98450411974392948</v>
      </c>
      <c r="R509">
        <f t="shared" si="140"/>
        <v>1</v>
      </c>
      <c r="AG509" s="8">
        <f t="shared" si="142"/>
        <v>-5.0188712317741219E-2</v>
      </c>
      <c r="AH509" s="8">
        <f t="shared" si="143"/>
        <v>-0.11886897414735598</v>
      </c>
      <c r="AI509" s="8">
        <f t="shared" si="144"/>
        <v>0.9916406910474389</v>
      </c>
      <c r="AJ509" s="8"/>
      <c r="AK509" s="8"/>
      <c r="AL509" s="8"/>
      <c r="AN509" s="8">
        <f t="shared" si="151"/>
        <v>0.99999999999999989</v>
      </c>
      <c r="AO509" s="8">
        <f t="shared" si="152"/>
        <v>4.3128764144213205</v>
      </c>
      <c r="AP509" s="8">
        <f t="shared" si="153"/>
        <v>0.12939073633751952</v>
      </c>
      <c r="AQ509" s="8"/>
      <c r="AR509" s="8">
        <f t="shared" si="154"/>
        <v>247.10961610785705</v>
      </c>
      <c r="AS509" s="8">
        <f t="shared" si="155"/>
        <v>82.586456899770113</v>
      </c>
    </row>
    <row r="510" spans="1:45">
      <c r="A510" s="19">
        <v>25.625599999999999</v>
      </c>
      <c r="B510" s="19">
        <v>778.153007</v>
      </c>
      <c r="C510" s="19">
        <v>-342.78539929999999</v>
      </c>
      <c r="E510" s="9">
        <f t="shared" si="145"/>
        <v>181.846993</v>
      </c>
      <c r="F510" s="9">
        <f t="shared" si="146"/>
        <v>197.21460070000001</v>
      </c>
      <c r="I510">
        <v>1</v>
      </c>
      <c r="J510">
        <f t="shared" si="141"/>
        <v>0.1757409258281637</v>
      </c>
      <c r="K510">
        <f t="shared" si="147"/>
        <v>0.82591716323742148</v>
      </c>
      <c r="O510">
        <f t="shared" si="148"/>
        <v>0.11851950047452961</v>
      </c>
      <c r="P510">
        <f t="shared" si="149"/>
        <v>0.12853539987459575</v>
      </c>
      <c r="Q510">
        <f t="shared" si="150"/>
        <v>0.98459726740751508</v>
      </c>
      <c r="R510">
        <f t="shared" si="140"/>
        <v>1</v>
      </c>
      <c r="AG510" s="8">
        <f t="shared" si="142"/>
        <v>-4.9607792288906286E-2</v>
      </c>
      <c r="AH510" s="8">
        <f t="shared" si="143"/>
        <v>-0.11889139738332047</v>
      </c>
      <c r="AI510" s="8">
        <f t="shared" si="144"/>
        <v>0.99166723378987476</v>
      </c>
      <c r="AJ510" s="8"/>
      <c r="AK510" s="8"/>
      <c r="AL510" s="8"/>
      <c r="AN510" s="8">
        <f t="shared" si="151"/>
        <v>1</v>
      </c>
      <c r="AO510" s="8">
        <f t="shared" si="152"/>
        <v>4.317098366665844</v>
      </c>
      <c r="AP510" s="8">
        <f t="shared" si="153"/>
        <v>0.1291848636095092</v>
      </c>
      <c r="AQ510" s="8"/>
      <c r="AR510" s="8">
        <f t="shared" si="154"/>
        <v>247.35151615277402</v>
      </c>
      <c r="AS510" s="8">
        <f t="shared" si="155"/>
        <v>82.598252538201947</v>
      </c>
    </row>
    <row r="511" spans="1:45">
      <c r="A511" s="19">
        <v>25.658966670000002</v>
      </c>
      <c r="B511" s="19">
        <v>778.83397170000001</v>
      </c>
      <c r="C511" s="19">
        <v>-343.225371</v>
      </c>
      <c r="E511" s="9">
        <f t="shared" si="145"/>
        <v>181.16602829999999</v>
      </c>
      <c r="F511" s="9">
        <f t="shared" si="146"/>
        <v>196.774629</v>
      </c>
      <c r="I511">
        <v>1</v>
      </c>
      <c r="J511">
        <f t="shared" si="141"/>
        <v>0.1752311026731348</v>
      </c>
      <c r="K511">
        <f t="shared" si="147"/>
        <v>0.82667378534302283</v>
      </c>
      <c r="O511">
        <f t="shared" si="148"/>
        <v>0.11808220052648517</v>
      </c>
      <c r="P511">
        <f t="shared" si="149"/>
        <v>0.12825572994085849</v>
      </c>
      <c r="Q511">
        <f t="shared" si="150"/>
        <v>0.98468627575292245</v>
      </c>
      <c r="R511">
        <f t="shared" si="140"/>
        <v>1</v>
      </c>
      <c r="AG511" s="8">
        <f t="shared" si="142"/>
        <v>-4.9206883373812321E-2</v>
      </c>
      <c r="AH511" s="8">
        <f t="shared" si="143"/>
        <v>-0.11923228153405382</v>
      </c>
      <c r="AI511" s="8">
        <f t="shared" si="144"/>
        <v>0.99164628051983339</v>
      </c>
      <c r="AJ511" s="8"/>
      <c r="AK511" s="8"/>
      <c r="AL511" s="8"/>
      <c r="AN511" s="8">
        <f t="shared" si="151"/>
        <v>0.99999999999999989</v>
      </c>
      <c r="AO511" s="8">
        <f t="shared" si="152"/>
        <v>4.3209844969332405</v>
      </c>
      <c r="AP511" s="8">
        <f t="shared" si="153"/>
        <v>0.12934740995363336</v>
      </c>
      <c r="AQ511" s="8"/>
      <c r="AR511" s="8">
        <f t="shared" si="154"/>
        <v>247.57417501573389</v>
      </c>
      <c r="AS511" s="8">
        <f t="shared" si="155"/>
        <v>82.588939318708356</v>
      </c>
    </row>
    <row r="512" spans="1:45">
      <c r="A512" s="19">
        <v>25.69233333</v>
      </c>
      <c r="B512" s="19">
        <v>779.47565359999999</v>
      </c>
      <c r="C512" s="19">
        <v>-343.91993910000002</v>
      </c>
      <c r="E512" s="9">
        <f t="shared" si="145"/>
        <v>180.52434640000001</v>
      </c>
      <c r="F512" s="9">
        <f t="shared" si="146"/>
        <v>196.08006089999998</v>
      </c>
      <c r="I512">
        <v>1</v>
      </c>
      <c r="J512">
        <f t="shared" si="141"/>
        <v>0.17461686566968501</v>
      </c>
      <c r="K512">
        <f t="shared" si="147"/>
        <v>0.82667988133313253</v>
      </c>
      <c r="O512">
        <f t="shared" si="148"/>
        <v>0.11767173122397169</v>
      </c>
      <c r="P512">
        <f t="shared" si="149"/>
        <v>0.12781145969907134</v>
      </c>
      <c r="Q512">
        <f t="shared" si="150"/>
        <v>0.98479317343305439</v>
      </c>
      <c r="R512">
        <f t="shared" si="140"/>
        <v>1</v>
      </c>
      <c r="AG512" s="8">
        <f t="shared" si="142"/>
        <v>-4.8654981138724115E-2</v>
      </c>
      <c r="AH512" s="8">
        <f t="shared" si="143"/>
        <v>-0.11950184586873072</v>
      </c>
      <c r="AI512" s="8">
        <f t="shared" si="144"/>
        <v>0.99164106492437898</v>
      </c>
      <c r="AJ512" s="8"/>
      <c r="AK512" s="8"/>
      <c r="AL512" s="8"/>
      <c r="AN512" s="8">
        <f t="shared" si="151"/>
        <v>0.99999999999999989</v>
      </c>
      <c r="AO512" s="8">
        <f t="shared" si="152"/>
        <v>4.3257354498717886</v>
      </c>
      <c r="AP512" s="8">
        <f t="shared" si="153"/>
        <v>0.12938783870817128</v>
      </c>
      <c r="AQ512" s="8"/>
      <c r="AR512" s="8">
        <f t="shared" si="154"/>
        <v>247.84638456777796</v>
      </c>
      <c r="AS512" s="8">
        <f t="shared" si="155"/>
        <v>82.586622921702357</v>
      </c>
    </row>
    <row r="513" spans="1:45">
      <c r="A513" s="19">
        <v>25.7257</v>
      </c>
      <c r="B513" s="19">
        <v>779.95238080000001</v>
      </c>
      <c r="C513" s="19">
        <v>-344.67389739999999</v>
      </c>
      <c r="E513" s="9">
        <f t="shared" si="145"/>
        <v>180.04761919999999</v>
      </c>
      <c r="F513" s="9">
        <f t="shared" si="146"/>
        <v>195.32610260000001</v>
      </c>
      <c r="I513">
        <v>1</v>
      </c>
      <c r="J513">
        <f t="shared" si="141"/>
        <v>0.17404675744730444</v>
      </c>
      <c r="K513">
        <f t="shared" si="147"/>
        <v>0.82607776832909596</v>
      </c>
      <c r="O513">
        <f t="shared" si="148"/>
        <v>0.11736812428181544</v>
      </c>
      <c r="P513">
        <f t="shared" si="149"/>
        <v>0.12732775022131165</v>
      </c>
      <c r="Q513">
        <f t="shared" si="150"/>
        <v>0.98489205876895347</v>
      </c>
      <c r="R513">
        <f t="shared" si="140"/>
        <v>1</v>
      </c>
      <c r="AG513" s="8">
        <f t="shared" si="142"/>
        <v>-4.8096936145648653E-2</v>
      </c>
      <c r="AH513" s="8">
        <f t="shared" si="143"/>
        <v>-0.11965819830748808</v>
      </c>
      <c r="AI513" s="8">
        <f t="shared" si="144"/>
        <v>0.99164943418085372</v>
      </c>
      <c r="AJ513" s="8"/>
      <c r="AK513" s="8"/>
      <c r="AL513" s="8"/>
      <c r="AN513" s="8">
        <f t="shared" si="151"/>
        <v>1</v>
      </c>
      <c r="AO513" s="8">
        <f t="shared" si="152"/>
        <v>4.3302003736485073</v>
      </c>
      <c r="AP513" s="8">
        <f t="shared" si="153"/>
        <v>0.12932295821281126</v>
      </c>
      <c r="AQ513" s="8"/>
      <c r="AR513" s="8">
        <f t="shared" si="154"/>
        <v>248.10220585603156</v>
      </c>
      <c r="AS513" s="8">
        <f t="shared" si="155"/>
        <v>82.590340300259214</v>
      </c>
    </row>
    <row r="514" spans="1:45">
      <c r="A514" s="19">
        <v>25.759066669999999</v>
      </c>
      <c r="B514" s="19">
        <v>780.44853899999998</v>
      </c>
      <c r="C514" s="19">
        <v>-345.76822679999998</v>
      </c>
      <c r="E514" s="9">
        <f t="shared" si="145"/>
        <v>179.55146100000002</v>
      </c>
      <c r="F514" s="9">
        <f t="shared" si="146"/>
        <v>194.23177320000002</v>
      </c>
      <c r="I514">
        <v>1</v>
      </c>
      <c r="J514">
        <f t="shared" si="141"/>
        <v>0.17330556911489789</v>
      </c>
      <c r="K514">
        <f t="shared" si="147"/>
        <v>0.82465292286284353</v>
      </c>
      <c r="O514">
        <f t="shared" si="148"/>
        <v>0.11705386898768062</v>
      </c>
      <c r="P514">
        <f t="shared" si="149"/>
        <v>0.12662431375814701</v>
      </c>
      <c r="Q514">
        <f t="shared" si="150"/>
        <v>0.98502013934756338</v>
      </c>
      <c r="R514">
        <f t="shared" si="140"/>
        <v>1</v>
      </c>
      <c r="AG514" s="8">
        <f t="shared" si="142"/>
        <v>-4.7323472937901595E-2</v>
      </c>
      <c r="AH514" s="8">
        <f t="shared" si="143"/>
        <v>-0.11976374311124</v>
      </c>
      <c r="AI514" s="8">
        <f t="shared" si="144"/>
        <v>0.99167390544728995</v>
      </c>
      <c r="AJ514" s="8"/>
      <c r="AK514" s="8"/>
      <c r="AL514" s="8"/>
      <c r="AN514" s="8">
        <f t="shared" si="151"/>
        <v>0.99999999999999989</v>
      </c>
      <c r="AO514" s="8">
        <f t="shared" si="152"/>
        <v>4.3360790683780657</v>
      </c>
      <c r="AP514" s="8">
        <f t="shared" si="153"/>
        <v>0.12913306509061551</v>
      </c>
      <c r="AQ514" s="8"/>
      <c r="AR514" s="8">
        <f t="shared" si="154"/>
        <v>248.43903025308106</v>
      </c>
      <c r="AS514" s="8">
        <f t="shared" si="155"/>
        <v>82.601220374719588</v>
      </c>
    </row>
    <row r="515" spans="1:45">
      <c r="A515" s="19">
        <v>25.792433330000001</v>
      </c>
      <c r="B515" s="19">
        <v>780.87969180000005</v>
      </c>
      <c r="C515" s="19">
        <v>-346.09600810000001</v>
      </c>
      <c r="E515" s="9">
        <f t="shared" si="145"/>
        <v>179.12030819999995</v>
      </c>
      <c r="F515" s="9">
        <f t="shared" si="146"/>
        <v>193.90399189999999</v>
      </c>
      <c r="I515">
        <v>1</v>
      </c>
      <c r="J515">
        <f t="shared" si="141"/>
        <v>0.17295894820649033</v>
      </c>
      <c r="K515">
        <f t="shared" si="147"/>
        <v>0.82500939188039879</v>
      </c>
      <c r="O515">
        <f t="shared" si="148"/>
        <v>0.11677704049974041</v>
      </c>
      <c r="P515">
        <f t="shared" si="149"/>
        <v>0.12641522640684935</v>
      </c>
      <c r="Q515">
        <f t="shared" si="150"/>
        <v>0.98507985125299713</v>
      </c>
      <c r="R515">
        <f t="shared" si="140"/>
        <v>1</v>
      </c>
      <c r="AG515" s="8">
        <f t="shared" si="142"/>
        <v>-4.7038805252465662E-2</v>
      </c>
      <c r="AH515" s="8">
        <f t="shared" si="143"/>
        <v>-0.11997050453968881</v>
      </c>
      <c r="AI515" s="8">
        <f t="shared" si="144"/>
        <v>0.991662457109733</v>
      </c>
      <c r="AJ515" s="8"/>
      <c r="AK515" s="8"/>
      <c r="AL515" s="8"/>
      <c r="AN515" s="8">
        <f t="shared" si="151"/>
        <v>0.99999999999999989</v>
      </c>
      <c r="AO515" s="8">
        <f t="shared" si="152"/>
        <v>4.3387232181213289</v>
      </c>
      <c r="AP515" s="8">
        <f t="shared" si="153"/>
        <v>0.12922193690629813</v>
      </c>
      <c r="AQ515" s="8"/>
      <c r="AR515" s="8">
        <f t="shared" si="154"/>
        <v>248.59052887377064</v>
      </c>
      <c r="AS515" s="8">
        <f t="shared" si="155"/>
        <v>82.596128394763312</v>
      </c>
    </row>
    <row r="516" spans="1:45">
      <c r="A516" s="19">
        <v>25.825800000000001</v>
      </c>
      <c r="B516" s="19">
        <v>781.32111469999995</v>
      </c>
      <c r="C516" s="19">
        <v>-346.7048537</v>
      </c>
      <c r="E516" s="9">
        <f t="shared" si="145"/>
        <v>178.67888530000005</v>
      </c>
      <c r="F516" s="9">
        <f t="shared" si="146"/>
        <v>193.2951463</v>
      </c>
      <c r="I516">
        <v>1</v>
      </c>
      <c r="J516">
        <f t="shared" si="141"/>
        <v>0.17247358715431668</v>
      </c>
      <c r="K516">
        <f t="shared" si="147"/>
        <v>0.82467172611181738</v>
      </c>
      <c r="O516">
        <f t="shared" si="148"/>
        <v>0.11649515967159586</v>
      </c>
      <c r="P516">
        <f t="shared" si="149"/>
        <v>0.12602467770131637</v>
      </c>
      <c r="Q516">
        <f t="shared" si="150"/>
        <v>0.98516326483652883</v>
      </c>
      <c r="R516">
        <f t="shared" si="140"/>
        <v>1</v>
      </c>
      <c r="AG516" s="8">
        <f t="shared" si="142"/>
        <v>-4.657734828005787E-2</v>
      </c>
      <c r="AH516" s="8">
        <f t="shared" si="143"/>
        <v>-0.12013173499764829</v>
      </c>
      <c r="AI516" s="8">
        <f t="shared" si="144"/>
        <v>0.99166471999040728</v>
      </c>
      <c r="AJ516" s="8"/>
      <c r="AK516" s="8"/>
      <c r="AL516" s="8"/>
      <c r="AN516" s="8">
        <f t="shared" si="151"/>
        <v>0.99999999999999989</v>
      </c>
      <c r="AO516" s="8">
        <f t="shared" si="152"/>
        <v>4.3425143537613353</v>
      </c>
      <c r="AP516" s="8">
        <f t="shared" si="153"/>
        <v>0.12920437530585893</v>
      </c>
      <c r="AQ516" s="8"/>
      <c r="AR516" s="8">
        <f t="shared" si="154"/>
        <v>248.80774494550465</v>
      </c>
      <c r="AS516" s="8">
        <f t="shared" si="155"/>
        <v>82.597134600349975</v>
      </c>
    </row>
    <row r="517" spans="1:45">
      <c r="A517" s="19">
        <v>25.85916667</v>
      </c>
      <c r="B517" s="19">
        <v>781.01407019999999</v>
      </c>
      <c r="C517" s="19">
        <v>-347.95458880000001</v>
      </c>
      <c r="E517" s="9">
        <f t="shared" si="145"/>
        <v>178.98592980000001</v>
      </c>
      <c r="F517" s="9">
        <f t="shared" si="146"/>
        <v>192.04541119999999</v>
      </c>
      <c r="I517">
        <v>1</v>
      </c>
      <c r="J517">
        <f t="shared" si="141"/>
        <v>0.17201393581603439</v>
      </c>
      <c r="K517">
        <f t="shared" si="147"/>
        <v>0.82058142395145406</v>
      </c>
      <c r="O517">
        <f t="shared" si="148"/>
        <v>0.1167009116054472</v>
      </c>
      <c r="P517">
        <f t="shared" si="149"/>
        <v>0.12521584563505148</v>
      </c>
      <c r="Q517">
        <f t="shared" si="150"/>
        <v>0.98524204601324061</v>
      </c>
      <c r="R517">
        <f t="shared" si="140"/>
        <v>1</v>
      </c>
      <c r="AG517" s="8">
        <f t="shared" si="142"/>
        <v>-4.5857491337637918E-2</v>
      </c>
      <c r="AH517" s="8">
        <f t="shared" si="143"/>
        <v>-0.11971052445921951</v>
      </c>
      <c r="AI517" s="8">
        <f t="shared" si="144"/>
        <v>0.99174920258194166</v>
      </c>
      <c r="AJ517" s="8"/>
      <c r="AK517" s="8"/>
      <c r="AL517" s="8"/>
      <c r="AN517" s="8">
        <f t="shared" si="151"/>
        <v>1</v>
      </c>
      <c r="AO517" s="8">
        <f t="shared" si="152"/>
        <v>4.346562220636585</v>
      </c>
      <c r="AP517" s="8">
        <f t="shared" si="153"/>
        <v>0.12854702167650789</v>
      </c>
      <c r="AQ517" s="8"/>
      <c r="AR517" s="8">
        <f t="shared" si="154"/>
        <v>249.03967063348725</v>
      </c>
      <c r="AS517" s="8">
        <f t="shared" si="155"/>
        <v>82.634798188959394</v>
      </c>
    </row>
    <row r="518" spans="1:45">
      <c r="A518" s="19">
        <v>25.892533329999999</v>
      </c>
      <c r="B518" s="19">
        <v>781.99634979999996</v>
      </c>
      <c r="C518" s="19">
        <v>-348.4210966</v>
      </c>
      <c r="E518" s="9">
        <f t="shared" si="145"/>
        <v>178.00365020000004</v>
      </c>
      <c r="F518" s="9">
        <f t="shared" si="146"/>
        <v>191.5789034</v>
      </c>
      <c r="I518">
        <v>1</v>
      </c>
      <c r="J518">
        <f t="shared" si="141"/>
        <v>0.17135683651925807</v>
      </c>
      <c r="K518">
        <f t="shared" si="147"/>
        <v>0.82211297260296334</v>
      </c>
      <c r="O518">
        <f t="shared" si="148"/>
        <v>0.11606830540535222</v>
      </c>
      <c r="P518">
        <f t="shared" si="149"/>
        <v>0.12492012744721603</v>
      </c>
      <c r="Q518">
        <f t="shared" si="150"/>
        <v>0.98535430695709714</v>
      </c>
      <c r="R518">
        <f t="shared" si="140"/>
        <v>1</v>
      </c>
      <c r="AG518" s="8">
        <f t="shared" si="142"/>
        <v>-4.5382964776331206E-2</v>
      </c>
      <c r="AH518" s="8">
        <f t="shared" si="143"/>
        <v>-0.12023335458001402</v>
      </c>
      <c r="AI518" s="8">
        <f t="shared" si="144"/>
        <v>0.99170778304626961</v>
      </c>
      <c r="AJ518" s="8"/>
      <c r="AK518" s="8"/>
      <c r="AL518" s="8"/>
      <c r="AN518" s="8">
        <f t="shared" si="151"/>
        <v>1</v>
      </c>
      <c r="AO518" s="8">
        <f t="shared" si="152"/>
        <v>4.3514656535055307</v>
      </c>
      <c r="AP518" s="8">
        <f t="shared" si="153"/>
        <v>0.12886972108664208</v>
      </c>
      <c r="AQ518" s="8"/>
      <c r="AR518" s="8">
        <f t="shared" si="154"/>
        <v>249.32061664200356</v>
      </c>
      <c r="AS518" s="8">
        <f t="shared" si="155"/>
        <v>82.616308874707343</v>
      </c>
    </row>
    <row r="519" spans="1:45">
      <c r="A519" s="19">
        <v>25.925899999999999</v>
      </c>
      <c r="B519" s="19">
        <v>782.33241310000005</v>
      </c>
      <c r="C519" s="19">
        <v>-349.0303432</v>
      </c>
      <c r="E519" s="9">
        <f t="shared" si="145"/>
        <v>177.66758689999995</v>
      </c>
      <c r="F519" s="9">
        <f t="shared" si="146"/>
        <v>190.9696568</v>
      </c>
      <c r="I519">
        <v>1</v>
      </c>
      <c r="J519">
        <f t="shared" si="141"/>
        <v>0.17091790070878626</v>
      </c>
      <c r="K519">
        <f t="shared" si="147"/>
        <v>0.82146695771794143</v>
      </c>
      <c r="O519">
        <f t="shared" si="148"/>
        <v>0.1158543688232699</v>
      </c>
      <c r="P519">
        <f t="shared" si="149"/>
        <v>0.12452844910542588</v>
      </c>
      <c r="Q519">
        <f t="shared" si="150"/>
        <v>0.9854290591351359</v>
      </c>
      <c r="R519">
        <f t="shared" si="140"/>
        <v>1</v>
      </c>
      <c r="AG519" s="8">
        <f t="shared" si="142"/>
        <v>-4.4940788922897948E-2</v>
      </c>
      <c r="AH519" s="8">
        <f t="shared" si="143"/>
        <v>-0.12032914933393102</v>
      </c>
      <c r="AI519" s="8">
        <f t="shared" si="144"/>
        <v>0.99171630081972539</v>
      </c>
      <c r="AJ519" s="8"/>
      <c r="AK519" s="8"/>
      <c r="AL519" s="8"/>
      <c r="AN519" s="8">
        <f t="shared" si="151"/>
        <v>1</v>
      </c>
      <c r="AO519" s="8">
        <f t="shared" si="152"/>
        <v>4.3549496950071536</v>
      </c>
      <c r="AP519" s="8">
        <f t="shared" si="153"/>
        <v>0.12880342482309293</v>
      </c>
      <c r="AQ519" s="8"/>
      <c r="AR519" s="8">
        <f t="shared" si="154"/>
        <v>249.52023751569499</v>
      </c>
      <c r="AS519" s="8">
        <f t="shared" si="155"/>
        <v>82.620107370806195</v>
      </c>
    </row>
    <row r="520" spans="1:45">
      <c r="A520" s="19">
        <v>25.959266670000002</v>
      </c>
      <c r="B520" s="19">
        <v>782.84628759999998</v>
      </c>
      <c r="C520" s="19">
        <v>-349.96733499999999</v>
      </c>
      <c r="E520" s="9">
        <f t="shared" si="145"/>
        <v>177.15371240000002</v>
      </c>
      <c r="F520" s="9">
        <f t="shared" si="146"/>
        <v>190.03266500000001</v>
      </c>
      <c r="I520">
        <v>1</v>
      </c>
      <c r="J520">
        <f t="shared" si="141"/>
        <v>0.17024419386518139</v>
      </c>
      <c r="K520">
        <f t="shared" si="147"/>
        <v>0.82045849218212219</v>
      </c>
      <c r="O520">
        <f t="shared" si="148"/>
        <v>0.11552716881006825</v>
      </c>
      <c r="P520">
        <f t="shared" si="149"/>
        <v>0.12392591423267373</v>
      </c>
      <c r="Q520">
        <f t="shared" si="150"/>
        <v>0.98554342423270525</v>
      </c>
      <c r="R520">
        <f t="shared" si="140"/>
        <v>1</v>
      </c>
      <c r="AG520" s="8">
        <f t="shared" si="142"/>
        <v>-4.4261184953940796E-2</v>
      </c>
      <c r="AH520" s="8">
        <f t="shared" si="143"/>
        <v>-0.1204746121605367</v>
      </c>
      <c r="AI520" s="8">
        <f t="shared" si="144"/>
        <v>0.99172920463765779</v>
      </c>
      <c r="AJ520" s="8"/>
      <c r="AK520" s="8"/>
      <c r="AL520" s="8"/>
      <c r="AN520" s="8">
        <f t="shared" si="151"/>
        <v>1</v>
      </c>
      <c r="AO520" s="8">
        <f t="shared" si="152"/>
        <v>4.3603065995800483</v>
      </c>
      <c r="AP520" s="8">
        <f t="shared" si="153"/>
        <v>0.12870292602853106</v>
      </c>
      <c r="AQ520" s="8"/>
      <c r="AR520" s="8">
        <f t="shared" si="154"/>
        <v>249.82716553897617</v>
      </c>
      <c r="AS520" s="8">
        <f t="shared" si="155"/>
        <v>82.625865527580743</v>
      </c>
    </row>
    <row r="521" spans="1:45">
      <c r="A521" s="19">
        <v>25.99263333</v>
      </c>
      <c r="B521" s="19">
        <v>782.93450970000004</v>
      </c>
      <c r="C521" s="19">
        <v>-350.23935399999999</v>
      </c>
      <c r="E521" s="9">
        <f t="shared" si="145"/>
        <v>177.06549029999996</v>
      </c>
      <c r="F521" s="9">
        <f t="shared" si="146"/>
        <v>189.76064600000001</v>
      </c>
      <c r="I521">
        <v>1</v>
      </c>
      <c r="J521">
        <f t="shared" si="141"/>
        <v>0.1700756677226509</v>
      </c>
      <c r="K521">
        <f t="shared" si="147"/>
        <v>0.81999245662502573</v>
      </c>
      <c r="O521">
        <f t="shared" si="148"/>
        <v>0.11547159758254867</v>
      </c>
      <c r="P521">
        <f t="shared" si="149"/>
        <v>0.12375062421701309</v>
      </c>
      <c r="Q521">
        <f t="shared" si="150"/>
        <v>0.98557196244497214</v>
      </c>
      <c r="R521">
        <f t="shared" si="140"/>
        <v>1</v>
      </c>
      <c r="AG521" s="8">
        <f t="shared" si="142"/>
        <v>-4.4075309475560737E-2</v>
      </c>
      <c r="AH521" s="8">
        <f t="shared" si="143"/>
        <v>-0.12047903548551553</v>
      </c>
      <c r="AI521" s="8">
        <f t="shared" si="144"/>
        <v>0.99173694551686109</v>
      </c>
      <c r="AJ521" s="8"/>
      <c r="AK521" s="8"/>
      <c r="AL521" s="8"/>
      <c r="AN521" s="8">
        <f t="shared" si="151"/>
        <v>1</v>
      </c>
      <c r="AO521" s="8">
        <f t="shared" si="152"/>
        <v>4.361678501838516</v>
      </c>
      <c r="AP521" s="8">
        <f t="shared" si="153"/>
        <v>0.12864260027745522</v>
      </c>
      <c r="AQ521" s="8"/>
      <c r="AR521" s="8">
        <f t="shared" si="154"/>
        <v>249.90576974829085</v>
      </c>
      <c r="AS521" s="8">
        <f t="shared" si="155"/>
        <v>82.629321938513343</v>
      </c>
    </row>
    <row r="522" spans="1:45">
      <c r="A522" s="19">
        <v>26.026</v>
      </c>
      <c r="B522" s="19">
        <v>783.76045529999999</v>
      </c>
      <c r="C522" s="19">
        <v>-351.63435220000002</v>
      </c>
      <c r="E522" s="9">
        <f t="shared" si="145"/>
        <v>176.23954470000001</v>
      </c>
      <c r="F522" s="9">
        <f t="shared" si="146"/>
        <v>188.36564779999998</v>
      </c>
      <c r="I522">
        <v>1</v>
      </c>
      <c r="J522">
        <f t="shared" si="141"/>
        <v>0.16904574839655592</v>
      </c>
      <c r="K522">
        <f t="shared" si="147"/>
        <v>0.81864408362854701</v>
      </c>
      <c r="O522">
        <f t="shared" si="148"/>
        <v>0.11494479249488491</v>
      </c>
      <c r="P522">
        <f t="shared" si="149"/>
        <v>0.12285353061023635</v>
      </c>
      <c r="Q522">
        <f t="shared" si="150"/>
        <v>0.98574576067813124</v>
      </c>
      <c r="R522">
        <f t="shared" si="140"/>
        <v>1</v>
      </c>
      <c r="AG522" s="8">
        <f t="shared" si="142"/>
        <v>-4.3051757145007516E-2</v>
      </c>
      <c r="AH522" s="8">
        <f t="shared" si="143"/>
        <v>-0.12073329888839293</v>
      </c>
      <c r="AI522" s="8">
        <f t="shared" si="144"/>
        <v>0.99175098525096161</v>
      </c>
      <c r="AJ522" s="8"/>
      <c r="AK522" s="8"/>
      <c r="AL522" s="8"/>
      <c r="AN522" s="8">
        <f t="shared" si="151"/>
        <v>0.99999999999999978</v>
      </c>
      <c r="AO522" s="8">
        <f t="shared" si="152"/>
        <v>4.3698593364701441</v>
      </c>
      <c r="AP522" s="8">
        <f t="shared" si="153"/>
        <v>0.12853311482580154</v>
      </c>
      <c r="AQ522" s="8"/>
      <c r="AR522" s="8">
        <f t="shared" si="154"/>
        <v>250.37449704557758</v>
      </c>
      <c r="AS522" s="8">
        <f t="shared" si="155"/>
        <v>82.635594992811178</v>
      </c>
    </row>
    <row r="523" spans="1:45">
      <c r="A523" s="19">
        <v>26.059366669999999</v>
      </c>
      <c r="B523" s="19">
        <v>784.08078969999997</v>
      </c>
      <c r="C523" s="19">
        <v>-351.95745269999998</v>
      </c>
      <c r="E523" s="9">
        <f t="shared" si="145"/>
        <v>175.91921030000003</v>
      </c>
      <c r="F523" s="9">
        <f t="shared" si="146"/>
        <v>188.04254730000002</v>
      </c>
      <c r="I523">
        <v>1</v>
      </c>
      <c r="J523">
        <f t="shared" si="141"/>
        <v>0.16874983813858313</v>
      </c>
      <c r="K523">
        <f t="shared" si="147"/>
        <v>0.81869522293200625</v>
      </c>
      <c r="O523">
        <f t="shared" si="148"/>
        <v>0.114739227910516</v>
      </c>
      <c r="P523">
        <f t="shared" si="149"/>
        <v>0.1226463935049206</v>
      </c>
      <c r="Q523">
        <f t="shared" si="150"/>
        <v>0.98579550198747345</v>
      </c>
      <c r="R523">
        <f t="shared" si="140"/>
        <v>1</v>
      </c>
      <c r="AG523" s="8">
        <f t="shared" si="142"/>
        <v>-4.2790393650730743E-2</v>
      </c>
      <c r="AH523" s="8">
        <f t="shared" si="143"/>
        <v>-0.12087220334204191</v>
      </c>
      <c r="AI523" s="8">
        <f t="shared" si="144"/>
        <v>0.99174537693424902</v>
      </c>
      <c r="AJ523" s="8"/>
      <c r="AK523" s="8"/>
      <c r="AL523" s="8"/>
      <c r="AN523" s="8">
        <f t="shared" si="151"/>
        <v>1.0000000000000002</v>
      </c>
      <c r="AO523" s="8">
        <f t="shared" si="152"/>
        <v>4.3721431300279585</v>
      </c>
      <c r="AP523" s="8">
        <f t="shared" si="153"/>
        <v>0.12857686104034682</v>
      </c>
      <c r="AQ523" s="8"/>
      <c r="AR523" s="8">
        <f t="shared" si="154"/>
        <v>250.50534877771952</v>
      </c>
      <c r="AS523" s="8">
        <f t="shared" si="155"/>
        <v>82.633088519348064</v>
      </c>
    </row>
    <row r="524" spans="1:45">
      <c r="A524" s="19">
        <v>26.092733330000002</v>
      </c>
      <c r="B524" s="19">
        <v>784.09216579999998</v>
      </c>
      <c r="C524" s="19">
        <v>-352.78808450000002</v>
      </c>
      <c r="E524" s="9">
        <f t="shared" si="145"/>
        <v>175.90783420000002</v>
      </c>
      <c r="F524" s="9">
        <f t="shared" si="146"/>
        <v>187.21191549999998</v>
      </c>
      <c r="I524">
        <v>1</v>
      </c>
      <c r="J524">
        <f t="shared" si="141"/>
        <v>0.16835047205039719</v>
      </c>
      <c r="K524">
        <f t="shared" si="147"/>
        <v>0.81651856325864536</v>
      </c>
      <c r="O524">
        <f t="shared" si="148"/>
        <v>0.1147363197799504</v>
      </c>
      <c r="P524">
        <f t="shared" si="149"/>
        <v>0.12210943475663034</v>
      </c>
      <c r="Q524">
        <f t="shared" si="150"/>
        <v>0.98586249693695582</v>
      </c>
      <c r="R524">
        <f t="shared" si="140"/>
        <v>1</v>
      </c>
      <c r="AG524" s="8">
        <f t="shared" si="142"/>
        <v>-4.2271041723602215E-2</v>
      </c>
      <c r="AH524" s="8">
        <f t="shared" si="143"/>
        <v>-0.12072562565615769</v>
      </c>
      <c r="AI524" s="8">
        <f t="shared" si="144"/>
        <v>0.99178550218357742</v>
      </c>
      <c r="AJ524" s="8"/>
      <c r="AK524" s="8"/>
      <c r="AL524" s="8"/>
      <c r="AN524" s="8">
        <f t="shared" si="151"/>
        <v>1</v>
      </c>
      <c r="AO524" s="8">
        <f t="shared" si="152"/>
        <v>4.3755881819388254</v>
      </c>
      <c r="AP524" s="8">
        <f t="shared" si="153"/>
        <v>0.12826354779261928</v>
      </c>
      <c r="AQ524" s="8"/>
      <c r="AR524" s="8">
        <f t="shared" si="154"/>
        <v>250.70273571241569</v>
      </c>
      <c r="AS524" s="8">
        <f t="shared" si="155"/>
        <v>82.651040046108392</v>
      </c>
    </row>
    <row r="525" spans="1:45">
      <c r="A525" s="19">
        <v>26.126100000000001</v>
      </c>
      <c r="B525" s="19">
        <v>784.90992270000004</v>
      </c>
      <c r="C525" s="19">
        <v>-353.63544949999999</v>
      </c>
      <c r="E525" s="9">
        <f t="shared" si="145"/>
        <v>175.09007729999996</v>
      </c>
      <c r="F525" s="9">
        <f t="shared" si="146"/>
        <v>186.36455050000001</v>
      </c>
      <c r="I525">
        <v>1</v>
      </c>
      <c r="J525">
        <f t="shared" si="141"/>
        <v>0.16758413828715962</v>
      </c>
      <c r="K525">
        <f t="shared" si="147"/>
        <v>0.81657999927285663</v>
      </c>
      <c r="O525">
        <f t="shared" si="148"/>
        <v>0.11421147995593828</v>
      </c>
      <c r="P525">
        <f t="shared" si="149"/>
        <v>0.12156583315374553</v>
      </c>
      <c r="Q525">
        <f t="shared" si="150"/>
        <v>0.98599061154552081</v>
      </c>
      <c r="R525">
        <f t="shared" si="140"/>
        <v>1</v>
      </c>
      <c r="AG525" s="8">
        <f t="shared" si="142"/>
        <v>-4.1589576014766261E-2</v>
      </c>
      <c r="AH525" s="8">
        <f t="shared" si="143"/>
        <v>-0.12107603120277356</v>
      </c>
      <c r="AI525" s="8">
        <f t="shared" si="144"/>
        <v>0.99177159761464084</v>
      </c>
      <c r="AJ525" s="8"/>
      <c r="AK525" s="8"/>
      <c r="AL525" s="8"/>
      <c r="AN525" s="8">
        <f t="shared" si="151"/>
        <v>1</v>
      </c>
      <c r="AO525" s="8">
        <f t="shared" si="152"/>
        <v>4.3815168023478117</v>
      </c>
      <c r="AP525" s="8">
        <f t="shared" si="153"/>
        <v>0.12837220607364008</v>
      </c>
      <c r="AQ525" s="8"/>
      <c r="AR525" s="8">
        <f t="shared" si="154"/>
        <v>251.04242064018572</v>
      </c>
      <c r="AS525" s="8">
        <f t="shared" si="155"/>
        <v>82.644814385196753</v>
      </c>
    </row>
    <row r="526" spans="1:45">
      <c r="A526" s="19">
        <v>26.15946667</v>
      </c>
      <c r="B526" s="19">
        <v>785.38350860000003</v>
      </c>
      <c r="C526" s="19">
        <v>-354.32011670000003</v>
      </c>
      <c r="E526" s="9">
        <f t="shared" si="145"/>
        <v>174.61649139999997</v>
      </c>
      <c r="F526" s="9">
        <f t="shared" si="146"/>
        <v>185.67988329999997</v>
      </c>
      <c r="I526">
        <v>1</v>
      </c>
      <c r="J526">
        <f t="shared" si="141"/>
        <v>0.16704827294951313</v>
      </c>
      <c r="K526">
        <f t="shared" si="147"/>
        <v>0.81609488279022013</v>
      </c>
      <c r="O526">
        <f t="shared" si="148"/>
        <v>0.11390846072973239</v>
      </c>
      <c r="P526">
        <f t="shared" si="149"/>
        <v>0.12112549923322614</v>
      </c>
      <c r="Q526">
        <f t="shared" si="150"/>
        <v>0.98607985275518373</v>
      </c>
      <c r="R526">
        <f t="shared" si="140"/>
        <v>1</v>
      </c>
      <c r="AG526" s="8">
        <f t="shared" si="142"/>
        <v>-4.10740435606467E-2</v>
      </c>
      <c r="AH526" s="8">
        <f t="shared" si="143"/>
        <v>-0.12124307530975964</v>
      </c>
      <c r="AI526" s="8">
        <f t="shared" si="144"/>
        <v>0.99177267538232272</v>
      </c>
      <c r="AJ526" s="8"/>
      <c r="AK526" s="8"/>
      <c r="AL526" s="8"/>
      <c r="AN526" s="8">
        <f t="shared" si="151"/>
        <v>1</v>
      </c>
      <c r="AO526" s="8">
        <f t="shared" si="152"/>
        <v>4.3857495336445202</v>
      </c>
      <c r="AP526" s="8">
        <f t="shared" si="153"/>
        <v>0.12836378704878926</v>
      </c>
      <c r="AQ526" s="8"/>
      <c r="AR526" s="8">
        <f t="shared" si="154"/>
        <v>251.28493827930006</v>
      </c>
      <c r="AS526" s="8">
        <f t="shared" si="155"/>
        <v>82.645296759788323</v>
      </c>
    </row>
    <row r="527" spans="1:45">
      <c r="A527" s="19">
        <v>26.192833329999999</v>
      </c>
      <c r="B527" s="19">
        <v>785.90683609999996</v>
      </c>
      <c r="C527" s="19">
        <v>-354.99842050000001</v>
      </c>
      <c r="E527" s="9">
        <f t="shared" si="145"/>
        <v>174.09316390000004</v>
      </c>
      <c r="F527" s="9">
        <f t="shared" si="146"/>
        <v>185.00157949999999</v>
      </c>
      <c r="I527">
        <v>1</v>
      </c>
      <c r="J527">
        <f t="shared" si="141"/>
        <v>0.16649319200089227</v>
      </c>
      <c r="K527">
        <f t="shared" si="147"/>
        <v>0.81576636634773403</v>
      </c>
      <c r="O527">
        <f t="shared" si="148"/>
        <v>0.11357312123245381</v>
      </c>
      <c r="P527">
        <f t="shared" si="149"/>
        <v>0.12068944205539213</v>
      </c>
      <c r="Q527">
        <f t="shared" si="150"/>
        <v>0.98617199550072221</v>
      </c>
      <c r="R527">
        <f t="shared" si="140"/>
        <v>1</v>
      </c>
      <c r="AG527" s="8">
        <f t="shared" si="142"/>
        <v>-4.0553031752495555E-2</v>
      </c>
      <c r="AH527" s="8">
        <f t="shared" si="143"/>
        <v>-0.12144214044090179</v>
      </c>
      <c r="AI527" s="8">
        <f t="shared" si="144"/>
        <v>0.99176976065053191</v>
      </c>
      <c r="AJ527" s="8"/>
      <c r="AK527" s="8"/>
      <c r="AL527" s="8"/>
      <c r="AN527" s="8">
        <f t="shared" si="151"/>
        <v>1</v>
      </c>
      <c r="AO527" s="8">
        <f t="shared" si="152"/>
        <v>4.3901025756400687</v>
      </c>
      <c r="AP527" s="8">
        <f t="shared" si="153"/>
        <v>0.12838655432599011</v>
      </c>
      <c r="AQ527" s="8"/>
      <c r="AR527" s="8">
        <f t="shared" si="154"/>
        <v>251.53434921368819</v>
      </c>
      <c r="AS527" s="8">
        <f t="shared" si="155"/>
        <v>82.643992290893706</v>
      </c>
    </row>
    <row r="528" spans="1:45">
      <c r="A528" s="19">
        <v>26.226199999999999</v>
      </c>
      <c r="B528" s="19">
        <v>786.42121599999996</v>
      </c>
      <c r="C528" s="19">
        <v>-355.70361819999999</v>
      </c>
      <c r="E528" s="9">
        <f t="shared" si="145"/>
        <v>173.57878400000004</v>
      </c>
      <c r="F528" s="9">
        <f t="shared" si="146"/>
        <v>184.29638180000001</v>
      </c>
      <c r="I528">
        <v>1</v>
      </c>
      <c r="J528">
        <f t="shared" si="141"/>
        <v>0.16592929345793572</v>
      </c>
      <c r="K528">
        <f t="shared" si="147"/>
        <v>0.8153370818607063</v>
      </c>
      <c r="O528">
        <f t="shared" si="148"/>
        <v>0.11324362719489453</v>
      </c>
      <c r="P528">
        <f t="shared" si="149"/>
        <v>0.12023583915605228</v>
      </c>
      <c r="Q528">
        <f t="shared" si="150"/>
        <v>0.98626529082300352</v>
      </c>
      <c r="R528">
        <f t="shared" si="140"/>
        <v>1</v>
      </c>
      <c r="AG528" s="8">
        <f t="shared" si="142"/>
        <v>-4.0016859618210734E-2</v>
      </c>
      <c r="AH528" s="8">
        <f t="shared" si="143"/>
        <v>-0.12163067058787544</v>
      </c>
      <c r="AI528" s="8">
        <f t="shared" si="144"/>
        <v>0.99176843613750898</v>
      </c>
      <c r="AJ528" s="8"/>
      <c r="AK528" s="8"/>
      <c r="AL528" s="8"/>
      <c r="AN528" s="8">
        <f t="shared" si="151"/>
        <v>1</v>
      </c>
      <c r="AO528" s="8">
        <f t="shared" si="152"/>
        <v>4.3945407453105325</v>
      </c>
      <c r="AP528" s="8">
        <f t="shared" si="153"/>
        <v>0.12839689891004902</v>
      </c>
      <c r="AQ528" s="8"/>
      <c r="AR528" s="8">
        <f t="shared" si="154"/>
        <v>251.78863760456872</v>
      </c>
      <c r="AS528" s="8">
        <f t="shared" si="155"/>
        <v>82.643399589886315</v>
      </c>
    </row>
    <row r="529" spans="1:45">
      <c r="A529" s="19">
        <v>26.259566670000002</v>
      </c>
      <c r="B529" s="19">
        <v>786.48572200000001</v>
      </c>
      <c r="C529" s="19">
        <v>-356.1074954</v>
      </c>
      <c r="E529" s="9">
        <f t="shared" si="145"/>
        <v>173.51427799999999</v>
      </c>
      <c r="F529" s="9">
        <f t="shared" si="146"/>
        <v>183.8925046</v>
      </c>
      <c r="I529">
        <v>1</v>
      </c>
      <c r="J529">
        <f t="shared" si="141"/>
        <v>0.16570911022856236</v>
      </c>
      <c r="K529">
        <f t="shared" si="147"/>
        <v>0.81442758217939148</v>
      </c>
      <c r="O529">
        <f t="shared" si="148"/>
        <v>0.11320389907058059</v>
      </c>
      <c r="P529">
        <f t="shared" si="149"/>
        <v>0.11997484455183959</v>
      </c>
      <c r="Q529">
        <f t="shared" si="150"/>
        <v>0.9863016343441694</v>
      </c>
      <c r="R529">
        <f t="shared" si="140"/>
        <v>1</v>
      </c>
      <c r="AG529" s="8">
        <f t="shared" si="142"/>
        <v>-3.9753063230106314E-2</v>
      </c>
      <c r="AH529" s="8">
        <f t="shared" si="143"/>
        <v>-0.12159591854908272</v>
      </c>
      <c r="AI529" s="8">
        <f t="shared" si="144"/>
        <v>0.99178330624992272</v>
      </c>
      <c r="AJ529" s="8"/>
      <c r="AK529" s="8"/>
      <c r="AL529" s="8"/>
      <c r="AN529" s="8">
        <f t="shared" si="151"/>
        <v>1</v>
      </c>
      <c r="AO529" s="8">
        <f t="shared" si="152"/>
        <v>4.3964146116332943</v>
      </c>
      <c r="AP529" s="8">
        <f t="shared" si="153"/>
        <v>0.12828071416464715</v>
      </c>
      <c r="AQ529" s="8"/>
      <c r="AR529" s="8">
        <f t="shared" si="154"/>
        <v>251.89600223623469</v>
      </c>
      <c r="AS529" s="8">
        <f t="shared" si="155"/>
        <v>82.650056485441638</v>
      </c>
    </row>
    <row r="530" spans="1:45">
      <c r="A530" s="19">
        <v>26.29293333</v>
      </c>
      <c r="B530" s="19">
        <v>786.92855110000005</v>
      </c>
      <c r="C530" s="19">
        <v>-357.2564979</v>
      </c>
      <c r="E530" s="9">
        <f t="shared" si="145"/>
        <v>173.07144889999995</v>
      </c>
      <c r="F530" s="9">
        <f t="shared" si="146"/>
        <v>182.7435021</v>
      </c>
      <c r="I530">
        <v>1</v>
      </c>
      <c r="J530">
        <f t="shared" si="141"/>
        <v>0.16496719963219053</v>
      </c>
      <c r="K530">
        <f t="shared" si="147"/>
        <v>0.81257428959340505</v>
      </c>
      <c r="O530">
        <f t="shared" si="148"/>
        <v>0.11292284903766178</v>
      </c>
      <c r="P530">
        <f t="shared" si="149"/>
        <v>0.11923351327679294</v>
      </c>
      <c r="Q530">
        <f t="shared" si="150"/>
        <v>0.98642374235259067</v>
      </c>
      <c r="R530">
        <f t="shared" si="140"/>
        <v>1</v>
      </c>
      <c r="AG530" s="8">
        <f t="shared" si="142"/>
        <v>-3.895365559083154E-2</v>
      </c>
      <c r="AH530" s="8">
        <f t="shared" si="143"/>
        <v>-0.12165786239987092</v>
      </c>
      <c r="AI530" s="8">
        <f t="shared" si="144"/>
        <v>0.99180742951059042</v>
      </c>
      <c r="AJ530" s="8"/>
      <c r="AK530" s="8"/>
      <c r="AL530" s="8"/>
      <c r="AN530" s="8">
        <f t="shared" si="151"/>
        <v>0.99999999999999989</v>
      </c>
      <c r="AO530" s="8">
        <f t="shared" si="152"/>
        <v>4.4025135104954263</v>
      </c>
      <c r="AP530" s="8">
        <f t="shared" si="153"/>
        <v>0.12809200881543403</v>
      </c>
      <c r="AQ530" s="8"/>
      <c r="AR530" s="8">
        <f t="shared" si="154"/>
        <v>252.24544340071199</v>
      </c>
      <c r="AS530" s="8">
        <f t="shared" si="155"/>
        <v>82.660868505523098</v>
      </c>
    </row>
    <row r="531" spans="1:45">
      <c r="A531" s="19">
        <v>26.3263</v>
      </c>
      <c r="B531" s="19">
        <v>787.23364700000002</v>
      </c>
      <c r="C531" s="19">
        <v>-357.76925210000002</v>
      </c>
      <c r="E531" s="9">
        <f t="shared" si="145"/>
        <v>172.76635299999998</v>
      </c>
      <c r="F531" s="9">
        <f t="shared" si="146"/>
        <v>182.23074789999998</v>
      </c>
      <c r="I531">
        <v>1</v>
      </c>
      <c r="J531">
        <f t="shared" si="141"/>
        <v>0.16458807521559787</v>
      </c>
      <c r="K531">
        <f t="shared" si="147"/>
        <v>0.81205233454328896</v>
      </c>
      <c r="O531">
        <f t="shared" si="148"/>
        <v>0.11272775974544599</v>
      </c>
      <c r="P531">
        <f t="shared" si="149"/>
        <v>0.11890315220987582</v>
      </c>
      <c r="Q531">
        <f t="shared" si="150"/>
        <v>0.98648593126173278</v>
      </c>
      <c r="R531">
        <f t="shared" si="140"/>
        <v>1</v>
      </c>
      <c r="AG531" s="8">
        <f t="shared" si="142"/>
        <v>-3.8576610235427911E-2</v>
      </c>
      <c r="AH531" s="8">
        <f t="shared" si="143"/>
        <v>-0.12175216249234673</v>
      </c>
      <c r="AI531" s="8">
        <f t="shared" si="144"/>
        <v>0.99181059485729484</v>
      </c>
      <c r="AJ531" s="8"/>
      <c r="AK531" s="8"/>
      <c r="AL531" s="8"/>
      <c r="AN531" s="8">
        <f t="shared" si="151"/>
        <v>1</v>
      </c>
      <c r="AO531" s="8">
        <f t="shared" si="152"/>
        <v>4.4055502433544635</v>
      </c>
      <c r="AP531" s="8">
        <f t="shared" si="153"/>
        <v>0.12806722721779962</v>
      </c>
      <c r="AQ531" s="8"/>
      <c r="AR531" s="8">
        <f t="shared" si="154"/>
        <v>252.41943537704353</v>
      </c>
      <c r="AS531" s="8">
        <f t="shared" si="155"/>
        <v>82.662288386477144</v>
      </c>
    </row>
    <row r="532" spans="1:45">
      <c r="A532" s="19">
        <v>26.359666669999999</v>
      </c>
      <c r="B532" s="19">
        <v>787.89784229999998</v>
      </c>
      <c r="C532" s="19">
        <v>-358.29346650000002</v>
      </c>
      <c r="E532" s="9">
        <f t="shared" si="145"/>
        <v>172.10215770000002</v>
      </c>
      <c r="F532" s="9">
        <f t="shared" si="146"/>
        <v>181.70653349999998</v>
      </c>
      <c r="I532">
        <v>1</v>
      </c>
      <c r="J532">
        <f t="shared" si="141"/>
        <v>0.1640425819311811</v>
      </c>
      <c r="K532">
        <f t="shared" si="147"/>
        <v>0.81253717373245826</v>
      </c>
      <c r="O532">
        <f t="shared" si="148"/>
        <v>0.11230003701649519</v>
      </c>
      <c r="P532">
        <f t="shared" si="149"/>
        <v>0.11856708080185224</v>
      </c>
      <c r="Q532">
        <f t="shared" si="150"/>
        <v>0.98657516137201673</v>
      </c>
      <c r="R532">
        <f t="shared" si="140"/>
        <v>1</v>
      </c>
      <c r="AG532" s="8">
        <f t="shared" si="142"/>
        <v>-3.8124711944005615E-2</v>
      </c>
      <c r="AH532" s="8">
        <f t="shared" si="143"/>
        <v>-0.12206710630962393</v>
      </c>
      <c r="AI532" s="8">
        <f t="shared" si="144"/>
        <v>0.99178935661579948</v>
      </c>
      <c r="AJ532" s="8"/>
      <c r="AK532" s="8"/>
      <c r="AL532" s="8"/>
      <c r="AN532" s="8">
        <f t="shared" si="151"/>
        <v>0.99999999999999989</v>
      </c>
      <c r="AO532" s="8">
        <f t="shared" si="152"/>
        <v>4.4096627820082368</v>
      </c>
      <c r="AP532" s="8">
        <f t="shared" si="153"/>
        <v>0.12823341083796325</v>
      </c>
      <c r="AQ532" s="8"/>
      <c r="AR532" s="8">
        <f t="shared" si="154"/>
        <v>252.65506648498913</v>
      </c>
      <c r="AS532" s="8">
        <f t="shared" si="155"/>
        <v>82.652766766417557</v>
      </c>
    </row>
    <row r="533" spans="1:45">
      <c r="A533" s="19">
        <v>26.393033330000002</v>
      </c>
      <c r="B533" s="19">
        <v>788.31680960000006</v>
      </c>
      <c r="C533" s="19">
        <v>-359.21520579999998</v>
      </c>
      <c r="E533" s="9">
        <f t="shared" si="145"/>
        <v>171.68319039999994</v>
      </c>
      <c r="F533" s="9">
        <f t="shared" si="146"/>
        <v>180.78479420000002</v>
      </c>
      <c r="I533">
        <v>1</v>
      </c>
      <c r="J533">
        <f t="shared" si="141"/>
        <v>0.16341899407980312</v>
      </c>
      <c r="K533">
        <f t="shared" si="147"/>
        <v>0.81121492412230634</v>
      </c>
      <c r="O533">
        <f t="shared" si="148"/>
        <v>0.11203304325047034</v>
      </c>
      <c r="P533">
        <f t="shared" si="149"/>
        <v>0.117972357226395</v>
      </c>
      <c r="Q533">
        <f t="shared" si="150"/>
        <v>0.98667680633046506</v>
      </c>
      <c r="R533">
        <f t="shared" si="140"/>
        <v>1</v>
      </c>
      <c r="AG533" s="8">
        <f t="shared" si="142"/>
        <v>-3.7471130292402982E-2</v>
      </c>
      <c r="AH533" s="8">
        <f t="shared" si="143"/>
        <v>-0.12215627174626714</v>
      </c>
      <c r="AI533" s="8">
        <f t="shared" si="144"/>
        <v>0.99180328678002561</v>
      </c>
      <c r="AJ533" s="8"/>
      <c r="AK533" s="8"/>
      <c r="AL533" s="8"/>
      <c r="AN533" s="8">
        <f t="shared" si="151"/>
        <v>0.99999999999999978</v>
      </c>
      <c r="AO533" s="8">
        <f t="shared" si="152"/>
        <v>4.4147533775005625</v>
      </c>
      <c r="AP533" s="8">
        <f t="shared" si="153"/>
        <v>0.12812443517954675</v>
      </c>
      <c r="AQ533" s="8"/>
      <c r="AR533" s="8">
        <f t="shared" si="154"/>
        <v>252.94673612190772</v>
      </c>
      <c r="AS533" s="8">
        <f t="shared" si="155"/>
        <v>82.659010611714479</v>
      </c>
    </row>
    <row r="534" spans="1:45">
      <c r="A534" s="19">
        <v>26.426400000000001</v>
      </c>
      <c r="B534" s="19">
        <v>789.49256549999996</v>
      </c>
      <c r="C534" s="19">
        <v>-360.16827640000002</v>
      </c>
      <c r="E534" s="9">
        <f t="shared" si="145"/>
        <v>170.50743450000004</v>
      </c>
      <c r="F534" s="9">
        <f t="shared" si="146"/>
        <v>179.83172359999998</v>
      </c>
      <c r="I534">
        <v>1</v>
      </c>
      <c r="J534">
        <f t="shared" si="141"/>
        <v>0.1624410561097433</v>
      </c>
      <c r="K534">
        <f t="shared" si="147"/>
        <v>0.81200691713864015</v>
      </c>
      <c r="O534">
        <f t="shared" si="148"/>
        <v>0.11127562228854521</v>
      </c>
      <c r="P534">
        <f t="shared" si="149"/>
        <v>0.11736078845765315</v>
      </c>
      <c r="Q534">
        <f t="shared" si="150"/>
        <v>0.98683543775894822</v>
      </c>
      <c r="R534">
        <f t="shared" si="140"/>
        <v>1</v>
      </c>
      <c r="AG534" s="8">
        <f t="shared" si="142"/>
        <v>-3.6655172432728672E-2</v>
      </c>
      <c r="AH534" s="8">
        <f t="shared" si="143"/>
        <v>-0.12270913161275666</v>
      </c>
      <c r="AI534" s="8">
        <f t="shared" si="144"/>
        <v>0.99176553043185056</v>
      </c>
      <c r="AJ534" s="8"/>
      <c r="AK534" s="8"/>
      <c r="AL534" s="8"/>
      <c r="AN534" s="8">
        <f t="shared" si="151"/>
        <v>0.99999999999999978</v>
      </c>
      <c r="AO534" s="8">
        <f t="shared" si="152"/>
        <v>4.4221106472423299</v>
      </c>
      <c r="AP534" s="8">
        <f t="shared" si="153"/>
        <v>0.12841958986939472</v>
      </c>
      <c r="AQ534" s="8"/>
      <c r="AR534" s="8">
        <f t="shared" si="154"/>
        <v>253.3682766268503</v>
      </c>
      <c r="AS534" s="8">
        <f t="shared" si="155"/>
        <v>82.642099493682707</v>
      </c>
    </row>
    <row r="535" spans="1:45">
      <c r="A535" s="19">
        <v>26.45976667</v>
      </c>
      <c r="B535" s="19">
        <v>789.47660089999999</v>
      </c>
      <c r="C535" s="19">
        <v>-361.18986410000002</v>
      </c>
      <c r="E535" s="9">
        <f t="shared" si="145"/>
        <v>170.52339910000001</v>
      </c>
      <c r="F535" s="9">
        <f t="shared" si="146"/>
        <v>178.81013589999998</v>
      </c>
      <c r="I535">
        <v>1</v>
      </c>
      <c r="J535">
        <f t="shared" si="141"/>
        <v>0.16196569372085359</v>
      </c>
      <c r="K535">
        <f t="shared" si="147"/>
        <v>0.80911527654136361</v>
      </c>
      <c r="O535">
        <f t="shared" si="148"/>
        <v>0.11129076196094614</v>
      </c>
      <c r="P535">
        <f t="shared" si="149"/>
        <v>0.11669903588411007</v>
      </c>
      <c r="Q535">
        <f t="shared" si="150"/>
        <v>0.98691220548023983</v>
      </c>
      <c r="R535">
        <f t="shared" si="140"/>
        <v>1</v>
      </c>
      <c r="AG535" s="8">
        <f t="shared" si="142"/>
        <v>-3.6021097863839668E-2</v>
      </c>
      <c r="AH535" s="8">
        <f t="shared" si="143"/>
        <v>-0.12250988922786482</v>
      </c>
      <c r="AI535" s="8">
        <f t="shared" si="144"/>
        <v>0.99181339351213638</v>
      </c>
      <c r="AJ535" s="8"/>
      <c r="AK535" s="8"/>
      <c r="AL535" s="8"/>
      <c r="AN535" s="8">
        <f t="shared" si="151"/>
        <v>0.99999999999999989</v>
      </c>
      <c r="AO535" s="8">
        <f t="shared" si="152"/>
        <v>4.426421852207655</v>
      </c>
      <c r="AP535" s="8">
        <f t="shared" si="153"/>
        <v>0.12804531248908013</v>
      </c>
      <c r="AQ535" s="8"/>
      <c r="AR535" s="8">
        <f t="shared" si="154"/>
        <v>253.61529047597926</v>
      </c>
      <c r="AS535" s="8">
        <f t="shared" si="155"/>
        <v>82.663544007941937</v>
      </c>
    </row>
    <row r="536" spans="1:45">
      <c r="A536" s="19">
        <v>26.493133329999999</v>
      </c>
      <c r="B536" s="19">
        <v>789.62258369999995</v>
      </c>
      <c r="C536" s="19">
        <v>-361.53714960000002</v>
      </c>
      <c r="E536" s="9">
        <f t="shared" si="145"/>
        <v>170.37741630000005</v>
      </c>
      <c r="F536" s="9">
        <f t="shared" si="146"/>
        <v>178.46285039999998</v>
      </c>
      <c r="I536">
        <v>1</v>
      </c>
      <c r="J536">
        <f t="shared" si="141"/>
        <v>0.16173622052994308</v>
      </c>
      <c r="K536">
        <f t="shared" si="147"/>
        <v>0.80857205542848176</v>
      </c>
      <c r="O536">
        <f t="shared" si="148"/>
        <v>0.11119775128547972</v>
      </c>
      <c r="P536">
        <f t="shared" si="149"/>
        <v>0.11647475401044079</v>
      </c>
      <c r="Q536">
        <f t="shared" si="150"/>
        <v>0.98694918399442422</v>
      </c>
      <c r="R536">
        <f t="shared" si="140"/>
        <v>1</v>
      </c>
      <c r="AG536" s="8">
        <f t="shared" si="142"/>
        <v>-3.5776960445250139E-2</v>
      </c>
      <c r="AH536" s="8">
        <f t="shared" si="143"/>
        <v>-0.12253608679126649</v>
      </c>
      <c r="AI536" s="8">
        <f t="shared" si="144"/>
        <v>0.99181899383666883</v>
      </c>
      <c r="AJ536" s="8"/>
      <c r="AK536" s="8"/>
      <c r="AL536" s="8"/>
      <c r="AN536" s="8">
        <f t="shared" si="151"/>
        <v>0.99999999999999989</v>
      </c>
      <c r="AO536" s="8">
        <f t="shared" si="152"/>
        <v>4.4283145961233474</v>
      </c>
      <c r="AP536" s="8">
        <f t="shared" si="153"/>
        <v>0.12800144821969917</v>
      </c>
      <c r="AQ536" s="8"/>
      <c r="AR536" s="8">
        <f t="shared" si="154"/>
        <v>253.7237367140475</v>
      </c>
      <c r="AS536" s="8">
        <f t="shared" si="155"/>
        <v>82.666057245448897</v>
      </c>
    </row>
    <row r="537" spans="1:45">
      <c r="A537" s="19">
        <v>26.526499999999999</v>
      </c>
      <c r="B537" s="19">
        <v>789.81510409999999</v>
      </c>
      <c r="C537" s="19">
        <v>-362.15055030000002</v>
      </c>
      <c r="E537" s="9">
        <f t="shared" si="145"/>
        <v>170.18489590000001</v>
      </c>
      <c r="F537" s="9">
        <f t="shared" si="146"/>
        <v>177.84944969999998</v>
      </c>
      <c r="I537">
        <v>1</v>
      </c>
      <c r="J537">
        <f t="shared" si="141"/>
        <v>0.1613604330425164</v>
      </c>
      <c r="K537">
        <f t="shared" si="147"/>
        <v>0.80741701064410698</v>
      </c>
      <c r="O537">
        <f t="shared" si="148"/>
        <v>0.11107578642417233</v>
      </c>
      <c r="P537">
        <f t="shared" si="149"/>
        <v>0.11607826526592349</v>
      </c>
      <c r="Q537">
        <f t="shared" si="150"/>
        <v>0.98700962812077242</v>
      </c>
      <c r="R537">
        <f t="shared" si="140"/>
        <v>1</v>
      </c>
      <c r="AG537" s="8">
        <f t="shared" si="142"/>
        <v>-3.535803978089061E-2</v>
      </c>
      <c r="AH537" s="8">
        <f t="shared" si="143"/>
        <v>-0.12254181355123525</v>
      </c>
      <c r="AI537" s="8">
        <f t="shared" si="144"/>
        <v>0.99183330905673217</v>
      </c>
      <c r="AJ537" s="8"/>
      <c r="AK537" s="8"/>
      <c r="AL537" s="8"/>
      <c r="AN537" s="8">
        <f t="shared" si="151"/>
        <v>1</v>
      </c>
      <c r="AO537" s="8">
        <f t="shared" si="152"/>
        <v>4.4314801420881729</v>
      </c>
      <c r="AP537" s="8">
        <f t="shared" si="153"/>
        <v>0.12788925695033848</v>
      </c>
      <c r="AQ537" s="8"/>
      <c r="AR537" s="8">
        <f t="shared" si="154"/>
        <v>253.90510913768668</v>
      </c>
      <c r="AS537" s="8">
        <f t="shared" si="155"/>
        <v>82.672485331681472</v>
      </c>
    </row>
    <row r="538" spans="1:45">
      <c r="A538" s="19">
        <v>26.559866670000002</v>
      </c>
      <c r="B538" s="19">
        <v>790.82449750000001</v>
      </c>
      <c r="C538" s="19">
        <v>-363.11746529999999</v>
      </c>
      <c r="E538" s="9">
        <f t="shared" si="145"/>
        <v>169.17550249999999</v>
      </c>
      <c r="F538" s="9">
        <f t="shared" si="146"/>
        <v>176.88253470000001</v>
      </c>
      <c r="I538">
        <v>1</v>
      </c>
      <c r="J538">
        <f t="shared" si="141"/>
        <v>0.16044994095217741</v>
      </c>
      <c r="K538">
        <f t="shared" si="147"/>
        <v>0.80766540627779793</v>
      </c>
      <c r="O538">
        <f t="shared" si="148"/>
        <v>0.11042575810761819</v>
      </c>
      <c r="P538">
        <f t="shared" si="149"/>
        <v>0.11545636159848016</v>
      </c>
      <c r="Q538">
        <f t="shared" si="150"/>
        <v>0.98715549966193206</v>
      </c>
      <c r="R538">
        <f t="shared" si="140"/>
        <v>1</v>
      </c>
      <c r="AG538" s="8">
        <f t="shared" si="142"/>
        <v>-3.4564316590676783E-2</v>
      </c>
      <c r="AH538" s="8">
        <f t="shared" si="143"/>
        <v>-0.12298884235526027</v>
      </c>
      <c r="AI538" s="8">
        <f t="shared" si="144"/>
        <v>0.99180595515187975</v>
      </c>
      <c r="AJ538" s="8"/>
      <c r="AK538" s="8"/>
      <c r="AL538" s="8"/>
      <c r="AN538" s="8">
        <f t="shared" si="151"/>
        <v>1.0000000000000002</v>
      </c>
      <c r="AO538" s="8">
        <f t="shared" si="152"/>
        <v>4.4384196704015064</v>
      </c>
      <c r="AP538" s="8">
        <f t="shared" si="153"/>
        <v>0.12810354998801188</v>
      </c>
      <c r="AQ538" s="8"/>
      <c r="AR538" s="8">
        <f t="shared" si="154"/>
        <v>254.30271482185222</v>
      </c>
      <c r="AS538" s="8">
        <f t="shared" si="155"/>
        <v>82.66020724504375</v>
      </c>
    </row>
    <row r="539" spans="1:45">
      <c r="A539" s="19">
        <v>26.59323333</v>
      </c>
      <c r="B539" s="19">
        <v>790.78504599999997</v>
      </c>
      <c r="C539" s="19">
        <v>-363.39824429999999</v>
      </c>
      <c r="E539" s="9">
        <f t="shared" si="145"/>
        <v>169.21495400000003</v>
      </c>
      <c r="F539" s="9">
        <f t="shared" si="146"/>
        <v>176.60175570000001</v>
      </c>
      <c r="I539">
        <v>1</v>
      </c>
      <c r="J539">
        <f t="shared" si="141"/>
        <v>0.16033547210445784</v>
      </c>
      <c r="K539">
        <f t="shared" si="147"/>
        <v>0.80675536894641264</v>
      </c>
      <c r="O539">
        <f t="shared" si="148"/>
        <v>0.1104526037768212</v>
      </c>
      <c r="P539">
        <f t="shared" si="149"/>
        <v>0.1152742313106859</v>
      </c>
      <c r="Q539">
        <f t="shared" si="150"/>
        <v>0.98717378101054276</v>
      </c>
      <c r="R539">
        <f t="shared" ref="R539:R602" si="156">SQRT(O539^2+P539^2+Q539^2)</f>
        <v>1</v>
      </c>
      <c r="AG539" s="8">
        <f t="shared" si="142"/>
        <v>-3.4396593973305231E-2</v>
      </c>
      <c r="AH539" s="8">
        <f t="shared" si="143"/>
        <v>-0.12291228697152637</v>
      </c>
      <c r="AI539" s="8">
        <f t="shared" si="144"/>
        <v>0.99182127625619354</v>
      </c>
      <c r="AJ539" s="8"/>
      <c r="AK539" s="8"/>
      <c r="AL539" s="8"/>
      <c r="AN539" s="8">
        <f t="shared" si="151"/>
        <v>0.99999999999999989</v>
      </c>
      <c r="AO539" s="8">
        <f t="shared" si="152"/>
        <v>4.4395224676151246</v>
      </c>
      <c r="AP539" s="8">
        <f t="shared" si="153"/>
        <v>0.12798356699136826</v>
      </c>
      <c r="AQ539" s="8"/>
      <c r="AR539" s="8">
        <f t="shared" si="154"/>
        <v>254.36590044785135</v>
      </c>
      <c r="AS539" s="8">
        <f t="shared" si="155"/>
        <v>82.667081764364767</v>
      </c>
    </row>
    <row r="540" spans="1:45">
      <c r="A540" s="19">
        <v>26.6266</v>
      </c>
      <c r="B540" s="19">
        <v>791.56299850000005</v>
      </c>
      <c r="C540" s="19">
        <v>-364.1308166</v>
      </c>
      <c r="E540" s="9">
        <f t="shared" si="145"/>
        <v>168.43700149999995</v>
      </c>
      <c r="F540" s="9">
        <f t="shared" si="146"/>
        <v>175.8691834</v>
      </c>
      <c r="I540">
        <v>1</v>
      </c>
      <c r="J540">
        <f t="shared" si="141"/>
        <v>0.15963951693158718</v>
      </c>
      <c r="K540">
        <f t="shared" si="147"/>
        <v>0.80698077851437522</v>
      </c>
      <c r="O540">
        <f t="shared" si="148"/>
        <v>0.10995138491870536</v>
      </c>
      <c r="P540">
        <f t="shared" si="149"/>
        <v>0.11480292398432294</v>
      </c>
      <c r="Q540">
        <f t="shared" si="150"/>
        <v>0.98728465074623162</v>
      </c>
      <c r="R540">
        <f t="shared" si="156"/>
        <v>1</v>
      </c>
      <c r="AG540" s="8">
        <f t="shared" si="142"/>
        <v>-3.3792581911658778E-2</v>
      </c>
      <c r="AH540" s="8">
        <f t="shared" si="143"/>
        <v>-0.12325915283437046</v>
      </c>
      <c r="AI540" s="8">
        <f t="shared" si="144"/>
        <v>0.99179899306779762</v>
      </c>
      <c r="AJ540" s="8"/>
      <c r="AK540" s="8"/>
      <c r="AL540" s="8"/>
      <c r="AN540" s="8">
        <f t="shared" si="151"/>
        <v>1.0000000000000002</v>
      </c>
      <c r="AO540" s="8">
        <f t="shared" si="152"/>
        <v>4.4448049908588017</v>
      </c>
      <c r="AP540" s="8">
        <f t="shared" si="153"/>
        <v>0.12815803471029197</v>
      </c>
      <c r="AQ540" s="8"/>
      <c r="AR540" s="8">
        <f t="shared" si="154"/>
        <v>254.6685667348938</v>
      </c>
      <c r="AS540" s="8">
        <f t="shared" si="155"/>
        <v>82.657085500409153</v>
      </c>
    </row>
    <row r="541" spans="1:45">
      <c r="A541" s="19">
        <v>26.659966669999999</v>
      </c>
      <c r="B541" s="19">
        <v>792.12438970000005</v>
      </c>
      <c r="C541" s="19">
        <v>-365.29283140000001</v>
      </c>
      <c r="E541" s="9">
        <f t="shared" si="145"/>
        <v>167.87561029999995</v>
      </c>
      <c r="F541" s="9">
        <f t="shared" si="146"/>
        <v>174.70716859999999</v>
      </c>
      <c r="I541">
        <v>1</v>
      </c>
      <c r="J541">
        <f t="shared" si="141"/>
        <v>0.15883905744689386</v>
      </c>
      <c r="K541">
        <f t="shared" si="147"/>
        <v>0.80533685675268618</v>
      </c>
      <c r="O541">
        <f t="shared" si="148"/>
        <v>0.10959236709451531</v>
      </c>
      <c r="P541">
        <f t="shared" si="149"/>
        <v>0.11405213729998623</v>
      </c>
      <c r="Q541">
        <f t="shared" si="150"/>
        <v>0.98741157733334584</v>
      </c>
      <c r="R541">
        <f t="shared" si="156"/>
        <v>1</v>
      </c>
      <c r="AG541" s="8">
        <f t="shared" si="142"/>
        <v>-3.2961366139481044E-2</v>
      </c>
      <c r="AH541" s="8">
        <f t="shared" si="143"/>
        <v>-0.12339194513172418</v>
      </c>
      <c r="AI541" s="8">
        <f t="shared" si="144"/>
        <v>0.99181045377573462</v>
      </c>
      <c r="AJ541" s="8"/>
      <c r="AK541" s="8"/>
      <c r="AL541" s="8"/>
      <c r="AN541" s="8">
        <f t="shared" si="151"/>
        <v>1</v>
      </c>
      <c r="AO541" s="8">
        <f t="shared" si="152"/>
        <v>4.4513565180693622</v>
      </c>
      <c r="AP541" s="8">
        <f t="shared" si="153"/>
        <v>0.12806833185125832</v>
      </c>
      <c r="AQ541" s="8"/>
      <c r="AR541" s="8">
        <f t="shared" si="154"/>
        <v>255.04394159342402</v>
      </c>
      <c r="AS541" s="8">
        <f t="shared" si="155"/>
        <v>82.662225095642043</v>
      </c>
    </row>
    <row r="542" spans="1:45">
      <c r="A542" s="19">
        <v>26.693333330000002</v>
      </c>
      <c r="B542" s="19">
        <v>792.62039230000005</v>
      </c>
      <c r="C542" s="19">
        <v>-365.96742710000001</v>
      </c>
      <c r="E542" s="9">
        <f t="shared" si="145"/>
        <v>167.37960769999995</v>
      </c>
      <c r="F542" s="9">
        <f t="shared" si="146"/>
        <v>174.03257289999999</v>
      </c>
      <c r="I542">
        <v>1</v>
      </c>
      <c r="J542">
        <f t="shared" si="141"/>
        <v>0.15829753943747263</v>
      </c>
      <c r="K542">
        <f t="shared" si="147"/>
        <v>0.8048823050431001</v>
      </c>
      <c r="O542">
        <f t="shared" si="148"/>
        <v>0.10927352957067474</v>
      </c>
      <c r="P542">
        <f t="shared" si="149"/>
        <v>0.11361690807122596</v>
      </c>
      <c r="Q542">
        <f t="shared" si="150"/>
        <v>0.98749708553266191</v>
      </c>
      <c r="R542">
        <f t="shared" si="156"/>
        <v>1</v>
      </c>
      <c r="AG542" s="8">
        <f t="shared" si="142"/>
        <v>-3.2446577578560135E-2</v>
      </c>
      <c r="AH542" s="8">
        <f t="shared" si="143"/>
        <v>-0.12357457323631801</v>
      </c>
      <c r="AI542" s="8">
        <f t="shared" si="144"/>
        <v>0.99180469067901678</v>
      </c>
      <c r="AJ542" s="8"/>
      <c r="AK542" s="8"/>
      <c r="AL542" s="8"/>
      <c r="AN542" s="8">
        <f t="shared" si="151"/>
        <v>0.99999999999999978</v>
      </c>
      <c r="AO542" s="8">
        <f t="shared" si="152"/>
        <v>4.455618177458498</v>
      </c>
      <c r="AP542" s="8">
        <f t="shared" si="153"/>
        <v>0.12811344736577768</v>
      </c>
      <c r="AQ542" s="8"/>
      <c r="AR542" s="8">
        <f t="shared" si="154"/>
        <v>255.2881166901438</v>
      </c>
      <c r="AS542" s="8">
        <f t="shared" si="155"/>
        <v>82.659640167069526</v>
      </c>
    </row>
    <row r="543" spans="1:45">
      <c r="A543" s="19">
        <v>26.726700000000001</v>
      </c>
      <c r="B543" s="19">
        <v>792.7663427</v>
      </c>
      <c r="C543" s="19">
        <v>-366.6196286</v>
      </c>
      <c r="E543" s="9">
        <f t="shared" si="145"/>
        <v>167.2336573</v>
      </c>
      <c r="F543" s="9">
        <f t="shared" si="146"/>
        <v>173.3803714</v>
      </c>
      <c r="I543">
        <v>1</v>
      </c>
      <c r="J543">
        <f t="shared" si="141"/>
        <v>0.15792499205391805</v>
      </c>
      <c r="K543">
        <f t="shared" si="147"/>
        <v>0.80344218528581257</v>
      </c>
      <c r="O543">
        <f t="shared" si="148"/>
        <v>0.10918162945009703</v>
      </c>
      <c r="P543">
        <f t="shared" si="149"/>
        <v>0.1131946270250887</v>
      </c>
      <c r="Q543">
        <f t="shared" si="150"/>
        <v>0.98755574435232407</v>
      </c>
      <c r="R543">
        <f t="shared" si="156"/>
        <v>1</v>
      </c>
      <c r="AG543" s="8">
        <f t="shared" si="142"/>
        <v>-3.201188473943023E-2</v>
      </c>
      <c r="AH543" s="8">
        <f t="shared" si="143"/>
        <v>-0.12354409849584043</v>
      </c>
      <c r="AI543" s="8">
        <f t="shared" si="144"/>
        <v>0.99182261264919724</v>
      </c>
      <c r="AJ543" s="8"/>
      <c r="AK543" s="8"/>
      <c r="AL543" s="8"/>
      <c r="AN543" s="8">
        <f t="shared" si="151"/>
        <v>1</v>
      </c>
      <c r="AO543" s="8">
        <f t="shared" si="152"/>
        <v>4.4588519158450808</v>
      </c>
      <c r="AP543" s="8">
        <f t="shared" si="153"/>
        <v>0.12797309609384522</v>
      </c>
      <c r="AQ543" s="8"/>
      <c r="AR543" s="8">
        <f t="shared" si="154"/>
        <v>255.47339625174445</v>
      </c>
      <c r="AS543" s="8">
        <f t="shared" si="155"/>
        <v>82.667681702600547</v>
      </c>
    </row>
    <row r="544" spans="1:45">
      <c r="A544" s="19">
        <v>26.76006667</v>
      </c>
      <c r="B544" s="19">
        <v>792.80766640000002</v>
      </c>
      <c r="C544" s="19">
        <v>-367.0976958</v>
      </c>
      <c r="E544" s="9">
        <f t="shared" si="145"/>
        <v>167.19233359999998</v>
      </c>
      <c r="F544" s="9">
        <f t="shared" si="146"/>
        <v>172.9023042</v>
      </c>
      <c r="I544">
        <v>1</v>
      </c>
      <c r="J544">
        <f t="shared" ref="J544:J607" si="157">ATAN((SQRT(E544^2+F544^2)^$B$16)/($F$24))</f>
        <v>0.15768187863210312</v>
      </c>
      <c r="K544">
        <f t="shared" si="147"/>
        <v>0.80218594403987331</v>
      </c>
      <c r="O544">
        <f t="shared" si="148"/>
        <v>0.10915684571270182</v>
      </c>
      <c r="P544">
        <f t="shared" si="149"/>
        <v>0.11288478207430223</v>
      </c>
      <c r="Q544">
        <f t="shared" si="150"/>
        <v>0.98759394946004542</v>
      </c>
      <c r="R544">
        <f t="shared" si="156"/>
        <v>1</v>
      </c>
      <c r="AG544" s="8">
        <f t="shared" ref="AG544:AG607" si="158">$O544*$Z$27+$P544*$Z$31+$Q544*$Z$35</f>
        <v>-3.1705645081043371E-2</v>
      </c>
      <c r="AH544" s="8">
        <f t="shared" ref="AH544:AH607" si="159">$O544*$AA$27+$P544*$AA$31+$Q544*$AA$35</f>
        <v>-0.12348099604384238</v>
      </c>
      <c r="AI544" s="8">
        <f t="shared" ref="AI544:AI607" si="160">$AB$27*$O544+$P544*$AB$31+$AB$35*$Q544</f>
        <v>0.99184030755258956</v>
      </c>
      <c r="AJ544" s="8"/>
      <c r="AK544" s="8"/>
      <c r="AL544" s="8"/>
      <c r="AN544" s="8">
        <f t="shared" si="151"/>
        <v>0.99999999999999989</v>
      </c>
      <c r="AO544" s="8">
        <f t="shared" si="152"/>
        <v>4.461053104729352</v>
      </c>
      <c r="AP544" s="8">
        <f t="shared" si="153"/>
        <v>0.12783437268624409</v>
      </c>
      <c r="AQ544" s="8"/>
      <c r="AR544" s="8">
        <f t="shared" si="154"/>
        <v>255.59951508472429</v>
      </c>
      <c r="AS544" s="8">
        <f t="shared" si="155"/>
        <v>82.675629968375759</v>
      </c>
    </row>
    <row r="545" spans="1:45">
      <c r="A545" s="19">
        <v>26.793433329999999</v>
      </c>
      <c r="B545" s="19">
        <v>793.84869739999999</v>
      </c>
      <c r="C545" s="19">
        <v>-367.82614940000002</v>
      </c>
      <c r="E545" s="9">
        <f t="shared" ref="E545:E608" si="161">-(B545-($B$15/2))</f>
        <v>166.15130260000001</v>
      </c>
      <c r="F545" s="9">
        <f t="shared" ref="F545:F608" si="162">(($C$15/2)+C545)</f>
        <v>172.17385059999998</v>
      </c>
      <c r="I545">
        <v>1</v>
      </c>
      <c r="J545">
        <f t="shared" si="157"/>
        <v>0.15686797283526197</v>
      </c>
      <c r="K545">
        <f t="shared" ref="K545:K608" si="163">ATAN2(E545,F545)</f>
        <v>0.8031973483722763</v>
      </c>
      <c r="O545">
        <f t="shared" ref="O545:O608" si="164">COS(K545)*SIN(J545)</f>
        <v>0.10848440945952216</v>
      </c>
      <c r="P545">
        <f t="shared" ref="P545:P608" si="165">SIN(K545)*SIN(J545)</f>
        <v>0.11241668415732897</v>
      </c>
      <c r="Q545">
        <f t="shared" ref="Q545:Q608" si="166">COS(J545)</f>
        <v>0.98772142936522855</v>
      </c>
      <c r="R545">
        <f t="shared" si="156"/>
        <v>1</v>
      </c>
      <c r="AG545" s="8">
        <f t="shared" si="158"/>
        <v>-3.1053955619834955E-2</v>
      </c>
      <c r="AH545" s="8">
        <f t="shared" si="159"/>
        <v>-0.12399185732028102</v>
      </c>
      <c r="AI545" s="8">
        <f t="shared" si="160"/>
        <v>0.99179719255431875</v>
      </c>
      <c r="AJ545" s="8"/>
      <c r="AK545" s="8"/>
      <c r="AL545" s="8"/>
      <c r="AN545" s="8">
        <f t="shared" ref="AN545:AN608" si="167">AG545^2+AH545^2+AI545^2</f>
        <v>1</v>
      </c>
      <c r="AO545" s="8">
        <f t="shared" ref="AO545:AO608" si="168">IF(ATAN2(AG545,AH545)&gt;=0,ATAN2(AG545,AH545),ATAN2(AG545,AH545)+2*PI())</f>
        <v>4.466985353201351</v>
      </c>
      <c r="AP545" s="8">
        <f t="shared" ref="AP545:AP608" si="169">ACOS(AI545/AN545)</f>
        <v>0.12817212163833203</v>
      </c>
      <c r="AQ545" s="8"/>
      <c r="AR545" s="8">
        <f t="shared" ref="AR545:AR608" si="170">DEGREES(AO545)</f>
        <v>255.93940788519276</v>
      </c>
      <c r="AS545" s="8">
        <f t="shared" ref="AS545:AS608" si="171">90-DEGREES(AP545)</f>
        <v>82.656278378886157</v>
      </c>
    </row>
    <row r="546" spans="1:45">
      <c r="A546" s="19">
        <v>26.826799999999999</v>
      </c>
      <c r="B546" s="19">
        <v>793.86586169999998</v>
      </c>
      <c r="C546" s="19">
        <v>-369.0517102</v>
      </c>
      <c r="E546" s="9">
        <f t="shared" si="161"/>
        <v>166.13413830000002</v>
      </c>
      <c r="F546" s="9">
        <f t="shared" si="162"/>
        <v>170.9482898</v>
      </c>
      <c r="I546">
        <v>1</v>
      </c>
      <c r="J546">
        <f t="shared" si="157"/>
        <v>0.15628555371923891</v>
      </c>
      <c r="K546">
        <f t="shared" si="163"/>
        <v>0.79967901527182106</v>
      </c>
      <c r="O546">
        <f t="shared" si="164"/>
        <v>0.10847831268922946</v>
      </c>
      <c r="P546">
        <f t="shared" si="165"/>
        <v>0.11162174267354304</v>
      </c>
      <c r="Q546">
        <f t="shared" si="166"/>
        <v>0.9878122505003768</v>
      </c>
      <c r="R546">
        <f t="shared" si="156"/>
        <v>1</v>
      </c>
      <c r="AG546" s="8">
        <f t="shared" si="158"/>
        <v>-3.0285473913319122E-2</v>
      </c>
      <c r="AH546" s="8">
        <f t="shared" si="159"/>
        <v>-0.12377490893020598</v>
      </c>
      <c r="AI546" s="8">
        <f t="shared" si="160"/>
        <v>0.99184805388182562</v>
      </c>
      <c r="AJ546" s="8"/>
      <c r="AK546" s="8"/>
      <c r="AL546" s="8"/>
      <c r="AN546" s="8">
        <f t="shared" si="167"/>
        <v>1</v>
      </c>
      <c r="AO546" s="8">
        <f t="shared" si="168"/>
        <v>4.4724218624755858</v>
      </c>
      <c r="AP546" s="8">
        <f t="shared" si="169"/>
        <v>0.12777359635420193</v>
      </c>
      <c r="AQ546" s="8"/>
      <c r="AR546" s="8">
        <f t="shared" si="170"/>
        <v>256.25089692189016</v>
      </c>
      <c r="AS546" s="8">
        <f t="shared" si="171"/>
        <v>82.679112195696064</v>
      </c>
    </row>
    <row r="547" spans="1:45">
      <c r="A547" s="19">
        <v>26.860166670000002</v>
      </c>
      <c r="B547" s="19">
        <v>795.55672670000001</v>
      </c>
      <c r="C547" s="19">
        <v>-369.8093083</v>
      </c>
      <c r="E547" s="9">
        <f t="shared" si="161"/>
        <v>164.44327329999999</v>
      </c>
      <c r="F547" s="9">
        <f t="shared" si="162"/>
        <v>170.1906917</v>
      </c>
      <c r="I547">
        <v>1</v>
      </c>
      <c r="J547">
        <f t="shared" si="157"/>
        <v>0.15516221533212302</v>
      </c>
      <c r="K547">
        <f t="shared" si="163"/>
        <v>0.80257171408161732</v>
      </c>
      <c r="O547">
        <f t="shared" si="164"/>
        <v>0.10738385399041858</v>
      </c>
      <c r="P547">
        <f t="shared" si="165"/>
        <v>0.11113700196602172</v>
      </c>
      <c r="Q547">
        <f t="shared" si="166"/>
        <v>0.98798647495609415</v>
      </c>
      <c r="R547">
        <f t="shared" si="156"/>
        <v>1</v>
      </c>
      <c r="AG547" s="8">
        <f t="shared" si="158"/>
        <v>-2.9492260471703668E-2</v>
      </c>
      <c r="AH547" s="8">
        <f t="shared" si="159"/>
        <v>-0.1246836955742238</v>
      </c>
      <c r="AI547" s="8">
        <f t="shared" si="160"/>
        <v>0.99175812708050104</v>
      </c>
      <c r="AJ547" s="8"/>
      <c r="AK547" s="8"/>
      <c r="AL547" s="8"/>
      <c r="AN547" s="8">
        <f t="shared" si="167"/>
        <v>0.99999999999999978</v>
      </c>
      <c r="AO547" s="8">
        <f t="shared" si="168"/>
        <v>4.4801213136898372</v>
      </c>
      <c r="AP547" s="8">
        <f t="shared" si="169"/>
        <v>0.12847738540083209</v>
      </c>
      <c r="AQ547" s="8"/>
      <c r="AR547" s="8">
        <f t="shared" si="170"/>
        <v>256.69204298103364</v>
      </c>
      <c r="AS547" s="8">
        <f t="shared" si="171"/>
        <v>82.638788053656626</v>
      </c>
    </row>
    <row r="548" spans="1:45">
      <c r="A548" s="19">
        <v>26.89353333</v>
      </c>
      <c r="B548" s="19">
        <v>794.75806720000003</v>
      </c>
      <c r="C548" s="19">
        <v>-370.05985659999999</v>
      </c>
      <c r="E548" s="9">
        <f t="shared" si="161"/>
        <v>165.24193279999997</v>
      </c>
      <c r="F548" s="9">
        <f t="shared" si="162"/>
        <v>169.94014340000001</v>
      </c>
      <c r="I548">
        <v>1</v>
      </c>
      <c r="J548">
        <f t="shared" si="157"/>
        <v>0.1554076750404414</v>
      </c>
      <c r="K548">
        <f t="shared" si="163"/>
        <v>0.79941413644306947</v>
      </c>
      <c r="O548">
        <f t="shared" si="164"/>
        <v>0.10790329939160676</v>
      </c>
      <c r="P548">
        <f t="shared" si="165"/>
        <v>0.11097123993421835</v>
      </c>
      <c r="Q548">
        <f t="shared" si="166"/>
        <v>0.98794851175952858</v>
      </c>
      <c r="R548">
        <f t="shared" si="156"/>
        <v>1</v>
      </c>
      <c r="AG548" s="8">
        <f t="shared" si="158"/>
        <v>-2.9487000495969098E-2</v>
      </c>
      <c r="AH548" s="8">
        <f t="shared" si="159"/>
        <v>-0.12414141753279095</v>
      </c>
      <c r="AI548" s="8">
        <f t="shared" si="160"/>
        <v>0.99182630800695137</v>
      </c>
      <c r="AJ548" s="8"/>
      <c r="AK548" s="8"/>
      <c r="AL548" s="8"/>
      <c r="AN548" s="8">
        <f t="shared" si="167"/>
        <v>1</v>
      </c>
      <c r="AO548" s="8">
        <f t="shared" si="168"/>
        <v>4.4791831486817166</v>
      </c>
      <c r="AP548" s="8">
        <f t="shared" si="169"/>
        <v>0.12794413781494574</v>
      </c>
      <c r="AQ548" s="8"/>
      <c r="AR548" s="8">
        <f t="shared" si="170"/>
        <v>256.63829008558145</v>
      </c>
      <c r="AS548" s="8">
        <f t="shared" si="171"/>
        <v>82.669340889763447</v>
      </c>
    </row>
    <row r="549" spans="1:45">
      <c r="A549" s="19">
        <v>26.9269</v>
      </c>
      <c r="B549" s="19">
        <v>795.1089806</v>
      </c>
      <c r="C549" s="19">
        <v>-371.08983330000001</v>
      </c>
      <c r="E549" s="9">
        <f t="shared" si="161"/>
        <v>164.8910194</v>
      </c>
      <c r="F549" s="9">
        <f t="shared" si="162"/>
        <v>168.91016669999999</v>
      </c>
      <c r="I549">
        <v>1</v>
      </c>
      <c r="J549">
        <f t="shared" si="157"/>
        <v>0.15476610634717114</v>
      </c>
      <c r="K549">
        <f t="shared" si="163"/>
        <v>0.79743812388714141</v>
      </c>
      <c r="O549">
        <f t="shared" si="164"/>
        <v>0.10767958515298928</v>
      </c>
      <c r="P549">
        <f t="shared" si="165"/>
        <v>0.11030422848109497</v>
      </c>
      <c r="Q549">
        <f t="shared" si="166"/>
        <v>0.98804761227405968</v>
      </c>
      <c r="R549">
        <f t="shared" si="156"/>
        <v>1</v>
      </c>
      <c r="AG549" s="8">
        <f t="shared" si="158"/>
        <v>-2.8777235039784327E-2</v>
      </c>
      <c r="AH549" s="8">
        <f t="shared" si="159"/>
        <v>-0.12416784949504102</v>
      </c>
      <c r="AI549" s="8">
        <f t="shared" si="160"/>
        <v>0.9918438465278907</v>
      </c>
      <c r="AJ549" s="8"/>
      <c r="AK549" s="8"/>
      <c r="AL549" s="8"/>
      <c r="AN549" s="8">
        <f t="shared" si="167"/>
        <v>1.0000000000000002</v>
      </c>
      <c r="AO549" s="8">
        <f t="shared" si="168"/>
        <v>4.4846489423164115</v>
      </c>
      <c r="AP549" s="8">
        <f t="shared" si="169"/>
        <v>0.12780661007683314</v>
      </c>
      <c r="AQ549" s="8"/>
      <c r="AR549" s="8">
        <f t="shared" si="170"/>
        <v>256.95145699253897</v>
      </c>
      <c r="AS549" s="8">
        <f t="shared" si="171"/>
        <v>82.677220648723278</v>
      </c>
    </row>
    <row r="550" spans="1:45">
      <c r="A550" s="19">
        <v>26.960266669999999</v>
      </c>
      <c r="B550" s="19">
        <v>795.83457929999997</v>
      </c>
      <c r="C550" s="19">
        <v>-371.97433660000002</v>
      </c>
      <c r="E550" s="9">
        <f t="shared" si="161"/>
        <v>164.16542070000003</v>
      </c>
      <c r="F550" s="9">
        <f t="shared" si="162"/>
        <v>168.02566339999998</v>
      </c>
      <c r="I550">
        <v>1</v>
      </c>
      <c r="J550">
        <f t="shared" si="157"/>
        <v>0.15402180759342482</v>
      </c>
      <c r="K550">
        <f t="shared" si="163"/>
        <v>0.79701818916004641</v>
      </c>
      <c r="O550">
        <f t="shared" si="164"/>
        <v>0.10721193575082588</v>
      </c>
      <c r="P550">
        <f t="shared" si="165"/>
        <v>0.10973295443168007</v>
      </c>
      <c r="Q550">
        <f t="shared" si="166"/>
        <v>0.98816207149650082</v>
      </c>
      <c r="R550">
        <f t="shared" si="156"/>
        <v>1</v>
      </c>
      <c r="AG550" s="8">
        <f t="shared" si="158"/>
        <v>-2.808724526463928E-2</v>
      </c>
      <c r="AH550" s="8">
        <f t="shared" si="159"/>
        <v>-0.12445386842848691</v>
      </c>
      <c r="AI550" s="8">
        <f t="shared" si="160"/>
        <v>0.99182777803741151</v>
      </c>
      <c r="AJ550" s="8"/>
      <c r="AK550" s="8"/>
      <c r="AL550" s="8"/>
      <c r="AN550" s="8">
        <f t="shared" si="167"/>
        <v>1</v>
      </c>
      <c r="AO550" s="8">
        <f t="shared" si="168"/>
        <v>4.4904236044983019</v>
      </c>
      <c r="AP550" s="8">
        <f t="shared" si="169"/>
        <v>0.12793261626476915</v>
      </c>
      <c r="AQ550" s="8"/>
      <c r="AR550" s="8">
        <f t="shared" si="170"/>
        <v>257.2823207636751</v>
      </c>
      <c r="AS550" s="8">
        <f t="shared" si="171"/>
        <v>82.670001025962023</v>
      </c>
    </row>
    <row r="551" spans="1:45">
      <c r="A551" s="19">
        <v>26.993633330000002</v>
      </c>
      <c r="B551" s="19">
        <v>796.10153800000001</v>
      </c>
      <c r="C551" s="19">
        <v>-372.50028700000001</v>
      </c>
      <c r="E551" s="9">
        <f t="shared" si="161"/>
        <v>163.89846199999999</v>
      </c>
      <c r="F551" s="9">
        <f t="shared" si="162"/>
        <v>167.49971299999999</v>
      </c>
      <c r="I551">
        <v>1</v>
      </c>
      <c r="J551">
        <f t="shared" si="157"/>
        <v>0.1536543039040221</v>
      </c>
      <c r="K551">
        <f t="shared" si="163"/>
        <v>0.79626457584809562</v>
      </c>
      <c r="O551">
        <f t="shared" si="164"/>
        <v>0.10704061164943018</v>
      </c>
      <c r="P551">
        <f t="shared" si="165"/>
        <v>0.10939255629271254</v>
      </c>
      <c r="Q551">
        <f t="shared" si="166"/>
        <v>0.98821838481454172</v>
      </c>
      <c r="R551">
        <f t="shared" si="156"/>
        <v>1</v>
      </c>
      <c r="AG551" s="8">
        <f t="shared" si="158"/>
        <v>-2.7708071675951185E-2</v>
      </c>
      <c r="AH551" s="8">
        <f t="shared" si="159"/>
        <v>-0.12452181586315139</v>
      </c>
      <c r="AI551" s="8">
        <f t="shared" si="160"/>
        <v>0.99182991492399741</v>
      </c>
      <c r="AJ551" s="8"/>
      <c r="AK551" s="8"/>
      <c r="AL551" s="8"/>
      <c r="AN551" s="8">
        <f t="shared" si="167"/>
        <v>1.0000000000000002</v>
      </c>
      <c r="AO551" s="8">
        <f t="shared" si="168"/>
        <v>4.4934402880132334</v>
      </c>
      <c r="AP551" s="8">
        <f t="shared" si="169"/>
        <v>0.12791586630455454</v>
      </c>
      <c r="AQ551" s="8"/>
      <c r="AR551" s="8">
        <f t="shared" si="170"/>
        <v>257.45516399720736</v>
      </c>
      <c r="AS551" s="8">
        <f t="shared" si="171"/>
        <v>82.670960727989325</v>
      </c>
    </row>
    <row r="552" spans="1:45">
      <c r="A552" s="19">
        <v>27.027000000000001</v>
      </c>
      <c r="B552" s="19">
        <v>796.58673409999994</v>
      </c>
      <c r="C552" s="19">
        <v>-373.15141299999999</v>
      </c>
      <c r="E552" s="9">
        <f t="shared" si="161"/>
        <v>163.41326590000006</v>
      </c>
      <c r="F552" s="9">
        <f t="shared" si="162"/>
        <v>166.84858700000001</v>
      </c>
      <c r="I552">
        <v>1</v>
      </c>
      <c r="J552">
        <f t="shared" si="157"/>
        <v>0.153128687043072</v>
      </c>
      <c r="K552">
        <f t="shared" si="163"/>
        <v>0.79579959844052994</v>
      </c>
      <c r="O552">
        <f t="shared" si="164"/>
        <v>0.10672800208668298</v>
      </c>
      <c r="P552">
        <f t="shared" si="165"/>
        <v>0.10897166912013906</v>
      </c>
      <c r="Q552">
        <f t="shared" si="166"/>
        <v>0.98829869417082405</v>
      </c>
      <c r="R552">
        <f t="shared" si="156"/>
        <v>1</v>
      </c>
      <c r="AG552" s="8">
        <f t="shared" si="158"/>
        <v>-2.7209281955011058E-2</v>
      </c>
      <c r="AH552" s="8">
        <f t="shared" si="159"/>
        <v>-0.12470195829650006</v>
      </c>
      <c r="AI552" s="8">
        <f t="shared" si="160"/>
        <v>0.99182109101012295</v>
      </c>
      <c r="AJ552" s="8"/>
      <c r="AK552" s="8"/>
      <c r="AL552" s="8"/>
      <c r="AN552" s="8">
        <f t="shared" si="167"/>
        <v>0.99999999999999989</v>
      </c>
      <c r="AO552" s="8">
        <f t="shared" si="168"/>
        <v>4.497561470515322</v>
      </c>
      <c r="AP552" s="8">
        <f t="shared" si="169"/>
        <v>0.12798501836290721</v>
      </c>
      <c r="AQ552" s="8"/>
      <c r="AR552" s="8">
        <f t="shared" si="170"/>
        <v>257.69129036118017</v>
      </c>
      <c r="AS552" s="8">
        <f t="shared" si="171"/>
        <v>82.666998606901075</v>
      </c>
    </row>
    <row r="553" spans="1:45">
      <c r="A553" s="19">
        <v>27.060366670000001</v>
      </c>
      <c r="B553" s="19">
        <v>796.98589140000001</v>
      </c>
      <c r="C553" s="19">
        <v>-373.96760699999999</v>
      </c>
      <c r="E553" s="9">
        <f t="shared" si="161"/>
        <v>163.01410859999999</v>
      </c>
      <c r="F553" s="9">
        <f t="shared" si="162"/>
        <v>166.03239300000001</v>
      </c>
      <c r="I553">
        <v>1</v>
      </c>
      <c r="J553">
        <f t="shared" si="157"/>
        <v>0.15256542550737673</v>
      </c>
      <c r="K553">
        <f t="shared" si="163"/>
        <v>0.79457072635176151</v>
      </c>
      <c r="O553">
        <f t="shared" si="164"/>
        <v>0.1064718182573362</v>
      </c>
      <c r="P553">
        <f t="shared" si="165"/>
        <v>0.10844319503475557</v>
      </c>
      <c r="Q553">
        <f t="shared" si="166"/>
        <v>0.98838445220856785</v>
      </c>
      <c r="R553">
        <f t="shared" si="156"/>
        <v>1</v>
      </c>
      <c r="AG553" s="8">
        <f t="shared" si="158"/>
        <v>-2.6623589929659783E-2</v>
      </c>
      <c r="AH553" s="8">
        <f t="shared" si="159"/>
        <v>-0.12479797773325932</v>
      </c>
      <c r="AI553" s="8">
        <f t="shared" si="160"/>
        <v>0.9918249085463352</v>
      </c>
      <c r="AJ553" s="8"/>
      <c r="AK553" s="8"/>
      <c r="AL553" s="8"/>
      <c r="AN553" s="8">
        <f t="shared" si="167"/>
        <v>1</v>
      </c>
      <c r="AO553" s="8">
        <f t="shared" si="168"/>
        <v>4.5022062301193282</v>
      </c>
      <c r="AP553" s="8">
        <f t="shared" si="169"/>
        <v>0.12795510530635146</v>
      </c>
      <c r="AQ553" s="8"/>
      <c r="AR553" s="8">
        <f t="shared" si="170"/>
        <v>257.95741548334263</v>
      </c>
      <c r="AS553" s="8">
        <f t="shared" si="171"/>
        <v>82.668712498794051</v>
      </c>
    </row>
    <row r="554" spans="1:45">
      <c r="A554" s="19">
        <v>27.093733329999999</v>
      </c>
      <c r="B554" s="19">
        <v>797.9241207</v>
      </c>
      <c r="C554" s="19">
        <v>-374.84554539999999</v>
      </c>
      <c r="E554" s="9">
        <f t="shared" si="161"/>
        <v>162.0758793</v>
      </c>
      <c r="F554" s="9">
        <f t="shared" si="162"/>
        <v>165.15445460000001</v>
      </c>
      <c r="I554">
        <v>1</v>
      </c>
      <c r="J554">
        <f t="shared" si="157"/>
        <v>0.15172665018117742</v>
      </c>
      <c r="K554">
        <f t="shared" si="163"/>
        <v>0.7948058623716755</v>
      </c>
      <c r="O554">
        <f t="shared" si="164"/>
        <v>0.10586560532914499</v>
      </c>
      <c r="P554">
        <f t="shared" si="165"/>
        <v>0.10787648590615294</v>
      </c>
      <c r="Q554">
        <f t="shared" si="166"/>
        <v>0.9885115767641941</v>
      </c>
      <c r="R554">
        <f t="shared" si="156"/>
        <v>1</v>
      </c>
      <c r="AG554" s="8">
        <f t="shared" si="158"/>
        <v>-2.5896973197444648E-2</v>
      </c>
      <c r="AH554" s="8">
        <f t="shared" si="159"/>
        <v>-0.12521715968223809</v>
      </c>
      <c r="AI554" s="8">
        <f t="shared" si="160"/>
        <v>0.99179131358382222</v>
      </c>
      <c r="AJ554" s="8"/>
      <c r="AK554" s="8"/>
      <c r="AL554" s="8"/>
      <c r="AN554" s="8">
        <f t="shared" si="167"/>
        <v>0.99999999999999989</v>
      </c>
      <c r="AO554" s="8">
        <f t="shared" si="168"/>
        <v>4.5084477792386055</v>
      </c>
      <c r="AP554" s="8">
        <f t="shared" si="169"/>
        <v>0.12821810704067715</v>
      </c>
      <c r="AQ554" s="8"/>
      <c r="AR554" s="8">
        <f t="shared" si="170"/>
        <v>258.31502990550081</v>
      </c>
      <c r="AS554" s="8">
        <f t="shared" si="171"/>
        <v>82.653643609412569</v>
      </c>
    </row>
    <row r="555" spans="1:45">
      <c r="A555" s="19">
        <v>27.127099999999999</v>
      </c>
      <c r="B555" s="19">
        <v>797.96444889999998</v>
      </c>
      <c r="C555" s="19">
        <v>-375.31582300000002</v>
      </c>
      <c r="E555" s="9">
        <f t="shared" si="161"/>
        <v>162.03555110000002</v>
      </c>
      <c r="F555" s="9">
        <f t="shared" si="162"/>
        <v>164.68417699999998</v>
      </c>
      <c r="I555">
        <v>1</v>
      </c>
      <c r="J555">
        <f t="shared" si="157"/>
        <v>0.15148899057334603</v>
      </c>
      <c r="K555">
        <f t="shared" si="163"/>
        <v>0.79350470748667301</v>
      </c>
      <c r="O555">
        <f t="shared" si="164"/>
        <v>0.10584110871941135</v>
      </c>
      <c r="P555">
        <f t="shared" si="165"/>
        <v>0.10757118276758079</v>
      </c>
      <c r="Q555">
        <f t="shared" si="166"/>
        <v>0.98854746994923293</v>
      </c>
      <c r="R555">
        <f t="shared" si="156"/>
        <v>1</v>
      </c>
      <c r="AG555" s="8">
        <f t="shared" si="158"/>
        <v>-2.5595390499519102E-2</v>
      </c>
      <c r="AH555" s="8">
        <f t="shared" si="159"/>
        <v>-0.12515471403127287</v>
      </c>
      <c r="AI555" s="8">
        <f t="shared" si="160"/>
        <v>0.99180702434542545</v>
      </c>
      <c r="AJ555" s="8"/>
      <c r="AK555" s="8"/>
      <c r="AL555" s="8"/>
      <c r="AN555" s="8">
        <f t="shared" si="167"/>
        <v>0.99999999999999989</v>
      </c>
      <c r="AO555" s="8">
        <f t="shared" si="168"/>
        <v>4.5106606675539673</v>
      </c>
      <c r="AP555" s="8">
        <f t="shared" si="169"/>
        <v>0.12809518052187463</v>
      </c>
      <c r="AQ555" s="8"/>
      <c r="AR555" s="8">
        <f t="shared" si="170"/>
        <v>258.44181906650482</v>
      </c>
      <c r="AS555" s="8">
        <f t="shared" si="171"/>
        <v>82.660686780130192</v>
      </c>
    </row>
    <row r="556" spans="1:45">
      <c r="A556" s="19">
        <v>27.160466670000002</v>
      </c>
      <c r="B556" s="19">
        <v>798.11360720000005</v>
      </c>
      <c r="C556" s="19">
        <v>-376.10869989999998</v>
      </c>
      <c r="E556" s="9">
        <f t="shared" si="161"/>
        <v>161.88639279999995</v>
      </c>
      <c r="F556" s="9">
        <f t="shared" si="162"/>
        <v>163.89130010000002</v>
      </c>
      <c r="I556">
        <v>1</v>
      </c>
      <c r="J556">
        <f t="shared" si="157"/>
        <v>0.15105157346797932</v>
      </c>
      <c r="K556">
        <f t="shared" si="163"/>
        <v>0.79155230480340544</v>
      </c>
      <c r="O556">
        <f t="shared" si="164"/>
        <v>0.10574704812061772</v>
      </c>
      <c r="P556">
        <f t="shared" si="165"/>
        <v>0.10705668894381164</v>
      </c>
      <c r="Q556">
        <f t="shared" si="166"/>
        <v>0.98861338609497074</v>
      </c>
      <c r="R556">
        <f t="shared" si="156"/>
        <v>1</v>
      </c>
      <c r="AG556" s="8">
        <f t="shared" si="158"/>
        <v>-2.5071493914600021E-2</v>
      </c>
      <c r="AH556" s="8">
        <f t="shared" si="159"/>
        <v>-0.12509979504622334</v>
      </c>
      <c r="AI556" s="8">
        <f t="shared" si="160"/>
        <v>0.99182733450549909</v>
      </c>
      <c r="AJ556" s="8"/>
      <c r="AK556" s="8"/>
      <c r="AL556" s="8"/>
      <c r="AN556" s="8">
        <f t="shared" si="167"/>
        <v>1.0000000000000002</v>
      </c>
      <c r="AO556" s="8">
        <f t="shared" si="168"/>
        <v>4.5145973458195812</v>
      </c>
      <c r="AP556" s="8">
        <f t="shared" si="169"/>
        <v>0.12793609261109329</v>
      </c>
      <c r="AQ556" s="8"/>
      <c r="AR556" s="8">
        <f t="shared" si="170"/>
        <v>258.66737411642538</v>
      </c>
      <c r="AS556" s="8">
        <f t="shared" si="171"/>
        <v>82.669801845989525</v>
      </c>
    </row>
    <row r="557" spans="1:45">
      <c r="A557" s="19">
        <v>27.19383333</v>
      </c>
      <c r="B557" s="19">
        <v>798.89896399999998</v>
      </c>
      <c r="C557" s="19">
        <v>-376.94395659999998</v>
      </c>
      <c r="E557" s="9">
        <f t="shared" si="161"/>
        <v>161.10103600000002</v>
      </c>
      <c r="F557" s="9">
        <f t="shared" si="162"/>
        <v>163.05604340000002</v>
      </c>
      <c r="I557">
        <v>1</v>
      </c>
      <c r="J557">
        <f t="shared" si="157"/>
        <v>0.15030247447325673</v>
      </c>
      <c r="K557">
        <f t="shared" si="163"/>
        <v>0.7914291398012665</v>
      </c>
      <c r="O557">
        <f t="shared" si="164"/>
        <v>0.10523970945624862</v>
      </c>
      <c r="P557">
        <f t="shared" si="165"/>
        <v>0.10651682359448926</v>
      </c>
      <c r="Q557">
        <f t="shared" si="166"/>
        <v>0.98872583148459559</v>
      </c>
      <c r="R557">
        <f t="shared" si="156"/>
        <v>1</v>
      </c>
      <c r="AG557" s="8">
        <f t="shared" si="158"/>
        <v>-2.4400284776158923E-2</v>
      </c>
      <c r="AH557" s="8">
        <f t="shared" si="159"/>
        <v>-0.12543196023080952</v>
      </c>
      <c r="AI557" s="8">
        <f t="shared" si="160"/>
        <v>0.99180212212693875</v>
      </c>
      <c r="AJ557" s="8"/>
      <c r="AK557" s="8"/>
      <c r="AL557" s="8"/>
      <c r="AN557" s="8">
        <f t="shared" si="167"/>
        <v>1.0000000000000002</v>
      </c>
      <c r="AO557" s="8">
        <f t="shared" si="168"/>
        <v>4.5202584831512391</v>
      </c>
      <c r="AP557" s="8">
        <f t="shared" si="169"/>
        <v>0.12813354979030933</v>
      </c>
      <c r="AQ557" s="8"/>
      <c r="AR557" s="8">
        <f t="shared" si="170"/>
        <v>258.99173339277337</v>
      </c>
      <c r="AS557" s="8">
        <f t="shared" si="171"/>
        <v>82.65848838298588</v>
      </c>
    </row>
    <row r="558" spans="1:45">
      <c r="A558" s="19">
        <v>27.2272</v>
      </c>
      <c r="B558" s="19">
        <v>799.3604484</v>
      </c>
      <c r="C558" s="19">
        <v>-377.43658040000003</v>
      </c>
      <c r="E558" s="9">
        <f t="shared" si="161"/>
        <v>160.6395516</v>
      </c>
      <c r="F558" s="9">
        <f t="shared" si="162"/>
        <v>162.56341959999997</v>
      </c>
      <c r="I558">
        <v>1</v>
      </c>
      <c r="J558">
        <f t="shared" si="157"/>
        <v>0.14986139305881907</v>
      </c>
      <c r="K558">
        <f t="shared" si="163"/>
        <v>0.79135060025456461</v>
      </c>
      <c r="O558">
        <f t="shared" si="164"/>
        <v>0.10494153038338862</v>
      </c>
      <c r="P558">
        <f t="shared" si="165"/>
        <v>0.10619834198529318</v>
      </c>
      <c r="Q558">
        <f t="shared" si="166"/>
        <v>0.98879178160033621</v>
      </c>
      <c r="R558">
        <f t="shared" si="156"/>
        <v>1</v>
      </c>
      <c r="AG558" s="8">
        <f t="shared" si="158"/>
        <v>-2.4004679882383639E-2</v>
      </c>
      <c r="AH558" s="8">
        <f t="shared" si="159"/>
        <v>-0.12562679935465512</v>
      </c>
      <c r="AI558" s="8">
        <f t="shared" si="160"/>
        <v>0.99178711557856469</v>
      </c>
      <c r="AJ558" s="8"/>
      <c r="AK558" s="8"/>
      <c r="AL558" s="8"/>
      <c r="AN558" s="8">
        <f t="shared" si="167"/>
        <v>0.99999999999999978</v>
      </c>
      <c r="AO558" s="8">
        <f t="shared" si="168"/>
        <v>4.5235855532402898</v>
      </c>
      <c r="AP558" s="8">
        <f t="shared" si="169"/>
        <v>0.12825093387039077</v>
      </c>
      <c r="AQ558" s="8"/>
      <c r="AR558" s="8">
        <f t="shared" si="170"/>
        <v>259.18236046702015</v>
      </c>
      <c r="AS558" s="8">
        <f t="shared" si="171"/>
        <v>82.651762770615193</v>
      </c>
    </row>
    <row r="559" spans="1:45">
      <c r="A559" s="19">
        <v>27.260566669999999</v>
      </c>
      <c r="B559" s="19">
        <v>799.70029699999998</v>
      </c>
      <c r="C559" s="19">
        <v>-378.17393570000002</v>
      </c>
      <c r="E559" s="9">
        <f t="shared" si="161"/>
        <v>160.29970300000002</v>
      </c>
      <c r="F559" s="9">
        <f t="shared" si="162"/>
        <v>161.82606429999998</v>
      </c>
      <c r="I559">
        <v>1</v>
      </c>
      <c r="J559">
        <f t="shared" si="157"/>
        <v>0.14936246622312782</v>
      </c>
      <c r="K559">
        <f t="shared" si="163"/>
        <v>0.7901365296865841</v>
      </c>
      <c r="O559">
        <f t="shared" si="164"/>
        <v>0.1047231887226137</v>
      </c>
      <c r="P559">
        <f t="shared" si="165"/>
        <v>0.10572035477774226</v>
      </c>
      <c r="Q559">
        <f t="shared" si="166"/>
        <v>0.98886614884393542</v>
      </c>
      <c r="R559">
        <f t="shared" si="156"/>
        <v>1</v>
      </c>
      <c r="AG559" s="8">
        <f t="shared" si="158"/>
        <v>-2.3479107966782375E-2</v>
      </c>
      <c r="AH559" s="8">
        <f t="shared" si="159"/>
        <v>-0.12570054907839662</v>
      </c>
      <c r="AI559" s="8">
        <f t="shared" si="160"/>
        <v>0.99179035256977255</v>
      </c>
      <c r="AJ559" s="8"/>
      <c r="AK559" s="8"/>
      <c r="AL559" s="8"/>
      <c r="AN559" s="8">
        <f t="shared" si="167"/>
        <v>0.99999999999999989</v>
      </c>
      <c r="AO559" s="8">
        <f t="shared" si="168"/>
        <v>4.5277308304143737</v>
      </c>
      <c r="AP559" s="8">
        <f t="shared" si="169"/>
        <v>0.12822562254846548</v>
      </c>
      <c r="AQ559" s="8"/>
      <c r="AR559" s="8">
        <f t="shared" si="170"/>
        <v>259.41986735400707</v>
      </c>
      <c r="AS559" s="8">
        <f t="shared" si="171"/>
        <v>82.653213002535409</v>
      </c>
    </row>
    <row r="560" spans="1:45">
      <c r="A560" s="19">
        <v>27.293933330000002</v>
      </c>
      <c r="B560" s="19">
        <v>800.2389508</v>
      </c>
      <c r="C560" s="19">
        <v>-379.08611230000002</v>
      </c>
      <c r="E560" s="9">
        <f t="shared" si="161"/>
        <v>159.7610492</v>
      </c>
      <c r="F560" s="9">
        <f t="shared" si="162"/>
        <v>160.91388769999998</v>
      </c>
      <c r="I560">
        <v>1</v>
      </c>
      <c r="J560">
        <f t="shared" si="157"/>
        <v>0.1486910005775271</v>
      </c>
      <c r="K560">
        <f t="shared" si="163"/>
        <v>0.78899318564845722</v>
      </c>
      <c r="O560">
        <f t="shared" si="164"/>
        <v>0.1043761507374515</v>
      </c>
      <c r="P560">
        <f t="shared" si="165"/>
        <v>0.10512933085021665</v>
      </c>
      <c r="Q560">
        <f t="shared" si="166"/>
        <v>0.98896584518992292</v>
      </c>
      <c r="R560">
        <f t="shared" si="156"/>
        <v>1</v>
      </c>
      <c r="AG560" s="8">
        <f t="shared" si="158"/>
        <v>-2.2806383304730643E-2</v>
      </c>
      <c r="AH560" s="8">
        <f t="shared" si="159"/>
        <v>-0.12586516592441888</v>
      </c>
      <c r="AI560" s="8">
        <f t="shared" si="160"/>
        <v>0.99178517275031708</v>
      </c>
      <c r="AJ560" s="8"/>
      <c r="AK560" s="8"/>
      <c r="AL560" s="8"/>
      <c r="AN560" s="8">
        <f t="shared" si="167"/>
        <v>1</v>
      </c>
      <c r="AO560" s="8">
        <f t="shared" si="168"/>
        <v>4.5331369053847901</v>
      </c>
      <c r="AP560" s="8">
        <f t="shared" si="169"/>
        <v>0.12826612323190134</v>
      </c>
      <c r="AQ560" s="8"/>
      <c r="AR560" s="8">
        <f t="shared" si="170"/>
        <v>259.72961263354324</v>
      </c>
      <c r="AS560" s="8">
        <f t="shared" si="171"/>
        <v>82.650892484307136</v>
      </c>
    </row>
    <row r="561" spans="1:45">
      <c r="A561" s="19">
        <v>27.327300000000001</v>
      </c>
      <c r="B561" s="19">
        <v>800.72910709999996</v>
      </c>
      <c r="C561" s="19">
        <v>-379.9600059</v>
      </c>
      <c r="E561" s="9">
        <f t="shared" si="161"/>
        <v>159.27089290000004</v>
      </c>
      <c r="F561" s="9">
        <f t="shared" si="162"/>
        <v>160.0399941</v>
      </c>
      <c r="I561">
        <v>1</v>
      </c>
      <c r="J561">
        <f t="shared" si="157"/>
        <v>0.14805974961279766</v>
      </c>
      <c r="K561">
        <f t="shared" si="163"/>
        <v>0.78780678691768002</v>
      </c>
      <c r="O561">
        <f t="shared" si="164"/>
        <v>0.10406040968650367</v>
      </c>
      <c r="P561">
        <f t="shared" si="165"/>
        <v>0.10456290568250858</v>
      </c>
      <c r="Q561">
        <f t="shared" si="166"/>
        <v>0.98905916399935745</v>
      </c>
      <c r="R561">
        <f t="shared" si="156"/>
        <v>1</v>
      </c>
      <c r="AG561" s="8">
        <f t="shared" si="158"/>
        <v>-2.2166715782264174E-2</v>
      </c>
      <c r="AH561" s="8">
        <f t="shared" si="159"/>
        <v>-0.12600676976804875</v>
      </c>
      <c r="AI561" s="8">
        <f t="shared" si="160"/>
        <v>0.99178169507409752</v>
      </c>
      <c r="AJ561" s="8"/>
      <c r="AK561" s="8"/>
      <c r="AL561" s="8"/>
      <c r="AN561" s="8">
        <f t="shared" si="167"/>
        <v>0.99999999999999989</v>
      </c>
      <c r="AO561" s="8">
        <f t="shared" si="168"/>
        <v>4.5382538332239957</v>
      </c>
      <c r="AP561" s="8">
        <f t="shared" si="169"/>
        <v>0.12829330782981274</v>
      </c>
      <c r="AQ561" s="8"/>
      <c r="AR561" s="8">
        <f t="shared" si="170"/>
        <v>260.02279100280271</v>
      </c>
      <c r="AS561" s="8">
        <f t="shared" si="171"/>
        <v>82.649334921579054</v>
      </c>
    </row>
    <row r="562" spans="1:45">
      <c r="A562" s="19">
        <v>27.360666670000001</v>
      </c>
      <c r="B562" s="19">
        <v>800.92986959999996</v>
      </c>
      <c r="C562" s="19">
        <v>-380.72157420000002</v>
      </c>
      <c r="E562" s="9">
        <f t="shared" si="161"/>
        <v>159.07013040000004</v>
      </c>
      <c r="F562" s="9">
        <f t="shared" si="162"/>
        <v>159.27842579999998</v>
      </c>
      <c r="I562">
        <v>1</v>
      </c>
      <c r="J562">
        <f t="shared" si="157"/>
        <v>0.14761433001290605</v>
      </c>
      <c r="K562">
        <f t="shared" si="163"/>
        <v>0.78605246311459465</v>
      </c>
      <c r="O562">
        <f t="shared" si="164"/>
        <v>0.10393236691268178</v>
      </c>
      <c r="P562">
        <f t="shared" si="165"/>
        <v>0.10406846181550594</v>
      </c>
      <c r="Q562">
        <f t="shared" si="166"/>
        <v>0.98912477391039111</v>
      </c>
      <c r="R562">
        <f t="shared" si="156"/>
        <v>1</v>
      </c>
      <c r="AG562" s="8">
        <f t="shared" si="158"/>
        <v>-2.1652230758707133E-2</v>
      </c>
      <c r="AH562" s="8">
        <f t="shared" si="159"/>
        <v>-0.1259895683541771</v>
      </c>
      <c r="AI562" s="8">
        <f t="shared" si="160"/>
        <v>0.99179524578871614</v>
      </c>
      <c r="AJ562" s="8"/>
      <c r="AK562" s="8"/>
      <c r="AL562" s="8"/>
      <c r="AN562" s="8">
        <f t="shared" si="167"/>
        <v>1</v>
      </c>
      <c r="AO562" s="8">
        <f t="shared" si="168"/>
        <v>4.5421942186503834</v>
      </c>
      <c r="AP562" s="8">
        <f t="shared" si="169"/>
        <v>0.12818735108724444</v>
      </c>
      <c r="AQ562" s="8"/>
      <c r="AR562" s="8">
        <f t="shared" si="170"/>
        <v>260.24855845738961</v>
      </c>
      <c r="AS562" s="8">
        <f t="shared" si="171"/>
        <v>82.655405795739171</v>
      </c>
    </row>
    <row r="563" spans="1:45">
      <c r="A563" s="19">
        <v>27.394033329999999</v>
      </c>
      <c r="B563" s="19">
        <v>801.05788480000001</v>
      </c>
      <c r="C563" s="19">
        <v>-381.13989609999999</v>
      </c>
      <c r="E563" s="9">
        <f t="shared" si="161"/>
        <v>158.94211519999999</v>
      </c>
      <c r="F563" s="9">
        <f t="shared" si="162"/>
        <v>158.86010390000001</v>
      </c>
      <c r="I563">
        <v>1</v>
      </c>
      <c r="J563">
        <f t="shared" si="157"/>
        <v>0.14736163477550646</v>
      </c>
      <c r="K563">
        <f t="shared" si="163"/>
        <v>0.78514010573374871</v>
      </c>
      <c r="O563">
        <f t="shared" si="164"/>
        <v>0.10385048304665118</v>
      </c>
      <c r="P563">
        <f t="shared" si="165"/>
        <v>0.10379689804742323</v>
      </c>
      <c r="Q563">
        <f t="shared" si="166"/>
        <v>0.98916190844912244</v>
      </c>
      <c r="R563">
        <f t="shared" si="156"/>
        <v>1</v>
      </c>
      <c r="AG563" s="8">
        <f t="shared" si="158"/>
        <v>-2.1366237145113556E-2</v>
      </c>
      <c r="AH563" s="8">
        <f t="shared" si="159"/>
        <v>-0.12599112239954446</v>
      </c>
      <c r="AI563" s="8">
        <f t="shared" si="160"/>
        <v>0.99180125074873837</v>
      </c>
      <c r="AJ563" s="8"/>
      <c r="AK563" s="8"/>
      <c r="AL563" s="8"/>
      <c r="AN563" s="8">
        <f t="shared" si="167"/>
        <v>1</v>
      </c>
      <c r="AO563" s="8">
        <f t="shared" si="168"/>
        <v>4.544401942326358</v>
      </c>
      <c r="AP563" s="8">
        <f t="shared" si="169"/>
        <v>0.1281403688011451</v>
      </c>
      <c r="AQ563" s="8"/>
      <c r="AR563" s="8">
        <f t="shared" si="170"/>
        <v>260.37505170635404</v>
      </c>
      <c r="AS563" s="8">
        <f t="shared" si="171"/>
        <v>82.658097682444534</v>
      </c>
    </row>
    <row r="564" spans="1:45">
      <c r="A564" s="19">
        <v>27.427399999999999</v>
      </c>
      <c r="B564" s="19">
        <v>801.42245830000002</v>
      </c>
      <c r="C564" s="19">
        <v>-381.95577359999999</v>
      </c>
      <c r="E564" s="9">
        <f t="shared" si="161"/>
        <v>158.57754169999998</v>
      </c>
      <c r="F564" s="9">
        <f t="shared" si="162"/>
        <v>158.04422640000001</v>
      </c>
      <c r="I564">
        <v>1</v>
      </c>
      <c r="J564">
        <f t="shared" si="157"/>
        <v>0.14681585873821243</v>
      </c>
      <c r="K564">
        <f t="shared" si="163"/>
        <v>0.78371377258998409</v>
      </c>
      <c r="O564">
        <f t="shared" si="164"/>
        <v>0.10361602910820752</v>
      </c>
      <c r="P564">
        <f t="shared" si="165"/>
        <v>0.1032675559697275</v>
      </c>
      <c r="Q564">
        <f t="shared" si="166"/>
        <v>0.98924189680577435</v>
      </c>
      <c r="R564">
        <f t="shared" si="156"/>
        <v>1</v>
      </c>
      <c r="AG564" s="8">
        <f t="shared" si="158"/>
        <v>-2.0786554042068375E-2</v>
      </c>
      <c r="AH564" s="8">
        <f t="shared" si="159"/>
        <v>-0.12606548021691505</v>
      </c>
      <c r="AI564" s="8">
        <f t="shared" si="160"/>
        <v>0.99180412071574631</v>
      </c>
      <c r="AJ564" s="8"/>
      <c r="AK564" s="8"/>
      <c r="AL564" s="8"/>
      <c r="AN564" s="8">
        <f t="shared" si="167"/>
        <v>0.99999999999999989</v>
      </c>
      <c r="AO564" s="8">
        <f t="shared" si="168"/>
        <v>4.5489724056957002</v>
      </c>
      <c r="AP564" s="8">
        <f t="shared" si="169"/>
        <v>0.12811790837683468</v>
      </c>
      <c r="AQ564" s="8"/>
      <c r="AR564" s="8">
        <f t="shared" si="170"/>
        <v>260.63691996783649</v>
      </c>
      <c r="AS564" s="8">
        <f t="shared" si="171"/>
        <v>82.659384569963592</v>
      </c>
    </row>
    <row r="565" spans="1:45">
      <c r="A565" s="19">
        <v>27.460766670000002</v>
      </c>
      <c r="B565" s="19">
        <v>801.85231669999996</v>
      </c>
      <c r="C565" s="19">
        <v>-382.56631709999999</v>
      </c>
      <c r="E565" s="9">
        <f t="shared" si="161"/>
        <v>158.14768330000004</v>
      </c>
      <c r="F565" s="9">
        <f t="shared" si="162"/>
        <v>157.43368290000001</v>
      </c>
      <c r="I565">
        <v>1</v>
      </c>
      <c r="J565">
        <f t="shared" si="157"/>
        <v>0.14633476798034434</v>
      </c>
      <c r="K565">
        <f t="shared" si="163"/>
        <v>0.78313567499292303</v>
      </c>
      <c r="O565">
        <f t="shared" si="164"/>
        <v>0.10333841519656162</v>
      </c>
      <c r="P565">
        <f t="shared" si="165"/>
        <v>0.10287186603032597</v>
      </c>
      <c r="Q565">
        <f t="shared" si="166"/>
        <v>0.98931216060660132</v>
      </c>
      <c r="R565">
        <f t="shared" si="156"/>
        <v>1</v>
      </c>
      <c r="AG565" s="8">
        <f t="shared" si="158"/>
        <v>-2.0322845704822373E-2</v>
      </c>
      <c r="AH565" s="8">
        <f t="shared" si="159"/>
        <v>-0.12621862791109184</v>
      </c>
      <c r="AI565" s="8">
        <f t="shared" si="160"/>
        <v>0.99179425281189215</v>
      </c>
      <c r="AJ565" s="8"/>
      <c r="AK565" s="8"/>
      <c r="AL565" s="8"/>
      <c r="AN565" s="8">
        <f t="shared" si="167"/>
        <v>1.0000000000000002</v>
      </c>
      <c r="AO565" s="8">
        <f t="shared" si="168"/>
        <v>4.5527461155276807</v>
      </c>
      <c r="AP565" s="8">
        <f t="shared" si="169"/>
        <v>0.12819511840180398</v>
      </c>
      <c r="AQ565" s="8"/>
      <c r="AR565" s="8">
        <f t="shared" si="170"/>
        <v>260.85313761431604</v>
      </c>
      <c r="AS565" s="8">
        <f t="shared" si="171"/>
        <v>82.654960761396751</v>
      </c>
    </row>
    <row r="566" spans="1:45">
      <c r="A566" s="19">
        <v>27.49413333</v>
      </c>
      <c r="B566" s="19">
        <v>802.41642379999996</v>
      </c>
      <c r="C566" s="19">
        <v>-383.25310209999998</v>
      </c>
      <c r="E566" s="9">
        <f t="shared" si="161"/>
        <v>157.58357620000004</v>
      </c>
      <c r="F566" s="9">
        <f t="shared" si="162"/>
        <v>156.74689790000002</v>
      </c>
      <c r="I566">
        <v>1</v>
      </c>
      <c r="J566">
        <f t="shared" si="157"/>
        <v>0.14575622166890737</v>
      </c>
      <c r="K566">
        <f t="shared" si="163"/>
        <v>0.7827363905406175</v>
      </c>
      <c r="O566">
        <f t="shared" si="164"/>
        <v>0.1029736672848315</v>
      </c>
      <c r="P566">
        <f t="shared" si="165"/>
        <v>0.10242693624238267</v>
      </c>
      <c r="Q566">
        <f t="shared" si="166"/>
        <v>0.98939635464151154</v>
      </c>
      <c r="R566">
        <f t="shared" si="156"/>
        <v>1</v>
      </c>
      <c r="AG566" s="8">
        <f t="shared" si="158"/>
        <v>-1.9785841907508442E-2</v>
      </c>
      <c r="AH566" s="8">
        <f t="shared" si="159"/>
        <v>-0.12644092137902796</v>
      </c>
      <c r="AI566" s="8">
        <f t="shared" si="160"/>
        <v>0.99177679639162442</v>
      </c>
      <c r="AJ566" s="8"/>
      <c r="AK566" s="8"/>
      <c r="AL566" s="8"/>
      <c r="AN566" s="8">
        <f t="shared" si="167"/>
        <v>1.0000000000000002</v>
      </c>
      <c r="AO566" s="8">
        <f t="shared" si="168"/>
        <v>4.5571648982117097</v>
      </c>
      <c r="AP566" s="8">
        <f t="shared" si="169"/>
        <v>0.12833159055625853</v>
      </c>
      <c r="AQ566" s="8"/>
      <c r="AR566" s="8">
        <f t="shared" si="170"/>
        <v>261.10631521269636</v>
      </c>
      <c r="AS566" s="8">
        <f t="shared" si="171"/>
        <v>82.647141482925448</v>
      </c>
    </row>
    <row r="567" spans="1:45">
      <c r="A567" s="19">
        <v>27.5275</v>
      </c>
      <c r="B567" s="19">
        <v>803.6925999</v>
      </c>
      <c r="C567" s="19">
        <v>-384.44471449999998</v>
      </c>
      <c r="E567" s="9">
        <f t="shared" si="161"/>
        <v>156.3074001</v>
      </c>
      <c r="F567" s="9">
        <f t="shared" si="162"/>
        <v>155.55528550000002</v>
      </c>
      <c r="I567">
        <v>1</v>
      </c>
      <c r="J567">
        <f t="shared" si="157"/>
        <v>0.14461427075697034</v>
      </c>
      <c r="K567">
        <f t="shared" si="163"/>
        <v>0.78298648294775908</v>
      </c>
      <c r="O567">
        <f t="shared" si="164"/>
        <v>0.10214713751393673</v>
      </c>
      <c r="P567">
        <f t="shared" si="165"/>
        <v>0.10165562941244387</v>
      </c>
      <c r="Q567">
        <f t="shared" si="166"/>
        <v>0.98956156721371757</v>
      </c>
      <c r="R567">
        <f t="shared" si="156"/>
        <v>1</v>
      </c>
      <c r="AG567" s="8">
        <f t="shared" si="158"/>
        <v>-1.879732562726949E-2</v>
      </c>
      <c r="AH567" s="8">
        <f t="shared" si="159"/>
        <v>-0.12701128776281648</v>
      </c>
      <c r="AI567" s="8">
        <f t="shared" si="160"/>
        <v>0.99172314348818813</v>
      </c>
      <c r="AJ567" s="8"/>
      <c r="AK567" s="8"/>
      <c r="AL567" s="8"/>
      <c r="AN567" s="8">
        <f t="shared" si="167"/>
        <v>1</v>
      </c>
      <c r="AO567" s="8">
        <f t="shared" si="168"/>
        <v>4.5654582523286749</v>
      </c>
      <c r="AP567" s="8">
        <f t="shared" si="169"/>
        <v>0.12875014178975497</v>
      </c>
      <c r="AQ567" s="8"/>
      <c r="AR567" s="8">
        <f t="shared" si="170"/>
        <v>261.58148940160589</v>
      </c>
      <c r="AS567" s="8">
        <f t="shared" si="171"/>
        <v>82.623160263736111</v>
      </c>
    </row>
    <row r="568" spans="1:45">
      <c r="A568" s="19">
        <v>27.560866669999999</v>
      </c>
      <c r="B568" s="19">
        <v>803.79661750000002</v>
      </c>
      <c r="C568" s="19">
        <v>-384.99268819999998</v>
      </c>
      <c r="E568" s="9">
        <f t="shared" si="161"/>
        <v>156.20338249999998</v>
      </c>
      <c r="F568" s="9">
        <f t="shared" si="162"/>
        <v>155.00731180000002</v>
      </c>
      <c r="I568">
        <v>1</v>
      </c>
      <c r="J568">
        <f t="shared" si="157"/>
        <v>0.1443131903297698</v>
      </c>
      <c r="K568">
        <f t="shared" si="163"/>
        <v>0.78155489954766399</v>
      </c>
      <c r="O568">
        <f t="shared" si="164"/>
        <v>0.10208107484308021</v>
      </c>
      <c r="P568">
        <f t="shared" si="165"/>
        <v>0.10129942606768119</v>
      </c>
      <c r="Q568">
        <f t="shared" si="166"/>
        <v>0.98960491128391226</v>
      </c>
      <c r="R568">
        <f t="shared" si="156"/>
        <v>1</v>
      </c>
      <c r="AG568" s="8">
        <f t="shared" si="158"/>
        <v>-1.8434591742961887E-2</v>
      </c>
      <c r="AH568" s="8">
        <f t="shared" si="159"/>
        <v>-0.12697369970467975</v>
      </c>
      <c r="AI568" s="8">
        <f t="shared" si="160"/>
        <v>0.99173476565590668</v>
      </c>
      <c r="AJ568" s="8"/>
      <c r="AK568" s="8"/>
      <c r="AL568" s="8"/>
      <c r="AN568" s="8">
        <f t="shared" si="167"/>
        <v>1</v>
      </c>
      <c r="AO568" s="8">
        <f t="shared" si="168"/>
        <v>4.5682120274109872</v>
      </c>
      <c r="AP568" s="8">
        <f t="shared" si="169"/>
        <v>0.12865959108315939</v>
      </c>
      <c r="AQ568" s="8"/>
      <c r="AR568" s="8">
        <f t="shared" si="170"/>
        <v>261.73926909155068</v>
      </c>
      <c r="AS568" s="8">
        <f t="shared" si="171"/>
        <v>82.628348437055962</v>
      </c>
    </row>
    <row r="569" spans="1:45">
      <c r="A569" s="19">
        <v>27.594233330000002</v>
      </c>
      <c r="B569" s="19">
        <v>804.08969539999998</v>
      </c>
      <c r="C569" s="19">
        <v>-385.49912169999999</v>
      </c>
      <c r="E569" s="9">
        <f t="shared" si="161"/>
        <v>155.91030460000002</v>
      </c>
      <c r="F569" s="9">
        <f t="shared" si="162"/>
        <v>154.50087830000001</v>
      </c>
      <c r="I569">
        <v>1</v>
      </c>
      <c r="J569">
        <f t="shared" si="157"/>
        <v>0.14394358897776161</v>
      </c>
      <c r="K569">
        <f t="shared" si="163"/>
        <v>0.78085768066983019</v>
      </c>
      <c r="O569">
        <f t="shared" si="164"/>
        <v>0.10189186839697396</v>
      </c>
      <c r="P569">
        <f t="shared" si="165"/>
        <v>0.10097076777156454</v>
      </c>
      <c r="Q569">
        <f t="shared" si="166"/>
        <v>0.98965799709303337</v>
      </c>
      <c r="R569">
        <f t="shared" si="156"/>
        <v>1</v>
      </c>
      <c r="AG569" s="8">
        <f t="shared" si="158"/>
        <v>-1.8061835029879306E-2</v>
      </c>
      <c r="AH569" s="8">
        <f t="shared" si="159"/>
        <v>-0.12706126065069351</v>
      </c>
      <c r="AI569" s="8">
        <f t="shared" si="160"/>
        <v>0.99173041001938111</v>
      </c>
      <c r="AJ569" s="8"/>
      <c r="AK569" s="8"/>
      <c r="AL569" s="8"/>
      <c r="AN569" s="8">
        <f t="shared" si="167"/>
        <v>0.99999999999999978</v>
      </c>
      <c r="AO569" s="8">
        <f t="shared" si="168"/>
        <v>4.5711844016032295</v>
      </c>
      <c r="AP569" s="8">
        <f t="shared" si="169"/>
        <v>0.12869353416923968</v>
      </c>
      <c r="AQ569" s="8"/>
      <c r="AR569" s="8">
        <f t="shared" si="170"/>
        <v>261.90957358789979</v>
      </c>
      <c r="AS569" s="8">
        <f t="shared" si="171"/>
        <v>82.626403641479925</v>
      </c>
    </row>
    <row r="570" spans="1:45">
      <c r="A570" s="19">
        <v>27.627600000000001</v>
      </c>
      <c r="B570" s="19">
        <v>804.31324670000004</v>
      </c>
      <c r="C570" s="19">
        <v>-386.40502240000001</v>
      </c>
      <c r="E570" s="9">
        <f t="shared" si="161"/>
        <v>155.68675329999996</v>
      </c>
      <c r="F570" s="9">
        <f t="shared" si="162"/>
        <v>153.59497759999999</v>
      </c>
      <c r="I570">
        <v>1</v>
      </c>
      <c r="J570">
        <f t="shared" si="157"/>
        <v>0.14342261707494414</v>
      </c>
      <c r="K570">
        <f t="shared" si="163"/>
        <v>0.77863493234494952</v>
      </c>
      <c r="O570">
        <f t="shared" si="164"/>
        <v>0.10174900498808721</v>
      </c>
      <c r="P570">
        <f t="shared" si="165"/>
        <v>0.10038192595520935</v>
      </c>
      <c r="Q570">
        <f t="shared" si="166"/>
        <v>0.98973259465648455</v>
      </c>
      <c r="R570">
        <f t="shared" si="156"/>
        <v>1</v>
      </c>
      <c r="AG570" s="8">
        <f t="shared" si="158"/>
        <v>-1.745225994717331E-2</v>
      </c>
      <c r="AH570" s="8">
        <f t="shared" si="159"/>
        <v>-0.12703110632192618</v>
      </c>
      <c r="AI570" s="8">
        <f t="shared" si="160"/>
        <v>0.99174518735881134</v>
      </c>
      <c r="AJ570" s="8"/>
      <c r="AK570" s="8"/>
      <c r="AL570" s="8"/>
      <c r="AN570" s="8">
        <f t="shared" si="167"/>
        <v>1</v>
      </c>
      <c r="AO570" s="8">
        <f t="shared" si="168"/>
        <v>4.5758579795500296</v>
      </c>
      <c r="AP570" s="8">
        <f t="shared" si="169"/>
        <v>0.12857833951557196</v>
      </c>
      <c r="AQ570" s="8"/>
      <c r="AR570" s="8">
        <f t="shared" si="170"/>
        <v>262.17734987947688</v>
      </c>
      <c r="AS570" s="8">
        <f t="shared" si="171"/>
        <v>82.633003808957554</v>
      </c>
    </row>
    <row r="571" spans="1:45">
      <c r="A571" s="19">
        <v>27.660966670000001</v>
      </c>
      <c r="B571" s="19">
        <v>804.89309509999998</v>
      </c>
      <c r="C571" s="19">
        <v>-387.01388800000001</v>
      </c>
      <c r="E571" s="9">
        <f t="shared" si="161"/>
        <v>155.10690490000002</v>
      </c>
      <c r="F571" s="9">
        <f t="shared" si="162"/>
        <v>152.98611199999999</v>
      </c>
      <c r="I571">
        <v>1</v>
      </c>
      <c r="J571">
        <f t="shared" si="157"/>
        <v>0.14287246690157843</v>
      </c>
      <c r="K571">
        <f t="shared" si="163"/>
        <v>0.7785146597562751</v>
      </c>
      <c r="O571">
        <f t="shared" si="164"/>
        <v>0.10137340017244691</v>
      </c>
      <c r="P571">
        <f t="shared" si="165"/>
        <v>9.9987311091027875E-2</v>
      </c>
      <c r="Q571">
        <f t="shared" si="166"/>
        <v>0.98981107861968431</v>
      </c>
      <c r="R571">
        <f t="shared" si="156"/>
        <v>1</v>
      </c>
      <c r="AG571" s="8">
        <f t="shared" si="158"/>
        <v>-1.6960678980380395E-2</v>
      </c>
      <c r="AH571" s="8">
        <f t="shared" si="159"/>
        <v>-0.12727763238788781</v>
      </c>
      <c r="AI571" s="8">
        <f t="shared" si="160"/>
        <v>0.99172210808384131</v>
      </c>
      <c r="AJ571" s="8"/>
      <c r="AK571" s="8"/>
      <c r="AL571" s="8"/>
      <c r="AN571" s="8">
        <f t="shared" si="167"/>
        <v>1</v>
      </c>
      <c r="AO571" s="8">
        <f t="shared" si="168"/>
        <v>4.5799121128642861</v>
      </c>
      <c r="AP571" s="8">
        <f t="shared" si="169"/>
        <v>0.12875820576638985</v>
      </c>
      <c r="AQ571" s="8"/>
      <c r="AR571" s="8">
        <f t="shared" si="170"/>
        <v>262.40963460796712</v>
      </c>
      <c r="AS571" s="8">
        <f t="shared" si="171"/>
        <v>82.622698231908842</v>
      </c>
    </row>
    <row r="572" spans="1:45">
      <c r="A572" s="19">
        <v>27.694333329999999</v>
      </c>
      <c r="B572" s="19">
        <v>805.54796439999996</v>
      </c>
      <c r="C572" s="19">
        <v>-387.78103520000002</v>
      </c>
      <c r="E572" s="9">
        <f t="shared" si="161"/>
        <v>154.45203560000004</v>
      </c>
      <c r="F572" s="9">
        <f t="shared" si="162"/>
        <v>152.21896479999998</v>
      </c>
      <c r="I572">
        <v>1</v>
      </c>
      <c r="J572">
        <f t="shared" si="157"/>
        <v>0.14221452048574318</v>
      </c>
      <c r="K572">
        <f t="shared" si="163"/>
        <v>0.77811664238393474</v>
      </c>
      <c r="O572">
        <f t="shared" si="164"/>
        <v>0.10094932792731426</v>
      </c>
      <c r="P572">
        <f t="shared" si="165"/>
        <v>9.9489800407340845E-2</v>
      </c>
      <c r="Q572">
        <f t="shared" si="166"/>
        <v>0.98990454732056421</v>
      </c>
      <c r="R572">
        <f t="shared" si="156"/>
        <v>1</v>
      </c>
      <c r="AG572" s="8">
        <f t="shared" si="158"/>
        <v>-1.6355650857182172E-2</v>
      </c>
      <c r="AH572" s="8">
        <f t="shared" si="159"/>
        <v>-0.12754120374817401</v>
      </c>
      <c r="AI572" s="8">
        <f t="shared" si="160"/>
        <v>0.99169840880758942</v>
      </c>
      <c r="AJ572" s="8"/>
      <c r="AK572" s="8"/>
      <c r="AL572" s="8"/>
      <c r="AN572" s="8">
        <f t="shared" si="167"/>
        <v>1</v>
      </c>
      <c r="AO572" s="8">
        <f t="shared" si="168"/>
        <v>4.5848469125924618</v>
      </c>
      <c r="AP572" s="8">
        <f t="shared" si="169"/>
        <v>0.12894264428204294</v>
      </c>
      <c r="AQ572" s="8"/>
      <c r="AR572" s="8">
        <f t="shared" si="170"/>
        <v>262.6923778051339</v>
      </c>
      <c r="AS572" s="8">
        <f t="shared" si="171"/>
        <v>82.612130683382262</v>
      </c>
    </row>
    <row r="573" spans="1:45">
      <c r="A573" s="19">
        <v>27.727699999999999</v>
      </c>
      <c r="B573" s="19">
        <v>805.89252720000002</v>
      </c>
      <c r="C573" s="19">
        <v>-388.6399538</v>
      </c>
      <c r="E573" s="9">
        <f t="shared" si="161"/>
        <v>154.10747279999998</v>
      </c>
      <c r="F573" s="9">
        <f t="shared" si="162"/>
        <v>151.3600462</v>
      </c>
      <c r="I573">
        <v>1</v>
      </c>
      <c r="J573">
        <f t="shared" si="157"/>
        <v>0.14165924955764886</v>
      </c>
      <c r="K573">
        <f t="shared" si="163"/>
        <v>0.77640423655325963</v>
      </c>
      <c r="O573">
        <f t="shared" si="164"/>
        <v>0.10072737925843403</v>
      </c>
      <c r="P573">
        <f t="shared" si="165"/>
        <v>9.8931612472471203E-2</v>
      </c>
      <c r="Q573">
        <f t="shared" si="166"/>
        <v>0.98998309638161219</v>
      </c>
      <c r="R573">
        <f t="shared" si="156"/>
        <v>1</v>
      </c>
      <c r="AG573" s="8">
        <f t="shared" si="158"/>
        <v>-1.5752232155639534E-2</v>
      </c>
      <c r="AH573" s="8">
        <f t="shared" si="159"/>
        <v>-0.1275948937617612</v>
      </c>
      <c r="AI573" s="8">
        <f t="shared" si="160"/>
        <v>0.99170127067985536</v>
      </c>
      <c r="AJ573" s="8"/>
      <c r="AK573" s="8"/>
      <c r="AL573" s="8"/>
      <c r="AN573" s="8">
        <f t="shared" si="167"/>
        <v>1</v>
      </c>
      <c r="AO573" s="8">
        <f t="shared" si="168"/>
        <v>4.5895554696602492</v>
      </c>
      <c r="AP573" s="8">
        <f t="shared" si="169"/>
        <v>0.12892038582454823</v>
      </c>
      <c r="AQ573" s="8"/>
      <c r="AR573" s="8">
        <f t="shared" si="170"/>
        <v>262.96215825271463</v>
      </c>
      <c r="AS573" s="8">
        <f t="shared" si="171"/>
        <v>82.613405999055175</v>
      </c>
    </row>
    <row r="574" spans="1:45">
      <c r="A574" s="19">
        <v>27.761066670000002</v>
      </c>
      <c r="B574" s="19">
        <v>806.68239110000002</v>
      </c>
      <c r="C574" s="19">
        <v>-389.26102179999998</v>
      </c>
      <c r="E574" s="9">
        <f t="shared" si="161"/>
        <v>153.31760889999998</v>
      </c>
      <c r="F574" s="9">
        <f t="shared" si="162"/>
        <v>150.73897820000002</v>
      </c>
      <c r="I574">
        <v>1</v>
      </c>
      <c r="J574">
        <f t="shared" si="157"/>
        <v>0.14100523302213652</v>
      </c>
      <c r="K574">
        <f t="shared" si="163"/>
        <v>0.77691760750464067</v>
      </c>
      <c r="O574">
        <f t="shared" si="164"/>
        <v>0.10021486263931779</v>
      </c>
      <c r="P574">
        <f t="shared" si="165"/>
        <v>9.8529360737402691E-2</v>
      </c>
      <c r="Q574">
        <f t="shared" si="166"/>
        <v>0.99007522258607272</v>
      </c>
      <c r="R574">
        <f t="shared" si="156"/>
        <v>1</v>
      </c>
      <c r="AG574" s="8">
        <f t="shared" si="158"/>
        <v>-1.5212772571025462E-2</v>
      </c>
      <c r="AH574" s="8">
        <f t="shared" si="159"/>
        <v>-0.12796954304752195</v>
      </c>
      <c r="AI574" s="8">
        <f t="shared" si="160"/>
        <v>0.99166141782511175</v>
      </c>
      <c r="AJ574" s="8"/>
      <c r="AK574" s="8"/>
      <c r="AL574" s="8"/>
      <c r="AN574" s="8">
        <f t="shared" si="167"/>
        <v>1.0000000000000002</v>
      </c>
      <c r="AO574" s="8">
        <f t="shared" si="168"/>
        <v>4.5940662021557355</v>
      </c>
      <c r="AP574" s="8">
        <f t="shared" si="169"/>
        <v>0.12923000171583809</v>
      </c>
      <c r="AQ574" s="8"/>
      <c r="AR574" s="8">
        <f t="shared" si="170"/>
        <v>263.2206041872185</v>
      </c>
      <c r="AS574" s="8">
        <f t="shared" si="171"/>
        <v>82.595666315214089</v>
      </c>
    </row>
    <row r="575" spans="1:45">
      <c r="A575" s="19">
        <v>27.79443333</v>
      </c>
      <c r="B575" s="19">
        <v>806.74194660000001</v>
      </c>
      <c r="C575" s="19">
        <v>-390.04138390000003</v>
      </c>
      <c r="E575" s="9">
        <f t="shared" si="161"/>
        <v>153.25805339999999</v>
      </c>
      <c r="F575" s="9">
        <f t="shared" si="162"/>
        <v>149.95861609999997</v>
      </c>
      <c r="I575">
        <v>1</v>
      </c>
      <c r="J575">
        <f t="shared" si="157"/>
        <v>0.14061950269276699</v>
      </c>
      <c r="K575">
        <f t="shared" si="163"/>
        <v>0.77451714194724441</v>
      </c>
      <c r="O575">
        <f t="shared" si="164"/>
        <v>0.1001781147016719</v>
      </c>
      <c r="P575">
        <f t="shared" si="165"/>
        <v>9.8021416238148446E-2</v>
      </c>
      <c r="Q575">
        <f t="shared" si="166"/>
        <v>0.99012935886857045</v>
      </c>
      <c r="R575">
        <f t="shared" si="156"/>
        <v>1</v>
      </c>
      <c r="AG575" s="8">
        <f t="shared" si="158"/>
        <v>-1.4712767881190955E-2</v>
      </c>
      <c r="AH575" s="8">
        <f t="shared" si="159"/>
        <v>-0.12786082818168121</v>
      </c>
      <c r="AI575" s="8">
        <f t="shared" si="160"/>
        <v>0.99168298517115283</v>
      </c>
      <c r="AJ575" s="8"/>
      <c r="AK575" s="8"/>
      <c r="AL575" s="8"/>
      <c r="AN575" s="8">
        <f t="shared" si="167"/>
        <v>1.0000000000000002</v>
      </c>
      <c r="AO575" s="8">
        <f t="shared" si="168"/>
        <v>4.5978242388281956</v>
      </c>
      <c r="AP575" s="8">
        <f t="shared" si="169"/>
        <v>0.12906253721390759</v>
      </c>
      <c r="AQ575" s="8"/>
      <c r="AR575" s="8">
        <f t="shared" si="170"/>
        <v>263.43592382780588</v>
      </c>
      <c r="AS575" s="8">
        <f t="shared" si="171"/>
        <v>82.60526132439297</v>
      </c>
    </row>
    <row r="576" spans="1:45">
      <c r="A576" s="19">
        <v>27.8278</v>
      </c>
      <c r="B576" s="19">
        <v>807.25145680000003</v>
      </c>
      <c r="C576" s="19">
        <v>-390.77492740000002</v>
      </c>
      <c r="E576" s="9">
        <f t="shared" si="161"/>
        <v>152.74854319999997</v>
      </c>
      <c r="F576" s="9">
        <f t="shared" si="162"/>
        <v>149.22507259999998</v>
      </c>
      <c r="I576">
        <v>1</v>
      </c>
      <c r="J576">
        <f t="shared" si="157"/>
        <v>0.14004497559024096</v>
      </c>
      <c r="K576">
        <f t="shared" si="163"/>
        <v>0.7737305522978305</v>
      </c>
      <c r="O576">
        <f t="shared" si="164"/>
        <v>9.9848262049412398E-2</v>
      </c>
      <c r="P576">
        <f t="shared" si="165"/>
        <v>9.7545049145237206E-2</v>
      </c>
      <c r="Q576">
        <f t="shared" si="166"/>
        <v>0.99020971917718781</v>
      </c>
      <c r="R576">
        <f t="shared" si="156"/>
        <v>1</v>
      </c>
      <c r="AG576" s="8">
        <f t="shared" si="158"/>
        <v>-1.4156219479181845E-2</v>
      </c>
      <c r="AH576" s="8">
        <f t="shared" si="159"/>
        <v>-0.12804030892279261</v>
      </c>
      <c r="AI576" s="8">
        <f t="shared" si="160"/>
        <v>0.99166792866413356</v>
      </c>
      <c r="AJ576" s="8"/>
      <c r="AK576" s="8"/>
      <c r="AL576" s="8"/>
      <c r="AN576" s="8">
        <f t="shared" si="167"/>
        <v>1</v>
      </c>
      <c r="AO576" s="8">
        <f t="shared" si="168"/>
        <v>4.602275542507722</v>
      </c>
      <c r="AP576" s="8">
        <f t="shared" si="169"/>
        <v>0.12917946959323556</v>
      </c>
      <c r="AQ576" s="8"/>
      <c r="AR576" s="8">
        <f t="shared" si="170"/>
        <v>263.69096474197374</v>
      </c>
      <c r="AS576" s="8">
        <f t="shared" si="171"/>
        <v>82.598561592569055</v>
      </c>
    </row>
    <row r="577" spans="1:45">
      <c r="A577" s="19">
        <v>27.861166669999999</v>
      </c>
      <c r="B577" s="19">
        <v>807.21167679999996</v>
      </c>
      <c r="C577" s="19">
        <v>-391.44897429999997</v>
      </c>
      <c r="E577" s="9">
        <f t="shared" si="161"/>
        <v>152.78832320000004</v>
      </c>
      <c r="F577" s="9">
        <f t="shared" si="162"/>
        <v>148.55102570000003</v>
      </c>
      <c r="I577">
        <v>1</v>
      </c>
      <c r="J577">
        <f t="shared" si="157"/>
        <v>0.13975546066587471</v>
      </c>
      <c r="K577">
        <f t="shared" si="163"/>
        <v>0.77133754279680133</v>
      </c>
      <c r="O577">
        <f t="shared" si="164"/>
        <v>9.9875854105744372E-2</v>
      </c>
      <c r="P577">
        <f t="shared" si="165"/>
        <v>9.7105984667759465E-2</v>
      </c>
      <c r="Q577">
        <f t="shared" si="166"/>
        <v>0.99025009038543033</v>
      </c>
      <c r="R577">
        <f t="shared" si="156"/>
        <v>1</v>
      </c>
      <c r="AG577" s="8">
        <f t="shared" si="158"/>
        <v>-1.3741678161946894E-2</v>
      </c>
      <c r="AH577" s="8">
        <f t="shared" si="159"/>
        <v>-0.12788969062299674</v>
      </c>
      <c r="AI577" s="8">
        <f t="shared" si="160"/>
        <v>0.99169319515344445</v>
      </c>
      <c r="AJ577" s="8"/>
      <c r="AK577" s="8"/>
      <c r="AL577" s="8"/>
      <c r="AN577" s="8">
        <f t="shared" si="167"/>
        <v>1</v>
      </c>
      <c r="AO577" s="8">
        <f t="shared" si="168"/>
        <v>4.6053501947328499</v>
      </c>
      <c r="AP577" s="8">
        <f t="shared" si="169"/>
        <v>0.12898318410719556</v>
      </c>
      <c r="AQ577" s="8"/>
      <c r="AR577" s="8">
        <f t="shared" si="170"/>
        <v>263.86712933794411</v>
      </c>
      <c r="AS577" s="8">
        <f t="shared" si="171"/>
        <v>82.609807922498817</v>
      </c>
    </row>
    <row r="578" spans="1:45">
      <c r="A578" s="19">
        <v>27.894533330000002</v>
      </c>
      <c r="B578" s="19">
        <v>807.88642470000002</v>
      </c>
      <c r="C578" s="19">
        <v>-392.20014470000001</v>
      </c>
      <c r="E578" s="9">
        <f t="shared" si="161"/>
        <v>152.11357529999998</v>
      </c>
      <c r="F578" s="9">
        <f t="shared" si="162"/>
        <v>147.79985529999999</v>
      </c>
      <c r="I578">
        <v>1</v>
      </c>
      <c r="J578">
        <f t="shared" si="157"/>
        <v>0.13909548454078852</v>
      </c>
      <c r="K578">
        <f t="shared" si="163"/>
        <v>0.77101593797138479</v>
      </c>
      <c r="O578">
        <f t="shared" si="164"/>
        <v>9.9438335058851648E-2</v>
      </c>
      <c r="P578">
        <f t="shared" si="165"/>
        <v>9.6618408343802767E-2</v>
      </c>
      <c r="Q578">
        <f t="shared" si="166"/>
        <v>0.99034181002815069</v>
      </c>
      <c r="R578">
        <f t="shared" si="156"/>
        <v>1</v>
      </c>
      <c r="AG578" s="8">
        <f t="shared" si="158"/>
        <v>-1.3142455365842437E-2</v>
      </c>
      <c r="AH578" s="8">
        <f t="shared" si="159"/>
        <v>-0.12816847619957034</v>
      </c>
      <c r="AI578" s="8">
        <f t="shared" si="160"/>
        <v>0.99166532538736929</v>
      </c>
      <c r="AJ578" s="8"/>
      <c r="AK578" s="8"/>
      <c r="AL578" s="8"/>
      <c r="AN578" s="8">
        <f t="shared" si="167"/>
        <v>1</v>
      </c>
      <c r="AO578" s="8">
        <f t="shared" si="168"/>
        <v>4.6102056521500607</v>
      </c>
      <c r="AP578" s="8">
        <f t="shared" si="169"/>
        <v>0.12919967658248144</v>
      </c>
      <c r="AQ578" s="8"/>
      <c r="AR578" s="8">
        <f t="shared" si="170"/>
        <v>264.14532655555576</v>
      </c>
      <c r="AS578" s="8">
        <f t="shared" si="171"/>
        <v>82.597403817368601</v>
      </c>
    </row>
    <row r="579" spans="1:45">
      <c r="A579" s="19">
        <v>27.927900000000001</v>
      </c>
      <c r="B579" s="19">
        <v>808.06921090000003</v>
      </c>
      <c r="C579" s="19">
        <v>-392.848208</v>
      </c>
      <c r="E579" s="9">
        <f t="shared" si="161"/>
        <v>151.93078909999997</v>
      </c>
      <c r="F579" s="9">
        <f t="shared" si="162"/>
        <v>147.151792</v>
      </c>
      <c r="I579">
        <v>1</v>
      </c>
      <c r="J579">
        <f t="shared" si="157"/>
        <v>0.13871387687994904</v>
      </c>
      <c r="K579">
        <f t="shared" si="163"/>
        <v>0.76942066843882961</v>
      </c>
      <c r="O579">
        <f t="shared" si="164"/>
        <v>9.9320867002744742E-2</v>
      </c>
      <c r="P579">
        <f t="shared" si="165"/>
        <v>9.6196719894792934E-2</v>
      </c>
      <c r="Q579">
        <f t="shared" si="166"/>
        <v>0.99039464682484313</v>
      </c>
      <c r="R579">
        <f t="shared" si="156"/>
        <v>1</v>
      </c>
      <c r="AG579" s="8">
        <f t="shared" si="158"/>
        <v>-1.2701650064722445E-2</v>
      </c>
      <c r="AH579" s="8">
        <f t="shared" si="159"/>
        <v>-0.12816091738690807</v>
      </c>
      <c r="AI579" s="8">
        <f t="shared" si="160"/>
        <v>0.99167204626336991</v>
      </c>
      <c r="AJ579" s="8"/>
      <c r="AK579" s="8"/>
      <c r="AL579" s="8"/>
      <c r="AN579" s="8">
        <f t="shared" si="167"/>
        <v>0.99999999999999989</v>
      </c>
      <c r="AO579" s="8">
        <f t="shared" si="168"/>
        <v>4.6136045177034948</v>
      </c>
      <c r="AP579" s="8">
        <f t="shared" si="169"/>
        <v>0.12914750180710866</v>
      </c>
      <c r="AQ579" s="8"/>
      <c r="AR579" s="8">
        <f t="shared" si="170"/>
        <v>264.34006720689996</v>
      </c>
      <c r="AS579" s="8">
        <f t="shared" si="171"/>
        <v>82.600393211794497</v>
      </c>
    </row>
    <row r="580" spans="1:45">
      <c r="A580" s="19">
        <v>27.961266670000001</v>
      </c>
      <c r="B580" s="19">
        <v>808.55055949999996</v>
      </c>
      <c r="C580" s="19">
        <v>-393.4630153</v>
      </c>
      <c r="E580" s="9">
        <f t="shared" si="161"/>
        <v>151.44944050000004</v>
      </c>
      <c r="F580" s="9">
        <f t="shared" si="162"/>
        <v>146.5369847</v>
      </c>
      <c r="I580">
        <v>1</v>
      </c>
      <c r="J580">
        <f t="shared" si="157"/>
        <v>0.138207066328875</v>
      </c>
      <c r="K580">
        <f t="shared" si="163"/>
        <v>0.76891415461423618</v>
      </c>
      <c r="O580">
        <f t="shared" si="164"/>
        <v>9.9008837433410601E-2</v>
      </c>
      <c r="P580">
        <f t="shared" si="165"/>
        <v>9.5797359490043629E-2</v>
      </c>
      <c r="Q580">
        <f t="shared" si="166"/>
        <v>0.99046459604814741</v>
      </c>
      <c r="R580">
        <f t="shared" si="156"/>
        <v>1</v>
      </c>
      <c r="AG580" s="8">
        <f t="shared" si="158"/>
        <v>-1.2224644958867756E-2</v>
      </c>
      <c r="AH580" s="8">
        <f t="shared" si="159"/>
        <v>-0.12834501745919397</v>
      </c>
      <c r="AI580" s="8">
        <f t="shared" si="160"/>
        <v>0.99165423134731234</v>
      </c>
      <c r="AJ580" s="8"/>
      <c r="AK580" s="8"/>
      <c r="AL580" s="8"/>
      <c r="AN580" s="8">
        <f t="shared" si="167"/>
        <v>1</v>
      </c>
      <c r="AO580" s="8">
        <f t="shared" si="168"/>
        <v>4.6174271592234302</v>
      </c>
      <c r="AP580" s="8">
        <f t="shared" si="169"/>
        <v>0.12928575482301574</v>
      </c>
      <c r="AQ580" s="8"/>
      <c r="AR580" s="8">
        <f t="shared" si="170"/>
        <v>264.55908843258374</v>
      </c>
      <c r="AS580" s="8">
        <f t="shared" si="171"/>
        <v>82.592471897478077</v>
      </c>
    </row>
    <row r="581" spans="1:45">
      <c r="A581" s="19">
        <v>27.994633329999999</v>
      </c>
      <c r="B581" s="19">
        <v>809.35794150000004</v>
      </c>
      <c r="C581" s="19">
        <v>-394.20090340000002</v>
      </c>
      <c r="E581" s="9">
        <f t="shared" si="161"/>
        <v>150.64205849999996</v>
      </c>
      <c r="F581" s="9">
        <f t="shared" si="162"/>
        <v>145.79909659999998</v>
      </c>
      <c r="I581">
        <v>1</v>
      </c>
      <c r="J581">
        <f t="shared" si="157"/>
        <v>0.13749058189582644</v>
      </c>
      <c r="K581">
        <f t="shared" si="163"/>
        <v>0.76906260732862697</v>
      </c>
      <c r="O581">
        <f t="shared" si="164"/>
        <v>9.8484659661315088E-2</v>
      </c>
      <c r="P581">
        <f t="shared" si="165"/>
        <v>9.5318495714649343E-2</v>
      </c>
      <c r="Q581">
        <f t="shared" si="166"/>
        <v>0.9905630500811603</v>
      </c>
      <c r="R581">
        <f t="shared" si="156"/>
        <v>1</v>
      </c>
      <c r="AG581" s="8">
        <f t="shared" si="158"/>
        <v>-1.1608221216005826E-2</v>
      </c>
      <c r="AH581" s="8">
        <f t="shared" si="159"/>
        <v>-0.12870862458416574</v>
      </c>
      <c r="AI581" s="8">
        <f t="shared" si="160"/>
        <v>0.99161451136913703</v>
      </c>
      <c r="AJ581" s="8"/>
      <c r="AK581" s="8"/>
      <c r="AL581" s="8"/>
      <c r="AN581" s="8">
        <f t="shared" si="167"/>
        <v>0.99999999999999978</v>
      </c>
      <c r="AO581" s="8">
        <f t="shared" si="168"/>
        <v>4.6224424102850294</v>
      </c>
      <c r="AP581" s="8">
        <f t="shared" si="169"/>
        <v>0.1295934744582774</v>
      </c>
      <c r="AQ581" s="8"/>
      <c r="AR581" s="8">
        <f t="shared" si="170"/>
        <v>264.84644115161188</v>
      </c>
      <c r="AS581" s="8">
        <f t="shared" si="171"/>
        <v>82.574840861104278</v>
      </c>
    </row>
    <row r="582" spans="1:45">
      <c r="A582" s="19">
        <v>28.027999999999999</v>
      </c>
      <c r="B582" s="19">
        <v>809.30712819999997</v>
      </c>
      <c r="C582" s="19">
        <v>-395.00250360000001</v>
      </c>
      <c r="E582" s="9">
        <f t="shared" si="161"/>
        <v>150.69287180000003</v>
      </c>
      <c r="F582" s="9">
        <f t="shared" si="162"/>
        <v>144.99749639999999</v>
      </c>
      <c r="I582">
        <v>1</v>
      </c>
      <c r="J582">
        <f t="shared" si="157"/>
        <v>0.13714972972764039</v>
      </c>
      <c r="K582">
        <f t="shared" si="163"/>
        <v>0.76613926338971161</v>
      </c>
      <c r="O582">
        <f t="shared" si="164"/>
        <v>9.8519583664786553E-2</v>
      </c>
      <c r="P582">
        <f t="shared" si="165"/>
        <v>9.4796076331490967E-2</v>
      </c>
      <c r="Q582">
        <f t="shared" si="166"/>
        <v>0.9906097089907161</v>
      </c>
      <c r="R582">
        <f t="shared" si="156"/>
        <v>1</v>
      </c>
      <c r="AG582" s="8">
        <f t="shared" si="158"/>
        <v>-1.1115728124491769E-2</v>
      </c>
      <c r="AH582" s="8">
        <f t="shared" si="159"/>
        <v>-0.12852719113577993</v>
      </c>
      <c r="AI582" s="8">
        <f t="shared" si="160"/>
        <v>0.99164368687901661</v>
      </c>
      <c r="AJ582" s="8"/>
      <c r="AK582" s="8"/>
      <c r="AL582" s="8"/>
      <c r="AN582" s="8">
        <f t="shared" si="167"/>
        <v>1</v>
      </c>
      <c r="AO582" s="8">
        <f t="shared" si="168"/>
        <v>4.6261182268154544</v>
      </c>
      <c r="AP582" s="8">
        <f t="shared" si="169"/>
        <v>0.12936751616386855</v>
      </c>
      <c r="AQ582" s="8"/>
      <c r="AR582" s="8">
        <f t="shared" si="170"/>
        <v>265.05704992506963</v>
      </c>
      <c r="AS582" s="8">
        <f t="shared" si="171"/>
        <v>82.587787317719872</v>
      </c>
    </row>
    <row r="583" spans="1:45">
      <c r="A583" s="19">
        <v>28.061366670000002</v>
      </c>
      <c r="B583" s="19">
        <v>810.26067539999997</v>
      </c>
      <c r="C583" s="19">
        <v>-395.94221690000001</v>
      </c>
      <c r="E583" s="9">
        <f t="shared" si="161"/>
        <v>149.73932460000003</v>
      </c>
      <c r="F583" s="9">
        <f t="shared" si="162"/>
        <v>144.05778309999999</v>
      </c>
      <c r="I583">
        <v>1</v>
      </c>
      <c r="J583">
        <f t="shared" si="157"/>
        <v>0.13627227551433665</v>
      </c>
      <c r="K583">
        <f t="shared" si="163"/>
        <v>0.76606225685843321</v>
      </c>
      <c r="O583">
        <f t="shared" si="164"/>
        <v>9.7900449111540527E-2</v>
      </c>
      <c r="P583">
        <f t="shared" si="165"/>
        <v>9.4185823938883237E-2</v>
      </c>
      <c r="Q583">
        <f t="shared" si="166"/>
        <v>0.99072929331513782</v>
      </c>
      <c r="R583">
        <f t="shared" si="156"/>
        <v>1</v>
      </c>
      <c r="AG583" s="8">
        <f t="shared" si="158"/>
        <v>-1.0344775511465593E-2</v>
      </c>
      <c r="AH583" s="8">
        <f t="shared" si="159"/>
        <v>-0.12894381500098395</v>
      </c>
      <c r="AI583" s="8">
        <f t="shared" si="160"/>
        <v>0.99159794180535155</v>
      </c>
      <c r="AJ583" s="8"/>
      <c r="AK583" s="8"/>
      <c r="AL583" s="8"/>
      <c r="AN583" s="8">
        <f t="shared" si="167"/>
        <v>1</v>
      </c>
      <c r="AO583" s="8">
        <f t="shared" si="168"/>
        <v>4.6323334418036559</v>
      </c>
      <c r="AP583" s="8">
        <f t="shared" si="169"/>
        <v>0.1297216280461766</v>
      </c>
      <c r="AQ583" s="8"/>
      <c r="AR583" s="8">
        <f t="shared" si="170"/>
        <v>265.41315551266001</v>
      </c>
      <c r="AS583" s="8">
        <f t="shared" si="171"/>
        <v>82.56749820138819</v>
      </c>
    </row>
    <row r="584" spans="1:45">
      <c r="A584" s="19">
        <v>28.09473333</v>
      </c>
      <c r="B584" s="19">
        <v>810.26705679999998</v>
      </c>
      <c r="C584" s="19">
        <v>-396.74054599999999</v>
      </c>
      <c r="E584" s="9">
        <f t="shared" si="161"/>
        <v>149.73294320000002</v>
      </c>
      <c r="F584" s="9">
        <f t="shared" si="162"/>
        <v>143.25945400000001</v>
      </c>
      <c r="I584">
        <v>1</v>
      </c>
      <c r="J584">
        <f t="shared" si="157"/>
        <v>0.13590694563946448</v>
      </c>
      <c r="K584">
        <f t="shared" si="163"/>
        <v>0.7633073644574343</v>
      </c>
      <c r="O584">
        <f t="shared" si="164"/>
        <v>9.7898019344259707E-2</v>
      </c>
      <c r="P584">
        <f t="shared" si="165"/>
        <v>9.3665538786658134E-2</v>
      </c>
      <c r="Q584">
        <f t="shared" si="166"/>
        <v>0.99077885759248818</v>
      </c>
      <c r="R584">
        <f t="shared" si="156"/>
        <v>1</v>
      </c>
      <c r="AG584" s="8">
        <f t="shared" si="158"/>
        <v>-9.8433240857372095E-3</v>
      </c>
      <c r="AH584" s="8">
        <f t="shared" si="159"/>
        <v>-0.12879845397404355</v>
      </c>
      <c r="AI584" s="8">
        <f t="shared" si="160"/>
        <v>0.99162193764803286</v>
      </c>
      <c r="AJ584" s="8"/>
      <c r="AK584" s="8"/>
      <c r="AL584" s="8"/>
      <c r="AN584" s="8">
        <f t="shared" si="167"/>
        <v>0.99999999999999978</v>
      </c>
      <c r="AO584" s="8">
        <f t="shared" si="168"/>
        <v>4.636113009595177</v>
      </c>
      <c r="AP584" s="8">
        <f t="shared" si="169"/>
        <v>0.12953599664885695</v>
      </c>
      <c r="AQ584" s="8"/>
      <c r="AR584" s="8">
        <f t="shared" si="170"/>
        <v>265.62970879549778</v>
      </c>
      <c r="AS584" s="8">
        <f t="shared" si="171"/>
        <v>82.578134096999719</v>
      </c>
    </row>
    <row r="585" spans="1:45">
      <c r="A585" s="19">
        <v>28.1281</v>
      </c>
      <c r="B585" s="19">
        <v>810.85043089999999</v>
      </c>
      <c r="C585" s="19">
        <v>-397.12816850000002</v>
      </c>
      <c r="E585" s="9">
        <f t="shared" si="161"/>
        <v>149.14956910000001</v>
      </c>
      <c r="F585" s="9">
        <f t="shared" si="162"/>
        <v>142.87183149999998</v>
      </c>
      <c r="I585">
        <v>1</v>
      </c>
      <c r="J585">
        <f t="shared" si="157"/>
        <v>0.13545494854506263</v>
      </c>
      <c r="K585">
        <f t="shared" si="163"/>
        <v>0.76390394830550135</v>
      </c>
      <c r="O585">
        <f t="shared" si="164"/>
        <v>9.7518716802725447E-2</v>
      </c>
      <c r="P585">
        <f t="shared" si="165"/>
        <v>9.3414132935200053E-2</v>
      </c>
      <c r="Q585">
        <f t="shared" si="166"/>
        <v>0.99083999699301328</v>
      </c>
      <c r="R585">
        <f t="shared" si="156"/>
        <v>1</v>
      </c>
      <c r="AG585" s="8">
        <f t="shared" si="158"/>
        <v>-9.4889211627811332E-3</v>
      </c>
      <c r="AH585" s="8">
        <f t="shared" si="159"/>
        <v>-0.12908834948699199</v>
      </c>
      <c r="AI585" s="8">
        <f t="shared" si="160"/>
        <v>0.99158769576971395</v>
      </c>
      <c r="AJ585" s="8"/>
      <c r="AK585" s="8"/>
      <c r="AL585" s="8"/>
      <c r="AN585" s="8">
        <f t="shared" si="167"/>
        <v>1</v>
      </c>
      <c r="AO585" s="8">
        <f t="shared" si="168"/>
        <v>4.6390137619465381</v>
      </c>
      <c r="AP585" s="8">
        <f t="shared" si="169"/>
        <v>0.12980081076362993</v>
      </c>
      <c r="AQ585" s="8"/>
      <c r="AR585" s="8">
        <f t="shared" si="170"/>
        <v>265.7959096626434</v>
      </c>
      <c r="AS585" s="8">
        <f t="shared" si="171"/>
        <v>82.562961365867736</v>
      </c>
    </row>
    <row r="586" spans="1:45">
      <c r="A586" s="19">
        <v>28.161466669999999</v>
      </c>
      <c r="B586" s="19">
        <v>811.22456990000001</v>
      </c>
      <c r="C586" s="19">
        <v>-398.10440369999998</v>
      </c>
      <c r="E586" s="9">
        <f t="shared" si="161"/>
        <v>148.77543009999999</v>
      </c>
      <c r="F586" s="9">
        <f t="shared" si="162"/>
        <v>141.89559630000002</v>
      </c>
      <c r="I586">
        <v>1</v>
      </c>
      <c r="J586">
        <f t="shared" si="157"/>
        <v>0.13483535313437045</v>
      </c>
      <c r="K586">
        <f t="shared" si="163"/>
        <v>0.76173378378921108</v>
      </c>
      <c r="O586">
        <f t="shared" si="164"/>
        <v>9.7276935010925561E-2</v>
      </c>
      <c r="P586">
        <f t="shared" si="165"/>
        <v>9.2778550129774623E-2</v>
      </c>
      <c r="Q586">
        <f t="shared" si="166"/>
        <v>0.99092347764633015</v>
      </c>
      <c r="R586">
        <f t="shared" si="156"/>
        <v>1</v>
      </c>
      <c r="AG586" s="8">
        <f t="shared" si="158"/>
        <v>-8.8056086163667835E-3</v>
      </c>
      <c r="AH586" s="8">
        <f t="shared" si="159"/>
        <v>-0.12913811784572582</v>
      </c>
      <c r="AI586" s="8">
        <f t="shared" si="160"/>
        <v>0.99158751896953534</v>
      </c>
      <c r="AJ586" s="8"/>
      <c r="AK586" s="8"/>
      <c r="AL586" s="8"/>
      <c r="AN586" s="8">
        <f t="shared" si="167"/>
        <v>0.99999999999999989</v>
      </c>
      <c r="AO586" s="8">
        <f t="shared" si="168"/>
        <v>4.6443068418924813</v>
      </c>
      <c r="AP586" s="8">
        <f t="shared" si="169"/>
        <v>0.12980217667721483</v>
      </c>
      <c r="AQ586" s="8"/>
      <c r="AR586" s="8">
        <f t="shared" si="170"/>
        <v>266.09918080417128</v>
      </c>
      <c r="AS586" s="8">
        <f t="shared" si="171"/>
        <v>82.562883104784149</v>
      </c>
    </row>
    <row r="587" spans="1:45">
      <c r="A587" s="19">
        <v>28.194833330000002</v>
      </c>
      <c r="B587" s="19">
        <v>811.82300680000003</v>
      </c>
      <c r="C587" s="19">
        <v>-398.92692030000001</v>
      </c>
      <c r="E587" s="9">
        <f t="shared" si="161"/>
        <v>148.17699319999997</v>
      </c>
      <c r="F587" s="9">
        <f t="shared" si="162"/>
        <v>141.07307969999999</v>
      </c>
      <c r="I587">
        <v>1</v>
      </c>
      <c r="J587">
        <f t="shared" si="157"/>
        <v>0.13417919396128108</v>
      </c>
      <c r="K587">
        <f t="shared" si="163"/>
        <v>0.7608433357083898</v>
      </c>
      <c r="O587">
        <f t="shared" si="164"/>
        <v>9.68885769895622E-2</v>
      </c>
      <c r="P587">
        <f t="shared" si="165"/>
        <v>9.2243536924921848E-2</v>
      </c>
      <c r="Q587">
        <f t="shared" si="166"/>
        <v>0.9910114699359025</v>
      </c>
      <c r="R587">
        <f t="shared" si="156"/>
        <v>1</v>
      </c>
      <c r="AG587" s="8">
        <f t="shared" si="158"/>
        <v>-8.1756729004557327E-3</v>
      </c>
      <c r="AH587" s="8">
        <f t="shared" si="159"/>
        <v>-0.12935596109754122</v>
      </c>
      <c r="AI587" s="8">
        <f t="shared" si="160"/>
        <v>0.99156451817375768</v>
      </c>
      <c r="AJ587" s="8"/>
      <c r="AK587" s="8"/>
      <c r="AL587" s="8"/>
      <c r="AN587" s="8">
        <f t="shared" si="167"/>
        <v>1</v>
      </c>
      <c r="AO587" s="8">
        <f t="shared" si="168"/>
        <v>4.649270028254449</v>
      </c>
      <c r="AP587" s="8">
        <f t="shared" si="169"/>
        <v>0.12997975331072897</v>
      </c>
      <c r="AQ587" s="8"/>
      <c r="AR587" s="8">
        <f t="shared" si="170"/>
        <v>266.38355043564894</v>
      </c>
      <c r="AS587" s="8">
        <f t="shared" si="171"/>
        <v>82.552708713143645</v>
      </c>
    </row>
    <row r="588" spans="1:45">
      <c r="A588" s="19">
        <v>28.228200000000001</v>
      </c>
      <c r="B588" s="19">
        <v>812.09564320000004</v>
      </c>
      <c r="C588" s="19">
        <v>-399.56032440000001</v>
      </c>
      <c r="E588" s="9">
        <f t="shared" si="161"/>
        <v>147.90435679999996</v>
      </c>
      <c r="F588" s="9">
        <f t="shared" si="162"/>
        <v>140.43967559999999</v>
      </c>
      <c r="I588">
        <v>1</v>
      </c>
      <c r="J588">
        <f t="shared" si="157"/>
        <v>0.13376340027731745</v>
      </c>
      <c r="K588">
        <f t="shared" si="163"/>
        <v>0.75951583729881933</v>
      </c>
      <c r="O588">
        <f t="shared" si="164"/>
        <v>9.6712125695603723E-2</v>
      </c>
      <c r="P588">
        <f t="shared" si="165"/>
        <v>9.1831098509445763E-2</v>
      </c>
      <c r="Q588">
        <f t="shared" si="166"/>
        <v>0.99106700787080293</v>
      </c>
      <c r="R588">
        <f t="shared" si="156"/>
        <v>1</v>
      </c>
      <c r="AG588" s="8">
        <f t="shared" si="158"/>
        <v>-7.726524965312731E-3</v>
      </c>
      <c r="AH588" s="8">
        <f t="shared" si="159"/>
        <v>-0.12940677377489559</v>
      </c>
      <c r="AI588" s="8">
        <f t="shared" si="160"/>
        <v>0.99156148962791679</v>
      </c>
      <c r="AJ588" s="8"/>
      <c r="AK588" s="8"/>
      <c r="AL588" s="8"/>
      <c r="AN588" s="8">
        <f t="shared" si="167"/>
        <v>1</v>
      </c>
      <c r="AO588" s="8">
        <f t="shared" si="168"/>
        <v>4.6527525119775914</v>
      </c>
      <c r="AP588" s="8">
        <f t="shared" si="169"/>
        <v>0.13000311709589707</v>
      </c>
      <c r="AQ588" s="8"/>
      <c r="AR588" s="8">
        <f t="shared" si="170"/>
        <v>266.58308205520802</v>
      </c>
      <c r="AS588" s="8">
        <f t="shared" si="171"/>
        <v>82.551370066860059</v>
      </c>
    </row>
    <row r="589" spans="1:45">
      <c r="A589" s="19">
        <v>28.261566670000001</v>
      </c>
      <c r="B589" s="19">
        <v>812.58137309999995</v>
      </c>
      <c r="C589" s="19">
        <v>-400.16814570000003</v>
      </c>
      <c r="E589" s="9">
        <f t="shared" si="161"/>
        <v>147.41862690000005</v>
      </c>
      <c r="F589" s="9">
        <f t="shared" si="162"/>
        <v>139.83185429999997</v>
      </c>
      <c r="I589">
        <v>1</v>
      </c>
      <c r="J589">
        <f t="shared" si="157"/>
        <v>0.13325791438592066</v>
      </c>
      <c r="K589">
        <f t="shared" si="163"/>
        <v>0.75899260548463865</v>
      </c>
      <c r="O589">
        <f t="shared" si="164"/>
        <v>9.6396680184850606E-2</v>
      </c>
      <c r="P589">
        <f t="shared" si="165"/>
        <v>9.143570810597286E-2</v>
      </c>
      <c r="Q589">
        <f t="shared" si="166"/>
        <v>0.9911342953063923</v>
      </c>
      <c r="R589">
        <f t="shared" si="156"/>
        <v>1</v>
      </c>
      <c r="AG589" s="8">
        <f t="shared" si="158"/>
        <v>-7.2526119286067114E-3</v>
      </c>
      <c r="AH589" s="8">
        <f t="shared" si="159"/>
        <v>-0.12959474642553231</v>
      </c>
      <c r="AI589" s="8">
        <f t="shared" si="160"/>
        <v>0.99154051925229703</v>
      </c>
      <c r="AJ589" s="8"/>
      <c r="AK589" s="8"/>
      <c r="AL589" s="8"/>
      <c r="AN589" s="8">
        <f t="shared" si="167"/>
        <v>0.99999999999999989</v>
      </c>
      <c r="AO589" s="8">
        <f t="shared" si="168"/>
        <v>4.6564835156048909</v>
      </c>
      <c r="AP589" s="8">
        <f t="shared" si="169"/>
        <v>0.13016477912864399</v>
      </c>
      <c r="AQ589" s="8"/>
      <c r="AR589" s="8">
        <f t="shared" si="170"/>
        <v>266.79685281640025</v>
      </c>
      <c r="AS589" s="8">
        <f t="shared" si="171"/>
        <v>82.542107514676161</v>
      </c>
    </row>
    <row r="590" spans="1:45">
      <c r="A590" s="19">
        <v>28.294933329999999</v>
      </c>
      <c r="B590" s="19">
        <v>812.93229269999995</v>
      </c>
      <c r="C590" s="19">
        <v>-400.88689799999997</v>
      </c>
      <c r="E590" s="9">
        <f t="shared" si="161"/>
        <v>147.06770730000005</v>
      </c>
      <c r="F590" s="9">
        <f t="shared" si="162"/>
        <v>139.11310200000003</v>
      </c>
      <c r="I590">
        <v>1</v>
      </c>
      <c r="J590">
        <f t="shared" si="157"/>
        <v>0.13276660937610898</v>
      </c>
      <c r="K590">
        <f t="shared" si="163"/>
        <v>0.75760958566145176</v>
      </c>
      <c r="O590">
        <f t="shared" si="164"/>
        <v>9.6169274464634205E-2</v>
      </c>
      <c r="P590">
        <f t="shared" si="165"/>
        <v>9.0967666073520498E-2</v>
      </c>
      <c r="Q590">
        <f t="shared" si="166"/>
        <v>0.99119945236974494</v>
      </c>
      <c r="R590">
        <f t="shared" si="156"/>
        <v>1</v>
      </c>
      <c r="AG590" s="8">
        <f t="shared" si="158"/>
        <v>-6.7349164042156545E-3</v>
      </c>
      <c r="AH590" s="8">
        <f t="shared" si="159"/>
        <v>-0.12967817804486512</v>
      </c>
      <c r="AI590" s="8">
        <f t="shared" si="160"/>
        <v>0.9915332626997404</v>
      </c>
      <c r="AJ590" s="8"/>
      <c r="AK590" s="8"/>
      <c r="AL590" s="8"/>
      <c r="AN590" s="8">
        <f t="shared" si="167"/>
        <v>1</v>
      </c>
      <c r="AO590" s="8">
        <f t="shared" si="168"/>
        <v>4.6604999817545858</v>
      </c>
      <c r="AP590" s="8">
        <f t="shared" si="169"/>
        <v>0.13022067390327208</v>
      </c>
      <c r="AQ590" s="8"/>
      <c r="AR590" s="8">
        <f t="shared" si="170"/>
        <v>267.02697937533492</v>
      </c>
      <c r="AS590" s="8">
        <f t="shared" si="171"/>
        <v>82.538904979993134</v>
      </c>
    </row>
    <row r="591" spans="1:45">
      <c r="A591" s="19">
        <v>28.328299999999999</v>
      </c>
      <c r="B591" s="19">
        <v>813.6239597</v>
      </c>
      <c r="C591" s="19">
        <v>-401.94366050000002</v>
      </c>
      <c r="E591" s="9">
        <f t="shared" si="161"/>
        <v>146.3760403</v>
      </c>
      <c r="F591" s="9">
        <f t="shared" si="162"/>
        <v>138.05633949999998</v>
      </c>
      <c r="I591">
        <v>1</v>
      </c>
      <c r="J591">
        <f t="shared" si="157"/>
        <v>0.1319607604074185</v>
      </c>
      <c r="K591">
        <f t="shared" si="163"/>
        <v>0.75615631224877555</v>
      </c>
      <c r="O591">
        <f t="shared" si="164"/>
        <v>9.5720263843745074E-2</v>
      </c>
      <c r="P591">
        <f t="shared" si="165"/>
        <v>9.0279728944421003E-2</v>
      </c>
      <c r="Q591">
        <f t="shared" si="166"/>
        <v>0.99130580631377607</v>
      </c>
      <c r="R591">
        <f t="shared" si="156"/>
        <v>1</v>
      </c>
      <c r="AG591" s="8">
        <f t="shared" si="158"/>
        <v>-5.9400510783973043E-3</v>
      </c>
      <c r="AH591" s="8">
        <f t="shared" si="159"/>
        <v>-0.12990997558963827</v>
      </c>
      <c r="AI591" s="8">
        <f t="shared" si="160"/>
        <v>0.99150799998562078</v>
      </c>
      <c r="AJ591" s="8"/>
      <c r="AK591" s="8"/>
      <c r="AL591" s="8"/>
      <c r="AN591" s="8">
        <f t="shared" si="167"/>
        <v>1.0000000000000002</v>
      </c>
      <c r="AO591" s="8">
        <f t="shared" si="168"/>
        <v>4.6666964415295613</v>
      </c>
      <c r="AP591" s="8">
        <f t="shared" si="169"/>
        <v>0.13041507824675991</v>
      </c>
      <c r="AQ591" s="8"/>
      <c r="AR591" s="8">
        <f t="shared" si="170"/>
        <v>267.38201036836364</v>
      </c>
      <c r="AS591" s="8">
        <f t="shared" si="171"/>
        <v>82.527766431592269</v>
      </c>
    </row>
    <row r="592" spans="1:45">
      <c r="A592" s="19">
        <v>28.361666670000002</v>
      </c>
      <c r="B592" s="19">
        <v>814.01336370000001</v>
      </c>
      <c r="C592" s="19">
        <v>-402.22205079999998</v>
      </c>
      <c r="E592" s="9">
        <f t="shared" si="161"/>
        <v>145.98663629999999</v>
      </c>
      <c r="F592" s="9">
        <f t="shared" si="162"/>
        <v>137.77794920000002</v>
      </c>
      <c r="I592">
        <v>1</v>
      </c>
      <c r="J592">
        <f t="shared" si="157"/>
        <v>0.13164960815319177</v>
      </c>
      <c r="K592">
        <f t="shared" si="163"/>
        <v>0.75647842167286838</v>
      </c>
      <c r="O592">
        <f t="shared" si="164"/>
        <v>9.5466853846516139E-2</v>
      </c>
      <c r="P592">
        <f t="shared" si="165"/>
        <v>9.009884516086443E-2</v>
      </c>
      <c r="Q592">
        <f t="shared" si="166"/>
        <v>0.99134669915087048</v>
      </c>
      <c r="R592">
        <f t="shared" si="156"/>
        <v>1</v>
      </c>
      <c r="AG592" s="8">
        <f t="shared" si="158"/>
        <v>-5.6909688222255561E-3</v>
      </c>
      <c r="AH592" s="8">
        <f t="shared" si="159"/>
        <v>-0.13009975750802005</v>
      </c>
      <c r="AI592" s="8">
        <f t="shared" si="160"/>
        <v>0.99148457676870527</v>
      </c>
      <c r="AJ592" s="8"/>
      <c r="AK592" s="8"/>
      <c r="AL592" s="8"/>
      <c r="AN592" s="8">
        <f t="shared" si="167"/>
        <v>0.99999999999999978</v>
      </c>
      <c r="AO592" s="8">
        <f t="shared" si="168"/>
        <v>4.6686737323425582</v>
      </c>
      <c r="AP592" s="8">
        <f t="shared" si="169"/>
        <v>0.13059507000953019</v>
      </c>
      <c r="AQ592" s="8"/>
      <c r="AR592" s="8">
        <f t="shared" si="170"/>
        <v>267.49530078681835</v>
      </c>
      <c r="AS592" s="8">
        <f t="shared" si="171"/>
        <v>82.517453663238413</v>
      </c>
    </row>
    <row r="593" spans="1:45">
      <c r="A593" s="19">
        <v>28.39503333</v>
      </c>
      <c r="B593" s="19">
        <v>814.57235630000002</v>
      </c>
      <c r="C593" s="19">
        <v>-403.12794550000001</v>
      </c>
      <c r="E593" s="9">
        <f t="shared" si="161"/>
        <v>145.42764369999998</v>
      </c>
      <c r="F593" s="9">
        <f t="shared" si="162"/>
        <v>136.87205449999999</v>
      </c>
      <c r="I593">
        <v>1</v>
      </c>
      <c r="J593">
        <f t="shared" si="157"/>
        <v>0.13097505975020773</v>
      </c>
      <c r="K593">
        <f t="shared" si="163"/>
        <v>0.75510067720888951</v>
      </c>
      <c r="O593">
        <f t="shared" si="164"/>
        <v>9.5103917379636305E-2</v>
      </c>
      <c r="P593">
        <f t="shared" si="165"/>
        <v>8.9508901000979899E-2</v>
      </c>
      <c r="Q593">
        <f t="shared" si="166"/>
        <v>0.99143502134060413</v>
      </c>
      <c r="R593">
        <f t="shared" si="156"/>
        <v>1</v>
      </c>
      <c r="AG593" s="8">
        <f t="shared" si="158"/>
        <v>-5.0159604901376109E-3</v>
      </c>
      <c r="AH593" s="8">
        <f t="shared" si="159"/>
        <v>-0.13027733714609196</v>
      </c>
      <c r="AI593" s="8">
        <f t="shared" si="160"/>
        <v>0.99146490385009844</v>
      </c>
      <c r="AJ593" s="8"/>
      <c r="AK593" s="8"/>
      <c r="AL593" s="8"/>
      <c r="AN593" s="8">
        <f t="shared" si="167"/>
        <v>1</v>
      </c>
      <c r="AO593" s="8">
        <f t="shared" si="168"/>
        <v>4.6739058165432601</v>
      </c>
      <c r="AP593" s="8">
        <f t="shared" si="169"/>
        <v>0.13074605287294316</v>
      </c>
      <c r="AQ593" s="8"/>
      <c r="AR593" s="8">
        <f t="shared" si="170"/>
        <v>267.79507712957565</v>
      </c>
      <c r="AS593" s="8">
        <f t="shared" si="171"/>
        <v>82.508802982386044</v>
      </c>
    </row>
    <row r="594" spans="1:45">
      <c r="A594" s="19">
        <v>28.4284</v>
      </c>
      <c r="B594" s="19">
        <v>815.01214189999996</v>
      </c>
      <c r="C594" s="19">
        <v>-403.9176114</v>
      </c>
      <c r="E594" s="9">
        <f t="shared" si="161"/>
        <v>144.98785810000004</v>
      </c>
      <c r="F594" s="9">
        <f t="shared" si="162"/>
        <v>136.0823886</v>
      </c>
      <c r="I594">
        <v>1</v>
      </c>
      <c r="J594">
        <f t="shared" si="157"/>
        <v>0.13040991795758683</v>
      </c>
      <c r="K594">
        <f t="shared" si="163"/>
        <v>0.75372461781130129</v>
      </c>
      <c r="O594">
        <f t="shared" si="164"/>
        <v>9.4818440764283501E-2</v>
      </c>
      <c r="P594">
        <f t="shared" si="165"/>
        <v>8.8994485963313261E-2</v>
      </c>
      <c r="Q594">
        <f t="shared" si="166"/>
        <v>0.99150867104587426</v>
      </c>
      <c r="R594">
        <f t="shared" si="156"/>
        <v>1</v>
      </c>
      <c r="AG594" s="8">
        <f t="shared" si="158"/>
        <v>-4.436594409166425E-3</v>
      </c>
      <c r="AH594" s="8">
        <f t="shared" si="159"/>
        <v>-0.13040260128513931</v>
      </c>
      <c r="AI594" s="8">
        <f t="shared" si="160"/>
        <v>0.99145119809707094</v>
      </c>
      <c r="AJ594" s="8"/>
      <c r="AK594" s="8"/>
      <c r="AL594" s="8"/>
      <c r="AN594" s="8">
        <f t="shared" si="167"/>
        <v>0.99999999999999978</v>
      </c>
      <c r="AO594" s="8">
        <f t="shared" si="168"/>
        <v>4.6783798138197561</v>
      </c>
      <c r="AP594" s="8">
        <f t="shared" si="169"/>
        <v>0.13085113742262688</v>
      </c>
      <c r="AQ594" s="8"/>
      <c r="AR594" s="8">
        <f t="shared" si="170"/>
        <v>268.05141829107185</v>
      </c>
      <c r="AS594" s="8">
        <f t="shared" si="171"/>
        <v>82.50278208119714</v>
      </c>
    </row>
    <row r="595" spans="1:45">
      <c r="A595" s="19">
        <v>28.461766669999999</v>
      </c>
      <c r="B595" s="19">
        <v>815.75391920000004</v>
      </c>
      <c r="C595" s="19">
        <v>-404.72035460000001</v>
      </c>
      <c r="E595" s="9">
        <f t="shared" si="161"/>
        <v>144.24608079999996</v>
      </c>
      <c r="F595" s="9">
        <f t="shared" si="162"/>
        <v>135.27964539999999</v>
      </c>
      <c r="I595">
        <v>1</v>
      </c>
      <c r="J595">
        <f t="shared" si="157"/>
        <v>0.12969447370632275</v>
      </c>
      <c r="K595">
        <f t="shared" si="163"/>
        <v>0.7533318413869684</v>
      </c>
      <c r="O595">
        <f t="shared" si="164"/>
        <v>9.4335940556643405E-2</v>
      </c>
      <c r="P595">
        <f t="shared" si="165"/>
        <v>8.8471953734899689E-2</v>
      </c>
      <c r="Q595">
        <f t="shared" si="166"/>
        <v>0.99160145407397582</v>
      </c>
      <c r="R595">
        <f t="shared" si="156"/>
        <v>1</v>
      </c>
      <c r="AG595" s="8">
        <f t="shared" si="158"/>
        <v>-3.7911176009313846E-3</v>
      </c>
      <c r="AH595" s="8">
        <f t="shared" si="159"/>
        <v>-0.13071301331394158</v>
      </c>
      <c r="AI595" s="8">
        <f t="shared" si="160"/>
        <v>0.99141299950006978</v>
      </c>
      <c r="AJ595" s="8"/>
      <c r="AK595" s="8"/>
      <c r="AL595" s="8"/>
      <c r="AN595" s="8">
        <f t="shared" si="167"/>
        <v>1.0000000000000002</v>
      </c>
      <c r="AO595" s="8">
        <f t="shared" si="168"/>
        <v>4.683393740985367</v>
      </c>
      <c r="AP595" s="8">
        <f t="shared" si="169"/>
        <v>0.13114357131476506</v>
      </c>
      <c r="AQ595" s="8"/>
      <c r="AR595" s="8">
        <f t="shared" si="170"/>
        <v>268.33869515644739</v>
      </c>
      <c r="AS595" s="8">
        <f t="shared" si="171"/>
        <v>82.486026853391039</v>
      </c>
    </row>
    <row r="596" spans="1:45">
      <c r="A596" s="19">
        <v>28.495133330000002</v>
      </c>
      <c r="B596" s="19">
        <v>816.01943900000003</v>
      </c>
      <c r="C596" s="19">
        <v>-405.22522070000002</v>
      </c>
      <c r="E596" s="9">
        <f t="shared" si="161"/>
        <v>143.98056099999997</v>
      </c>
      <c r="F596" s="9">
        <f t="shared" si="162"/>
        <v>134.77477929999998</v>
      </c>
      <c r="I596">
        <v>1</v>
      </c>
      <c r="J596">
        <f t="shared" si="157"/>
        <v>0.12934075929465805</v>
      </c>
      <c r="K596">
        <f t="shared" si="163"/>
        <v>0.75238556820562075</v>
      </c>
      <c r="O596">
        <f t="shared" si="164"/>
        <v>9.4163546837482862E-2</v>
      </c>
      <c r="P596">
        <f t="shared" si="165"/>
        <v>8.8142948985502054E-2</v>
      </c>
      <c r="Q596">
        <f t="shared" si="166"/>
        <v>0.99164713834666229</v>
      </c>
      <c r="R596">
        <f t="shared" si="156"/>
        <v>1</v>
      </c>
      <c r="AG596" s="8">
        <f t="shared" si="158"/>
        <v>-3.4236378232332665E-3</v>
      </c>
      <c r="AH596" s="8">
        <f t="shared" si="159"/>
        <v>-0.13078334375751899</v>
      </c>
      <c r="AI596" s="8">
        <f t="shared" si="160"/>
        <v>0.99140506136475726</v>
      </c>
      <c r="AJ596" s="8"/>
      <c r="AK596" s="8"/>
      <c r="AL596" s="8"/>
      <c r="AN596" s="8">
        <f t="shared" si="167"/>
        <v>1.0000000000000002</v>
      </c>
      <c r="AO596" s="8">
        <f t="shared" si="168"/>
        <v>4.6862170230753462</v>
      </c>
      <c r="AP596" s="8">
        <f t="shared" si="169"/>
        <v>0.1312042613210862</v>
      </c>
      <c r="AQ596" s="8"/>
      <c r="AR596" s="8">
        <f t="shared" si="170"/>
        <v>268.50045730457805</v>
      </c>
      <c r="AS596" s="8">
        <f t="shared" si="171"/>
        <v>82.482549572170214</v>
      </c>
    </row>
    <row r="597" spans="1:45">
      <c r="A597" s="19">
        <v>28.528500000000001</v>
      </c>
      <c r="B597" s="19">
        <v>816.04806550000001</v>
      </c>
      <c r="C597" s="19">
        <v>-406.01646979999998</v>
      </c>
      <c r="E597" s="9">
        <f t="shared" si="161"/>
        <v>143.95193449999999</v>
      </c>
      <c r="F597" s="9">
        <f t="shared" si="162"/>
        <v>133.98353020000002</v>
      </c>
      <c r="I597">
        <v>1</v>
      </c>
      <c r="J597">
        <f t="shared" si="157"/>
        <v>0.12897266135725652</v>
      </c>
      <c r="K597">
        <f t="shared" si="163"/>
        <v>0.74954763500327848</v>
      </c>
      <c r="O597">
        <f t="shared" si="164"/>
        <v>9.4146108734705899E-2</v>
      </c>
      <c r="P597">
        <f t="shared" si="165"/>
        <v>8.7626665433030035E-2</v>
      </c>
      <c r="Q597">
        <f t="shared" si="166"/>
        <v>0.99169454859608897</v>
      </c>
      <c r="R597">
        <f t="shared" si="156"/>
        <v>1</v>
      </c>
      <c r="AG597" s="8">
        <f t="shared" si="158"/>
        <v>-2.9219404393844295E-3</v>
      </c>
      <c r="AH597" s="8">
        <f t="shared" si="159"/>
        <v>-0.13065278316301504</v>
      </c>
      <c r="AI597" s="8">
        <f t="shared" si="160"/>
        <v>0.99142388135238435</v>
      </c>
      <c r="AJ597" s="8"/>
      <c r="AK597" s="8"/>
      <c r="AL597" s="8"/>
      <c r="AN597" s="8">
        <f t="shared" si="167"/>
        <v>0.99999999999999989</v>
      </c>
      <c r="AO597" s="8">
        <f t="shared" si="168"/>
        <v>4.6900285424905448</v>
      </c>
      <c r="AP597" s="8">
        <f t="shared" si="169"/>
        <v>0.13106033008718931</v>
      </c>
      <c r="AQ597" s="8"/>
      <c r="AR597" s="8">
        <f t="shared" si="170"/>
        <v>268.71884128060111</v>
      </c>
      <c r="AS597" s="8">
        <f t="shared" si="171"/>
        <v>82.490796224412605</v>
      </c>
    </row>
    <row r="598" spans="1:45">
      <c r="A598" s="19">
        <v>28.561866670000001</v>
      </c>
      <c r="B598" s="19">
        <v>816.69370709999998</v>
      </c>
      <c r="C598" s="19">
        <v>-406.75176979999998</v>
      </c>
      <c r="E598" s="9">
        <f t="shared" si="161"/>
        <v>143.30629290000002</v>
      </c>
      <c r="F598" s="9">
        <f t="shared" si="162"/>
        <v>133.24823020000002</v>
      </c>
      <c r="I598">
        <v>1</v>
      </c>
      <c r="J598">
        <f t="shared" si="157"/>
        <v>0.12833362734582052</v>
      </c>
      <c r="K598">
        <f t="shared" si="163"/>
        <v>0.74904500075712244</v>
      </c>
      <c r="O598">
        <f t="shared" si="164"/>
        <v>9.3726018821585821E-2</v>
      </c>
      <c r="P598">
        <f t="shared" si="165"/>
        <v>8.714778589927645E-2</v>
      </c>
      <c r="Q598">
        <f t="shared" si="166"/>
        <v>0.99177653572198898</v>
      </c>
      <c r="R598">
        <f t="shared" si="156"/>
        <v>1</v>
      </c>
      <c r="AG598" s="8">
        <f t="shared" si="158"/>
        <v>-2.3370337388048251E-3</v>
      </c>
      <c r="AH598" s="8">
        <f t="shared" si="159"/>
        <v>-0.13091604431568502</v>
      </c>
      <c r="AI598" s="8">
        <f t="shared" si="160"/>
        <v>0.99139070381663219</v>
      </c>
      <c r="AJ598" s="8"/>
      <c r="AK598" s="8"/>
      <c r="AL598" s="8"/>
      <c r="AN598" s="8">
        <f t="shared" si="167"/>
        <v>1</v>
      </c>
      <c r="AO598" s="8">
        <f t="shared" si="168"/>
        <v>4.6945394834095406</v>
      </c>
      <c r="AP598" s="8">
        <f t="shared" si="169"/>
        <v>0.13131395929715595</v>
      </c>
      <c r="AQ598" s="8"/>
      <c r="AR598" s="8">
        <f t="shared" si="170"/>
        <v>268.97729915689246</v>
      </c>
      <c r="AS598" s="8">
        <f t="shared" si="171"/>
        <v>82.476264341120284</v>
      </c>
    </row>
    <row r="599" spans="1:45">
      <c r="A599" s="19">
        <v>28.595233329999999</v>
      </c>
      <c r="B599" s="19">
        <v>817.15535729999999</v>
      </c>
      <c r="C599" s="19">
        <v>-407.72100560000001</v>
      </c>
      <c r="E599" s="9">
        <f t="shared" si="161"/>
        <v>142.84464270000001</v>
      </c>
      <c r="F599" s="9">
        <f t="shared" si="162"/>
        <v>132.27899439999999</v>
      </c>
      <c r="I599">
        <v>1</v>
      </c>
      <c r="J599">
        <f t="shared" si="157"/>
        <v>0.12767868765604976</v>
      </c>
      <c r="K599">
        <f t="shared" si="163"/>
        <v>0.74701375233864376</v>
      </c>
      <c r="O599">
        <f t="shared" si="164"/>
        <v>9.3426232670861586E-2</v>
      </c>
      <c r="P599">
        <f t="shared" si="165"/>
        <v>8.6515866991503168E-2</v>
      </c>
      <c r="Q599">
        <f t="shared" si="166"/>
        <v>0.99186014327002703</v>
      </c>
      <c r="R599">
        <f t="shared" si="156"/>
        <v>1</v>
      </c>
      <c r="AG599" s="8">
        <f t="shared" si="158"/>
        <v>-1.6406183340225838E-3</v>
      </c>
      <c r="AH599" s="8">
        <f t="shared" si="159"/>
        <v>-0.13102108389892442</v>
      </c>
      <c r="AI599" s="8">
        <f t="shared" si="160"/>
        <v>0.99137822446603752</v>
      </c>
      <c r="AJ599" s="8"/>
      <c r="AK599" s="8"/>
      <c r="AL599" s="8"/>
      <c r="AN599" s="8">
        <f t="shared" si="167"/>
        <v>1</v>
      </c>
      <c r="AO599" s="8">
        <f t="shared" si="168"/>
        <v>4.6998678460279395</v>
      </c>
      <c r="AP599" s="8">
        <f t="shared" si="169"/>
        <v>0.13140923305820085</v>
      </c>
      <c r="AQ599" s="8"/>
      <c r="AR599" s="8">
        <f t="shared" si="170"/>
        <v>269.28259184664194</v>
      </c>
      <c r="AS599" s="8">
        <f t="shared" si="171"/>
        <v>82.470805556714069</v>
      </c>
    </row>
    <row r="600" spans="1:45">
      <c r="A600" s="19">
        <v>28.628599999999999</v>
      </c>
      <c r="B600" s="19">
        <v>817.87348799999995</v>
      </c>
      <c r="C600" s="19">
        <v>-408.33148060000002</v>
      </c>
      <c r="E600" s="9">
        <f t="shared" si="161"/>
        <v>142.12651200000005</v>
      </c>
      <c r="F600" s="9">
        <f t="shared" si="162"/>
        <v>131.66851939999998</v>
      </c>
      <c r="I600">
        <v>1</v>
      </c>
      <c r="J600">
        <f t="shared" si="157"/>
        <v>0.12706043478260329</v>
      </c>
      <c r="K600">
        <f t="shared" si="163"/>
        <v>0.74722029348533348</v>
      </c>
      <c r="O600">
        <f t="shared" si="164"/>
        <v>9.2958497071731483E-2</v>
      </c>
      <c r="P600">
        <f t="shared" si="165"/>
        <v>8.6118399043551522E-2</v>
      </c>
      <c r="Q600">
        <f t="shared" si="166"/>
        <v>0.99193867712088957</v>
      </c>
      <c r="R600">
        <f t="shared" si="156"/>
        <v>1</v>
      </c>
      <c r="AG600" s="8">
        <f t="shared" si="158"/>
        <v>-1.1199843664890519E-3</v>
      </c>
      <c r="AH600" s="8">
        <f t="shared" si="159"/>
        <v>-0.13135274941190855</v>
      </c>
      <c r="AI600" s="8">
        <f t="shared" si="160"/>
        <v>0.99133505983443915</v>
      </c>
      <c r="AJ600" s="8"/>
      <c r="AK600" s="8"/>
      <c r="AL600" s="8"/>
      <c r="AN600" s="8">
        <f t="shared" si="167"/>
        <v>0.99999999999999989</v>
      </c>
      <c r="AO600" s="8">
        <f t="shared" si="168"/>
        <v>4.7038626478105003</v>
      </c>
      <c r="AP600" s="8">
        <f t="shared" si="169"/>
        <v>0.1317382457154066</v>
      </c>
      <c r="AQ600" s="8"/>
      <c r="AR600" s="8">
        <f t="shared" si="170"/>
        <v>269.51147712877406</v>
      </c>
      <c r="AS600" s="8">
        <f t="shared" si="171"/>
        <v>82.451954520049796</v>
      </c>
    </row>
    <row r="601" spans="1:45">
      <c r="A601" s="19">
        <v>28.661966670000002</v>
      </c>
      <c r="B601" s="19">
        <v>817.92310889999999</v>
      </c>
      <c r="C601" s="19">
        <v>-408.9990775</v>
      </c>
      <c r="E601" s="9">
        <f t="shared" si="161"/>
        <v>142.07689110000001</v>
      </c>
      <c r="F601" s="9">
        <f t="shared" si="162"/>
        <v>131.0009225</v>
      </c>
      <c r="I601">
        <v>1</v>
      </c>
      <c r="J601">
        <f t="shared" si="157"/>
        <v>0.12673899517333431</v>
      </c>
      <c r="K601">
        <f t="shared" si="163"/>
        <v>0.74486063025281368</v>
      </c>
      <c r="O601">
        <f t="shared" si="164"/>
        <v>9.2927031984622113E-2</v>
      </c>
      <c r="P601">
        <f t="shared" si="165"/>
        <v>8.5682666765309751E-2</v>
      </c>
      <c r="Q601">
        <f t="shared" si="166"/>
        <v>0.9919793583248161</v>
      </c>
      <c r="R601">
        <f t="shared" si="156"/>
        <v>1</v>
      </c>
      <c r="AG601" s="8">
        <f t="shared" si="158"/>
        <v>-6.9170364532328277E-4</v>
      </c>
      <c r="AH601" s="8">
        <f t="shared" si="159"/>
        <v>-0.1312583201933728</v>
      </c>
      <c r="AI601" s="8">
        <f t="shared" si="160"/>
        <v>0.99134795855243529</v>
      </c>
      <c r="AJ601" s="8"/>
      <c r="AK601" s="8"/>
      <c r="AL601" s="8"/>
      <c r="AN601" s="8">
        <f t="shared" si="167"/>
        <v>0.99999999999999989</v>
      </c>
      <c r="AO601" s="8">
        <f t="shared" si="168"/>
        <v>4.7071192402159516</v>
      </c>
      <c r="AP601" s="8">
        <f t="shared" si="169"/>
        <v>0.1316400138017686</v>
      </c>
      <c r="AQ601" s="8"/>
      <c r="AR601" s="8">
        <f t="shared" si="170"/>
        <v>269.69806612920075</v>
      </c>
      <c r="AS601" s="8">
        <f t="shared" si="171"/>
        <v>82.457582794114757</v>
      </c>
    </row>
    <row r="602" spans="1:45">
      <c r="A602" s="19">
        <v>28.69533333</v>
      </c>
      <c r="B602" s="19">
        <v>817.98418230000004</v>
      </c>
      <c r="C602" s="19">
        <v>-409.7230108</v>
      </c>
      <c r="E602" s="9">
        <f t="shared" si="161"/>
        <v>142.01581769999996</v>
      </c>
      <c r="F602" s="9">
        <f t="shared" si="162"/>
        <v>130.2769892</v>
      </c>
      <c r="I602">
        <v>1</v>
      </c>
      <c r="J602">
        <f t="shared" si="157"/>
        <v>0.12638769881477926</v>
      </c>
      <c r="K602">
        <f t="shared" si="163"/>
        <v>0.74231379299615952</v>
      </c>
      <c r="O602">
        <f t="shared" si="164"/>
        <v>9.2888148216337563E-2</v>
      </c>
      <c r="P602">
        <f t="shared" si="165"/>
        <v>8.5210144038679214E-2</v>
      </c>
      <c r="Q602">
        <f t="shared" si="166"/>
        <v>0.99202370096376591</v>
      </c>
      <c r="R602">
        <f t="shared" si="156"/>
        <v>1</v>
      </c>
      <c r="AG602" s="8">
        <f t="shared" si="158"/>
        <v>-2.2587612116764522E-4</v>
      </c>
      <c r="AH602" s="8">
        <f t="shared" si="159"/>
        <v>-0.13116040652533462</v>
      </c>
      <c r="AI602" s="8">
        <f t="shared" si="160"/>
        <v>0.99136113336164577</v>
      </c>
      <c r="AJ602" s="8"/>
      <c r="AK602" s="8"/>
      <c r="AL602" s="8"/>
      <c r="AN602" s="8">
        <f t="shared" si="167"/>
        <v>1</v>
      </c>
      <c r="AO602" s="8">
        <f t="shared" si="168"/>
        <v>4.7106668456044289</v>
      </c>
      <c r="AP602" s="8">
        <f t="shared" si="169"/>
        <v>0.13153960398652154</v>
      </c>
      <c r="AQ602" s="8"/>
      <c r="AR602" s="8">
        <f t="shared" si="170"/>
        <v>269.90132894533838</v>
      </c>
      <c r="AS602" s="8">
        <f t="shared" si="171"/>
        <v>82.463335852750092</v>
      </c>
    </row>
    <row r="603" spans="1:45">
      <c r="A603" s="19">
        <v>28.7287</v>
      </c>
      <c r="B603" s="19">
        <v>818.86322859999996</v>
      </c>
      <c r="C603" s="19">
        <v>-410.3293094</v>
      </c>
      <c r="E603" s="9">
        <f t="shared" si="161"/>
        <v>141.13677140000004</v>
      </c>
      <c r="F603" s="9">
        <f t="shared" si="162"/>
        <v>129.6706906</v>
      </c>
      <c r="I603">
        <v>1</v>
      </c>
      <c r="J603">
        <f t="shared" si="157"/>
        <v>0.12569321783093976</v>
      </c>
      <c r="K603">
        <f t="shared" si="163"/>
        <v>0.74308309456420329</v>
      </c>
      <c r="O603">
        <f t="shared" si="164"/>
        <v>9.2315219039609805E-2</v>
      </c>
      <c r="P603">
        <f t="shared" si="165"/>
        <v>8.4815445946615081E-2</v>
      </c>
      <c r="Q603">
        <f t="shared" si="166"/>
        <v>0.99211100208723901</v>
      </c>
      <c r="R603">
        <f t="shared" ref="R603:R666" si="172">SQRT(O603^2+P603^2+Q603^2)</f>
        <v>1</v>
      </c>
      <c r="AG603" s="8">
        <f t="shared" si="158"/>
        <v>3.2313458547987561E-4</v>
      </c>
      <c r="AH603" s="8">
        <f t="shared" si="159"/>
        <v>-0.13159279126190437</v>
      </c>
      <c r="AI603" s="8">
        <f t="shared" si="160"/>
        <v>0.99130380452812772</v>
      </c>
      <c r="AJ603" s="8"/>
      <c r="AK603" s="8"/>
      <c r="AL603" s="8"/>
      <c r="AN603" s="8">
        <f t="shared" si="167"/>
        <v>1</v>
      </c>
      <c r="AO603" s="8">
        <f t="shared" si="168"/>
        <v>4.7148445399400796</v>
      </c>
      <c r="AP603" s="8">
        <f t="shared" si="169"/>
        <v>0.13197597320366694</v>
      </c>
      <c r="AQ603" s="8"/>
      <c r="AR603" s="8">
        <f t="shared" si="170"/>
        <v>270.14069319886687</v>
      </c>
      <c r="AS603" s="8">
        <f t="shared" si="171"/>
        <v>82.43833373829824</v>
      </c>
    </row>
    <row r="604" spans="1:45">
      <c r="A604" s="19">
        <v>28.762066669999999</v>
      </c>
      <c r="B604" s="19">
        <v>819.03771119999999</v>
      </c>
      <c r="C604" s="19">
        <v>-411.26715259999997</v>
      </c>
      <c r="E604" s="9">
        <f t="shared" si="161"/>
        <v>140.96228880000001</v>
      </c>
      <c r="F604" s="9">
        <f t="shared" si="162"/>
        <v>128.73284740000003</v>
      </c>
      <c r="I604">
        <v>1</v>
      </c>
      <c r="J604">
        <f t="shared" si="157"/>
        <v>0.12519269520343196</v>
      </c>
      <c r="K604">
        <f t="shared" si="163"/>
        <v>0.74008377691239868</v>
      </c>
      <c r="O604">
        <f t="shared" si="164"/>
        <v>9.2202504075566988E-2</v>
      </c>
      <c r="P604">
        <f t="shared" si="165"/>
        <v>8.4203307055396248E-2</v>
      </c>
      <c r="Q604">
        <f t="shared" si="166"/>
        <v>0.99217362458550051</v>
      </c>
      <c r="R604">
        <f t="shared" si="172"/>
        <v>1</v>
      </c>
      <c r="AG604" s="8">
        <f t="shared" si="158"/>
        <v>9.4497835932511043E-4</v>
      </c>
      <c r="AH604" s="8">
        <f t="shared" si="159"/>
        <v>-0.1315251380627549</v>
      </c>
      <c r="AI604" s="8">
        <f t="shared" si="160"/>
        <v>0.9913123852113791</v>
      </c>
      <c r="AJ604" s="8"/>
      <c r="AK604" s="8"/>
      <c r="AL604" s="8"/>
      <c r="AN604" s="8">
        <f t="shared" si="167"/>
        <v>1</v>
      </c>
      <c r="AO604" s="8">
        <f t="shared" si="168"/>
        <v>4.71957363050947</v>
      </c>
      <c r="AP604" s="8">
        <f t="shared" si="169"/>
        <v>0.13191075104546579</v>
      </c>
      <c r="AQ604" s="8"/>
      <c r="AR604" s="8">
        <f t="shared" si="170"/>
        <v>270.41165012942804</v>
      </c>
      <c r="AS604" s="8">
        <f t="shared" si="171"/>
        <v>82.442070692693903</v>
      </c>
    </row>
    <row r="605" spans="1:45">
      <c r="A605" s="19">
        <v>28.795433330000002</v>
      </c>
      <c r="B605" s="19">
        <v>819.75087810000002</v>
      </c>
      <c r="C605" s="19">
        <v>-411.9440348</v>
      </c>
      <c r="E605" s="9">
        <f t="shared" si="161"/>
        <v>140.24912189999998</v>
      </c>
      <c r="F605" s="9">
        <f t="shared" si="162"/>
        <v>128.0559652</v>
      </c>
      <c r="I605">
        <v>1</v>
      </c>
      <c r="J605">
        <f t="shared" si="157"/>
        <v>0.12454702285255718</v>
      </c>
      <c r="K605">
        <f t="shared" si="163"/>
        <v>0.73998429066952287</v>
      </c>
      <c r="O605">
        <f t="shared" si="164"/>
        <v>9.1737777669760212E-2</v>
      </c>
      <c r="P605">
        <f t="shared" si="165"/>
        <v>8.376216197047115E-2</v>
      </c>
      <c r="Q605">
        <f t="shared" si="166"/>
        <v>0.99225404023881214</v>
      </c>
      <c r="R605">
        <f t="shared" si="172"/>
        <v>1</v>
      </c>
      <c r="AG605" s="8">
        <f t="shared" si="158"/>
        <v>1.506543213934744E-3</v>
      </c>
      <c r="AH605" s="8">
        <f t="shared" si="159"/>
        <v>-0.1318411603257246</v>
      </c>
      <c r="AI605" s="8">
        <f t="shared" si="160"/>
        <v>0.99126971040757172</v>
      </c>
      <c r="AJ605" s="8"/>
      <c r="AK605" s="8"/>
      <c r="AL605" s="8"/>
      <c r="AN605" s="8">
        <f t="shared" si="167"/>
        <v>1</v>
      </c>
      <c r="AO605" s="8">
        <f t="shared" si="168"/>
        <v>4.7238154396398055</v>
      </c>
      <c r="AP605" s="8">
        <f t="shared" si="169"/>
        <v>0.13223480814029998</v>
      </c>
      <c r="AQ605" s="8"/>
      <c r="AR605" s="8">
        <f t="shared" si="170"/>
        <v>270.65468789009634</v>
      </c>
      <c r="AS605" s="8">
        <f t="shared" si="171"/>
        <v>82.423503588838628</v>
      </c>
    </row>
    <row r="606" spans="1:45">
      <c r="A606" s="19">
        <v>28.828800000000001</v>
      </c>
      <c r="B606" s="19">
        <v>820.11037759999999</v>
      </c>
      <c r="C606" s="19">
        <v>-412.81100620000001</v>
      </c>
      <c r="E606" s="9">
        <f t="shared" si="161"/>
        <v>139.88962240000001</v>
      </c>
      <c r="F606" s="9">
        <f t="shared" si="162"/>
        <v>127.18899379999999</v>
      </c>
      <c r="I606">
        <v>1</v>
      </c>
      <c r="J606">
        <f t="shared" si="157"/>
        <v>0.12398893014069198</v>
      </c>
      <c r="K606">
        <f t="shared" si="163"/>
        <v>0.73788006505655768</v>
      </c>
      <c r="O606">
        <f t="shared" si="164"/>
        <v>9.1504082424361949E-2</v>
      </c>
      <c r="P606">
        <f t="shared" si="165"/>
        <v>8.3196394217637554E-2</v>
      </c>
      <c r="Q606">
        <f t="shared" si="166"/>
        <v>0.99232321492992348</v>
      </c>
      <c r="R606">
        <f t="shared" si="172"/>
        <v>1</v>
      </c>
      <c r="AG606" s="8">
        <f t="shared" si="158"/>
        <v>2.1195207855608383E-3</v>
      </c>
      <c r="AH606" s="8">
        <f t="shared" si="159"/>
        <v>-0.1319017082627596</v>
      </c>
      <c r="AI606" s="8">
        <f t="shared" si="160"/>
        <v>0.99126053436470751</v>
      </c>
      <c r="AJ606" s="8"/>
      <c r="AK606" s="8"/>
      <c r="AL606" s="8"/>
      <c r="AN606" s="8">
        <f t="shared" si="167"/>
        <v>1</v>
      </c>
      <c r="AO606" s="8">
        <f t="shared" si="168"/>
        <v>4.7284565386745987</v>
      </c>
      <c r="AP606" s="8">
        <f t="shared" si="169"/>
        <v>0.13230438462665095</v>
      </c>
      <c r="AQ606" s="8"/>
      <c r="AR606" s="8">
        <f t="shared" si="170"/>
        <v>270.9206032770922</v>
      </c>
      <c r="AS606" s="8">
        <f t="shared" si="171"/>
        <v>82.419517149817366</v>
      </c>
    </row>
    <row r="607" spans="1:45">
      <c r="A607" s="19">
        <v>28.862166670000001</v>
      </c>
      <c r="B607" s="19">
        <v>820.48089019999998</v>
      </c>
      <c r="C607" s="19">
        <v>-413.7988105</v>
      </c>
      <c r="E607" s="9">
        <f t="shared" si="161"/>
        <v>139.51910980000002</v>
      </c>
      <c r="F607" s="9">
        <f t="shared" si="162"/>
        <v>126.2011895</v>
      </c>
      <c r="I607">
        <v>1</v>
      </c>
      <c r="J607">
        <f t="shared" si="157"/>
        <v>0.12337271720333987</v>
      </c>
      <c r="K607">
        <f t="shared" si="163"/>
        <v>0.73531999669859838</v>
      </c>
      <c r="O607">
        <f t="shared" si="164"/>
        <v>9.1263268193865751E-2</v>
      </c>
      <c r="P607">
        <f t="shared" si="165"/>
        <v>8.2551652029845241E-2</v>
      </c>
      <c r="Q607">
        <f t="shared" si="166"/>
        <v>0.99239923449472589</v>
      </c>
      <c r="R607">
        <f t="shared" si="172"/>
        <v>1</v>
      </c>
      <c r="AG607" s="8">
        <f t="shared" si="158"/>
        <v>2.8104697146927593E-3</v>
      </c>
      <c r="AH607" s="8">
        <f t="shared" si="159"/>
        <v>-0.13194636074815516</v>
      </c>
      <c r="AI607" s="8">
        <f t="shared" si="160"/>
        <v>0.9912528734613083</v>
      </c>
      <c r="AJ607" s="8"/>
      <c r="AK607" s="8"/>
      <c r="AL607" s="8"/>
      <c r="AN607" s="8">
        <f t="shared" si="167"/>
        <v>1</v>
      </c>
      <c r="AO607" s="8">
        <f t="shared" si="168"/>
        <v>4.7336858527151424</v>
      </c>
      <c r="AP607" s="8">
        <f t="shared" si="169"/>
        <v>0.13236244486015547</v>
      </c>
      <c r="AQ607" s="8"/>
      <c r="AR607" s="8">
        <f t="shared" si="170"/>
        <v>271.22022090136386</v>
      </c>
      <c r="AS607" s="8">
        <f t="shared" si="171"/>
        <v>82.416190543480013</v>
      </c>
    </row>
    <row r="608" spans="1:45">
      <c r="A608" s="19">
        <v>28.895533329999999</v>
      </c>
      <c r="B608" s="19">
        <v>820.48003500000004</v>
      </c>
      <c r="C608" s="19">
        <v>-414.40698839999999</v>
      </c>
      <c r="E608" s="9">
        <f t="shared" si="161"/>
        <v>139.51996499999996</v>
      </c>
      <c r="F608" s="9">
        <f t="shared" si="162"/>
        <v>125.59301160000001</v>
      </c>
      <c r="I608">
        <v>1</v>
      </c>
      <c r="J608">
        <f t="shared" ref="J608:J671" si="173">ATAN((SQRT(E608^2+F608^2)^$B$16)/($F$24))</f>
        <v>0.12310546435691501</v>
      </c>
      <c r="K608">
        <f t="shared" si="163"/>
        <v>0.7329142613013081</v>
      </c>
      <c r="O608">
        <f t="shared" si="164"/>
        <v>9.1264478064739779E-2</v>
      </c>
      <c r="P608">
        <f t="shared" si="165"/>
        <v>8.2154411752130341E-2</v>
      </c>
      <c r="Q608">
        <f t="shared" si="166"/>
        <v>0.99243208718442399</v>
      </c>
      <c r="R608">
        <f t="shared" si="172"/>
        <v>1</v>
      </c>
      <c r="AG608" s="8">
        <f t="shared" ref="AG608:AG671" si="174">$O608*$Z$27+$P608*$Z$31+$Q608*$Z$35</f>
        <v>3.1919138724106205E-3</v>
      </c>
      <c r="AH608" s="8">
        <f t="shared" ref="AH608:AH671" si="175">$O608*$AA$27+$P608*$AA$31+$Q608*$AA$35</f>
        <v>-0.13183154979399725</v>
      </c>
      <c r="AI608" s="8">
        <f t="shared" ref="AI608:AI671" si="176">$AB$27*$O608+$P608*$AB$31+$AB$35*$Q608</f>
        <v>0.99126699438887</v>
      </c>
      <c r="AJ608" s="8"/>
      <c r="AK608" s="8"/>
      <c r="AL608" s="8"/>
      <c r="AN608" s="8">
        <f t="shared" si="167"/>
        <v>1</v>
      </c>
      <c r="AO608" s="8">
        <f t="shared" si="168"/>
        <v>4.7365963144497023</v>
      </c>
      <c r="AP608" s="8">
        <f t="shared" si="169"/>
        <v>0.13225540588930418</v>
      </c>
      <c r="AQ608" s="8"/>
      <c r="AR608" s="8">
        <f t="shared" si="170"/>
        <v>271.38697807518849</v>
      </c>
      <c r="AS608" s="8">
        <f t="shared" si="171"/>
        <v>82.422323424753216</v>
      </c>
    </row>
    <row r="609" spans="1:45">
      <c r="A609" s="19">
        <v>28.928899999999999</v>
      </c>
      <c r="B609" s="19">
        <v>821.80117600000005</v>
      </c>
      <c r="C609" s="19">
        <v>-414.98798779999998</v>
      </c>
      <c r="E609" s="9">
        <f t="shared" ref="E609:E672" si="177">-(B609-($B$15/2))</f>
        <v>138.19882399999995</v>
      </c>
      <c r="F609" s="9">
        <f t="shared" ref="F609:F672" si="178">(($C$15/2)+C609)</f>
        <v>125.01201220000002</v>
      </c>
      <c r="I609">
        <v>1</v>
      </c>
      <c r="J609">
        <f t="shared" si="173"/>
        <v>0.12220530566344782</v>
      </c>
      <c r="K609">
        <f t="shared" ref="K609:K672" si="179">ATAN2(E609,F609)</f>
        <v>0.73534021118059312</v>
      </c>
      <c r="O609">
        <f t="shared" ref="O609:O672" si="180">COS(K609)*SIN(J609)</f>
        <v>9.0402362450005616E-2</v>
      </c>
      <c r="P609">
        <f t="shared" ref="P609:P672" si="181">SIN(K609)*SIN(J609)</f>
        <v>8.1776247513574582E-2</v>
      </c>
      <c r="Q609">
        <f t="shared" ref="Q609:Q672" si="182">COS(J609)</f>
        <v>0.99254221986072533</v>
      </c>
      <c r="R609">
        <f t="shared" si="172"/>
        <v>1</v>
      </c>
      <c r="AG609" s="8">
        <f t="shared" si="174"/>
        <v>3.8103046617943004E-3</v>
      </c>
      <c r="AH609" s="8">
        <f t="shared" si="175"/>
        <v>-0.13254326989983622</v>
      </c>
      <c r="AI609" s="8">
        <f t="shared" si="176"/>
        <v>0.99116989622498297</v>
      </c>
      <c r="AJ609" s="8"/>
      <c r="AK609" s="8"/>
      <c r="AL609" s="8"/>
      <c r="AN609" s="8">
        <f t="shared" ref="AN609:AN672" si="183">AG609^2+AH609^2+AI609^2</f>
        <v>1</v>
      </c>
      <c r="AO609" s="8">
        <f t="shared" ref="AO609:AO672" si="184">IF(ATAN2(AG609,AH609)&gt;=0,ATAN2(AG609,AH609),ATAN2(AG609,AH609)+2*PI())</f>
        <v>4.7411286933834713</v>
      </c>
      <c r="AP609" s="8">
        <f t="shared" ref="AP609:AP672" si="185">ACOS(AI609/AN609)</f>
        <v>0.13298969571957886</v>
      </c>
      <c r="AQ609" s="8"/>
      <c r="AR609" s="8">
        <f t="shared" ref="AR609:AR672" si="186">DEGREES(AO609)</f>
        <v>271.64666425924747</v>
      </c>
      <c r="AS609" s="8">
        <f t="shared" ref="AS609:AS672" si="187">90-DEGREES(AP609)</f>
        <v>82.380251716539107</v>
      </c>
    </row>
    <row r="610" spans="1:45">
      <c r="A610" s="19">
        <v>28.962266670000002</v>
      </c>
      <c r="B610" s="19">
        <v>821.96246189999999</v>
      </c>
      <c r="C610" s="19">
        <v>-415.70887049999999</v>
      </c>
      <c r="E610" s="9">
        <f t="shared" si="177"/>
        <v>138.03753810000001</v>
      </c>
      <c r="F610" s="9">
        <f t="shared" si="178"/>
        <v>124.29112950000001</v>
      </c>
      <c r="I610">
        <v>1</v>
      </c>
      <c r="J610">
        <f t="shared" si="173"/>
        <v>0.12180927285058198</v>
      </c>
      <c r="K610">
        <f t="shared" si="179"/>
        <v>0.73304457482047725</v>
      </c>
      <c r="O610">
        <f t="shared" si="180"/>
        <v>9.029773232394496E-2</v>
      </c>
      <c r="P610">
        <f t="shared" si="181"/>
        <v>8.13054716587399E-2</v>
      </c>
      <c r="Q610">
        <f t="shared" si="182"/>
        <v>0.99259041896217348</v>
      </c>
      <c r="R610">
        <f t="shared" si="172"/>
        <v>1</v>
      </c>
      <c r="AG610" s="8">
        <f t="shared" si="174"/>
        <v>4.2936769846598083E-3</v>
      </c>
      <c r="AH610" s="8">
        <f t="shared" si="175"/>
        <v>-0.13250799652525119</v>
      </c>
      <c r="AI610" s="8">
        <f t="shared" si="176"/>
        <v>0.99117263642355236</v>
      </c>
      <c r="AJ610" s="8"/>
      <c r="AK610" s="8"/>
      <c r="AL610" s="8"/>
      <c r="AN610" s="8">
        <f t="shared" si="183"/>
        <v>1</v>
      </c>
      <c r="AO610" s="8">
        <f t="shared" si="184"/>
        <v>4.7447808005558567</v>
      </c>
      <c r="AP610" s="8">
        <f t="shared" si="185"/>
        <v>0.13296902866815175</v>
      </c>
      <c r="AQ610" s="8"/>
      <c r="AR610" s="8">
        <f t="shared" si="186"/>
        <v>271.8559145865546</v>
      </c>
      <c r="AS610" s="8">
        <f t="shared" si="187"/>
        <v>82.381435851360862</v>
      </c>
    </row>
    <row r="611" spans="1:45">
      <c r="A611" s="19">
        <v>28.99563333</v>
      </c>
      <c r="B611" s="19">
        <v>822.5264674</v>
      </c>
      <c r="C611" s="19">
        <v>-416.749055</v>
      </c>
      <c r="E611" s="9">
        <f t="shared" si="177"/>
        <v>137.4735326</v>
      </c>
      <c r="F611" s="9">
        <f t="shared" si="178"/>
        <v>123.250945</v>
      </c>
      <c r="I611">
        <v>1</v>
      </c>
      <c r="J611">
        <f t="shared" si="173"/>
        <v>0.1210767429742486</v>
      </c>
      <c r="K611">
        <f t="shared" si="179"/>
        <v>0.73090191764635393</v>
      </c>
      <c r="O611">
        <f t="shared" si="180"/>
        <v>8.9930330084167134E-2</v>
      </c>
      <c r="P611">
        <f t="shared" si="181"/>
        <v>8.0626415553647662E-2</v>
      </c>
      <c r="Q611">
        <f t="shared" si="182"/>
        <v>0.99267916108172805</v>
      </c>
      <c r="R611">
        <f t="shared" si="172"/>
        <v>1</v>
      </c>
      <c r="AG611" s="8">
        <f t="shared" si="174"/>
        <v>5.0548548523265818E-3</v>
      </c>
      <c r="AH611" s="8">
        <f t="shared" si="175"/>
        <v>-0.13266289657366048</v>
      </c>
      <c r="AI611" s="8">
        <f t="shared" si="176"/>
        <v>0.99114832609206793</v>
      </c>
      <c r="AJ611" s="8"/>
      <c r="AK611" s="8"/>
      <c r="AL611" s="8"/>
      <c r="AN611" s="8">
        <f t="shared" si="183"/>
        <v>1</v>
      </c>
      <c r="AO611" s="8">
        <f t="shared" si="184"/>
        <v>4.7504735604238011</v>
      </c>
      <c r="AP611" s="8">
        <f t="shared" si="185"/>
        <v>0.13315227004252783</v>
      </c>
      <c r="AQ611" s="8"/>
      <c r="AR611" s="8">
        <f t="shared" si="186"/>
        <v>272.18208570076928</v>
      </c>
      <c r="AS611" s="8">
        <f t="shared" si="187"/>
        <v>82.370936893976932</v>
      </c>
    </row>
    <row r="612" spans="1:45">
      <c r="A612" s="19">
        <v>29.029</v>
      </c>
      <c r="B612" s="19">
        <v>823.16287680000005</v>
      </c>
      <c r="C612" s="19">
        <v>-417.66097200000002</v>
      </c>
      <c r="E612" s="9">
        <f t="shared" si="177"/>
        <v>136.83712319999995</v>
      </c>
      <c r="F612" s="9">
        <f t="shared" si="178"/>
        <v>122.33902799999998</v>
      </c>
      <c r="I612">
        <v>1</v>
      </c>
      <c r="J612">
        <f t="shared" si="173"/>
        <v>0.12036537499594192</v>
      </c>
      <c r="K612">
        <f t="shared" si="179"/>
        <v>0.72951724598052392</v>
      </c>
      <c r="O612">
        <f t="shared" si="180"/>
        <v>8.951542245429929E-2</v>
      </c>
      <c r="P612">
        <f t="shared" si="181"/>
        <v>8.0031131303908862E-2</v>
      </c>
      <c r="Q612">
        <f t="shared" si="182"/>
        <v>0.99276482973816349</v>
      </c>
      <c r="R612">
        <f t="shared" si="172"/>
        <v>1</v>
      </c>
      <c r="AG612" s="8">
        <f t="shared" si="174"/>
        <v>5.7495137057447659E-3</v>
      </c>
      <c r="AH612" s="8">
        <f t="shared" si="175"/>
        <v>-0.13288685684667029</v>
      </c>
      <c r="AI612" s="8">
        <f t="shared" si="176"/>
        <v>0.99111453746252753</v>
      </c>
      <c r="AJ612" s="8"/>
      <c r="AK612" s="8"/>
      <c r="AL612" s="8"/>
      <c r="AN612" s="8">
        <f t="shared" si="183"/>
        <v>0.99999999999999989</v>
      </c>
      <c r="AO612" s="8">
        <f t="shared" si="184"/>
        <v>4.7556282459759345</v>
      </c>
      <c r="AP612" s="8">
        <f t="shared" si="185"/>
        <v>0.13340653941660841</v>
      </c>
      <c r="AQ612" s="8"/>
      <c r="AR612" s="8">
        <f t="shared" si="186"/>
        <v>272.47742742762358</v>
      </c>
      <c r="AS612" s="8">
        <f t="shared" si="187"/>
        <v>82.356368331982679</v>
      </c>
    </row>
    <row r="613" spans="1:45">
      <c r="A613" s="19">
        <v>29.062366669999999</v>
      </c>
      <c r="B613" s="19">
        <v>823.55348000000004</v>
      </c>
      <c r="C613" s="19">
        <v>-418.062453</v>
      </c>
      <c r="E613" s="9">
        <f t="shared" si="177"/>
        <v>136.44651999999996</v>
      </c>
      <c r="F613" s="9">
        <f t="shared" si="178"/>
        <v>121.937547</v>
      </c>
      <c r="I613">
        <v>1</v>
      </c>
      <c r="J613">
        <f t="shared" si="173"/>
        <v>0.11999811545263052</v>
      </c>
      <c r="K613">
        <f t="shared" si="179"/>
        <v>0.72930433224866953</v>
      </c>
      <c r="O613">
        <f t="shared" si="180"/>
        <v>8.9260592695429838E-2</v>
      </c>
      <c r="P613">
        <f t="shared" si="181"/>
        <v>7.9769111861898973E-2</v>
      </c>
      <c r="Q613">
        <f t="shared" si="182"/>
        <v>0.99280886145542857</v>
      </c>
      <c r="R613">
        <f t="shared" si="172"/>
        <v>1</v>
      </c>
      <c r="AG613" s="8">
        <f t="shared" si="174"/>
        <v>6.0765948546947501E-3</v>
      </c>
      <c r="AH613" s="8">
        <f t="shared" si="175"/>
        <v>-0.1330540530481954</v>
      </c>
      <c r="AI613" s="8">
        <f t="shared" si="176"/>
        <v>0.99109015430606506</v>
      </c>
      <c r="AJ613" s="8"/>
      <c r="AK613" s="8"/>
      <c r="AL613" s="8"/>
      <c r="AN613" s="8">
        <f t="shared" si="183"/>
        <v>1</v>
      </c>
      <c r="AO613" s="8">
        <f t="shared" si="184"/>
        <v>4.758027389902403</v>
      </c>
      <c r="AP613" s="8">
        <f t="shared" si="185"/>
        <v>0.1335897309827323</v>
      </c>
      <c r="AQ613" s="8"/>
      <c r="AR613" s="8">
        <f t="shared" si="186"/>
        <v>272.61488824905467</v>
      </c>
      <c r="AS613" s="8">
        <f t="shared" si="187"/>
        <v>82.34587222840139</v>
      </c>
    </row>
    <row r="614" spans="1:45">
      <c r="A614" s="19">
        <v>29.095733330000002</v>
      </c>
      <c r="B614" s="19">
        <v>823.8078567</v>
      </c>
      <c r="C614" s="19">
        <v>-418.32624019999997</v>
      </c>
      <c r="E614" s="9">
        <f t="shared" si="177"/>
        <v>136.1921433</v>
      </c>
      <c r="F614" s="9">
        <f t="shared" si="178"/>
        <v>121.67375980000003</v>
      </c>
      <c r="I614">
        <v>1</v>
      </c>
      <c r="J614">
        <f t="shared" si="173"/>
        <v>0.11975791499220265</v>
      </c>
      <c r="K614">
        <f t="shared" si="179"/>
        <v>0.72915547400451486</v>
      </c>
      <c r="O614">
        <f t="shared" si="180"/>
        <v>8.9094625096949057E-2</v>
      </c>
      <c r="P614">
        <f t="shared" si="181"/>
        <v>7.9596941136598112E-2</v>
      </c>
      <c r="Q614">
        <f t="shared" si="182"/>
        <v>0.99283758729236826</v>
      </c>
      <c r="R614">
        <f t="shared" si="172"/>
        <v>1</v>
      </c>
      <c r="AG614" s="8">
        <f t="shared" si="174"/>
        <v>6.2910719885014427E-3</v>
      </c>
      <c r="AH614" s="8">
        <f t="shared" si="175"/>
        <v>-0.13316249583505624</v>
      </c>
      <c r="AI614" s="8">
        <f t="shared" si="176"/>
        <v>0.9910742515655494</v>
      </c>
      <c r="AJ614" s="8"/>
      <c r="AK614" s="8"/>
      <c r="AL614" s="8"/>
      <c r="AN614" s="8">
        <f t="shared" si="183"/>
        <v>0.99999999999999978</v>
      </c>
      <c r="AO614" s="8">
        <f t="shared" si="184"/>
        <v>4.7595974510852335</v>
      </c>
      <c r="AP614" s="8">
        <f t="shared" si="185"/>
        <v>0.13370907444357938</v>
      </c>
      <c r="AQ614" s="8"/>
      <c r="AR614" s="8">
        <f t="shared" si="186"/>
        <v>272.70484612840818</v>
      </c>
      <c r="AS614" s="8">
        <f t="shared" si="187"/>
        <v>82.33903435178236</v>
      </c>
    </row>
    <row r="615" spans="1:45">
      <c r="A615" s="19">
        <v>29.129100000000001</v>
      </c>
      <c r="B615" s="19">
        <v>823.82053599999995</v>
      </c>
      <c r="C615" s="19">
        <v>-419.7611981</v>
      </c>
      <c r="E615" s="9">
        <f t="shared" si="177"/>
        <v>136.17946400000005</v>
      </c>
      <c r="F615" s="9">
        <f t="shared" si="178"/>
        <v>120.2388019</v>
      </c>
      <c r="I615">
        <v>1</v>
      </c>
      <c r="J615">
        <f t="shared" si="173"/>
        <v>0.11912532273494281</v>
      </c>
      <c r="K615">
        <f t="shared" si="179"/>
        <v>0.72331142287149608</v>
      </c>
      <c r="O615">
        <f t="shared" si="180"/>
        <v>8.9087445560827622E-2</v>
      </c>
      <c r="P615">
        <f t="shared" si="181"/>
        <v>7.8659200175478589E-2</v>
      </c>
      <c r="Q615">
        <f t="shared" si="182"/>
        <v>0.99291296560735909</v>
      </c>
      <c r="R615">
        <f t="shared" si="172"/>
        <v>1</v>
      </c>
      <c r="AG615" s="8">
        <f t="shared" si="174"/>
        <v>7.1941565969920185E-3</v>
      </c>
      <c r="AH615" s="8">
        <f t="shared" si="175"/>
        <v>-0.13290041431312927</v>
      </c>
      <c r="AI615" s="8">
        <f t="shared" si="176"/>
        <v>0.99110328623522215</v>
      </c>
      <c r="AJ615" s="8"/>
      <c r="AK615" s="8"/>
      <c r="AL615" s="8"/>
      <c r="AN615" s="8">
        <f t="shared" si="183"/>
        <v>1.0000000000000002</v>
      </c>
      <c r="AO615" s="8">
        <f t="shared" si="184"/>
        <v>4.7664681345471411</v>
      </c>
      <c r="AP615" s="8">
        <f t="shared" si="185"/>
        <v>0.13349110135979103</v>
      </c>
      <c r="AQ615" s="8"/>
      <c r="AR615" s="8">
        <f t="shared" si="186"/>
        <v>273.09850729314581</v>
      </c>
      <c r="AS615" s="8">
        <f t="shared" si="187"/>
        <v>82.351523289530888</v>
      </c>
    </row>
    <row r="616" spans="1:45">
      <c r="A616" s="19">
        <v>29.162466670000001</v>
      </c>
      <c r="B616" s="19">
        <v>824.83069809999995</v>
      </c>
      <c r="C616" s="19">
        <v>-420.09499260000001</v>
      </c>
      <c r="E616" s="9">
        <f t="shared" si="177"/>
        <v>135.16930190000005</v>
      </c>
      <c r="F616" s="9">
        <f t="shared" si="178"/>
        <v>119.90500739999999</v>
      </c>
      <c r="I616">
        <v>1</v>
      </c>
      <c r="J616">
        <f t="shared" si="173"/>
        <v>0.11848261622734969</v>
      </c>
      <c r="K616">
        <f t="shared" si="179"/>
        <v>0.72562690515296724</v>
      </c>
      <c r="O616">
        <f t="shared" si="180"/>
        <v>8.8427663857006997E-2</v>
      </c>
      <c r="P616">
        <f t="shared" si="181"/>
        <v>7.8441772947701605E-2</v>
      </c>
      <c r="Q616">
        <f t="shared" si="182"/>
        <v>0.99298914219724144</v>
      </c>
      <c r="R616">
        <f t="shared" si="172"/>
        <v>1</v>
      </c>
      <c r="AG616" s="8">
        <f t="shared" si="174"/>
        <v>7.5979967889083788E-3</v>
      </c>
      <c r="AH616" s="8">
        <f t="shared" si="175"/>
        <v>-0.13346528039975952</v>
      </c>
      <c r="AI616" s="8">
        <f t="shared" si="176"/>
        <v>0.99102436366247282</v>
      </c>
      <c r="AJ616" s="8"/>
      <c r="AK616" s="8"/>
      <c r="AL616" s="8"/>
      <c r="AN616" s="8">
        <f t="shared" si="183"/>
        <v>0.99999999999999978</v>
      </c>
      <c r="AO616" s="8">
        <f t="shared" si="184"/>
        <v>4.7692562394215852</v>
      </c>
      <c r="AP616" s="8">
        <f t="shared" si="185"/>
        <v>0.13408277723905959</v>
      </c>
      <c r="AQ616" s="8"/>
      <c r="AR616" s="8">
        <f t="shared" si="186"/>
        <v>273.25825393529129</v>
      </c>
      <c r="AS616" s="8">
        <f t="shared" si="187"/>
        <v>82.317622758809108</v>
      </c>
    </row>
    <row r="617" spans="1:45">
      <c r="A617" s="19">
        <v>29.195833329999999</v>
      </c>
      <c r="B617" s="19">
        <v>825.04435590000003</v>
      </c>
      <c r="C617" s="19">
        <v>-420.95286010000001</v>
      </c>
      <c r="E617" s="9">
        <f t="shared" si="177"/>
        <v>134.95564409999997</v>
      </c>
      <c r="F617" s="9">
        <f t="shared" si="178"/>
        <v>119.04713989999999</v>
      </c>
      <c r="I617">
        <v>1</v>
      </c>
      <c r="J617">
        <f t="shared" si="173"/>
        <v>0.11800372859048495</v>
      </c>
      <c r="K617">
        <f t="shared" si="179"/>
        <v>0.72284864523140602</v>
      </c>
      <c r="O617">
        <f t="shared" si="180"/>
        <v>8.8288632101616499E-2</v>
      </c>
      <c r="P617">
        <f t="shared" si="181"/>
        <v>7.7881212063962674E-2</v>
      </c>
      <c r="Q617">
        <f t="shared" si="182"/>
        <v>0.99304563553195957</v>
      </c>
      <c r="R617">
        <f t="shared" si="172"/>
        <v>1</v>
      </c>
      <c r="AG617" s="8">
        <f t="shared" si="174"/>
        <v>8.1775881410074136E-3</v>
      </c>
      <c r="AH617" s="8">
        <f t="shared" si="175"/>
        <v>-0.13343659010861841</v>
      </c>
      <c r="AI617" s="8">
        <f t="shared" si="176"/>
        <v>0.99102361398322925</v>
      </c>
      <c r="AJ617" s="8"/>
      <c r="AK617" s="8"/>
      <c r="AL617" s="8"/>
      <c r="AN617" s="8">
        <f t="shared" si="183"/>
        <v>1</v>
      </c>
      <c r="AO617" s="8">
        <f t="shared" si="184"/>
        <v>4.7735968798955941</v>
      </c>
      <c r="AP617" s="8">
        <f t="shared" si="185"/>
        <v>0.1340883850782093</v>
      </c>
      <c r="AQ617" s="8"/>
      <c r="AR617" s="8">
        <f t="shared" si="186"/>
        <v>273.5069543148357</v>
      </c>
      <c r="AS617" s="8">
        <f t="shared" si="187"/>
        <v>82.317301453293638</v>
      </c>
    </row>
    <row r="618" spans="1:45">
      <c r="A618" s="19">
        <v>29.229199999999999</v>
      </c>
      <c r="B618" s="19">
        <v>825.57925120000004</v>
      </c>
      <c r="C618" s="19">
        <v>-421.77964129999998</v>
      </c>
      <c r="E618" s="9">
        <f t="shared" si="177"/>
        <v>134.42074879999996</v>
      </c>
      <c r="F618" s="9">
        <f t="shared" si="178"/>
        <v>118.22035870000002</v>
      </c>
      <c r="I618">
        <v>1</v>
      </c>
      <c r="J618">
        <f t="shared" si="173"/>
        <v>0.11738052523885199</v>
      </c>
      <c r="K618">
        <f t="shared" si="179"/>
        <v>0.72136171236752433</v>
      </c>
      <c r="O618">
        <f t="shared" si="180"/>
        <v>8.7939608026132293E-2</v>
      </c>
      <c r="P618">
        <f t="shared" si="181"/>
        <v>7.7341125515191039E-2</v>
      </c>
      <c r="Q618">
        <f t="shared" si="182"/>
        <v>0.99311881245108513</v>
      </c>
      <c r="R618">
        <f t="shared" si="172"/>
        <v>1</v>
      </c>
      <c r="AG618" s="8">
        <f t="shared" si="174"/>
        <v>8.7995079863464193E-3</v>
      </c>
      <c r="AH618" s="8">
        <f t="shared" si="175"/>
        <v>-0.13361331810421889</v>
      </c>
      <c r="AI618" s="8">
        <f t="shared" si="176"/>
        <v>0.9909944752037616</v>
      </c>
      <c r="AJ618" s="8"/>
      <c r="AK618" s="8"/>
      <c r="AL618" s="8"/>
      <c r="AN618" s="8">
        <f t="shared" si="183"/>
        <v>0.99999999999999978</v>
      </c>
      <c r="AO618" s="8">
        <f t="shared" si="184"/>
        <v>4.7781520281451719</v>
      </c>
      <c r="AP618" s="8">
        <f t="shared" si="185"/>
        <v>0.13430617208214479</v>
      </c>
      <c r="AQ618" s="8"/>
      <c r="AR618" s="8">
        <f t="shared" si="186"/>
        <v>273.7679450845929</v>
      </c>
      <c r="AS618" s="8">
        <f t="shared" si="187"/>
        <v>82.304823177135333</v>
      </c>
    </row>
    <row r="619" spans="1:45">
      <c r="A619" s="19">
        <v>29.262566669999998</v>
      </c>
      <c r="B619" s="19">
        <v>825.81207900000004</v>
      </c>
      <c r="C619" s="19">
        <v>-422.36061189999998</v>
      </c>
      <c r="E619" s="9">
        <f t="shared" si="177"/>
        <v>134.18792099999996</v>
      </c>
      <c r="F619" s="9">
        <f t="shared" si="178"/>
        <v>117.63938810000002</v>
      </c>
      <c r="I619">
        <v>1</v>
      </c>
      <c r="J619">
        <f t="shared" si="173"/>
        <v>0.11701343967798554</v>
      </c>
      <c r="K619">
        <f t="shared" si="179"/>
        <v>0.71977869603826039</v>
      </c>
      <c r="O619">
        <f t="shared" si="180"/>
        <v>8.7787792957320643E-2</v>
      </c>
      <c r="P619">
        <f t="shared" si="181"/>
        <v>7.6961489299388536E-2</v>
      </c>
      <c r="Q619">
        <f t="shared" si="182"/>
        <v>0.99316173535457086</v>
      </c>
      <c r="R619">
        <f t="shared" si="172"/>
        <v>1</v>
      </c>
      <c r="AG619" s="8">
        <f t="shared" si="174"/>
        <v>9.2090158966800229E-3</v>
      </c>
      <c r="AH619" s="8">
        <f t="shared" si="175"/>
        <v>-0.13364860579286753</v>
      </c>
      <c r="AI619" s="8">
        <f t="shared" si="176"/>
        <v>0.99098599596353387</v>
      </c>
      <c r="AJ619" s="8"/>
      <c r="AK619" s="8"/>
      <c r="AL619" s="8"/>
      <c r="AN619" s="8">
        <f t="shared" si="183"/>
        <v>0.99999999999999978</v>
      </c>
      <c r="AO619" s="8">
        <f t="shared" si="184"/>
        <v>4.7811849312154768</v>
      </c>
      <c r="AP619" s="8">
        <f t="shared" si="185"/>
        <v>0.13436948111350633</v>
      </c>
      <c r="AQ619" s="8"/>
      <c r="AR619" s="8">
        <f t="shared" si="186"/>
        <v>273.94171763019364</v>
      </c>
      <c r="AS619" s="8">
        <f t="shared" si="187"/>
        <v>82.301195836833259</v>
      </c>
    </row>
    <row r="620" spans="1:45">
      <c r="A620" s="19">
        <v>29.29593333</v>
      </c>
      <c r="B620" s="19">
        <v>826.5577998</v>
      </c>
      <c r="C620" s="19">
        <v>-423.37238580000002</v>
      </c>
      <c r="E620" s="9">
        <f t="shared" si="177"/>
        <v>133.4422002</v>
      </c>
      <c r="F620" s="9">
        <f t="shared" si="178"/>
        <v>116.62761419999998</v>
      </c>
      <c r="I620">
        <v>1</v>
      </c>
      <c r="J620">
        <f t="shared" si="173"/>
        <v>0.11620625409060609</v>
      </c>
      <c r="K620">
        <f t="shared" si="179"/>
        <v>0.71825965615365417</v>
      </c>
      <c r="O620">
        <f t="shared" si="180"/>
        <v>8.7300954614608406E-2</v>
      </c>
      <c r="P620">
        <f t="shared" si="181"/>
        <v>7.6300465960724304E-2</v>
      </c>
      <c r="Q620">
        <f t="shared" si="182"/>
        <v>0.99325564796660204</v>
      </c>
      <c r="R620">
        <f t="shared" si="172"/>
        <v>1</v>
      </c>
      <c r="AG620" s="8">
        <f t="shared" si="174"/>
        <v>9.9877188856211108E-3</v>
      </c>
      <c r="AH620" s="8">
        <f t="shared" si="175"/>
        <v>-0.13392143442362714</v>
      </c>
      <c r="AI620" s="8">
        <f t="shared" si="176"/>
        <v>0.99094162031543509</v>
      </c>
      <c r="AJ620" s="8"/>
      <c r="AK620" s="8"/>
      <c r="AL620" s="8"/>
      <c r="AN620" s="8">
        <f t="shared" si="183"/>
        <v>1</v>
      </c>
      <c r="AO620" s="8">
        <f t="shared" si="184"/>
        <v>4.7868301121385848</v>
      </c>
      <c r="AP620" s="8">
        <f t="shared" si="185"/>
        <v>0.13470032310832991</v>
      </c>
      <c r="AQ620" s="8"/>
      <c r="AR620" s="8">
        <f t="shared" si="186"/>
        <v>274.26516267167551</v>
      </c>
      <c r="AS620" s="8">
        <f t="shared" si="187"/>
        <v>82.282239986844189</v>
      </c>
    </row>
    <row r="621" spans="1:45">
      <c r="A621" s="19">
        <v>29.3293</v>
      </c>
      <c r="B621" s="19">
        <v>826.77760260000002</v>
      </c>
      <c r="C621" s="19">
        <v>-423.96208680000001</v>
      </c>
      <c r="E621" s="9">
        <f t="shared" si="177"/>
        <v>133.22239739999998</v>
      </c>
      <c r="F621" s="9">
        <f t="shared" si="178"/>
        <v>116.03791319999999</v>
      </c>
      <c r="I621">
        <v>1</v>
      </c>
      <c r="J621">
        <f t="shared" si="173"/>
        <v>0.11584238088327839</v>
      </c>
      <c r="K621">
        <f t="shared" si="179"/>
        <v>0.7165651604417731</v>
      </c>
      <c r="O621">
        <f t="shared" si="180"/>
        <v>8.7157580318401484E-2</v>
      </c>
      <c r="P621">
        <f t="shared" si="181"/>
        <v>7.5915040842139209E-2</v>
      </c>
      <c r="Q621">
        <f t="shared" si="182"/>
        <v>0.99329777144971876</v>
      </c>
      <c r="R621">
        <f t="shared" si="172"/>
        <v>1</v>
      </c>
      <c r="AG621" s="8">
        <f t="shared" si="174"/>
        <v>1.0400239715793597E-2</v>
      </c>
      <c r="AH621" s="8">
        <f t="shared" si="175"/>
        <v>-0.13394693957662507</v>
      </c>
      <c r="AI621" s="8">
        <f t="shared" si="176"/>
        <v>0.99093392937769054</v>
      </c>
      <c r="AJ621" s="8"/>
      <c r="AK621" s="8"/>
      <c r="AL621" s="8"/>
      <c r="AN621" s="8">
        <f t="shared" si="183"/>
        <v>0.99999999999999978</v>
      </c>
      <c r="AO621" s="8">
        <f t="shared" si="184"/>
        <v>4.7898779858957745</v>
      </c>
      <c r="AP621" s="8">
        <f t="shared" si="185"/>
        <v>0.13475758069487687</v>
      </c>
      <c r="AQ621" s="8"/>
      <c r="AR621" s="8">
        <f t="shared" si="186"/>
        <v>274.43979297445111</v>
      </c>
      <c r="AS621" s="8">
        <f t="shared" si="187"/>
        <v>82.278959368789941</v>
      </c>
    </row>
    <row r="622" spans="1:45">
      <c r="A622" s="19">
        <v>29.362666669999999</v>
      </c>
      <c r="B622" s="19">
        <v>826.82944410000005</v>
      </c>
      <c r="C622" s="19">
        <v>-424.30890199999999</v>
      </c>
      <c r="E622" s="9">
        <f t="shared" si="177"/>
        <v>133.17055589999995</v>
      </c>
      <c r="F622" s="9">
        <f t="shared" si="178"/>
        <v>115.69109800000001</v>
      </c>
      <c r="I622">
        <v>1</v>
      </c>
      <c r="J622">
        <f t="shared" si="173"/>
        <v>0.11566696477063979</v>
      </c>
      <c r="K622">
        <f t="shared" si="179"/>
        <v>0.71527567386938096</v>
      </c>
      <c r="O622">
        <f t="shared" si="180"/>
        <v>8.7123861636299052E-2</v>
      </c>
      <c r="P622">
        <f t="shared" si="181"/>
        <v>7.5688316734761923E-2</v>
      </c>
      <c r="Q622">
        <f t="shared" si="182"/>
        <v>0.99331803136932806</v>
      </c>
      <c r="R622">
        <f t="shared" si="172"/>
        <v>1</v>
      </c>
      <c r="AG622" s="8">
        <f t="shared" si="174"/>
        <v>1.0627945881123813E-2</v>
      </c>
      <c r="AH622" s="8">
        <f t="shared" si="175"/>
        <v>-0.13391382021059708</v>
      </c>
      <c r="AI622" s="8">
        <f t="shared" si="176"/>
        <v>0.99093598961938589</v>
      </c>
      <c r="AJ622" s="8"/>
      <c r="AK622" s="8"/>
      <c r="AL622" s="8"/>
      <c r="AN622" s="8">
        <f t="shared" si="183"/>
        <v>0.99999999999999989</v>
      </c>
      <c r="AO622" s="8">
        <f t="shared" si="184"/>
        <v>4.7915870489003725</v>
      </c>
      <c r="AP622" s="8">
        <f t="shared" si="185"/>
        <v>0.13474224495398612</v>
      </c>
      <c r="AQ622" s="8"/>
      <c r="AR622" s="8">
        <f t="shared" si="186"/>
        <v>274.53771507153652</v>
      </c>
      <c r="AS622" s="8">
        <f t="shared" si="187"/>
        <v>82.279838042018682</v>
      </c>
    </row>
    <row r="623" spans="1:45">
      <c r="A623" s="19">
        <v>29.396033330000002</v>
      </c>
      <c r="B623" s="19">
        <v>828.04848010000001</v>
      </c>
      <c r="C623" s="19">
        <v>-425.06779330000001</v>
      </c>
      <c r="E623" s="9">
        <f t="shared" si="177"/>
        <v>131.95151989999999</v>
      </c>
      <c r="F623" s="9">
        <f t="shared" si="178"/>
        <v>114.93220669999999</v>
      </c>
      <c r="I623">
        <v>1</v>
      </c>
      <c r="J623">
        <f t="shared" si="173"/>
        <v>0.11473447412731426</v>
      </c>
      <c r="K623">
        <f t="shared" si="179"/>
        <v>0.71657050089762397</v>
      </c>
      <c r="O623">
        <f t="shared" si="180"/>
        <v>8.6327289707029686E-2</v>
      </c>
      <c r="P623">
        <f t="shared" si="181"/>
        <v>7.5192661001391894E-2</v>
      </c>
      <c r="Q623">
        <f t="shared" si="182"/>
        <v>0.99342521750928403</v>
      </c>
      <c r="R623">
        <f t="shared" si="172"/>
        <v>1</v>
      </c>
      <c r="AG623" s="8">
        <f t="shared" si="174"/>
        <v>1.133915432730577E-2</v>
      </c>
      <c r="AH623" s="8">
        <f t="shared" si="175"/>
        <v>-0.13452828803559191</v>
      </c>
      <c r="AI623" s="8">
        <f t="shared" si="176"/>
        <v>0.99084487347785888</v>
      </c>
      <c r="AJ623" s="8"/>
      <c r="AK623" s="8"/>
      <c r="AL623" s="8"/>
      <c r="AN623" s="8">
        <f t="shared" si="183"/>
        <v>0.99999999999999989</v>
      </c>
      <c r="AO623" s="8">
        <f t="shared" si="184"/>
        <v>4.7964784706926142</v>
      </c>
      <c r="AP623" s="8">
        <f t="shared" si="185"/>
        <v>0.13541883264532073</v>
      </c>
      <c r="AQ623" s="8"/>
      <c r="AR623" s="8">
        <f t="shared" si="186"/>
        <v>274.81797289605032</v>
      </c>
      <c r="AS623" s="8">
        <f t="shared" si="187"/>
        <v>82.241072422834705</v>
      </c>
    </row>
    <row r="624" spans="1:45">
      <c r="A624" s="19">
        <v>29.429400000000001</v>
      </c>
      <c r="B624" s="19">
        <v>828.03455670000005</v>
      </c>
      <c r="C624" s="19">
        <v>-426.06700280000001</v>
      </c>
      <c r="E624" s="9">
        <f t="shared" si="177"/>
        <v>131.96544329999995</v>
      </c>
      <c r="F624" s="9">
        <f t="shared" si="178"/>
        <v>113.93299719999999</v>
      </c>
      <c r="I624">
        <v>1</v>
      </c>
      <c r="J624">
        <f t="shared" si="173"/>
        <v>0.11431080654721575</v>
      </c>
      <c r="K624">
        <f t="shared" si="179"/>
        <v>0.71219629389850503</v>
      </c>
      <c r="O624">
        <f t="shared" si="180"/>
        <v>8.633678568118712E-2</v>
      </c>
      <c r="P624">
        <f t="shared" si="181"/>
        <v>7.4539277217520586E-2</v>
      </c>
      <c r="Q624">
        <f t="shared" si="182"/>
        <v>0.99347363104922437</v>
      </c>
      <c r="R624">
        <f t="shared" si="172"/>
        <v>1</v>
      </c>
      <c r="AG624" s="8">
        <f t="shared" si="174"/>
        <v>1.1963802270694143E-2</v>
      </c>
      <c r="AH624" s="8">
        <f t="shared" si="175"/>
        <v>-0.13433135140369915</v>
      </c>
      <c r="AI624" s="8">
        <f t="shared" si="176"/>
        <v>0.99086424673881712</v>
      </c>
      <c r="AJ624" s="8"/>
      <c r="AK624" s="8"/>
      <c r="AL624" s="8"/>
      <c r="AN624" s="8">
        <f t="shared" si="183"/>
        <v>0.99999999999999978</v>
      </c>
      <c r="AO624" s="8">
        <f t="shared" si="184"/>
        <v>4.8012164914517967</v>
      </c>
      <c r="AP624" s="8">
        <f t="shared" si="185"/>
        <v>0.13527525701809573</v>
      </c>
      <c r="AQ624" s="8"/>
      <c r="AR624" s="8">
        <f t="shared" si="186"/>
        <v>275.08944148879687</v>
      </c>
      <c r="AS624" s="8">
        <f t="shared" si="187"/>
        <v>82.249298700315649</v>
      </c>
    </row>
    <row r="625" spans="1:45">
      <c r="A625" s="19">
        <v>29.462766670000001</v>
      </c>
      <c r="B625" s="19">
        <v>829.02740349999999</v>
      </c>
      <c r="C625" s="19">
        <v>-427.27100710000002</v>
      </c>
      <c r="E625" s="9">
        <f t="shared" si="177"/>
        <v>130.97259650000001</v>
      </c>
      <c r="F625" s="9">
        <f t="shared" si="178"/>
        <v>112.72899289999998</v>
      </c>
      <c r="I625">
        <v>1</v>
      </c>
      <c r="J625">
        <f t="shared" si="173"/>
        <v>0.11329901177770964</v>
      </c>
      <c r="K625">
        <f t="shared" si="179"/>
        <v>0.71067711531233646</v>
      </c>
      <c r="O625">
        <f t="shared" si="180"/>
        <v>8.5688025341280491E-2</v>
      </c>
      <c r="P625">
        <f t="shared" si="181"/>
        <v>7.3752258552133271E-2</v>
      </c>
      <c r="Q625">
        <f t="shared" si="182"/>
        <v>0.99358852986111479</v>
      </c>
      <c r="R625">
        <f t="shared" si="172"/>
        <v>1</v>
      </c>
      <c r="AG625" s="8">
        <f t="shared" si="174"/>
        <v>1.2911022017100954E-2</v>
      </c>
      <c r="AH625" s="8">
        <f t="shared" si="175"/>
        <v>-0.13472130191614118</v>
      </c>
      <c r="AI625" s="8">
        <f t="shared" si="176"/>
        <v>0.99079941275744299</v>
      </c>
      <c r="AJ625" s="8"/>
      <c r="AK625" s="8"/>
      <c r="AL625" s="8"/>
      <c r="AN625" s="8">
        <f t="shared" si="183"/>
        <v>1</v>
      </c>
      <c r="AO625" s="8">
        <f t="shared" si="184"/>
        <v>4.807932237144465</v>
      </c>
      <c r="AP625" s="8">
        <f t="shared" si="185"/>
        <v>0.13575515038366359</v>
      </c>
      <c r="AQ625" s="8"/>
      <c r="AR625" s="8">
        <f t="shared" si="186"/>
        <v>275.47422537326992</v>
      </c>
      <c r="AS625" s="8">
        <f t="shared" si="187"/>
        <v>82.221802835852273</v>
      </c>
    </row>
    <row r="626" spans="1:45">
      <c r="A626" s="19">
        <v>29.496133329999999</v>
      </c>
      <c r="B626" s="19">
        <v>829.37652309999999</v>
      </c>
      <c r="C626" s="19">
        <v>-427.63814500000001</v>
      </c>
      <c r="E626" s="9">
        <f t="shared" si="177"/>
        <v>130.62347690000001</v>
      </c>
      <c r="F626" s="9">
        <f t="shared" si="178"/>
        <v>112.36185499999999</v>
      </c>
      <c r="I626">
        <v>1</v>
      </c>
      <c r="J626">
        <f t="shared" si="173"/>
        <v>0.11296738377270889</v>
      </c>
      <c r="K626">
        <f t="shared" si="179"/>
        <v>0.71038394186837539</v>
      </c>
      <c r="O626">
        <f t="shared" si="180"/>
        <v>8.5459840045765276E-2</v>
      </c>
      <c r="P626">
        <f t="shared" si="181"/>
        <v>7.3512253566000968E-2</v>
      </c>
      <c r="Q626">
        <f t="shared" si="182"/>
        <v>0.99362596801563119</v>
      </c>
      <c r="R626">
        <f t="shared" si="172"/>
        <v>1</v>
      </c>
      <c r="AG626" s="8">
        <f t="shared" si="174"/>
        <v>1.3208812945102413E-2</v>
      </c>
      <c r="AH626" s="8">
        <f t="shared" si="175"/>
        <v>-0.13486900478879815</v>
      </c>
      <c r="AI626" s="8">
        <f t="shared" si="176"/>
        <v>0.99077539271414106</v>
      </c>
      <c r="AJ626" s="8"/>
      <c r="AK626" s="8"/>
      <c r="AL626" s="8"/>
      <c r="AN626" s="8">
        <f t="shared" si="183"/>
        <v>1</v>
      </c>
      <c r="AO626" s="8">
        <f t="shared" si="184"/>
        <v>4.8100157253943934</v>
      </c>
      <c r="AP626" s="8">
        <f t="shared" si="185"/>
        <v>0.13593251639229464</v>
      </c>
      <c r="AQ626" s="8"/>
      <c r="AR626" s="8">
        <f t="shared" si="186"/>
        <v>275.59360045665591</v>
      </c>
      <c r="AS626" s="8">
        <f t="shared" si="187"/>
        <v>82.211640512128639</v>
      </c>
    </row>
    <row r="627" spans="1:45">
      <c r="A627" s="19">
        <v>29.529499999999999</v>
      </c>
      <c r="B627" s="19">
        <v>829.68166580000002</v>
      </c>
      <c r="C627" s="19">
        <v>-428.65858350000002</v>
      </c>
      <c r="E627" s="9">
        <f t="shared" si="177"/>
        <v>130.31833419999998</v>
      </c>
      <c r="F627" s="9">
        <f t="shared" si="178"/>
        <v>111.34141649999998</v>
      </c>
      <c r="I627">
        <v>1</v>
      </c>
      <c r="J627">
        <f t="shared" si="173"/>
        <v>0.11237802248180336</v>
      </c>
      <c r="K627">
        <f t="shared" si="179"/>
        <v>0.70703155941501417</v>
      </c>
      <c r="O627">
        <f t="shared" si="180"/>
        <v>8.5260554283883599E-2</v>
      </c>
      <c r="P627">
        <f t="shared" si="181"/>
        <v>7.2844937313070277E-2</v>
      </c>
      <c r="Q627">
        <f t="shared" si="182"/>
        <v>0.99369223253030403</v>
      </c>
      <c r="R627">
        <f t="shared" si="172"/>
        <v>1</v>
      </c>
      <c r="AG627" s="8">
        <f t="shared" si="174"/>
        <v>1.3908330203019389E-2</v>
      </c>
      <c r="AH627" s="8">
        <f t="shared" si="175"/>
        <v>-0.13486618505202153</v>
      </c>
      <c r="AI627" s="8">
        <f t="shared" si="176"/>
        <v>0.99076620374358637</v>
      </c>
      <c r="AJ627" s="8"/>
      <c r="AK627" s="8"/>
      <c r="AL627" s="8"/>
      <c r="AN627" s="8">
        <f t="shared" si="183"/>
        <v>1</v>
      </c>
      <c r="AO627" s="8">
        <f t="shared" si="184"/>
        <v>4.8151525953026404</v>
      </c>
      <c r="AP627" s="8">
        <f t="shared" si="185"/>
        <v>0.13600030772505112</v>
      </c>
      <c r="AQ627" s="8"/>
      <c r="AR627" s="8">
        <f t="shared" si="186"/>
        <v>275.88792142230619</v>
      </c>
      <c r="AS627" s="8">
        <f t="shared" si="187"/>
        <v>82.207756354874121</v>
      </c>
    </row>
    <row r="628" spans="1:45">
      <c r="A628" s="19">
        <v>29.562866669999998</v>
      </c>
      <c r="B628" s="19">
        <v>829.76618050000002</v>
      </c>
      <c r="C628" s="19">
        <v>-429.20389460000001</v>
      </c>
      <c r="E628" s="9">
        <f t="shared" si="177"/>
        <v>130.23381949999998</v>
      </c>
      <c r="F628" s="9">
        <f t="shared" si="178"/>
        <v>110.79610539999999</v>
      </c>
      <c r="I628">
        <v>1</v>
      </c>
      <c r="J628">
        <f t="shared" si="173"/>
        <v>0.11210293994183317</v>
      </c>
      <c r="K628">
        <f t="shared" si="179"/>
        <v>0.70492790675381189</v>
      </c>
      <c r="O628">
        <f t="shared" si="180"/>
        <v>8.5205405439375714E-2</v>
      </c>
      <c r="P628">
        <f t="shared" si="181"/>
        <v>7.2488291581671735E-2</v>
      </c>
      <c r="Q628">
        <f t="shared" si="182"/>
        <v>0.99372304314003013</v>
      </c>
      <c r="R628">
        <f t="shared" si="172"/>
        <v>1</v>
      </c>
      <c r="AG628" s="8">
        <f t="shared" si="174"/>
        <v>1.4267008523469155E-2</v>
      </c>
      <c r="AH628" s="8">
        <f t="shared" si="175"/>
        <v>-0.13481584953187073</v>
      </c>
      <c r="AI628" s="8">
        <f t="shared" si="176"/>
        <v>0.99076795425709607</v>
      </c>
      <c r="AJ628" s="8"/>
      <c r="AK628" s="8"/>
      <c r="AL628" s="8"/>
      <c r="AN628" s="8">
        <f t="shared" si="183"/>
        <v>1</v>
      </c>
      <c r="AO628" s="8">
        <f t="shared" si="184"/>
        <v>4.8178224608779994</v>
      </c>
      <c r="AP628" s="8">
        <f t="shared" si="185"/>
        <v>0.13598739595799159</v>
      </c>
      <c r="AQ628" s="8"/>
      <c r="AR628" s="8">
        <f t="shared" si="186"/>
        <v>276.04089345164152</v>
      </c>
      <c r="AS628" s="8">
        <f t="shared" si="187"/>
        <v>82.20849614463269</v>
      </c>
    </row>
    <row r="629" spans="1:45">
      <c r="A629" s="19">
        <v>29.59623333</v>
      </c>
      <c r="B629" s="19">
        <v>830.15620650000005</v>
      </c>
      <c r="C629" s="19">
        <v>-429.91469590000003</v>
      </c>
      <c r="E629" s="9">
        <f t="shared" si="177"/>
        <v>129.84379349999995</v>
      </c>
      <c r="F629" s="9">
        <f t="shared" si="178"/>
        <v>110.08530409999997</v>
      </c>
      <c r="I629">
        <v>1</v>
      </c>
      <c r="J629">
        <f t="shared" si="173"/>
        <v>0.11160459416849818</v>
      </c>
      <c r="K629">
        <f t="shared" si="179"/>
        <v>0.7032322036579095</v>
      </c>
      <c r="O629">
        <f t="shared" si="180"/>
        <v>8.4950460688612256E-2</v>
      </c>
      <c r="P629">
        <f t="shared" si="181"/>
        <v>7.2023444835204814E-2</v>
      </c>
      <c r="Q629">
        <f t="shared" si="182"/>
        <v>0.99377866883067212</v>
      </c>
      <c r="R629">
        <f t="shared" si="172"/>
        <v>1</v>
      </c>
      <c r="AG629" s="8">
        <f t="shared" si="174"/>
        <v>1.4788499915852835E-2</v>
      </c>
      <c r="AH629" s="8">
        <f t="shared" si="175"/>
        <v>-0.13492410502474309</v>
      </c>
      <c r="AI629" s="8">
        <f t="shared" si="176"/>
        <v>0.9907455708472841</v>
      </c>
      <c r="AJ629" s="8"/>
      <c r="AK629" s="8"/>
      <c r="AL629" s="8"/>
      <c r="AN629" s="8">
        <f t="shared" si="183"/>
        <v>0.99999999999999989</v>
      </c>
      <c r="AO629" s="8">
        <f t="shared" si="184"/>
        <v>4.8215592628729267</v>
      </c>
      <c r="AP629" s="8">
        <f t="shared" si="185"/>
        <v>0.1361524040227382</v>
      </c>
      <c r="AQ629" s="8"/>
      <c r="AR629" s="8">
        <f t="shared" si="186"/>
        <v>276.25499643482692</v>
      </c>
      <c r="AS629" s="8">
        <f t="shared" si="187"/>
        <v>82.199041878937095</v>
      </c>
    </row>
    <row r="630" spans="1:45">
      <c r="A630" s="19">
        <v>29.6296</v>
      </c>
      <c r="B630" s="19">
        <v>830.70156369999995</v>
      </c>
      <c r="C630" s="19">
        <v>-430.796986</v>
      </c>
      <c r="E630" s="9">
        <f t="shared" si="177"/>
        <v>129.29843630000005</v>
      </c>
      <c r="F630" s="9">
        <f t="shared" si="178"/>
        <v>109.203014</v>
      </c>
      <c r="I630">
        <v>1</v>
      </c>
      <c r="J630">
        <f t="shared" si="173"/>
        <v>0.11095564279362943</v>
      </c>
      <c r="K630">
        <f t="shared" si="179"/>
        <v>0.70133968200550245</v>
      </c>
      <c r="O630">
        <f t="shared" si="180"/>
        <v>8.4593896096733637E-2</v>
      </c>
      <c r="P630">
        <f t="shared" si="181"/>
        <v>7.1446404798989407E-2</v>
      </c>
      <c r="Q630">
        <f t="shared" si="182"/>
        <v>0.99385073526383927</v>
      </c>
      <c r="R630">
        <f t="shared" si="172"/>
        <v>1</v>
      </c>
      <c r="AG630" s="8">
        <f t="shared" si="174"/>
        <v>1.5447639735959834E-2</v>
      </c>
      <c r="AH630" s="8">
        <f t="shared" si="175"/>
        <v>-0.13509648891741649</v>
      </c>
      <c r="AI630" s="8">
        <f t="shared" si="176"/>
        <v>0.99071202128003588</v>
      </c>
      <c r="AJ630" s="8"/>
      <c r="AK630" s="8"/>
      <c r="AL630" s="8"/>
      <c r="AN630" s="8">
        <f t="shared" si="183"/>
        <v>0.99999999999999989</v>
      </c>
      <c r="AO630" s="8">
        <f t="shared" si="184"/>
        <v>4.8262397401875798</v>
      </c>
      <c r="AP630" s="8">
        <f t="shared" si="185"/>
        <v>0.13639935627044752</v>
      </c>
      <c r="AQ630" s="8"/>
      <c r="AR630" s="8">
        <f t="shared" si="186"/>
        <v>276.52316803106328</v>
      </c>
      <c r="AS630" s="8">
        <f t="shared" si="187"/>
        <v>82.18489255740208</v>
      </c>
    </row>
    <row r="631" spans="1:45">
      <c r="A631" s="19">
        <v>29.662966669999999</v>
      </c>
      <c r="B631" s="19">
        <v>830.93772890000002</v>
      </c>
      <c r="C631" s="19">
        <v>-431.24730770000002</v>
      </c>
      <c r="E631" s="9">
        <f t="shared" si="177"/>
        <v>129.06227109999998</v>
      </c>
      <c r="F631" s="9">
        <f t="shared" si="178"/>
        <v>108.75269229999998</v>
      </c>
      <c r="I631">
        <v>1</v>
      </c>
      <c r="J631">
        <f t="shared" si="173"/>
        <v>0.11064578112076572</v>
      </c>
      <c r="K631">
        <f t="shared" si="179"/>
        <v>0.70020411629492796</v>
      </c>
      <c r="O631">
        <f t="shared" si="180"/>
        <v>8.4439472129988355E-2</v>
      </c>
      <c r="P631">
        <f t="shared" si="181"/>
        <v>7.115185446730489E-2</v>
      </c>
      <c r="Q631">
        <f t="shared" si="182"/>
        <v>0.99388499795110719</v>
      </c>
      <c r="R631">
        <f t="shared" si="172"/>
        <v>1</v>
      </c>
      <c r="AG631" s="8">
        <f t="shared" si="174"/>
        <v>1.5775940887700013E-2</v>
      </c>
      <c r="AH631" s="8">
        <f t="shared" si="175"/>
        <v>-0.13515824705433865</v>
      </c>
      <c r="AI631" s="8">
        <f t="shared" si="176"/>
        <v>0.99069842431605093</v>
      </c>
      <c r="AJ631" s="8"/>
      <c r="AK631" s="8"/>
      <c r="AL631" s="8"/>
      <c r="AN631" s="8">
        <f t="shared" si="183"/>
        <v>0.99999999999999989</v>
      </c>
      <c r="AO631" s="8">
        <f t="shared" si="184"/>
        <v>4.8285851970333509</v>
      </c>
      <c r="AP631" s="8">
        <f t="shared" si="185"/>
        <v>0.13649931460376497</v>
      </c>
      <c r="AQ631" s="8"/>
      <c r="AR631" s="8">
        <f t="shared" si="186"/>
        <v>276.65755280935605</v>
      </c>
      <c r="AS631" s="8">
        <f t="shared" si="187"/>
        <v>82.17916536677582</v>
      </c>
    </row>
    <row r="632" spans="1:45">
      <c r="A632" s="19">
        <v>29.696333330000002</v>
      </c>
      <c r="B632" s="19">
        <v>831.91978859999995</v>
      </c>
      <c r="C632" s="19">
        <v>-432.14450549999998</v>
      </c>
      <c r="E632" s="9">
        <f t="shared" si="177"/>
        <v>128.08021140000005</v>
      </c>
      <c r="F632" s="9">
        <f t="shared" si="178"/>
        <v>107.85549450000002</v>
      </c>
      <c r="I632">
        <v>1</v>
      </c>
      <c r="J632">
        <f t="shared" si="173"/>
        <v>0.10977110647228817</v>
      </c>
      <c r="K632">
        <f t="shared" si="179"/>
        <v>0.69988590039416532</v>
      </c>
      <c r="O632">
        <f t="shared" si="180"/>
        <v>8.3797116178174896E-2</v>
      </c>
      <c r="P632">
        <f t="shared" si="181"/>
        <v>7.0564994422479543E-2</v>
      </c>
      <c r="Q632">
        <f t="shared" si="182"/>
        <v>0.99398119946122565</v>
      </c>
      <c r="R632">
        <f t="shared" si="172"/>
        <v>1</v>
      </c>
      <c r="AG632" s="8">
        <f t="shared" si="174"/>
        <v>1.652872443808287E-2</v>
      </c>
      <c r="AH632" s="8">
        <f t="shared" si="175"/>
        <v>-0.13559908590277514</v>
      </c>
      <c r="AI632" s="8">
        <f t="shared" si="176"/>
        <v>0.9906259077829439</v>
      </c>
      <c r="AJ632" s="8"/>
      <c r="AK632" s="8"/>
      <c r="AL632" s="8"/>
      <c r="AN632" s="8">
        <f t="shared" si="183"/>
        <v>0.99999999999999989</v>
      </c>
      <c r="AO632" s="8">
        <f t="shared" si="184"/>
        <v>4.8336846683103598</v>
      </c>
      <c r="AP632" s="8">
        <f t="shared" si="185"/>
        <v>0.13703119746253623</v>
      </c>
      <c r="AQ632" s="8"/>
      <c r="AR632" s="8">
        <f t="shared" si="186"/>
        <v>276.94973099127685</v>
      </c>
      <c r="AS632" s="8">
        <f t="shared" si="187"/>
        <v>82.148690723772873</v>
      </c>
    </row>
    <row r="633" spans="1:45">
      <c r="A633" s="19">
        <v>29.729700000000001</v>
      </c>
      <c r="B633" s="19">
        <v>831.70960990000003</v>
      </c>
      <c r="C633" s="19">
        <v>-433.01280809999997</v>
      </c>
      <c r="E633" s="9">
        <f t="shared" si="177"/>
        <v>128.29039009999997</v>
      </c>
      <c r="F633" s="9">
        <f t="shared" si="178"/>
        <v>106.98719190000003</v>
      </c>
      <c r="I633">
        <v>1</v>
      </c>
      <c r="J633">
        <f t="shared" si="173"/>
        <v>0.10951008033281555</v>
      </c>
      <c r="K633">
        <f t="shared" si="179"/>
        <v>0.69509943869896651</v>
      </c>
      <c r="O633">
        <f t="shared" si="180"/>
        <v>8.3934649856093307E-2</v>
      </c>
      <c r="P633">
        <f t="shared" si="181"/>
        <v>6.9996922483542806E-2</v>
      </c>
      <c r="Q633">
        <f t="shared" si="182"/>
        <v>0.99400976121785034</v>
      </c>
      <c r="R633">
        <f t="shared" si="172"/>
        <v>1</v>
      </c>
      <c r="AG633" s="8">
        <f t="shared" si="174"/>
        <v>1.7033399337207697E-2</v>
      </c>
      <c r="AH633" s="8">
        <f t="shared" si="175"/>
        <v>-0.13530457928916267</v>
      </c>
      <c r="AI633" s="8">
        <f t="shared" si="176"/>
        <v>0.9906576270994949</v>
      </c>
      <c r="AJ633" s="8"/>
      <c r="AK633" s="8"/>
      <c r="AL633" s="8"/>
      <c r="AN633" s="8">
        <f t="shared" si="183"/>
        <v>1</v>
      </c>
      <c r="AO633" s="8">
        <f t="shared" si="184"/>
        <v>4.8376195014424734</v>
      </c>
      <c r="AP633" s="8">
        <f t="shared" si="185"/>
        <v>0.13679880046990744</v>
      </c>
      <c r="AQ633" s="8"/>
      <c r="AR633" s="8">
        <f t="shared" si="186"/>
        <v>277.17518032283522</v>
      </c>
      <c r="AS633" s="8">
        <f t="shared" si="187"/>
        <v>82.162006090622043</v>
      </c>
    </row>
    <row r="634" spans="1:45">
      <c r="A634" s="19">
        <v>29.763066670000001</v>
      </c>
      <c r="B634" s="19">
        <v>832.63796639999998</v>
      </c>
      <c r="C634" s="19">
        <v>-433.41543039999999</v>
      </c>
      <c r="E634" s="9">
        <f t="shared" si="177"/>
        <v>127.36203360000002</v>
      </c>
      <c r="F634" s="9">
        <f t="shared" si="178"/>
        <v>106.58456960000001</v>
      </c>
      <c r="I634">
        <v>1</v>
      </c>
      <c r="J634">
        <f t="shared" si="173"/>
        <v>0.10887127532185688</v>
      </c>
      <c r="K634">
        <f t="shared" si="179"/>
        <v>0.69681772728480185</v>
      </c>
      <c r="O634">
        <f t="shared" si="180"/>
        <v>8.3327276451341428E-2</v>
      </c>
      <c r="P634">
        <f t="shared" si="181"/>
        <v>6.9733511985210966E-2</v>
      </c>
      <c r="Q634">
        <f t="shared" si="182"/>
        <v>0.99407937424805781</v>
      </c>
      <c r="R634">
        <f t="shared" si="172"/>
        <v>1</v>
      </c>
      <c r="AG634" s="8">
        <f t="shared" si="174"/>
        <v>1.7465333111417E-2</v>
      </c>
      <c r="AH634" s="8">
        <f t="shared" si="175"/>
        <v>-0.13580536217849715</v>
      </c>
      <c r="AI634" s="8">
        <f t="shared" si="176"/>
        <v>0.99058157954954651</v>
      </c>
      <c r="AJ634" s="8"/>
      <c r="AK634" s="8"/>
      <c r="AL634" s="8"/>
      <c r="AN634" s="8">
        <f t="shared" si="183"/>
        <v>1</v>
      </c>
      <c r="AO634" s="8">
        <f t="shared" si="184"/>
        <v>4.8402925364530081</v>
      </c>
      <c r="AP634" s="8">
        <f t="shared" si="185"/>
        <v>0.13735532123774008</v>
      </c>
      <c r="AQ634" s="8"/>
      <c r="AR634" s="8">
        <f t="shared" si="186"/>
        <v>277.32833394742954</v>
      </c>
      <c r="AS634" s="8">
        <f t="shared" si="187"/>
        <v>82.130119799413848</v>
      </c>
    </row>
    <row r="635" spans="1:45">
      <c r="A635" s="19">
        <v>29.796433329999999</v>
      </c>
      <c r="B635" s="19">
        <v>832.73126890000003</v>
      </c>
      <c r="C635" s="19">
        <v>-433.94721029999999</v>
      </c>
      <c r="E635" s="9">
        <f t="shared" si="177"/>
        <v>127.26873109999997</v>
      </c>
      <c r="F635" s="9">
        <f t="shared" si="178"/>
        <v>106.05278970000001</v>
      </c>
      <c r="I635">
        <v>1</v>
      </c>
      <c r="J635">
        <f t="shared" si="173"/>
        <v>0.10859978715466445</v>
      </c>
      <c r="K635">
        <f t="shared" si="179"/>
        <v>0.69471747258567351</v>
      </c>
      <c r="O635">
        <f t="shared" si="180"/>
        <v>8.3266215866986515E-2</v>
      </c>
      <c r="P635">
        <f t="shared" si="181"/>
        <v>6.9385578092373446E-2</v>
      </c>
      <c r="Q635">
        <f t="shared" si="182"/>
        <v>0.99410883652041815</v>
      </c>
      <c r="R635">
        <f t="shared" si="172"/>
        <v>1</v>
      </c>
      <c r="AG635" s="8">
        <f t="shared" si="174"/>
        <v>1.7817260005019861E-2</v>
      </c>
      <c r="AH635" s="8">
        <f t="shared" si="175"/>
        <v>-0.13576291604735979</v>
      </c>
      <c r="AI635" s="8">
        <f t="shared" si="176"/>
        <v>0.990581130383691</v>
      </c>
      <c r="AJ635" s="8"/>
      <c r="AK635" s="8"/>
      <c r="AL635" s="8"/>
      <c r="AN635" s="8">
        <f t="shared" si="183"/>
        <v>0.99999999999999989</v>
      </c>
      <c r="AO635" s="8">
        <f t="shared" si="184"/>
        <v>4.842881263246154</v>
      </c>
      <c r="AP635" s="8">
        <f t="shared" si="185"/>
        <v>0.13735860160564406</v>
      </c>
      <c r="AQ635" s="8"/>
      <c r="AR635" s="8">
        <f t="shared" si="186"/>
        <v>277.47665706698922</v>
      </c>
      <c r="AS635" s="8">
        <f t="shared" si="187"/>
        <v>82.129931848177705</v>
      </c>
    </row>
    <row r="636" spans="1:45">
      <c r="A636" s="19">
        <v>29.829799999999999</v>
      </c>
      <c r="B636" s="19">
        <v>833.71307139999999</v>
      </c>
      <c r="C636" s="19">
        <v>-435.09577430000002</v>
      </c>
      <c r="E636" s="9">
        <f t="shared" si="177"/>
        <v>126.28692860000001</v>
      </c>
      <c r="F636" s="9">
        <f t="shared" si="178"/>
        <v>104.90422569999998</v>
      </c>
      <c r="I636">
        <v>1</v>
      </c>
      <c r="J636">
        <f t="shared" si="173"/>
        <v>0.10761944857145037</v>
      </c>
      <c r="K636">
        <f t="shared" si="179"/>
        <v>0.69317126617962399</v>
      </c>
      <c r="O636">
        <f t="shared" si="180"/>
        <v>8.2623703807622642E-2</v>
      </c>
      <c r="P636">
        <f t="shared" si="181"/>
        <v>6.8633989031900433E-2</v>
      </c>
      <c r="Q636">
        <f t="shared" si="182"/>
        <v>0.99421461421499902</v>
      </c>
      <c r="R636">
        <f t="shared" si="172"/>
        <v>1</v>
      </c>
      <c r="AG636" s="8">
        <f t="shared" si="174"/>
        <v>1.8727971790480594E-2</v>
      </c>
      <c r="AH636" s="8">
        <f t="shared" si="175"/>
        <v>-0.13615597489647824</v>
      </c>
      <c r="AI636" s="8">
        <f t="shared" si="176"/>
        <v>0.99051038034571071</v>
      </c>
      <c r="AJ636" s="8"/>
      <c r="AK636" s="8"/>
      <c r="AL636" s="8"/>
      <c r="AN636" s="8">
        <f t="shared" si="183"/>
        <v>0.99999999999999989</v>
      </c>
      <c r="AO636" s="8">
        <f t="shared" si="184"/>
        <v>4.8490791780652422</v>
      </c>
      <c r="AP636" s="8">
        <f t="shared" si="185"/>
        <v>0.13787433818404438</v>
      </c>
      <c r="AQ636" s="8"/>
      <c r="AR636" s="8">
        <f t="shared" si="186"/>
        <v>277.83177142790458</v>
      </c>
      <c r="AS636" s="8">
        <f t="shared" si="187"/>
        <v>82.100382318894845</v>
      </c>
    </row>
    <row r="637" spans="1:45">
      <c r="A637" s="19">
        <v>29.863166669999998</v>
      </c>
      <c r="B637" s="19">
        <v>833.74993170000005</v>
      </c>
      <c r="C637" s="19">
        <v>-435.3291802</v>
      </c>
      <c r="E637" s="9">
        <f t="shared" si="177"/>
        <v>126.25006829999995</v>
      </c>
      <c r="F637" s="9">
        <f t="shared" si="178"/>
        <v>104.6708198</v>
      </c>
      <c r="I637">
        <v>1</v>
      </c>
      <c r="J637">
        <f t="shared" si="173"/>
        <v>0.10750265598316326</v>
      </c>
      <c r="K637">
        <f t="shared" si="179"/>
        <v>0.69222010113454946</v>
      </c>
      <c r="O637">
        <f t="shared" si="180"/>
        <v>8.2599557729194306E-2</v>
      </c>
      <c r="P637">
        <f t="shared" si="181"/>
        <v>6.8481257389008468E-2</v>
      </c>
      <c r="Q637">
        <f t="shared" si="182"/>
        <v>0.994227152339626</v>
      </c>
      <c r="R637">
        <f t="shared" si="172"/>
        <v>1</v>
      </c>
      <c r="AG637" s="8">
        <f t="shared" si="174"/>
        <v>1.8881653937340426E-2</v>
      </c>
      <c r="AH637" s="8">
        <f t="shared" si="175"/>
        <v>-0.13613478550944438</v>
      </c>
      <c r="AI637" s="8">
        <f t="shared" si="176"/>
        <v>0.9905103751697345</v>
      </c>
      <c r="AJ637" s="8"/>
      <c r="AK637" s="8"/>
      <c r="AL637" s="8"/>
      <c r="AN637" s="8">
        <f t="shared" si="183"/>
        <v>1.0000000000000002</v>
      </c>
      <c r="AO637" s="8">
        <f t="shared" si="184"/>
        <v>4.8502079495766637</v>
      </c>
      <c r="AP637" s="8">
        <f t="shared" si="185"/>
        <v>0.13787437584450379</v>
      </c>
      <c r="AQ637" s="8"/>
      <c r="AR637" s="8">
        <f t="shared" si="186"/>
        <v>277.89644527154366</v>
      </c>
      <c r="AS637" s="8">
        <f t="shared" si="187"/>
        <v>82.10038016110947</v>
      </c>
    </row>
    <row r="638" spans="1:45">
      <c r="A638" s="19">
        <v>29.89653333</v>
      </c>
      <c r="B638" s="19">
        <v>834.97170070000004</v>
      </c>
      <c r="C638" s="19">
        <v>-436.6063231</v>
      </c>
      <c r="E638" s="9">
        <f t="shared" si="177"/>
        <v>125.02829929999996</v>
      </c>
      <c r="F638" s="9">
        <f t="shared" si="178"/>
        <v>103.3936769</v>
      </c>
      <c r="I638">
        <v>1</v>
      </c>
      <c r="J638">
        <f t="shared" si="173"/>
        <v>0.10634693145192477</v>
      </c>
      <c r="K638">
        <f t="shared" si="179"/>
        <v>0.69096645990290917</v>
      </c>
      <c r="O638">
        <f t="shared" si="180"/>
        <v>8.179979367645486E-2</v>
      </c>
      <c r="P638">
        <f t="shared" si="181"/>
        <v>6.7645336977482512E-2</v>
      </c>
      <c r="Q638">
        <f t="shared" si="182"/>
        <v>0.9943504926029314</v>
      </c>
      <c r="R638">
        <f t="shared" si="172"/>
        <v>1</v>
      </c>
      <c r="AG638" s="8">
        <f t="shared" si="174"/>
        <v>1.9919506692100006E-2</v>
      </c>
      <c r="AH638" s="8">
        <f t="shared" si="175"/>
        <v>-0.13665253502247332</v>
      </c>
      <c r="AI638" s="8">
        <f t="shared" si="176"/>
        <v>0.99041874877501945</v>
      </c>
      <c r="AJ638" s="8"/>
      <c r="AK638" s="8"/>
      <c r="AL638" s="8"/>
      <c r="AN638" s="8">
        <f t="shared" si="183"/>
        <v>1</v>
      </c>
      <c r="AO638" s="8">
        <f t="shared" si="184"/>
        <v>4.8571370750549017</v>
      </c>
      <c r="AP638" s="8">
        <f t="shared" si="185"/>
        <v>0.13853945647325916</v>
      </c>
      <c r="AQ638" s="8"/>
      <c r="AR638" s="8">
        <f t="shared" si="186"/>
        <v>278.29345491716322</v>
      </c>
      <c r="AS638" s="8">
        <f t="shared" si="187"/>
        <v>82.062273848045876</v>
      </c>
    </row>
    <row r="639" spans="1:45">
      <c r="A639" s="19">
        <v>29.9299</v>
      </c>
      <c r="B639" s="19">
        <v>835.01618169999995</v>
      </c>
      <c r="C639" s="19">
        <v>-437.16885710000003</v>
      </c>
      <c r="E639" s="9">
        <f t="shared" si="177"/>
        <v>124.98381830000005</v>
      </c>
      <c r="F639" s="9">
        <f t="shared" si="178"/>
        <v>102.83114289999997</v>
      </c>
      <c r="I639">
        <v>1</v>
      </c>
      <c r="J639">
        <f t="shared" si="173"/>
        <v>0.10608867673618674</v>
      </c>
      <c r="K639">
        <f t="shared" si="179"/>
        <v>0.68846314794650931</v>
      </c>
      <c r="O639">
        <f t="shared" si="180"/>
        <v>8.1770568204108135E-2</v>
      </c>
      <c r="P639">
        <f t="shared" si="181"/>
        <v>6.7277197147455323E-2</v>
      </c>
      <c r="Q639">
        <f t="shared" si="182"/>
        <v>0.99437787229984143</v>
      </c>
      <c r="R639">
        <f t="shared" si="172"/>
        <v>1</v>
      </c>
      <c r="AG639" s="8">
        <f t="shared" si="174"/>
        <v>2.0281348543813901E-2</v>
      </c>
      <c r="AH639" s="8">
        <f t="shared" si="175"/>
        <v>-0.1365738655823639</v>
      </c>
      <c r="AI639" s="8">
        <f t="shared" si="176"/>
        <v>0.99042225648514914</v>
      </c>
      <c r="AJ639" s="8"/>
      <c r="AK639" s="8"/>
      <c r="AL639" s="8"/>
      <c r="AN639" s="8">
        <f t="shared" si="183"/>
        <v>0.99999999999999978</v>
      </c>
      <c r="AO639" s="8">
        <f t="shared" si="184"/>
        <v>4.8598125412814746</v>
      </c>
      <c r="AP639" s="8">
        <f t="shared" si="185"/>
        <v>0.13851405377092485</v>
      </c>
      <c r="AQ639" s="8"/>
      <c r="AR639" s="8">
        <f t="shared" si="186"/>
        <v>278.44674784017565</v>
      </c>
      <c r="AS639" s="8">
        <f t="shared" si="187"/>
        <v>82.063729315677861</v>
      </c>
    </row>
    <row r="640" spans="1:45">
      <c r="A640" s="19">
        <v>29.963266669999999</v>
      </c>
      <c r="B640" s="19">
        <v>835.14193269999998</v>
      </c>
      <c r="C640" s="19">
        <v>-437.87137430000001</v>
      </c>
      <c r="E640" s="9">
        <f t="shared" si="177"/>
        <v>124.85806730000002</v>
      </c>
      <c r="F640" s="9">
        <f t="shared" si="178"/>
        <v>102.12862569999999</v>
      </c>
      <c r="I640">
        <v>1</v>
      </c>
      <c r="J640">
        <f t="shared" si="173"/>
        <v>0.10573130970341714</v>
      </c>
      <c r="K640">
        <f t="shared" si="179"/>
        <v>0.68559528623335031</v>
      </c>
      <c r="O640">
        <f t="shared" si="180"/>
        <v>8.1688106124775048E-2</v>
      </c>
      <c r="P640">
        <f t="shared" si="181"/>
        <v>6.6817420731924357E-2</v>
      </c>
      <c r="Q640">
        <f t="shared" si="182"/>
        <v>0.99441565032157475</v>
      </c>
      <c r="R640">
        <f t="shared" si="172"/>
        <v>1</v>
      </c>
      <c r="AG640" s="8">
        <f t="shared" si="174"/>
        <v>2.0746783340806096E-2</v>
      </c>
      <c r="AH640" s="8">
        <f t="shared" si="175"/>
        <v>-0.1365192071363284</v>
      </c>
      <c r="AI640" s="8">
        <f t="shared" si="176"/>
        <v>0.99042015178603771</v>
      </c>
      <c r="AJ640" s="8"/>
      <c r="AK640" s="8"/>
      <c r="AL640" s="8"/>
      <c r="AN640" s="8">
        <f t="shared" si="183"/>
        <v>1</v>
      </c>
      <c r="AO640" s="8">
        <f t="shared" si="184"/>
        <v>4.863204728893149</v>
      </c>
      <c r="AP640" s="8">
        <f t="shared" si="185"/>
        <v>0.13852929647662715</v>
      </c>
      <c r="AQ640" s="8"/>
      <c r="AR640" s="8">
        <f t="shared" si="186"/>
        <v>278.64110587364115</v>
      </c>
      <c r="AS640" s="8">
        <f t="shared" si="187"/>
        <v>82.062855972972756</v>
      </c>
    </row>
    <row r="641" spans="1:45">
      <c r="A641" s="19">
        <v>29.996633330000002</v>
      </c>
      <c r="B641" s="19">
        <v>835.48760879999998</v>
      </c>
      <c r="C641" s="19">
        <v>-438.69348150000002</v>
      </c>
      <c r="E641" s="9">
        <f t="shared" si="177"/>
        <v>124.51239120000002</v>
      </c>
      <c r="F641" s="9">
        <f t="shared" si="178"/>
        <v>101.30651849999998</v>
      </c>
      <c r="I641">
        <v>1</v>
      </c>
      <c r="J641">
        <f t="shared" si="173"/>
        <v>0.10521278634562864</v>
      </c>
      <c r="K641">
        <f t="shared" si="179"/>
        <v>0.68299442915870501</v>
      </c>
      <c r="O641">
        <f t="shared" si="180"/>
        <v>8.1461635809584015E-2</v>
      </c>
      <c r="P641">
        <f t="shared" si="181"/>
        <v>6.6279304699305167E-2</v>
      </c>
      <c r="Q641">
        <f t="shared" si="182"/>
        <v>0.9944702386998836</v>
      </c>
      <c r="R641">
        <f t="shared" si="172"/>
        <v>1</v>
      </c>
      <c r="AG641" s="8">
        <f t="shared" si="174"/>
        <v>2.1329787538606981E-2</v>
      </c>
      <c r="AH641" s="8">
        <f t="shared" si="175"/>
        <v>-0.13657854304710826</v>
      </c>
      <c r="AI641" s="8">
        <f t="shared" si="176"/>
        <v>0.99039958690555152</v>
      </c>
      <c r="AJ641" s="8"/>
      <c r="AK641" s="8"/>
      <c r="AL641" s="8"/>
      <c r="AN641" s="8">
        <f t="shared" si="183"/>
        <v>1</v>
      </c>
      <c r="AO641" s="8">
        <f t="shared" si="184"/>
        <v>4.8673098899006089</v>
      </c>
      <c r="AP641" s="8">
        <f t="shared" si="185"/>
        <v>0.13867814438351367</v>
      </c>
      <c r="AQ641" s="8"/>
      <c r="AR641" s="8">
        <f t="shared" si="186"/>
        <v>278.87631427359031</v>
      </c>
      <c r="AS641" s="8">
        <f t="shared" si="187"/>
        <v>82.054327616118812</v>
      </c>
    </row>
    <row r="642" spans="1:45">
      <c r="A642" s="19">
        <v>30.03</v>
      </c>
      <c r="B642" s="19">
        <v>836.22155629999997</v>
      </c>
      <c r="C642" s="19">
        <v>-439.64504049999999</v>
      </c>
      <c r="E642" s="9">
        <f t="shared" si="177"/>
        <v>123.77844370000003</v>
      </c>
      <c r="F642" s="9">
        <f t="shared" si="178"/>
        <v>100.35495950000001</v>
      </c>
      <c r="I642">
        <v>1</v>
      </c>
      <c r="J642">
        <f t="shared" si="173"/>
        <v>0.10444263731178254</v>
      </c>
      <c r="K642">
        <f t="shared" si="179"/>
        <v>0.68126926660092879</v>
      </c>
      <c r="O642">
        <f t="shared" si="180"/>
        <v>8.0980909314900054E-2</v>
      </c>
      <c r="P642">
        <f t="shared" si="181"/>
        <v>6.5656310029772708E-2</v>
      </c>
      <c r="Q642">
        <f t="shared" si="182"/>
        <v>0.99455082387970817</v>
      </c>
      <c r="R642">
        <f t="shared" si="172"/>
        <v>1</v>
      </c>
      <c r="AG642" s="8">
        <f t="shared" si="174"/>
        <v>2.2069091245628669E-2</v>
      </c>
      <c r="AH642" s="8">
        <f t="shared" si="175"/>
        <v>-0.13685457820948227</v>
      </c>
      <c r="AI642" s="8">
        <f t="shared" si="176"/>
        <v>0.99034528303753577</v>
      </c>
      <c r="AJ642" s="8"/>
      <c r="AK642" s="8"/>
      <c r="AL642" s="8"/>
      <c r="AN642" s="8">
        <f t="shared" si="183"/>
        <v>1</v>
      </c>
      <c r="AO642" s="8">
        <f t="shared" si="184"/>
        <v>4.8722719938876615</v>
      </c>
      <c r="AP642" s="8">
        <f t="shared" si="185"/>
        <v>0.13907043307683753</v>
      </c>
      <c r="AQ642" s="8"/>
      <c r="AR642" s="8">
        <f t="shared" si="186"/>
        <v>279.16062188955345</v>
      </c>
      <c r="AS642" s="8">
        <f t="shared" si="187"/>
        <v>82.031851129640643</v>
      </c>
    </row>
    <row r="643" spans="1:45">
      <c r="A643" s="19">
        <v>30.063366670000001</v>
      </c>
      <c r="B643" s="19">
        <v>836.85686369999996</v>
      </c>
      <c r="C643" s="19">
        <v>-440.29434450000002</v>
      </c>
      <c r="E643" s="9">
        <f t="shared" si="177"/>
        <v>123.14313630000004</v>
      </c>
      <c r="F643" s="9">
        <f t="shared" si="178"/>
        <v>99.705655499999978</v>
      </c>
      <c r="I643">
        <v>1</v>
      </c>
      <c r="J643">
        <f t="shared" si="173"/>
        <v>0.1038484217084048</v>
      </c>
      <c r="K643">
        <f t="shared" si="179"/>
        <v>0.68061126162548613</v>
      </c>
      <c r="O643">
        <f t="shared" si="180"/>
        <v>8.0564778840994042E-2</v>
      </c>
      <c r="P643">
        <f t="shared" si="181"/>
        <v>6.5231114992755287E-2</v>
      </c>
      <c r="Q643">
        <f t="shared" si="182"/>
        <v>0.99461259696783633</v>
      </c>
      <c r="R643">
        <f t="shared" si="172"/>
        <v>1</v>
      </c>
      <c r="AG643" s="8">
        <f t="shared" si="174"/>
        <v>2.2599561219856554E-2</v>
      </c>
      <c r="AH643" s="8">
        <f t="shared" si="175"/>
        <v>-0.13712645236830934</v>
      </c>
      <c r="AI643" s="8">
        <f t="shared" si="176"/>
        <v>0.99029571133755379</v>
      </c>
      <c r="AJ643" s="8"/>
      <c r="AK643" s="8"/>
      <c r="AL643" s="8"/>
      <c r="AN643" s="8">
        <f t="shared" si="183"/>
        <v>0.99999999999999989</v>
      </c>
      <c r="AO643" s="8">
        <f t="shared" si="184"/>
        <v>4.87572885858836</v>
      </c>
      <c r="AP643" s="8">
        <f t="shared" si="185"/>
        <v>0.13942757935973327</v>
      </c>
      <c r="AQ643" s="8"/>
      <c r="AR643" s="8">
        <f t="shared" si="186"/>
        <v>279.35868564725121</v>
      </c>
      <c r="AS643" s="8">
        <f t="shared" si="187"/>
        <v>82.011388154961935</v>
      </c>
    </row>
    <row r="644" spans="1:45">
      <c r="A644" s="19">
        <v>30.096733329999999</v>
      </c>
      <c r="B644" s="19">
        <v>836.85744390000002</v>
      </c>
      <c r="C644" s="19">
        <v>-440.94750959999999</v>
      </c>
      <c r="E644" s="9">
        <f t="shared" si="177"/>
        <v>123.14255609999998</v>
      </c>
      <c r="F644" s="9">
        <f t="shared" si="178"/>
        <v>99.052490400000011</v>
      </c>
      <c r="I644">
        <v>1</v>
      </c>
      <c r="J644">
        <f t="shared" si="173"/>
        <v>0.10357799487969395</v>
      </c>
      <c r="K644">
        <f t="shared" si="179"/>
        <v>0.6774014430067552</v>
      </c>
      <c r="O644">
        <f t="shared" si="180"/>
        <v>8.0564158093355612E-2</v>
      </c>
      <c r="P644">
        <f t="shared" si="181"/>
        <v>6.4803596326568305E-2</v>
      </c>
      <c r="Q644">
        <f t="shared" si="182"/>
        <v>0.99464059354816803</v>
      </c>
      <c r="R644">
        <f t="shared" si="172"/>
        <v>1</v>
      </c>
      <c r="AG644" s="8">
        <f t="shared" si="174"/>
        <v>2.3009832060606028E-2</v>
      </c>
      <c r="AH644" s="8">
        <f t="shared" si="175"/>
        <v>-0.1370032596946934</v>
      </c>
      <c r="AI644" s="8">
        <f t="shared" si="176"/>
        <v>0.99030331437472785</v>
      </c>
      <c r="AJ644" s="8"/>
      <c r="AK644" s="8"/>
      <c r="AL644" s="8"/>
      <c r="AN644" s="8">
        <f t="shared" si="183"/>
        <v>1</v>
      </c>
      <c r="AO644" s="8">
        <f t="shared" si="184"/>
        <v>4.8787870014693322</v>
      </c>
      <c r="AP644" s="8">
        <f t="shared" si="185"/>
        <v>0.13937286124425197</v>
      </c>
      <c r="AQ644" s="8"/>
      <c r="AR644" s="8">
        <f t="shared" si="186"/>
        <v>279.53390432747892</v>
      </c>
      <c r="AS644" s="8">
        <f t="shared" si="187"/>
        <v>82.014523272041927</v>
      </c>
    </row>
    <row r="645" spans="1:45">
      <c r="A645" s="19">
        <v>30.130099999999999</v>
      </c>
      <c r="B645" s="19">
        <v>837.58703679999996</v>
      </c>
      <c r="C645" s="19">
        <v>-441.85868349999998</v>
      </c>
      <c r="E645" s="9">
        <f t="shared" si="177"/>
        <v>122.41296320000004</v>
      </c>
      <c r="F645" s="9">
        <f t="shared" si="178"/>
        <v>98.141316500000016</v>
      </c>
      <c r="I645">
        <v>1</v>
      </c>
      <c r="J645">
        <f t="shared" si="173"/>
        <v>0.10282763488314256</v>
      </c>
      <c r="K645">
        <f t="shared" si="179"/>
        <v>0.6757908105595517</v>
      </c>
      <c r="O645">
        <f t="shared" si="180"/>
        <v>8.0086103010629336E-2</v>
      </c>
      <c r="P645">
        <f t="shared" si="181"/>
        <v>6.4206889346975424E-2</v>
      </c>
      <c r="Q645">
        <f t="shared" si="182"/>
        <v>0.99471789541807087</v>
      </c>
      <c r="R645">
        <f t="shared" si="172"/>
        <v>1</v>
      </c>
      <c r="AG645" s="8">
        <f t="shared" si="174"/>
        <v>2.372298687192867E-2</v>
      </c>
      <c r="AH645" s="8">
        <f t="shared" si="175"/>
        <v>-0.13728410960974141</v>
      </c>
      <c r="AI645" s="8">
        <f t="shared" si="176"/>
        <v>0.99024759183879607</v>
      </c>
      <c r="AJ645" s="8"/>
      <c r="AK645" s="8"/>
      <c r="AL645" s="8"/>
      <c r="AN645" s="8">
        <f t="shared" si="183"/>
        <v>1</v>
      </c>
      <c r="AO645" s="8">
        <f t="shared" si="184"/>
        <v>4.8835012958059441</v>
      </c>
      <c r="AP645" s="8">
        <f t="shared" si="185"/>
        <v>0.13977339584234882</v>
      </c>
      <c r="AQ645" s="8"/>
      <c r="AR645" s="8">
        <f t="shared" si="186"/>
        <v>279.80401349634917</v>
      </c>
      <c r="AS645" s="8">
        <f t="shared" si="187"/>
        <v>81.991574330022004</v>
      </c>
    </row>
    <row r="646" spans="1:45">
      <c r="A646" s="19">
        <v>30.163466669999998</v>
      </c>
      <c r="B646" s="19">
        <v>837.68942370000002</v>
      </c>
      <c r="C646" s="19">
        <v>-442.76052019999997</v>
      </c>
      <c r="E646" s="9">
        <f t="shared" si="177"/>
        <v>122.31057629999998</v>
      </c>
      <c r="F646" s="9">
        <f t="shared" si="178"/>
        <v>97.239479800000026</v>
      </c>
      <c r="I646">
        <v>1</v>
      </c>
      <c r="J646">
        <f t="shared" si="173"/>
        <v>0.10240436473763985</v>
      </c>
      <c r="K646">
        <f t="shared" si="179"/>
        <v>0.67169759996548595</v>
      </c>
      <c r="O646">
        <f t="shared" si="180"/>
        <v>8.0018664961630445E-2</v>
      </c>
      <c r="P646">
        <f t="shared" si="181"/>
        <v>6.3616521077249105E-2</v>
      </c>
      <c r="Q646">
        <f t="shared" si="182"/>
        <v>0.99476125351954992</v>
      </c>
      <c r="R646">
        <f t="shared" si="172"/>
        <v>1</v>
      </c>
      <c r="AG646" s="8">
        <f t="shared" si="174"/>
        <v>2.4309074941523526E-2</v>
      </c>
      <c r="AH646" s="8">
        <f t="shared" si="175"/>
        <v>-0.13717704469633898</v>
      </c>
      <c r="AI646" s="8">
        <f t="shared" si="176"/>
        <v>0.99024821498645776</v>
      </c>
      <c r="AJ646" s="8"/>
      <c r="AK646" s="8"/>
      <c r="AL646" s="8"/>
      <c r="AN646" s="8">
        <f t="shared" si="183"/>
        <v>0.99999999999999989</v>
      </c>
      <c r="AO646" s="8">
        <f t="shared" si="184"/>
        <v>4.8877776803378605</v>
      </c>
      <c r="AP646" s="8">
        <f t="shared" si="185"/>
        <v>0.13976892295062449</v>
      </c>
      <c r="AQ646" s="8"/>
      <c r="AR646" s="8">
        <f t="shared" si="186"/>
        <v>280.04903228160305</v>
      </c>
      <c r="AS646" s="8">
        <f t="shared" si="187"/>
        <v>81.991830607840029</v>
      </c>
    </row>
    <row r="647" spans="1:45">
      <c r="A647" s="19">
        <v>30.19683333</v>
      </c>
      <c r="B647" s="19">
        <v>838.68984239999997</v>
      </c>
      <c r="C647" s="19">
        <v>-443.11891359999998</v>
      </c>
      <c r="E647" s="9">
        <f t="shared" si="177"/>
        <v>121.31015760000003</v>
      </c>
      <c r="F647" s="9">
        <f t="shared" si="178"/>
        <v>96.881086400000015</v>
      </c>
      <c r="I647">
        <v>1</v>
      </c>
      <c r="J647">
        <f t="shared" si="173"/>
        <v>0.10174195014304986</v>
      </c>
      <c r="K647">
        <f t="shared" si="179"/>
        <v>0.6739007660887224</v>
      </c>
      <c r="O647">
        <f t="shared" si="180"/>
        <v>7.9363400845201867E-2</v>
      </c>
      <c r="P647">
        <f t="shared" si="181"/>
        <v>6.3381440156350402E-2</v>
      </c>
      <c r="Q647">
        <f t="shared" si="182"/>
        <v>0.9948287509164534</v>
      </c>
      <c r="R647">
        <f t="shared" si="172"/>
        <v>1</v>
      </c>
      <c r="AG647" s="8">
        <f t="shared" si="174"/>
        <v>2.4727492811348992E-2</v>
      </c>
      <c r="AH647" s="8">
        <f t="shared" si="175"/>
        <v>-0.13773067860405613</v>
      </c>
      <c r="AI647" s="8">
        <f t="shared" si="176"/>
        <v>0.99016100270134388</v>
      </c>
      <c r="AJ647" s="8"/>
      <c r="AK647" s="8"/>
      <c r="AL647" s="8"/>
      <c r="AN647" s="8">
        <f t="shared" si="183"/>
        <v>0.99999999999999989</v>
      </c>
      <c r="AO647" s="8">
        <f t="shared" si="184"/>
        <v>4.8900315838274615</v>
      </c>
      <c r="AP647" s="8">
        <f t="shared" si="185"/>
        <v>0.14039354740463539</v>
      </c>
      <c r="AQ647" s="8"/>
      <c r="AR647" s="8">
        <f t="shared" si="186"/>
        <v>280.17817143898696</v>
      </c>
      <c r="AS647" s="8">
        <f t="shared" si="187"/>
        <v>81.956042262844534</v>
      </c>
    </row>
    <row r="648" spans="1:45">
      <c r="A648" s="19">
        <v>30.2302</v>
      </c>
      <c r="B648" s="19">
        <v>838.34754750000002</v>
      </c>
      <c r="C648" s="19">
        <v>-443.70743470000002</v>
      </c>
      <c r="E648" s="9">
        <f t="shared" si="177"/>
        <v>121.65245249999998</v>
      </c>
      <c r="F648" s="9">
        <f t="shared" si="178"/>
        <v>96.292565299999978</v>
      </c>
      <c r="I648">
        <v>1</v>
      </c>
      <c r="J648">
        <f t="shared" si="173"/>
        <v>0.10167718445772339</v>
      </c>
      <c r="K648">
        <f t="shared" si="179"/>
        <v>0.66955997892237362</v>
      </c>
      <c r="O648">
        <f t="shared" si="180"/>
        <v>7.9587257626777708E-2</v>
      </c>
      <c r="P648">
        <f t="shared" si="181"/>
        <v>6.2996355968034545E-2</v>
      </c>
      <c r="Q648">
        <f t="shared" si="182"/>
        <v>0.99483532685475018</v>
      </c>
      <c r="R648">
        <f t="shared" si="172"/>
        <v>1</v>
      </c>
      <c r="AG648" s="8">
        <f t="shared" si="174"/>
        <v>2.5030883688719696E-2</v>
      </c>
      <c r="AH648" s="8">
        <f t="shared" si="175"/>
        <v>-0.13740664094109067</v>
      </c>
      <c r="AI648" s="8">
        <f t="shared" si="176"/>
        <v>0.99019839925494124</v>
      </c>
      <c r="AJ648" s="8"/>
      <c r="AK648" s="8"/>
      <c r="AL648" s="8"/>
      <c r="AN648" s="8">
        <f t="shared" si="183"/>
        <v>1</v>
      </c>
      <c r="AO648" s="8">
        <f t="shared" si="184"/>
        <v>4.8925796091785925</v>
      </c>
      <c r="AP648" s="8">
        <f t="shared" si="185"/>
        <v>0.14012604772007387</v>
      </c>
      <c r="AQ648" s="8"/>
      <c r="AR648" s="8">
        <f t="shared" si="186"/>
        <v>280.32416253769912</v>
      </c>
      <c r="AS648" s="8">
        <f t="shared" si="187"/>
        <v>81.971368865790993</v>
      </c>
    </row>
    <row r="649" spans="1:45">
      <c r="A649" s="19">
        <v>30.263566669999999</v>
      </c>
      <c r="B649" s="19">
        <v>839.319524</v>
      </c>
      <c r="C649" s="19">
        <v>-444.65652319999998</v>
      </c>
      <c r="E649" s="9">
        <f t="shared" si="177"/>
        <v>120.680476</v>
      </c>
      <c r="F649" s="9">
        <f t="shared" si="178"/>
        <v>95.343476800000019</v>
      </c>
      <c r="I649">
        <v>1</v>
      </c>
      <c r="J649">
        <f t="shared" si="173"/>
        <v>0.10078724885477872</v>
      </c>
      <c r="K649">
        <f t="shared" si="179"/>
        <v>0.66864367356621646</v>
      </c>
      <c r="O649">
        <f t="shared" si="180"/>
        <v>7.8950223426565672E-2</v>
      </c>
      <c r="P649">
        <f t="shared" si="181"/>
        <v>6.2374536835814128E-2</v>
      </c>
      <c r="Q649">
        <f t="shared" si="182"/>
        <v>0.99492526321096753</v>
      </c>
      <c r="R649">
        <f t="shared" si="172"/>
        <v>1</v>
      </c>
      <c r="AG649" s="8">
        <f t="shared" si="174"/>
        <v>2.5814753861165982E-2</v>
      </c>
      <c r="AH649" s="8">
        <f t="shared" si="175"/>
        <v>-0.13783073492552647</v>
      </c>
      <c r="AI649" s="8">
        <f t="shared" si="176"/>
        <v>0.9901193296734373</v>
      </c>
      <c r="AJ649" s="8"/>
      <c r="AK649" s="8"/>
      <c r="AL649" s="8"/>
      <c r="AN649" s="8">
        <f t="shared" si="183"/>
        <v>1.0000000000000002</v>
      </c>
      <c r="AO649" s="8">
        <f t="shared" si="184"/>
        <v>4.8975371074539584</v>
      </c>
      <c r="AP649" s="8">
        <f t="shared" si="185"/>
        <v>0.1406910417179823</v>
      </c>
      <c r="AQ649" s="8"/>
      <c r="AR649" s="8">
        <f t="shared" si="186"/>
        <v>280.60820626582097</v>
      </c>
      <c r="AS649" s="8">
        <f t="shared" si="187"/>
        <v>81.938997094260614</v>
      </c>
    </row>
    <row r="650" spans="1:45">
      <c r="A650" s="19">
        <v>30.296933330000002</v>
      </c>
      <c r="B650" s="19">
        <v>839.6110797</v>
      </c>
      <c r="C650" s="19">
        <v>-445.34266120000001</v>
      </c>
      <c r="E650" s="9">
        <f t="shared" si="177"/>
        <v>120.3889203</v>
      </c>
      <c r="F650" s="9">
        <f t="shared" si="178"/>
        <v>94.657338799999991</v>
      </c>
      <c r="I650">
        <v>1</v>
      </c>
      <c r="J650">
        <f t="shared" si="173"/>
        <v>0.10035664422912682</v>
      </c>
      <c r="K650">
        <f t="shared" si="179"/>
        <v>0.66630833890656294</v>
      </c>
      <c r="O650">
        <f t="shared" si="180"/>
        <v>7.8758881828544916E-2</v>
      </c>
      <c r="P650">
        <f t="shared" si="181"/>
        <v>6.1925184993570706E-2</v>
      </c>
      <c r="Q650">
        <f t="shared" si="182"/>
        <v>0.99496849698702994</v>
      </c>
      <c r="R650">
        <f t="shared" si="172"/>
        <v>1</v>
      </c>
      <c r="AG650" s="8">
        <f t="shared" si="174"/>
        <v>2.6301971722769477E-2</v>
      </c>
      <c r="AH650" s="8">
        <f t="shared" si="175"/>
        <v>-0.13788190796799299</v>
      </c>
      <c r="AI650" s="8">
        <f t="shared" si="176"/>
        <v>0.99009938174841849</v>
      </c>
      <c r="AJ650" s="8"/>
      <c r="AK650" s="8"/>
      <c r="AL650" s="8"/>
      <c r="AN650" s="8">
        <f t="shared" si="183"/>
        <v>1</v>
      </c>
      <c r="AO650" s="8">
        <f t="shared" si="184"/>
        <v>4.9008816779796822</v>
      </c>
      <c r="AP650" s="8">
        <f t="shared" si="185"/>
        <v>0.14083322450403912</v>
      </c>
      <c r="AQ650" s="8"/>
      <c r="AR650" s="8">
        <f t="shared" si="186"/>
        <v>280.79983604122879</v>
      </c>
      <c r="AS650" s="8">
        <f t="shared" si="187"/>
        <v>81.930850620700156</v>
      </c>
    </row>
    <row r="651" spans="1:45">
      <c r="A651" s="19">
        <v>30.330300000000001</v>
      </c>
      <c r="B651" s="19">
        <v>839.88725179999994</v>
      </c>
      <c r="C651" s="19">
        <v>-446.07583959999999</v>
      </c>
      <c r="E651" s="9">
        <f t="shared" si="177"/>
        <v>120.11274820000006</v>
      </c>
      <c r="F651" s="9">
        <f t="shared" si="178"/>
        <v>93.924160400000005</v>
      </c>
      <c r="I651">
        <v>1</v>
      </c>
      <c r="J651">
        <f t="shared" si="173"/>
        <v>9.9915469280442523E-2</v>
      </c>
      <c r="K651">
        <f t="shared" si="179"/>
        <v>0.66364784990220893</v>
      </c>
      <c r="O651">
        <f t="shared" si="180"/>
        <v>7.8577559378220987E-2</v>
      </c>
      <c r="P651">
        <f t="shared" si="181"/>
        <v>6.1445028953892096E-2</v>
      </c>
      <c r="Q651">
        <f t="shared" si="182"/>
        <v>0.99501260071368824</v>
      </c>
      <c r="R651">
        <f t="shared" si="172"/>
        <v>1</v>
      </c>
      <c r="AG651" s="8">
        <f t="shared" si="174"/>
        <v>2.6815750480713996E-2</v>
      </c>
      <c r="AH651" s="8">
        <f t="shared" si="175"/>
        <v>-0.13791458906978343</v>
      </c>
      <c r="AI651" s="8">
        <f t="shared" si="176"/>
        <v>0.99008104801974106</v>
      </c>
      <c r="AJ651" s="8"/>
      <c r="AK651" s="8"/>
      <c r="AL651" s="8"/>
      <c r="AN651" s="8">
        <f t="shared" si="183"/>
        <v>1</v>
      </c>
      <c r="AO651" s="8">
        <f t="shared" si="184"/>
        <v>4.9044301843775093</v>
      </c>
      <c r="AP651" s="8">
        <f t="shared" si="185"/>
        <v>0.14096377614810796</v>
      </c>
      <c r="AQ651" s="8"/>
      <c r="AR651" s="8">
        <f t="shared" si="186"/>
        <v>281.00315048139947</v>
      </c>
      <c r="AS651" s="8">
        <f t="shared" si="187"/>
        <v>81.923370562486511</v>
      </c>
    </row>
    <row r="652" spans="1:45">
      <c r="A652" s="19">
        <v>30.363666670000001</v>
      </c>
      <c r="B652" s="19">
        <v>840.87641740000004</v>
      </c>
      <c r="C652" s="19">
        <v>-446.8608342</v>
      </c>
      <c r="E652" s="9">
        <f t="shared" si="177"/>
        <v>119.12358259999996</v>
      </c>
      <c r="F652" s="9">
        <f t="shared" si="178"/>
        <v>93.139165800000001</v>
      </c>
      <c r="I652">
        <v>1</v>
      </c>
      <c r="J652">
        <f t="shared" si="173"/>
        <v>9.9083597336263721E-2</v>
      </c>
      <c r="K652">
        <f t="shared" si="179"/>
        <v>0.66358793952984818</v>
      </c>
      <c r="O652">
        <f t="shared" si="180"/>
        <v>7.7929143576823651E-2</v>
      </c>
      <c r="P652">
        <f t="shared" si="181"/>
        <v>6.0930466208575784E-2</v>
      </c>
      <c r="Q652">
        <f t="shared" si="182"/>
        <v>0.99509523507500952</v>
      </c>
      <c r="R652">
        <f t="shared" si="172"/>
        <v>1</v>
      </c>
      <c r="AG652" s="8">
        <f t="shared" si="174"/>
        <v>2.7499958667227292E-2</v>
      </c>
      <c r="AH652" s="8">
        <f t="shared" si="175"/>
        <v>-0.1383803044919926</v>
      </c>
      <c r="AI652" s="8">
        <f t="shared" si="176"/>
        <v>0.98999729474479092</v>
      </c>
      <c r="AJ652" s="8"/>
      <c r="AK652" s="8"/>
      <c r="AL652" s="8"/>
      <c r="AN652" s="8">
        <f t="shared" si="183"/>
        <v>1.0000000000000002</v>
      </c>
      <c r="AO652" s="8">
        <f t="shared" si="184"/>
        <v>4.9085605912446502</v>
      </c>
      <c r="AP652" s="8">
        <f t="shared" si="185"/>
        <v>0.14155864907987548</v>
      </c>
      <c r="AQ652" s="8"/>
      <c r="AR652" s="8">
        <f t="shared" si="186"/>
        <v>281.23980536255846</v>
      </c>
      <c r="AS652" s="8">
        <f t="shared" si="187"/>
        <v>81.88928685414966</v>
      </c>
    </row>
    <row r="653" spans="1:45">
      <c r="A653" s="19">
        <v>30.397033329999999</v>
      </c>
      <c r="B653" s="19">
        <v>840.9372214</v>
      </c>
      <c r="C653" s="19">
        <v>-447.29413019999998</v>
      </c>
      <c r="E653" s="9">
        <f t="shared" si="177"/>
        <v>119.0627786</v>
      </c>
      <c r="F653" s="9">
        <f t="shared" si="178"/>
        <v>92.705869800000016</v>
      </c>
      <c r="I653">
        <v>1</v>
      </c>
      <c r="J653">
        <f t="shared" si="173"/>
        <v>9.887641782076427E-2</v>
      </c>
      <c r="K653">
        <f t="shared" si="179"/>
        <v>0.6615740463153571</v>
      </c>
      <c r="O653">
        <f t="shared" si="180"/>
        <v>7.7889022962005713E-2</v>
      </c>
      <c r="P653">
        <f t="shared" si="181"/>
        <v>6.064674205045735E-2</v>
      </c>
      <c r="Q653">
        <f t="shared" si="182"/>
        <v>0.99511570823733331</v>
      </c>
      <c r="R653">
        <f t="shared" si="172"/>
        <v>1</v>
      </c>
      <c r="AG653" s="8">
        <f t="shared" si="174"/>
        <v>2.7783790071296638E-2</v>
      </c>
      <c r="AH653" s="8">
        <f t="shared" si="175"/>
        <v>-0.13833597669281505</v>
      </c>
      <c r="AI653" s="8">
        <f t="shared" si="176"/>
        <v>0.98999556492022678</v>
      </c>
      <c r="AJ653" s="8"/>
      <c r="AK653" s="8"/>
      <c r="AL653" s="8"/>
      <c r="AN653" s="8">
        <f t="shared" si="183"/>
        <v>1</v>
      </c>
      <c r="AO653" s="8">
        <f t="shared" si="184"/>
        <v>4.9105948292839336</v>
      </c>
      <c r="AP653" s="8">
        <f t="shared" si="185"/>
        <v>0.14157090930374272</v>
      </c>
      <c r="AQ653" s="8"/>
      <c r="AR653" s="8">
        <f t="shared" si="186"/>
        <v>281.35635861673438</v>
      </c>
      <c r="AS653" s="8">
        <f t="shared" si="187"/>
        <v>81.888584395066175</v>
      </c>
    </row>
    <row r="654" spans="1:45">
      <c r="A654" s="19">
        <v>30.430399999999999</v>
      </c>
      <c r="B654" s="19">
        <v>841.22820439999998</v>
      </c>
      <c r="C654" s="19">
        <v>-448.14618150000001</v>
      </c>
      <c r="E654" s="9">
        <f t="shared" si="177"/>
        <v>118.77179560000002</v>
      </c>
      <c r="F654" s="9">
        <f t="shared" si="178"/>
        <v>91.853818499999988</v>
      </c>
      <c r="I654">
        <v>1</v>
      </c>
      <c r="J654">
        <f t="shared" si="173"/>
        <v>9.8380826520501174E-2</v>
      </c>
      <c r="K654">
        <f t="shared" si="179"/>
        <v>0.65828709217141212</v>
      </c>
      <c r="O654">
        <f t="shared" si="180"/>
        <v>7.769781695632981E-2</v>
      </c>
      <c r="P654">
        <f t="shared" si="181"/>
        <v>6.0088686379621746E-2</v>
      </c>
      <c r="Q654">
        <f t="shared" si="182"/>
        <v>0.99516450851574889</v>
      </c>
      <c r="R654">
        <f t="shared" si="172"/>
        <v>1</v>
      </c>
      <c r="AG654" s="8">
        <f t="shared" si="174"/>
        <v>2.8375074228440253E-2</v>
      </c>
      <c r="AH654" s="8">
        <f t="shared" si="175"/>
        <v>-0.13835525147444339</v>
      </c>
      <c r="AI654" s="8">
        <f t="shared" si="176"/>
        <v>0.98997610049534723</v>
      </c>
      <c r="AJ654" s="8"/>
      <c r="AK654" s="8"/>
      <c r="AL654" s="8"/>
      <c r="AN654" s="8">
        <f t="shared" si="183"/>
        <v>0.99999999999999978</v>
      </c>
      <c r="AO654" s="8">
        <f t="shared" si="184"/>
        <v>4.9146725290204092</v>
      </c>
      <c r="AP654" s="8">
        <f t="shared" si="185"/>
        <v>0.14170879182423968</v>
      </c>
      <c r="AQ654" s="8"/>
      <c r="AR654" s="8">
        <f t="shared" si="186"/>
        <v>281.58999360175602</v>
      </c>
      <c r="AS654" s="8">
        <f t="shared" si="187"/>
        <v>81.88068430857308</v>
      </c>
    </row>
    <row r="655" spans="1:45">
      <c r="A655" s="19">
        <v>30.463766669999998</v>
      </c>
      <c r="B655" s="19">
        <v>841.90301290000002</v>
      </c>
      <c r="C655" s="19">
        <v>-449.06703620000002</v>
      </c>
      <c r="E655" s="9">
        <f t="shared" si="177"/>
        <v>118.09698709999998</v>
      </c>
      <c r="F655" s="9">
        <f t="shared" si="178"/>
        <v>90.932963799999982</v>
      </c>
      <c r="I655">
        <v>1</v>
      </c>
      <c r="J655">
        <f t="shared" si="173"/>
        <v>9.7658198433904858E-2</v>
      </c>
      <c r="K655">
        <f t="shared" si="179"/>
        <v>0.65616959451037882</v>
      </c>
      <c r="O655">
        <f t="shared" si="180"/>
        <v>7.7255065214512239E-2</v>
      </c>
      <c r="P655">
        <f t="shared" si="181"/>
        <v>5.9485277491197572E-2</v>
      </c>
      <c r="Q655">
        <f t="shared" si="182"/>
        <v>0.99523522679841703</v>
      </c>
      <c r="R655">
        <f t="shared" si="172"/>
        <v>1</v>
      </c>
      <c r="AG655" s="8">
        <f t="shared" si="174"/>
        <v>2.9083807405285239E-2</v>
      </c>
      <c r="AH655" s="8">
        <f t="shared" si="175"/>
        <v>-0.13859985014689252</v>
      </c>
      <c r="AI655" s="8">
        <f t="shared" si="176"/>
        <v>0.98992131691668861</v>
      </c>
      <c r="AJ655" s="8"/>
      <c r="AK655" s="8"/>
      <c r="AL655" s="8"/>
      <c r="AN655" s="8">
        <f t="shared" si="183"/>
        <v>0.99999999999999989</v>
      </c>
      <c r="AO655" s="8">
        <f t="shared" si="184"/>
        <v>4.9192280302747982</v>
      </c>
      <c r="AP655" s="8">
        <f t="shared" si="185"/>
        <v>0.14209615553227151</v>
      </c>
      <c r="AQ655" s="8"/>
      <c r="AR655" s="8">
        <f t="shared" si="186"/>
        <v>281.85100459719911</v>
      </c>
      <c r="AS655" s="8">
        <f t="shared" si="187"/>
        <v>81.85849000296632</v>
      </c>
    </row>
    <row r="656" spans="1:45">
      <c r="A656" s="19">
        <v>30.49713333</v>
      </c>
      <c r="B656" s="19">
        <v>842.23030040000003</v>
      </c>
      <c r="C656" s="19">
        <v>-449.89659979999999</v>
      </c>
      <c r="E656" s="9">
        <f t="shared" si="177"/>
        <v>117.76969959999997</v>
      </c>
      <c r="F656" s="9">
        <f t="shared" si="178"/>
        <v>90.10340020000001</v>
      </c>
      <c r="I656">
        <v>1</v>
      </c>
      <c r="J656">
        <f t="shared" si="173"/>
        <v>9.7154343848992741E-2</v>
      </c>
      <c r="K656">
        <f t="shared" si="179"/>
        <v>0.65308350691026884</v>
      </c>
      <c r="O656">
        <f t="shared" si="180"/>
        <v>7.7040002387823478E-2</v>
      </c>
      <c r="P656">
        <f t="shared" si="181"/>
        <v>5.8941868665164002E-2</v>
      </c>
      <c r="Q656">
        <f t="shared" si="182"/>
        <v>0.99528422782155179</v>
      </c>
      <c r="R656">
        <f t="shared" si="172"/>
        <v>1</v>
      </c>
      <c r="AG656" s="8">
        <f t="shared" si="174"/>
        <v>2.9667985643505715E-2</v>
      </c>
      <c r="AH656" s="8">
        <f t="shared" si="175"/>
        <v>-0.13864585720201644</v>
      </c>
      <c r="AI656" s="8">
        <f t="shared" si="176"/>
        <v>0.98989753859102747</v>
      </c>
      <c r="AJ656" s="8"/>
      <c r="AK656" s="8"/>
      <c r="AL656" s="8"/>
      <c r="AN656" s="8">
        <f t="shared" si="183"/>
        <v>0.99999999999999989</v>
      </c>
      <c r="AO656" s="8">
        <f t="shared" si="184"/>
        <v>4.923193762218502</v>
      </c>
      <c r="AP656" s="8">
        <f t="shared" si="185"/>
        <v>0.14226396126478247</v>
      </c>
      <c r="AQ656" s="8"/>
      <c r="AR656" s="8">
        <f t="shared" si="186"/>
        <v>282.07822430025351</v>
      </c>
      <c r="AS656" s="8">
        <f t="shared" si="187"/>
        <v>81.84887544271534</v>
      </c>
    </row>
    <row r="657" spans="1:45">
      <c r="A657" s="19">
        <v>30.5305</v>
      </c>
      <c r="B657" s="19">
        <v>842.59725219999996</v>
      </c>
      <c r="C657" s="19">
        <v>-450.29840089999999</v>
      </c>
      <c r="E657" s="9">
        <f t="shared" si="177"/>
        <v>117.40274780000004</v>
      </c>
      <c r="F657" s="9">
        <f t="shared" si="178"/>
        <v>89.70159910000001</v>
      </c>
      <c r="I657">
        <v>1</v>
      </c>
      <c r="J657">
        <f t="shared" si="173"/>
        <v>9.6801468533345661E-2</v>
      </c>
      <c r="K657">
        <f t="shared" si="179"/>
        <v>0.65243279489754713</v>
      </c>
      <c r="O657">
        <f t="shared" si="180"/>
        <v>7.6799259801914488E-2</v>
      </c>
      <c r="P657">
        <f t="shared" si="181"/>
        <v>5.8678493842953122E-2</v>
      </c>
      <c r="Q657">
        <f t="shared" si="182"/>
        <v>0.99531839531589117</v>
      </c>
      <c r="R657">
        <f t="shared" si="172"/>
        <v>1</v>
      </c>
      <c r="AG657" s="8">
        <f t="shared" si="174"/>
        <v>2.9991262715770309E-2</v>
      </c>
      <c r="AH657" s="8">
        <f t="shared" si="175"/>
        <v>-0.1387975850465431</v>
      </c>
      <c r="AI657" s="8">
        <f t="shared" si="176"/>
        <v>0.9898665337033884</v>
      </c>
      <c r="AJ657" s="8"/>
      <c r="AK657" s="8"/>
      <c r="AL657" s="8"/>
      <c r="AN657" s="8">
        <f t="shared" si="183"/>
        <v>1</v>
      </c>
      <c r="AO657" s="8">
        <f t="shared" si="184"/>
        <v>4.9251963714217526</v>
      </c>
      <c r="AP657" s="8">
        <f t="shared" si="185"/>
        <v>0.142482470633011</v>
      </c>
      <c r="AQ657" s="8"/>
      <c r="AR657" s="8">
        <f t="shared" si="186"/>
        <v>282.19296535561386</v>
      </c>
      <c r="AS657" s="8">
        <f t="shared" si="187"/>
        <v>81.836355778131775</v>
      </c>
    </row>
    <row r="658" spans="1:45">
      <c r="A658" s="19">
        <v>30.563866669999999</v>
      </c>
      <c r="B658" s="19">
        <v>843.21035519999998</v>
      </c>
      <c r="C658" s="19">
        <v>-451.12919790000001</v>
      </c>
      <c r="E658" s="9">
        <f t="shared" si="177"/>
        <v>116.78964480000002</v>
      </c>
      <c r="F658" s="9">
        <f t="shared" si="178"/>
        <v>88.870802099999992</v>
      </c>
      <c r="I658">
        <v>1</v>
      </c>
      <c r="J658">
        <f t="shared" si="173"/>
        <v>9.6148290264058175E-2</v>
      </c>
      <c r="K658">
        <f t="shared" si="179"/>
        <v>0.65047084633858387</v>
      </c>
      <c r="O658">
        <f t="shared" si="180"/>
        <v>7.6396854768240582E-2</v>
      </c>
      <c r="P658">
        <f t="shared" si="181"/>
        <v>5.8134004712468712E-2</v>
      </c>
      <c r="Q658">
        <f t="shared" si="182"/>
        <v>0.99538131290355814</v>
      </c>
      <c r="R658">
        <f t="shared" si="172"/>
        <v>1</v>
      </c>
      <c r="AG658" s="8">
        <f t="shared" si="174"/>
        <v>3.0631519510052954E-2</v>
      </c>
      <c r="AH658" s="8">
        <f t="shared" si="175"/>
        <v>-0.13902081995267151</v>
      </c>
      <c r="AI658" s="8">
        <f t="shared" si="176"/>
        <v>0.98981559981250655</v>
      </c>
      <c r="AJ658" s="8"/>
      <c r="AK658" s="8"/>
      <c r="AL658" s="8"/>
      <c r="AN658" s="8">
        <f t="shared" si="183"/>
        <v>1</v>
      </c>
      <c r="AO658" s="8">
        <f t="shared" si="184"/>
        <v>4.9292613160823988</v>
      </c>
      <c r="AP658" s="8">
        <f t="shared" si="185"/>
        <v>0.14284071052517322</v>
      </c>
      <c r="AQ658" s="8"/>
      <c r="AR658" s="8">
        <f t="shared" si="186"/>
        <v>282.42586952862314</v>
      </c>
      <c r="AS658" s="8">
        <f t="shared" si="187"/>
        <v>81.81583014425766</v>
      </c>
    </row>
    <row r="659" spans="1:45">
      <c r="A659" s="19">
        <v>30.597233330000002</v>
      </c>
      <c r="B659" s="19">
        <v>843.7527192</v>
      </c>
      <c r="C659" s="19">
        <v>-451.97636940000001</v>
      </c>
      <c r="E659" s="9">
        <f t="shared" si="177"/>
        <v>116.2472808</v>
      </c>
      <c r="F659" s="9">
        <f t="shared" si="178"/>
        <v>88.02363059999999</v>
      </c>
      <c r="I659">
        <v>1</v>
      </c>
      <c r="J659">
        <f t="shared" si="173"/>
        <v>9.5526101602665475E-2</v>
      </c>
      <c r="K659">
        <f t="shared" si="179"/>
        <v>0.64809971013994472</v>
      </c>
      <c r="O659">
        <f t="shared" si="180"/>
        <v>7.6040730786420208E-2</v>
      </c>
      <c r="P659">
        <f t="shared" si="181"/>
        <v>5.7578819489237459E-2</v>
      </c>
      <c r="Q659">
        <f t="shared" si="182"/>
        <v>0.99544085048168129</v>
      </c>
      <c r="R659">
        <f t="shared" si="172"/>
        <v>1</v>
      </c>
      <c r="AG659" s="8">
        <f t="shared" si="174"/>
        <v>3.126836729135736E-2</v>
      </c>
      <c r="AH659" s="8">
        <f t="shared" si="175"/>
        <v>-0.13919697073221002</v>
      </c>
      <c r="AI659" s="8">
        <f t="shared" si="176"/>
        <v>0.98977092932956412</v>
      </c>
      <c r="AJ659" s="8"/>
      <c r="AK659" s="8"/>
      <c r="AL659" s="8"/>
      <c r="AN659" s="8">
        <f t="shared" si="183"/>
        <v>0.99999999999999989</v>
      </c>
      <c r="AO659" s="8">
        <f t="shared" si="184"/>
        <v>4.9333549969556065</v>
      </c>
      <c r="AP659" s="8">
        <f t="shared" si="185"/>
        <v>0.14315416429681171</v>
      </c>
      <c r="AQ659" s="8"/>
      <c r="AR659" s="8">
        <f t="shared" si="186"/>
        <v>282.66042016533135</v>
      </c>
      <c r="AS659" s="8">
        <f t="shared" si="187"/>
        <v>81.797870566070316</v>
      </c>
    </row>
    <row r="660" spans="1:45">
      <c r="A660" s="19">
        <v>30.630600000000001</v>
      </c>
      <c r="B660" s="19">
        <v>844.01455780000003</v>
      </c>
      <c r="C660" s="19">
        <v>-452.61603509999998</v>
      </c>
      <c r="E660" s="9">
        <f t="shared" si="177"/>
        <v>115.98544219999997</v>
      </c>
      <c r="F660" s="9">
        <f t="shared" si="178"/>
        <v>87.383964900000024</v>
      </c>
      <c r="I660">
        <v>1</v>
      </c>
      <c r="J660">
        <f t="shared" si="173"/>
        <v>9.5134365220741826E-2</v>
      </c>
      <c r="K660">
        <f t="shared" si="179"/>
        <v>0.64567648999794369</v>
      </c>
      <c r="O660">
        <f t="shared" si="180"/>
        <v>7.5868577106912138E-2</v>
      </c>
      <c r="P660">
        <f t="shared" si="181"/>
        <v>5.7159734473326493E-2</v>
      </c>
      <c r="Q660">
        <f t="shared" si="182"/>
        <v>0.99547813826457854</v>
      </c>
      <c r="R660">
        <f t="shared" si="172"/>
        <v>1</v>
      </c>
      <c r="AG660" s="8">
        <f t="shared" si="174"/>
        <v>3.1720638686067795E-2</v>
      </c>
      <c r="AH660" s="8">
        <f t="shared" si="175"/>
        <v>-0.13923822937367025</v>
      </c>
      <c r="AI660" s="8">
        <f t="shared" si="176"/>
        <v>0.98975073456008766</v>
      </c>
      <c r="AJ660" s="8"/>
      <c r="AK660" s="8"/>
      <c r="AL660" s="8"/>
      <c r="AN660" s="8">
        <f t="shared" si="183"/>
        <v>1</v>
      </c>
      <c r="AO660" s="8">
        <f t="shared" si="184"/>
        <v>4.9363817157496319</v>
      </c>
      <c r="AP660" s="8">
        <f t="shared" si="185"/>
        <v>0.14329564792175198</v>
      </c>
      <c r="AQ660" s="8"/>
      <c r="AR660" s="8">
        <f t="shared" si="186"/>
        <v>282.83383837800193</v>
      </c>
      <c r="AS660" s="8">
        <f t="shared" si="187"/>
        <v>81.789764151491028</v>
      </c>
    </row>
    <row r="661" spans="1:45">
      <c r="A661" s="19">
        <v>30.663966670000001</v>
      </c>
      <c r="B661" s="19">
        <v>844.49988940000003</v>
      </c>
      <c r="C661" s="19">
        <v>-453.3223734</v>
      </c>
      <c r="E661" s="9">
        <f t="shared" si="177"/>
        <v>115.50011059999997</v>
      </c>
      <c r="F661" s="9">
        <f t="shared" si="178"/>
        <v>86.677626599999996</v>
      </c>
      <c r="I661">
        <v>1</v>
      </c>
      <c r="J661">
        <f t="shared" si="173"/>
        <v>9.4598998680924487E-2</v>
      </c>
      <c r="K661">
        <f t="shared" si="179"/>
        <v>0.64379219590464309</v>
      </c>
      <c r="O661">
        <f t="shared" si="180"/>
        <v>7.5549873786609545E-2</v>
      </c>
      <c r="P661">
        <f t="shared" si="181"/>
        <v>5.6696774710732374E-2</v>
      </c>
      <c r="Q661">
        <f t="shared" si="182"/>
        <v>0.99552885056548102</v>
      </c>
      <c r="R661">
        <f t="shared" si="172"/>
        <v>1</v>
      </c>
      <c r="AG661" s="8">
        <f t="shared" si="174"/>
        <v>3.2258023423637927E-2</v>
      </c>
      <c r="AH661" s="8">
        <f t="shared" si="175"/>
        <v>-0.13940561384604494</v>
      </c>
      <c r="AI661" s="8">
        <f t="shared" si="176"/>
        <v>0.98970980330246672</v>
      </c>
      <c r="AJ661" s="8"/>
      <c r="AK661" s="8"/>
      <c r="AL661" s="8"/>
      <c r="AN661" s="8">
        <f t="shared" si="183"/>
        <v>0.99999999999999989</v>
      </c>
      <c r="AO661" s="8">
        <f t="shared" si="184"/>
        <v>4.9397836559926391</v>
      </c>
      <c r="AP661" s="8">
        <f t="shared" si="185"/>
        <v>0.14358198570908254</v>
      </c>
      <c r="AQ661" s="8"/>
      <c r="AR661" s="8">
        <f t="shared" si="186"/>
        <v>283.02875519608193</v>
      </c>
      <c r="AS661" s="8">
        <f t="shared" si="187"/>
        <v>81.773358204761877</v>
      </c>
    </row>
    <row r="662" spans="1:45">
      <c r="A662" s="19">
        <v>30.697333329999999</v>
      </c>
      <c r="B662" s="19">
        <v>844.81430350000005</v>
      </c>
      <c r="C662" s="19">
        <v>-454.17716439999998</v>
      </c>
      <c r="E662" s="9">
        <f t="shared" si="177"/>
        <v>115.18569649999995</v>
      </c>
      <c r="F662" s="9">
        <f t="shared" si="178"/>
        <v>85.822835600000019</v>
      </c>
      <c r="I662">
        <v>1</v>
      </c>
      <c r="J662">
        <f t="shared" si="173"/>
        <v>9.4095713881349644E-2</v>
      </c>
      <c r="K662">
        <f t="shared" si="179"/>
        <v>0.64034641099560152</v>
      </c>
      <c r="O662">
        <f t="shared" si="180"/>
        <v>7.5343006195137799E-2</v>
      </c>
      <c r="P662">
        <f t="shared" si="181"/>
        <v>5.6136748144723837E-2</v>
      </c>
      <c r="Q662">
        <f t="shared" si="182"/>
        <v>0.99557626374136465</v>
      </c>
      <c r="R662">
        <f t="shared" si="172"/>
        <v>1</v>
      </c>
      <c r="AG662" s="8">
        <f t="shared" si="174"/>
        <v>3.2855510007251565E-2</v>
      </c>
      <c r="AH662" s="8">
        <f t="shared" si="175"/>
        <v>-0.13943864244749635</v>
      </c>
      <c r="AI662" s="8">
        <f t="shared" si="176"/>
        <v>0.98968549572809372</v>
      </c>
      <c r="AJ662" s="8"/>
      <c r="AK662" s="8"/>
      <c r="AL662" s="8"/>
      <c r="AN662" s="8">
        <f t="shared" si="183"/>
        <v>0.99999999999999989</v>
      </c>
      <c r="AO662" s="8">
        <f t="shared" si="184"/>
        <v>4.9437950506513282</v>
      </c>
      <c r="AP662" s="8">
        <f t="shared" si="185"/>
        <v>0.14375176315458882</v>
      </c>
      <c r="AQ662" s="8"/>
      <c r="AR662" s="8">
        <f t="shared" si="186"/>
        <v>283.25859117998613</v>
      </c>
      <c r="AS662" s="8">
        <f t="shared" si="187"/>
        <v>81.763630673677852</v>
      </c>
    </row>
    <row r="663" spans="1:45">
      <c r="A663" s="19">
        <v>30.730699999999999</v>
      </c>
      <c r="B663" s="19">
        <v>845.04363780000006</v>
      </c>
      <c r="C663" s="19">
        <v>-454.74088010000003</v>
      </c>
      <c r="E663" s="9">
        <f t="shared" si="177"/>
        <v>114.95636219999994</v>
      </c>
      <c r="F663" s="9">
        <f t="shared" si="178"/>
        <v>85.259119899999973</v>
      </c>
      <c r="I663">
        <v>1</v>
      </c>
      <c r="J663">
        <f t="shared" si="173"/>
        <v>9.3752782610147148E-2</v>
      </c>
      <c r="K663">
        <f t="shared" si="179"/>
        <v>0.63814538588405356</v>
      </c>
      <c r="O663">
        <f t="shared" si="180"/>
        <v>7.5192152979116703E-2</v>
      </c>
      <c r="P663">
        <f t="shared" si="181"/>
        <v>5.5767394372067673E-2</v>
      </c>
      <c r="Q663">
        <f t="shared" si="182"/>
        <v>0.99560842596641141</v>
      </c>
      <c r="R663">
        <f t="shared" si="172"/>
        <v>1</v>
      </c>
      <c r="AG663" s="8">
        <f t="shared" si="174"/>
        <v>3.3253787037696908E-2</v>
      </c>
      <c r="AH663" s="8">
        <f t="shared" si="175"/>
        <v>-0.13947405582147618</v>
      </c>
      <c r="AI663" s="8">
        <f t="shared" si="176"/>
        <v>0.98966720335694625</v>
      </c>
      <c r="AJ663" s="8"/>
      <c r="AK663" s="8"/>
      <c r="AL663" s="8"/>
      <c r="AN663" s="8">
        <f t="shared" si="183"/>
        <v>0.99999999999999989</v>
      </c>
      <c r="AO663" s="8">
        <f t="shared" si="184"/>
        <v>4.9464420737575798</v>
      </c>
      <c r="AP663" s="8">
        <f t="shared" si="185"/>
        <v>0.14387939592093102</v>
      </c>
      <c r="AQ663" s="8"/>
      <c r="AR663" s="8">
        <f t="shared" si="186"/>
        <v>283.410254432248</v>
      </c>
      <c r="AS663" s="8">
        <f t="shared" si="187"/>
        <v>81.756317854838855</v>
      </c>
    </row>
    <row r="664" spans="1:45">
      <c r="A664" s="19">
        <v>30.764066669999998</v>
      </c>
      <c r="B664" s="19">
        <v>845.80738689999998</v>
      </c>
      <c r="C664" s="19">
        <v>-455.87403929999999</v>
      </c>
      <c r="E664" s="9">
        <f t="shared" si="177"/>
        <v>114.19261310000002</v>
      </c>
      <c r="F664" s="9">
        <f t="shared" si="178"/>
        <v>84.125960700000007</v>
      </c>
      <c r="I664">
        <v>1</v>
      </c>
      <c r="J664">
        <f t="shared" si="173"/>
        <v>9.2904091788488755E-2</v>
      </c>
      <c r="K664">
        <f t="shared" si="179"/>
        <v>0.63493611938802608</v>
      </c>
      <c r="O664">
        <f t="shared" si="180"/>
        <v>7.4690422421160141E-2</v>
      </c>
      <c r="P664">
        <f t="shared" si="181"/>
        <v>5.5024605976627013E-2</v>
      </c>
      <c r="Q664">
        <f t="shared" si="182"/>
        <v>0.99568751801740774</v>
      </c>
      <c r="R664">
        <f t="shared" si="172"/>
        <v>1</v>
      </c>
      <c r="AG664" s="8">
        <f t="shared" si="174"/>
        <v>3.4112993300879815E-2</v>
      </c>
      <c r="AH664" s="8">
        <f t="shared" si="175"/>
        <v>-0.13973320538285763</v>
      </c>
      <c r="AI664" s="8">
        <f t="shared" si="176"/>
        <v>0.9896014020814069</v>
      </c>
      <c r="AJ664" s="8"/>
      <c r="AK664" s="8"/>
      <c r="AL664" s="8"/>
      <c r="AN664" s="8">
        <f t="shared" si="183"/>
        <v>1</v>
      </c>
      <c r="AO664" s="8">
        <f t="shared" si="184"/>
        <v>4.9518348522570594</v>
      </c>
      <c r="AP664" s="8">
        <f t="shared" si="185"/>
        <v>0.14433758946601172</v>
      </c>
      <c r="AQ664" s="8"/>
      <c r="AR664" s="8">
        <f t="shared" si="186"/>
        <v>283.71923788011708</v>
      </c>
      <c r="AS664" s="8">
        <f t="shared" si="187"/>
        <v>81.730065298505593</v>
      </c>
    </row>
    <row r="665" spans="1:45">
      <c r="A665" s="19">
        <v>30.79743333</v>
      </c>
      <c r="B665" s="19">
        <v>846.19285660000003</v>
      </c>
      <c r="C665" s="19">
        <v>-456.07469939999999</v>
      </c>
      <c r="E665" s="9">
        <f t="shared" si="177"/>
        <v>113.80714339999997</v>
      </c>
      <c r="F665" s="9">
        <f t="shared" si="178"/>
        <v>83.925300600000014</v>
      </c>
      <c r="I665">
        <v>1</v>
      </c>
      <c r="J665">
        <f t="shared" si="173"/>
        <v>9.2621120986192615E-2</v>
      </c>
      <c r="K665">
        <f t="shared" si="179"/>
        <v>0.63541049100125657</v>
      </c>
      <c r="O665">
        <f t="shared" si="180"/>
        <v>7.443754819507796E-2</v>
      </c>
      <c r="P665">
        <f t="shared" si="181"/>
        <v>5.4892807442163669E-2</v>
      </c>
      <c r="Q665">
        <f t="shared" si="182"/>
        <v>0.99571372949750114</v>
      </c>
      <c r="R665">
        <f t="shared" si="172"/>
        <v>1</v>
      </c>
      <c r="AG665" s="8">
        <f t="shared" si="174"/>
        <v>3.4313595770364622E-2</v>
      </c>
      <c r="AH665" s="8">
        <f t="shared" si="175"/>
        <v>-0.13993447741010079</v>
      </c>
      <c r="AI665" s="8">
        <f t="shared" si="176"/>
        <v>0.98956602567856478</v>
      </c>
      <c r="AJ665" s="8"/>
      <c r="AK665" s="8"/>
      <c r="AL665" s="8"/>
      <c r="AN665" s="8">
        <f t="shared" si="183"/>
        <v>1</v>
      </c>
      <c r="AO665" s="8">
        <f t="shared" si="184"/>
        <v>4.9528561220006821</v>
      </c>
      <c r="AP665" s="8">
        <f t="shared" si="185"/>
        <v>0.14458332970011423</v>
      </c>
      <c r="AQ665" s="8"/>
      <c r="AR665" s="8">
        <f t="shared" si="186"/>
        <v>283.77775232617103</v>
      </c>
      <c r="AS665" s="8">
        <f t="shared" si="187"/>
        <v>81.715985420234972</v>
      </c>
    </row>
    <row r="666" spans="1:45">
      <c r="A666" s="19">
        <v>30.8308</v>
      </c>
      <c r="B666" s="19">
        <v>846.11997799999995</v>
      </c>
      <c r="C666" s="19">
        <v>-457.0658833</v>
      </c>
      <c r="E666" s="9">
        <f t="shared" si="177"/>
        <v>113.88002200000005</v>
      </c>
      <c r="F666" s="9">
        <f t="shared" si="178"/>
        <v>82.934116700000004</v>
      </c>
      <c r="I666">
        <v>1</v>
      </c>
      <c r="J666">
        <f t="shared" si="173"/>
        <v>9.2273710005012208E-2</v>
      </c>
      <c r="K666">
        <f t="shared" si="179"/>
        <v>0.62944086303105717</v>
      </c>
      <c r="O666">
        <f t="shared" si="180"/>
        <v>7.4484276734833835E-2</v>
      </c>
      <c r="P666">
        <f t="shared" si="181"/>
        <v>5.4243822494535535E-2</v>
      </c>
      <c r="Q666">
        <f t="shared" si="182"/>
        <v>0.99574580101573618</v>
      </c>
      <c r="R666">
        <f t="shared" si="172"/>
        <v>1</v>
      </c>
      <c r="AG666" s="8">
        <f t="shared" si="174"/>
        <v>3.4921644140892466E-2</v>
      </c>
      <c r="AH666" s="8">
        <f t="shared" si="175"/>
        <v>-0.13970095368111263</v>
      </c>
      <c r="AI666" s="8">
        <f t="shared" si="176"/>
        <v>0.9895777495028294</v>
      </c>
      <c r="AJ666" s="8"/>
      <c r="AK666" s="8"/>
      <c r="AL666" s="8"/>
      <c r="AN666" s="8">
        <f t="shared" si="183"/>
        <v>1.0000000000000002</v>
      </c>
      <c r="AO666" s="8">
        <f t="shared" si="184"/>
        <v>4.9573434284179863</v>
      </c>
      <c r="AP666" s="8">
        <f t="shared" si="185"/>
        <v>0.14450193677676015</v>
      </c>
      <c r="AQ666" s="8"/>
      <c r="AR666" s="8">
        <f t="shared" si="186"/>
        <v>284.03485604526452</v>
      </c>
      <c r="AS666" s="8">
        <f t="shared" si="187"/>
        <v>81.720648891225395</v>
      </c>
    </row>
    <row r="667" spans="1:45">
      <c r="A667" s="19">
        <v>30.864166669999999</v>
      </c>
      <c r="B667" s="19">
        <v>847.08931519999999</v>
      </c>
      <c r="C667" s="19">
        <v>-458.06192499999997</v>
      </c>
      <c r="E667" s="9">
        <f t="shared" si="177"/>
        <v>112.91068480000001</v>
      </c>
      <c r="F667" s="9">
        <f t="shared" si="178"/>
        <v>81.938075000000026</v>
      </c>
      <c r="I667">
        <v>1</v>
      </c>
      <c r="J667">
        <f t="shared" si="173"/>
        <v>9.1370905692562135E-2</v>
      </c>
      <c r="K667">
        <f t="shared" si="179"/>
        <v>0.6277598543961076</v>
      </c>
      <c r="O667">
        <f t="shared" si="180"/>
        <v>7.3847753572714697E-2</v>
      </c>
      <c r="P667">
        <f t="shared" si="181"/>
        <v>5.3590524063694418E-2</v>
      </c>
      <c r="Q667">
        <f t="shared" si="182"/>
        <v>0.99582858214797298</v>
      </c>
      <c r="R667">
        <f t="shared" ref="R667:R730" si="188">SQRT(O667^2+P667^2+Q667^2)</f>
        <v>1</v>
      </c>
      <c r="AG667" s="8">
        <f t="shared" si="174"/>
        <v>3.5734566157063594E-2</v>
      </c>
      <c r="AH667" s="8">
        <f t="shared" si="175"/>
        <v>-0.14011367217684234</v>
      </c>
      <c r="AI667" s="8">
        <f t="shared" si="176"/>
        <v>0.98949037370289084</v>
      </c>
      <c r="AJ667" s="8"/>
      <c r="AK667" s="8"/>
      <c r="AL667" s="8"/>
      <c r="AN667" s="8">
        <f t="shared" si="183"/>
        <v>0.99999999999999978</v>
      </c>
      <c r="AO667" s="8">
        <f t="shared" si="184"/>
        <v>4.9621053527118431</v>
      </c>
      <c r="AP667" s="8">
        <f t="shared" si="185"/>
        <v>0.14510745515764989</v>
      </c>
      <c r="AQ667" s="8"/>
      <c r="AR667" s="8">
        <f t="shared" si="186"/>
        <v>284.30769420966334</v>
      </c>
      <c r="AS667" s="8">
        <f t="shared" si="187"/>
        <v>81.685955243582811</v>
      </c>
    </row>
    <row r="668" spans="1:45">
      <c r="A668" s="19">
        <v>30.897533330000002</v>
      </c>
      <c r="B668" s="19">
        <v>847.08271319999994</v>
      </c>
      <c r="C668" s="19">
        <v>-458.26132330000002</v>
      </c>
      <c r="E668" s="9">
        <f t="shared" si="177"/>
        <v>112.91728680000006</v>
      </c>
      <c r="F668" s="9">
        <f t="shared" si="178"/>
        <v>81.738676699999985</v>
      </c>
      <c r="I668">
        <v>1</v>
      </c>
      <c r="J668">
        <f t="shared" si="173"/>
        <v>9.1297299829975767E-2</v>
      </c>
      <c r="K668">
        <f t="shared" si="179"/>
        <v>0.62657432189756745</v>
      </c>
      <c r="O668">
        <f t="shared" si="180"/>
        <v>7.3851859719845592E-2</v>
      </c>
      <c r="P668">
        <f t="shared" si="181"/>
        <v>5.3459956897708653E-2</v>
      </c>
      <c r="Q668">
        <f t="shared" si="182"/>
        <v>0.99583529553054873</v>
      </c>
      <c r="R668">
        <f t="shared" si="188"/>
        <v>1</v>
      </c>
      <c r="AG668" s="8">
        <f t="shared" si="174"/>
        <v>3.5858439018585916E-2</v>
      </c>
      <c r="AH668" s="8">
        <f t="shared" si="175"/>
        <v>-0.1400716830469598</v>
      </c>
      <c r="AI668" s="8">
        <f t="shared" si="176"/>
        <v>0.98949183723744905</v>
      </c>
      <c r="AJ668" s="8"/>
      <c r="AK668" s="8"/>
      <c r="AL668" s="8"/>
      <c r="AN668" s="8">
        <f t="shared" si="183"/>
        <v>0.99999999999999989</v>
      </c>
      <c r="AO668" s="8">
        <f t="shared" si="184"/>
        <v>4.9630072721551377</v>
      </c>
      <c r="AP668" s="8">
        <f t="shared" si="185"/>
        <v>0.14509733345756937</v>
      </c>
      <c r="AQ668" s="8"/>
      <c r="AR668" s="8">
        <f t="shared" si="186"/>
        <v>284.35937038722494</v>
      </c>
      <c r="AS668" s="8">
        <f t="shared" si="187"/>
        <v>81.68653517427893</v>
      </c>
    </row>
    <row r="669" spans="1:45">
      <c r="A669" s="19">
        <v>30.930900000000001</v>
      </c>
      <c r="B669" s="19">
        <v>847.9149099</v>
      </c>
      <c r="C669" s="19">
        <v>-459.1423896</v>
      </c>
      <c r="E669" s="9">
        <f t="shared" si="177"/>
        <v>112.0850901</v>
      </c>
      <c r="F669" s="9">
        <f t="shared" si="178"/>
        <v>80.857610399999999</v>
      </c>
      <c r="I669">
        <v>1</v>
      </c>
      <c r="J669">
        <f t="shared" si="173"/>
        <v>9.0512551968041643E-2</v>
      </c>
      <c r="K669">
        <f t="shared" si="179"/>
        <v>0.62494109833834577</v>
      </c>
      <c r="O669">
        <f t="shared" si="180"/>
        <v>7.3305272462478782E-2</v>
      </c>
      <c r="P669">
        <f t="shared" si="181"/>
        <v>5.2882048412940127E-2</v>
      </c>
      <c r="Q669">
        <f t="shared" si="182"/>
        <v>0.9959065347636058</v>
      </c>
      <c r="R669">
        <f t="shared" si="188"/>
        <v>1</v>
      </c>
      <c r="AG669" s="8">
        <f t="shared" si="174"/>
        <v>3.6572624734934181E-2</v>
      </c>
      <c r="AH669" s="8">
        <f t="shared" si="175"/>
        <v>-0.14042100548031355</v>
      </c>
      <c r="AI669" s="8">
        <f t="shared" si="176"/>
        <v>0.98941618358499439</v>
      </c>
      <c r="AJ669" s="8"/>
      <c r="AK669" s="8"/>
      <c r="AL669" s="8"/>
      <c r="AN669" s="8">
        <f t="shared" si="183"/>
        <v>0.99999999999999989</v>
      </c>
      <c r="AO669" s="8">
        <f t="shared" si="184"/>
        <v>4.9671783245614947</v>
      </c>
      <c r="AP669" s="8">
        <f t="shared" si="185"/>
        <v>0.14561963339617501</v>
      </c>
      <c r="AQ669" s="8"/>
      <c r="AR669" s="8">
        <f t="shared" si="186"/>
        <v>284.59835408623707</v>
      </c>
      <c r="AS669" s="8">
        <f t="shared" si="187"/>
        <v>81.656609592156883</v>
      </c>
    </row>
    <row r="670" spans="1:45">
      <c r="A670" s="19">
        <v>30.964266670000001</v>
      </c>
      <c r="B670" s="19">
        <v>848.18456400000002</v>
      </c>
      <c r="C670" s="19">
        <v>-460.03645110000002</v>
      </c>
      <c r="E670" s="9">
        <f t="shared" si="177"/>
        <v>111.81543599999998</v>
      </c>
      <c r="F670" s="9">
        <f t="shared" si="178"/>
        <v>79.963548899999978</v>
      </c>
      <c r="I670">
        <v>1</v>
      </c>
      <c r="J670">
        <f t="shared" si="173"/>
        <v>9.0024384784952435E-2</v>
      </c>
      <c r="K670">
        <f t="shared" si="179"/>
        <v>0.62081409288698386</v>
      </c>
      <c r="O670">
        <f t="shared" si="180"/>
        <v>7.3127431040075047E-2</v>
      </c>
      <c r="P670">
        <f t="shared" si="181"/>
        <v>5.2296258165146534E-2</v>
      </c>
      <c r="Q670">
        <f t="shared" si="182"/>
        <v>0.99595054104679481</v>
      </c>
      <c r="R670">
        <f t="shared" si="188"/>
        <v>1</v>
      </c>
      <c r="AG670" s="8">
        <f t="shared" si="174"/>
        <v>3.7185977420155142E-2</v>
      </c>
      <c r="AH670" s="8">
        <f t="shared" si="175"/>
        <v>-0.14041849657369587</v>
      </c>
      <c r="AI670" s="8">
        <f t="shared" si="176"/>
        <v>0.98939367741222728</v>
      </c>
      <c r="AJ670" s="8"/>
      <c r="AK670" s="8"/>
      <c r="AL670" s="8"/>
      <c r="AN670" s="8">
        <f t="shared" si="183"/>
        <v>0.99999999999999978</v>
      </c>
      <c r="AO670" s="8">
        <f t="shared" si="184"/>
        <v>4.9712688513512475</v>
      </c>
      <c r="AP670" s="8">
        <f t="shared" si="185"/>
        <v>0.1457746535664044</v>
      </c>
      <c r="AQ670" s="8"/>
      <c r="AR670" s="8">
        <f t="shared" si="186"/>
        <v>284.83272400727509</v>
      </c>
      <c r="AS670" s="8">
        <f t="shared" si="187"/>
        <v>81.647727590663337</v>
      </c>
    </row>
    <row r="671" spans="1:45">
      <c r="A671" s="19">
        <v>30.997633329999999</v>
      </c>
      <c r="B671" s="19">
        <v>848.74721150000005</v>
      </c>
      <c r="C671" s="19">
        <v>-460.89077359999999</v>
      </c>
      <c r="E671" s="9">
        <f t="shared" si="177"/>
        <v>111.25278849999995</v>
      </c>
      <c r="F671" s="9">
        <f t="shared" si="178"/>
        <v>79.109226400000011</v>
      </c>
      <c r="I671">
        <v>1</v>
      </c>
      <c r="J671">
        <f t="shared" si="173"/>
        <v>8.9395447220804711E-2</v>
      </c>
      <c r="K671">
        <f t="shared" si="179"/>
        <v>0.61812113665622992</v>
      </c>
      <c r="O671">
        <f t="shared" si="180"/>
        <v>7.2757493962721992E-2</v>
      </c>
      <c r="P671">
        <f t="shared" si="181"/>
        <v>5.1736132997633688E-2</v>
      </c>
      <c r="Q671">
        <f t="shared" si="182"/>
        <v>0.99600688733297205</v>
      </c>
      <c r="R671">
        <f t="shared" si="188"/>
        <v>1</v>
      </c>
      <c r="AG671" s="8">
        <f t="shared" si="174"/>
        <v>3.7831130874664012E-2</v>
      </c>
      <c r="AH671" s="8">
        <f t="shared" si="175"/>
        <v>-0.14060542923240962</v>
      </c>
      <c r="AI671" s="8">
        <f t="shared" si="176"/>
        <v>0.98934267006286247</v>
      </c>
      <c r="AJ671" s="8"/>
      <c r="AK671" s="8"/>
      <c r="AL671" s="8"/>
      <c r="AN671" s="8">
        <f t="shared" si="183"/>
        <v>1.0000000000000002</v>
      </c>
      <c r="AO671" s="8">
        <f t="shared" si="184"/>
        <v>4.9752233773102832</v>
      </c>
      <c r="AP671" s="8">
        <f t="shared" si="185"/>
        <v>0.14612538246269691</v>
      </c>
      <c r="AQ671" s="8"/>
      <c r="AR671" s="8">
        <f t="shared" si="186"/>
        <v>285.05930165470278</v>
      </c>
      <c r="AS671" s="8">
        <f t="shared" si="187"/>
        <v>81.627632305152488</v>
      </c>
    </row>
    <row r="672" spans="1:45">
      <c r="A672" s="19">
        <v>31.030999999999999</v>
      </c>
      <c r="B672" s="19">
        <v>848.9981057</v>
      </c>
      <c r="C672" s="19">
        <v>-461.70564519999999</v>
      </c>
      <c r="E672" s="9">
        <f t="shared" si="177"/>
        <v>111.0018943</v>
      </c>
      <c r="F672" s="9">
        <f t="shared" si="178"/>
        <v>78.294354800000008</v>
      </c>
      <c r="I672">
        <v>1</v>
      </c>
      <c r="J672">
        <f t="shared" ref="J672:J735" si="189">ATAN((SQRT(E672^2+F672^2)^$B$16)/($F$24))</f>
        <v>8.8950027201172358E-2</v>
      </c>
      <c r="K672">
        <f t="shared" si="179"/>
        <v>0.61430254975548659</v>
      </c>
      <c r="O672">
        <f t="shared" si="180"/>
        <v>7.2591981762857527E-2</v>
      </c>
      <c r="P672">
        <f t="shared" si="181"/>
        <v>5.1202210661519282E-2</v>
      </c>
      <c r="Q672">
        <f t="shared" si="182"/>
        <v>0.99604655403606235</v>
      </c>
      <c r="R672">
        <f t="shared" si="188"/>
        <v>1</v>
      </c>
      <c r="AG672" s="8">
        <f t="shared" ref="AG672:AG735" si="190">$O672*$Z$27+$P672*$Z$31+$Q672*$Z$35</f>
        <v>3.8391103894247186E-2</v>
      </c>
      <c r="AH672" s="8">
        <f t="shared" ref="AH672:AH735" si="191">$O672*$AA$27+$P672*$AA$31+$Q672*$AA$35</f>
        <v>-0.14060624642876249</v>
      </c>
      <c r="AI672" s="8">
        <f t="shared" ref="AI672:AI735" si="192">$AB$27*$O672+$P672*$AB$31+$AB$35*$Q672</f>
        <v>0.98932098259715251</v>
      </c>
      <c r="AJ672" s="8"/>
      <c r="AK672" s="8"/>
      <c r="AL672" s="8"/>
      <c r="AN672" s="8">
        <f t="shared" si="183"/>
        <v>1.0000000000000002</v>
      </c>
      <c r="AO672" s="8">
        <f t="shared" si="184"/>
        <v>4.9789319137052779</v>
      </c>
      <c r="AP672" s="8">
        <f t="shared" si="185"/>
        <v>0.14627425349759982</v>
      </c>
      <c r="AQ672" s="8"/>
      <c r="AR672" s="8">
        <f t="shared" si="186"/>
        <v>285.2717851383066</v>
      </c>
      <c r="AS672" s="8">
        <f t="shared" si="187"/>
        <v>81.619102623160813</v>
      </c>
    </row>
    <row r="673" spans="1:45">
      <c r="A673" s="19">
        <v>31.064366669999998</v>
      </c>
      <c r="B673" s="19">
        <v>849.19258060000004</v>
      </c>
      <c r="C673" s="19">
        <v>-462.08975800000002</v>
      </c>
      <c r="E673" s="9">
        <f t="shared" ref="E673:E736" si="193">-(B673-($B$15/2))</f>
        <v>110.80741939999996</v>
      </c>
      <c r="F673" s="9">
        <f t="shared" ref="F673:F736" si="194">(($C$15/2)+C673)</f>
        <v>77.910241999999982</v>
      </c>
      <c r="I673">
        <v>1</v>
      </c>
      <c r="J673">
        <f t="shared" si="189"/>
        <v>8.8699418287350368E-2</v>
      </c>
      <c r="K673">
        <f t="shared" ref="K673:K736" si="195">ATAN2(E673,F673)</f>
        <v>0.61281280570418317</v>
      </c>
      <c r="O673">
        <f t="shared" ref="O673:O736" si="196">COS(K673)*SIN(J673)</f>
        <v>7.2463981107508721E-2</v>
      </c>
      <c r="P673">
        <f t="shared" ref="P673:P736" si="197">SIN(K673)*SIN(J673)</f>
        <v>5.0950435764497495E-2</v>
      </c>
      <c r="Q673">
        <f t="shared" ref="Q673:Q736" si="198">COS(J673)</f>
        <v>0.99606878504321095</v>
      </c>
      <c r="R673">
        <f t="shared" si="188"/>
        <v>1</v>
      </c>
      <c r="AG673" s="8">
        <f t="shared" si="190"/>
        <v>3.8669821466115764E-2</v>
      </c>
      <c r="AH673" s="8">
        <f t="shared" si="191"/>
        <v>-0.14065393839004073</v>
      </c>
      <c r="AI673" s="8">
        <f t="shared" si="192"/>
        <v>0.98930334808043041</v>
      </c>
      <c r="AJ673" s="8"/>
      <c r="AK673" s="8"/>
      <c r="AL673" s="8"/>
      <c r="AN673" s="8">
        <f t="shared" ref="AN673:AN736" si="199">AG673^2+AH673^2+AI673^2</f>
        <v>0.99999999999999989</v>
      </c>
      <c r="AO673" s="8">
        <f t="shared" ref="AO673:AO736" si="200">IF(ATAN2(AG673,AH673)&gt;=0,ATAN2(AG673,AH673),ATAN2(AG673,AH673)+2*PI())</f>
        <v>4.9806890156394346</v>
      </c>
      <c r="AP673" s="8">
        <f t="shared" ref="AP673:AP736" si="201">ACOS(AI673/AN673)</f>
        <v>0.1463951927463194</v>
      </c>
      <c r="AQ673" s="8"/>
      <c r="AR673" s="8">
        <f t="shared" ref="AR673:AR736" si="202">DEGREES(AO673)</f>
        <v>285.37245966330806</v>
      </c>
      <c r="AS673" s="8">
        <f t="shared" ref="AS673:AS736" si="203">90-DEGREES(AP673)</f>
        <v>81.61217331463169</v>
      </c>
    </row>
    <row r="674" spans="1:45">
      <c r="A674" s="19">
        <v>31.097733330000001</v>
      </c>
      <c r="B674" s="19">
        <v>850.02665669999999</v>
      </c>
      <c r="C674" s="19">
        <v>-462.88167270000002</v>
      </c>
      <c r="E674" s="9">
        <f t="shared" si="193"/>
        <v>109.97334330000001</v>
      </c>
      <c r="F674" s="9">
        <f t="shared" si="194"/>
        <v>77.118327299999976</v>
      </c>
      <c r="I674">
        <v>1</v>
      </c>
      <c r="J674">
        <f t="shared" si="189"/>
        <v>8.7949435263102269E-2</v>
      </c>
      <c r="K674">
        <f t="shared" si="195"/>
        <v>0.61156147400199479</v>
      </c>
      <c r="O674">
        <f t="shared" si="196"/>
        <v>7.1916023400428852E-2</v>
      </c>
      <c r="P674">
        <f t="shared" si="197"/>
        <v>5.0430797721403173E-2</v>
      </c>
      <c r="Q674">
        <f t="shared" si="198"/>
        <v>0.99613494076829368</v>
      </c>
      <c r="R674">
        <f t="shared" si="188"/>
        <v>1</v>
      </c>
      <c r="AG674" s="8">
        <f t="shared" si="190"/>
        <v>3.9328366157587544E-2</v>
      </c>
      <c r="AH674" s="8">
        <f t="shared" si="191"/>
        <v>-0.14102116451256738</v>
      </c>
      <c r="AI674" s="8">
        <f t="shared" si="192"/>
        <v>0.98922510621945603</v>
      </c>
      <c r="AJ674" s="8"/>
      <c r="AK674" s="8"/>
      <c r="AL674" s="8"/>
      <c r="AN674" s="8">
        <f t="shared" si="199"/>
        <v>1</v>
      </c>
      <c r="AO674" s="8">
        <f t="shared" si="200"/>
        <v>4.9843613312413204</v>
      </c>
      <c r="AP674" s="8">
        <f t="shared" si="201"/>
        <v>0.14693059105685236</v>
      </c>
      <c r="AQ674" s="8"/>
      <c r="AR674" s="8">
        <f t="shared" si="202"/>
        <v>285.58286784833621</v>
      </c>
      <c r="AS674" s="8">
        <f t="shared" si="203"/>
        <v>81.581497251079725</v>
      </c>
    </row>
    <row r="675" spans="1:45">
      <c r="A675" s="19">
        <v>31.1311</v>
      </c>
      <c r="B675" s="19">
        <v>850.76911089999999</v>
      </c>
      <c r="C675" s="19">
        <v>-464.05771199999998</v>
      </c>
      <c r="E675" s="9">
        <f t="shared" si="193"/>
        <v>109.23088910000001</v>
      </c>
      <c r="F675" s="9">
        <f t="shared" si="194"/>
        <v>75.942288000000019</v>
      </c>
      <c r="I675">
        <v>1</v>
      </c>
      <c r="J675">
        <f t="shared" si="189"/>
        <v>8.710427309045031E-2</v>
      </c>
      <c r="K675">
        <f t="shared" si="195"/>
        <v>0.607527916293777</v>
      </c>
      <c r="O675">
        <f t="shared" si="196"/>
        <v>7.1427579486925991E-2</v>
      </c>
      <c r="P675">
        <f t="shared" si="197"/>
        <v>4.9659705759357652E-2</v>
      </c>
      <c r="Q675">
        <f t="shared" si="198"/>
        <v>0.99620882073616113</v>
      </c>
      <c r="R675">
        <f t="shared" si="188"/>
        <v>1</v>
      </c>
      <c r="AG675" s="8">
        <f t="shared" si="190"/>
        <v>4.0210159699421974E-2</v>
      </c>
      <c r="AH675" s="8">
        <f t="shared" si="191"/>
        <v>-0.14125835022155692</v>
      </c>
      <c r="AI675" s="8">
        <f t="shared" si="192"/>
        <v>0.98915581257435414</v>
      </c>
      <c r="AJ675" s="8"/>
      <c r="AK675" s="8"/>
      <c r="AL675" s="8"/>
      <c r="AN675" s="8">
        <f t="shared" si="199"/>
        <v>0.99999999999999989</v>
      </c>
      <c r="AO675" s="8">
        <f t="shared" si="200"/>
        <v>4.9897107549161639</v>
      </c>
      <c r="AP675" s="8">
        <f t="shared" si="201"/>
        <v>0.14740314583711278</v>
      </c>
      <c r="AQ675" s="8"/>
      <c r="AR675" s="8">
        <f t="shared" si="202"/>
        <v>285.88936724773208</v>
      </c>
      <c r="AS675" s="8">
        <f t="shared" si="203"/>
        <v>81.554421856582067</v>
      </c>
    </row>
    <row r="676" spans="1:45">
      <c r="A676" s="19">
        <v>31.164466669999999</v>
      </c>
      <c r="B676" s="19">
        <v>851.24543240000003</v>
      </c>
      <c r="C676" s="19">
        <v>-464.5389816</v>
      </c>
      <c r="E676" s="9">
        <f t="shared" si="193"/>
        <v>108.75456759999997</v>
      </c>
      <c r="F676" s="9">
        <f t="shared" si="194"/>
        <v>75.4610184</v>
      </c>
      <c r="I676">
        <v>1</v>
      </c>
      <c r="J676">
        <f t="shared" si="189"/>
        <v>8.6665366219184151E-2</v>
      </c>
      <c r="K676">
        <f t="shared" si="195"/>
        <v>0.60659682490710098</v>
      </c>
      <c r="O676">
        <f t="shared" si="196"/>
        <v>7.1114543738910282E-2</v>
      </c>
      <c r="P676">
        <f t="shared" si="197"/>
        <v>4.9343912738700597E-2</v>
      </c>
      <c r="Q676">
        <f t="shared" si="198"/>
        <v>0.99624690711913488</v>
      </c>
      <c r="R676">
        <f t="shared" si="188"/>
        <v>1</v>
      </c>
      <c r="AG676" s="8">
        <f t="shared" si="190"/>
        <v>4.0604432557354103E-2</v>
      </c>
      <c r="AH676" s="8">
        <f t="shared" si="191"/>
        <v>-0.14146247265373763</v>
      </c>
      <c r="AI676" s="8">
        <f t="shared" si="192"/>
        <v>0.98911053421110917</v>
      </c>
      <c r="AJ676" s="8"/>
      <c r="AK676" s="8"/>
      <c r="AL676" s="8"/>
      <c r="AN676" s="8">
        <f t="shared" si="199"/>
        <v>1</v>
      </c>
      <c r="AO676" s="8">
        <f t="shared" si="200"/>
        <v>4.9919076291805675</v>
      </c>
      <c r="AP676" s="8">
        <f t="shared" si="201"/>
        <v>0.14771111529968795</v>
      </c>
      <c r="AQ676" s="8"/>
      <c r="AR676" s="8">
        <f t="shared" si="202"/>
        <v>286.01523887120334</v>
      </c>
      <c r="AS676" s="8">
        <f t="shared" si="203"/>
        <v>81.536776506157594</v>
      </c>
    </row>
    <row r="677" spans="1:45">
      <c r="A677" s="19">
        <v>31.197833330000002</v>
      </c>
      <c r="B677" s="19">
        <v>851.15595269999994</v>
      </c>
      <c r="C677" s="19">
        <v>-465.2013943</v>
      </c>
      <c r="E677" s="9">
        <f t="shared" si="193"/>
        <v>108.84404730000006</v>
      </c>
      <c r="F677" s="9">
        <f t="shared" si="194"/>
        <v>74.798605699999996</v>
      </c>
      <c r="I677">
        <v>1</v>
      </c>
      <c r="J677">
        <f t="shared" si="189"/>
        <v>8.6465762255766077E-2</v>
      </c>
      <c r="K677">
        <f t="shared" si="195"/>
        <v>0.60208969719192884</v>
      </c>
      <c r="O677">
        <f t="shared" si="196"/>
        <v>7.1172331585227414E-2</v>
      </c>
      <c r="P677">
        <f t="shared" si="197"/>
        <v>4.8910264723251232E-2</v>
      </c>
      <c r="Q677">
        <f t="shared" si="198"/>
        <v>0.9962641643768102</v>
      </c>
      <c r="R677">
        <f t="shared" si="188"/>
        <v>1</v>
      </c>
      <c r="AG677" s="8">
        <f t="shared" si="190"/>
        <v>4.1002682963561188E-2</v>
      </c>
      <c r="AH677" s="8">
        <f t="shared" si="191"/>
        <v>-0.14128083127187435</v>
      </c>
      <c r="AI677" s="8">
        <f t="shared" si="192"/>
        <v>0.98912006688011234</v>
      </c>
      <c r="AJ677" s="8"/>
      <c r="AK677" s="8"/>
      <c r="AL677" s="8"/>
      <c r="AN677" s="8">
        <f t="shared" si="199"/>
        <v>1</v>
      </c>
      <c r="AO677" s="8">
        <f t="shared" si="200"/>
        <v>4.9948503689786667</v>
      </c>
      <c r="AP677" s="8">
        <f t="shared" si="201"/>
        <v>0.14764633002210092</v>
      </c>
      <c r="AQ677" s="8"/>
      <c r="AR677" s="8">
        <f t="shared" si="202"/>
        <v>286.18384544183959</v>
      </c>
      <c r="AS677" s="8">
        <f t="shared" si="203"/>
        <v>81.540488429137923</v>
      </c>
    </row>
    <row r="678" spans="1:45">
      <c r="A678" s="19">
        <v>31.231200000000001</v>
      </c>
      <c r="B678" s="19">
        <v>852.08208219999995</v>
      </c>
      <c r="C678" s="19">
        <v>-466.01278350000001</v>
      </c>
      <c r="E678" s="9">
        <f t="shared" si="193"/>
        <v>107.91791780000005</v>
      </c>
      <c r="F678" s="9">
        <f t="shared" si="194"/>
        <v>73.987216499999988</v>
      </c>
      <c r="I678">
        <v>1</v>
      </c>
      <c r="J678">
        <f t="shared" si="189"/>
        <v>8.5659640512140825E-2</v>
      </c>
      <c r="K678">
        <f t="shared" si="195"/>
        <v>0.60098777121873137</v>
      </c>
      <c r="O678">
        <f t="shared" si="196"/>
        <v>7.0563773577312125E-2</v>
      </c>
      <c r="P678">
        <f t="shared" si="197"/>
        <v>4.8377667945716872E-2</v>
      </c>
      <c r="Q678">
        <f t="shared" si="198"/>
        <v>0.9963334557780662</v>
      </c>
      <c r="R678">
        <f t="shared" si="188"/>
        <v>1</v>
      </c>
      <c r="AG678" s="8">
        <f t="shared" si="190"/>
        <v>4.1691225541218666E-2</v>
      </c>
      <c r="AH678" s="8">
        <f t="shared" si="191"/>
        <v>-0.14170131098681327</v>
      </c>
      <c r="AI678" s="8">
        <f t="shared" si="192"/>
        <v>0.98903113205676674</v>
      </c>
      <c r="AJ678" s="8"/>
      <c r="AK678" s="8"/>
      <c r="AL678" s="8"/>
      <c r="AN678" s="8">
        <f t="shared" si="199"/>
        <v>0.99999999999999989</v>
      </c>
      <c r="AO678" s="8">
        <f t="shared" si="200"/>
        <v>4.9985337518492807</v>
      </c>
      <c r="AP678" s="8">
        <f t="shared" si="201"/>
        <v>0.14824965081159736</v>
      </c>
      <c r="AQ678" s="8"/>
      <c r="AR678" s="8">
        <f t="shared" si="202"/>
        <v>286.39488773465655</v>
      </c>
      <c r="AS678" s="8">
        <f t="shared" si="203"/>
        <v>81.505920694207276</v>
      </c>
    </row>
    <row r="679" spans="1:45">
      <c r="A679" s="19">
        <v>31.264566670000001</v>
      </c>
      <c r="B679" s="19">
        <v>852.04205690000003</v>
      </c>
      <c r="C679" s="19">
        <v>-467.02262919999998</v>
      </c>
      <c r="E679" s="9">
        <f t="shared" si="193"/>
        <v>107.95794309999997</v>
      </c>
      <c r="F679" s="9">
        <f t="shared" si="194"/>
        <v>72.977370800000017</v>
      </c>
      <c r="I679">
        <v>1</v>
      </c>
      <c r="J679">
        <f t="shared" si="189"/>
        <v>8.5306786097329335E-2</v>
      </c>
      <c r="K679">
        <f t="shared" si="195"/>
        <v>0.59442235949797828</v>
      </c>
      <c r="O679">
        <f t="shared" si="196"/>
        <v>7.0588607181261753E-2</v>
      </c>
      <c r="P679">
        <f t="shared" si="197"/>
        <v>4.7716460805026999E-2</v>
      </c>
      <c r="Q679">
        <f t="shared" si="198"/>
        <v>0.99636358218496313</v>
      </c>
      <c r="R679">
        <f t="shared" si="188"/>
        <v>1</v>
      </c>
      <c r="AG679" s="8">
        <f t="shared" si="190"/>
        <v>4.2316958140446226E-2</v>
      </c>
      <c r="AH679" s="8">
        <f t="shared" si="191"/>
        <v>-0.14148415314579726</v>
      </c>
      <c r="AI679" s="8">
        <f t="shared" si="192"/>
        <v>0.98903564620409723</v>
      </c>
      <c r="AJ679" s="8"/>
      <c r="AK679" s="8"/>
      <c r="AL679" s="8"/>
      <c r="AN679" s="8">
        <f t="shared" si="199"/>
        <v>0.99999999999999989</v>
      </c>
      <c r="AO679" s="8">
        <f t="shared" si="200"/>
        <v>5.0030137058161825</v>
      </c>
      <c r="AP679" s="8">
        <f t="shared" si="201"/>
        <v>0.14821908622838498</v>
      </c>
      <c r="AQ679" s="8"/>
      <c r="AR679" s="8">
        <f t="shared" si="202"/>
        <v>286.65157018937288</v>
      </c>
      <c r="AS679" s="8">
        <f t="shared" si="203"/>
        <v>81.507671915827913</v>
      </c>
    </row>
    <row r="680" spans="1:45">
      <c r="A680" s="19">
        <v>31.297933329999999</v>
      </c>
      <c r="B680" s="19">
        <v>852.87568039999996</v>
      </c>
      <c r="C680" s="19">
        <v>-467.8529332</v>
      </c>
      <c r="E680" s="9">
        <f t="shared" si="193"/>
        <v>107.12431960000004</v>
      </c>
      <c r="F680" s="9">
        <f t="shared" si="194"/>
        <v>72.147066800000005</v>
      </c>
      <c r="I680">
        <v>1</v>
      </c>
      <c r="J680">
        <f t="shared" si="189"/>
        <v>8.4545003868183533E-2</v>
      </c>
      <c r="K680">
        <f t="shared" si="195"/>
        <v>0.59271099938113558</v>
      </c>
      <c r="O680">
        <f t="shared" si="196"/>
        <v>7.0040596501002583E-2</v>
      </c>
      <c r="P680">
        <f t="shared" si="197"/>
        <v>4.7171581703746739E-2</v>
      </c>
      <c r="Q680">
        <f t="shared" si="198"/>
        <v>0.9964281994812022</v>
      </c>
      <c r="R680">
        <f t="shared" si="188"/>
        <v>1</v>
      </c>
      <c r="AG680" s="8">
        <f t="shared" si="190"/>
        <v>4.2999384545855904E-2</v>
      </c>
      <c r="AH680" s="8">
        <f t="shared" si="191"/>
        <v>-0.14184350308500074</v>
      </c>
      <c r="AI680" s="8">
        <f t="shared" si="192"/>
        <v>0.98895473787289834</v>
      </c>
      <c r="AJ680" s="8"/>
      <c r="AK680" s="8"/>
      <c r="AL680" s="8"/>
      <c r="AN680" s="8">
        <f t="shared" si="199"/>
        <v>1</v>
      </c>
      <c r="AO680" s="8">
        <f t="shared" si="200"/>
        <v>5.0067301151176569</v>
      </c>
      <c r="AP680" s="8">
        <f t="shared" si="201"/>
        <v>0.14876595846225849</v>
      </c>
      <c r="AQ680" s="8"/>
      <c r="AR680" s="8">
        <f t="shared" si="202"/>
        <v>286.86450475729055</v>
      </c>
      <c r="AS680" s="8">
        <f t="shared" si="203"/>
        <v>81.476338444894068</v>
      </c>
    </row>
    <row r="681" spans="1:45">
      <c r="A681" s="19">
        <v>31.331299999999999</v>
      </c>
      <c r="B681" s="19">
        <v>853.21861049999995</v>
      </c>
      <c r="C681" s="19">
        <v>-468.58689459999999</v>
      </c>
      <c r="E681" s="9">
        <f t="shared" si="193"/>
        <v>106.78138950000005</v>
      </c>
      <c r="F681" s="9">
        <f t="shared" si="194"/>
        <v>71.413105400000006</v>
      </c>
      <c r="I681">
        <v>1</v>
      </c>
      <c r="J681">
        <f t="shared" si="189"/>
        <v>8.4087600678684662E-2</v>
      </c>
      <c r="K681">
        <f t="shared" si="195"/>
        <v>0.58946326845425301</v>
      </c>
      <c r="O681">
        <f t="shared" si="196"/>
        <v>6.9814566710725195E-2</v>
      </c>
      <c r="P681">
        <f t="shared" si="197"/>
        <v>4.6690486369521791E-2</v>
      </c>
      <c r="Q681">
        <f t="shared" si="198"/>
        <v>0.99646672034622974</v>
      </c>
      <c r="R681">
        <f t="shared" si="188"/>
        <v>1</v>
      </c>
      <c r="AG681" s="8">
        <f t="shared" si="190"/>
        <v>4.3526230313054429E-2</v>
      </c>
      <c r="AH681" s="8">
        <f t="shared" si="191"/>
        <v>-0.14191654761750586</v>
      </c>
      <c r="AI681" s="8">
        <f t="shared" si="192"/>
        <v>0.98892121060631677</v>
      </c>
      <c r="AJ681" s="8"/>
      <c r="AK681" s="8"/>
      <c r="AL681" s="8"/>
      <c r="AN681" s="8">
        <f t="shared" si="199"/>
        <v>1</v>
      </c>
      <c r="AO681" s="8">
        <f t="shared" si="200"/>
        <v>5.0099839110859303</v>
      </c>
      <c r="AP681" s="8">
        <f t="shared" si="201"/>
        <v>0.14899199066597313</v>
      </c>
      <c r="AQ681" s="8"/>
      <c r="AR681" s="8">
        <f t="shared" si="202"/>
        <v>287.05093353366931</v>
      </c>
      <c r="AS681" s="8">
        <f t="shared" si="203"/>
        <v>81.463387753587185</v>
      </c>
    </row>
    <row r="682" spans="1:45">
      <c r="A682" s="19">
        <v>31.364666669999998</v>
      </c>
      <c r="B682" s="19">
        <v>853.62776540000004</v>
      </c>
      <c r="C682" s="19">
        <v>-469.27132669999997</v>
      </c>
      <c r="E682" s="9">
        <f t="shared" si="193"/>
        <v>106.37223459999996</v>
      </c>
      <c r="F682" s="9">
        <f t="shared" si="194"/>
        <v>70.728673300000025</v>
      </c>
      <c r="I682">
        <v>1</v>
      </c>
      <c r="J682">
        <f t="shared" si="189"/>
        <v>8.3612800853780908E-2</v>
      </c>
      <c r="K682">
        <f t="shared" si="195"/>
        <v>0.58679009705519647</v>
      </c>
      <c r="O682">
        <f t="shared" si="196"/>
        <v>6.954514151641894E-2</v>
      </c>
      <c r="P682">
        <f t="shared" si="197"/>
        <v>4.6241724754714005E-2</v>
      </c>
      <c r="Q682">
        <f t="shared" si="198"/>
        <v>0.99650648577075029</v>
      </c>
      <c r="R682">
        <f t="shared" si="188"/>
        <v>1</v>
      </c>
      <c r="AG682" s="8">
        <f t="shared" si="190"/>
        <v>4.4034826849715936E-2</v>
      </c>
      <c r="AH682" s="8">
        <f t="shared" si="191"/>
        <v>-0.14204010813315895</v>
      </c>
      <c r="AI682" s="8">
        <f t="shared" si="192"/>
        <v>0.98888095426387701</v>
      </c>
      <c r="AJ682" s="8"/>
      <c r="AK682" s="8"/>
      <c r="AL682" s="8"/>
      <c r="AN682" s="8">
        <f t="shared" si="199"/>
        <v>0.99999999999999989</v>
      </c>
      <c r="AO682" s="8">
        <f t="shared" si="200"/>
        <v>5.013010022734445</v>
      </c>
      <c r="AP682" s="8">
        <f t="shared" si="201"/>
        <v>0.14926293968731885</v>
      </c>
      <c r="AQ682" s="8"/>
      <c r="AR682" s="8">
        <f t="shared" si="202"/>
        <v>287.22431695946455</v>
      </c>
      <c r="AS682" s="8">
        <f t="shared" si="203"/>
        <v>81.447863518200876</v>
      </c>
    </row>
    <row r="683" spans="1:45">
      <c r="A683" s="19">
        <v>31.398033330000001</v>
      </c>
      <c r="B683" s="19">
        <v>854.04487089999998</v>
      </c>
      <c r="C683" s="19">
        <v>-469.91463249999998</v>
      </c>
      <c r="E683" s="9">
        <f t="shared" si="193"/>
        <v>105.95512910000002</v>
      </c>
      <c r="F683" s="9">
        <f t="shared" si="194"/>
        <v>70.085367500000018</v>
      </c>
      <c r="I683">
        <v>1</v>
      </c>
      <c r="J683">
        <f t="shared" si="189"/>
        <v>8.3149187603450289E-2</v>
      </c>
      <c r="K683">
        <f t="shared" si="195"/>
        <v>0.58439121041020348</v>
      </c>
      <c r="O683">
        <f t="shared" si="196"/>
        <v>6.927053759437482E-2</v>
      </c>
      <c r="P683">
        <f t="shared" si="197"/>
        <v>4.5819877956472854E-2</v>
      </c>
      <c r="Q683">
        <f t="shared" si="198"/>
        <v>0.99654509752717169</v>
      </c>
      <c r="R683">
        <f t="shared" si="188"/>
        <v>1</v>
      </c>
      <c r="AG683" s="8">
        <f t="shared" si="190"/>
        <v>4.4519151627798542E-2</v>
      </c>
      <c r="AH683" s="8">
        <f t="shared" si="191"/>
        <v>-0.14217641240218662</v>
      </c>
      <c r="AI683" s="8">
        <f t="shared" si="192"/>
        <v>0.98883968007700029</v>
      </c>
      <c r="AJ683" s="8"/>
      <c r="AK683" s="8"/>
      <c r="AL683" s="8"/>
      <c r="AN683" s="8">
        <f t="shared" si="199"/>
        <v>0.99999999999999989</v>
      </c>
      <c r="AO683" s="8">
        <f t="shared" si="200"/>
        <v>5.0158441832715601</v>
      </c>
      <c r="AP683" s="8">
        <f t="shared" si="201"/>
        <v>0.14954023348626655</v>
      </c>
      <c r="AQ683" s="8"/>
      <c r="AR683" s="8">
        <f t="shared" si="202"/>
        <v>287.38670239670381</v>
      </c>
      <c r="AS683" s="8">
        <f t="shared" si="203"/>
        <v>81.431975753836028</v>
      </c>
    </row>
    <row r="684" spans="1:45">
      <c r="A684" s="19">
        <v>31.4314</v>
      </c>
      <c r="B684" s="19">
        <v>854.66397199999994</v>
      </c>
      <c r="C684" s="19">
        <v>-470.56241060000002</v>
      </c>
      <c r="E684" s="9">
        <f t="shared" si="193"/>
        <v>105.33602800000006</v>
      </c>
      <c r="F684" s="9">
        <f t="shared" si="194"/>
        <v>69.437589399999979</v>
      </c>
      <c r="I684">
        <v>1</v>
      </c>
      <c r="J684">
        <f t="shared" si="189"/>
        <v>8.2573206447612735E-2</v>
      </c>
      <c r="K684">
        <f t="shared" si="195"/>
        <v>0.58281607144611791</v>
      </c>
      <c r="O684">
        <f t="shared" si="196"/>
        <v>6.8863378362331071E-2</v>
      </c>
      <c r="P684">
        <f t="shared" si="197"/>
        <v>4.53947911480048E-2</v>
      </c>
      <c r="Q684">
        <f t="shared" si="198"/>
        <v>0.99659276941845987</v>
      </c>
      <c r="R684">
        <f t="shared" si="188"/>
        <v>1</v>
      </c>
      <c r="AG684" s="8">
        <f t="shared" si="190"/>
        <v>4.5045427148735107E-2</v>
      </c>
      <c r="AH684" s="8">
        <f t="shared" si="191"/>
        <v>-0.14243721504069184</v>
      </c>
      <c r="AI684" s="8">
        <f t="shared" si="192"/>
        <v>0.98877831148566353</v>
      </c>
      <c r="AJ684" s="8"/>
      <c r="AK684" s="8"/>
      <c r="AL684" s="8"/>
      <c r="AN684" s="8">
        <f t="shared" si="199"/>
        <v>1.0000000000000002</v>
      </c>
      <c r="AO684" s="8">
        <f t="shared" si="200"/>
        <v>5.0186843786950694</v>
      </c>
      <c r="AP684" s="8">
        <f t="shared" si="201"/>
        <v>0.1499515872673105</v>
      </c>
      <c r="AQ684" s="8"/>
      <c r="AR684" s="8">
        <f t="shared" si="202"/>
        <v>287.54943360746324</v>
      </c>
      <c r="AS684" s="8">
        <f t="shared" si="203"/>
        <v>81.408406918295455</v>
      </c>
    </row>
    <row r="685" spans="1:45">
      <c r="A685" s="19">
        <v>31.464766669999999</v>
      </c>
      <c r="B685" s="19">
        <v>854.89840730000003</v>
      </c>
      <c r="C685" s="19">
        <v>-470.86409359999999</v>
      </c>
      <c r="E685" s="9">
        <f t="shared" si="193"/>
        <v>105.10159269999997</v>
      </c>
      <c r="F685" s="9">
        <f t="shared" si="194"/>
        <v>69.13590640000001</v>
      </c>
      <c r="I685">
        <v>1</v>
      </c>
      <c r="J685">
        <f t="shared" si="189"/>
        <v>8.2334713699215786E-2</v>
      </c>
      <c r="K685">
        <f t="shared" si="195"/>
        <v>0.58183951915999299</v>
      </c>
      <c r="O685">
        <f t="shared" si="196"/>
        <v>6.8709103323400605E-2</v>
      </c>
      <c r="P685">
        <f t="shared" si="197"/>
        <v>4.5196899629805096E-2</v>
      </c>
      <c r="Q685">
        <f t="shared" si="198"/>
        <v>0.99661241181531934</v>
      </c>
      <c r="R685">
        <f t="shared" si="188"/>
        <v>1</v>
      </c>
      <c r="AG685" s="8">
        <f t="shared" si="190"/>
        <v>4.5280068631280937E-2</v>
      </c>
      <c r="AH685" s="8">
        <f t="shared" si="191"/>
        <v>-0.14252521263994405</v>
      </c>
      <c r="AI685" s="8">
        <f t="shared" si="192"/>
        <v>0.98875491358914891</v>
      </c>
      <c r="AJ685" s="8"/>
      <c r="AK685" s="8"/>
      <c r="AL685" s="8"/>
      <c r="AN685" s="8">
        <f t="shared" si="199"/>
        <v>1</v>
      </c>
      <c r="AO685" s="8">
        <f t="shared" si="200"/>
        <v>5.0200029571093854</v>
      </c>
      <c r="AP685" s="8">
        <f t="shared" si="201"/>
        <v>0.15010812880475388</v>
      </c>
      <c r="AQ685" s="8"/>
      <c r="AR685" s="8">
        <f t="shared" si="202"/>
        <v>287.62498258556059</v>
      </c>
      <c r="AS685" s="8">
        <f t="shared" si="203"/>
        <v>81.399437748881468</v>
      </c>
    </row>
    <row r="686" spans="1:45">
      <c r="A686" s="19">
        <v>31.498133330000002</v>
      </c>
      <c r="B686" s="19">
        <v>854.89575820000005</v>
      </c>
      <c r="C686" s="19">
        <v>-472.04648070000002</v>
      </c>
      <c r="E686" s="9">
        <f t="shared" si="193"/>
        <v>105.10424179999995</v>
      </c>
      <c r="F686" s="9">
        <f t="shared" si="194"/>
        <v>67.953519299999982</v>
      </c>
      <c r="I686">
        <v>1</v>
      </c>
      <c r="J686">
        <f t="shared" si="189"/>
        <v>8.1910311161038807E-2</v>
      </c>
      <c r="K686">
        <f t="shared" si="195"/>
        <v>0.573935163544945</v>
      </c>
      <c r="O686">
        <f t="shared" si="196"/>
        <v>6.8709005769087492E-2</v>
      </c>
      <c r="P686">
        <f t="shared" si="197"/>
        <v>4.4422743265662368E-2</v>
      </c>
      <c r="Q686">
        <f t="shared" si="198"/>
        <v>0.99664722565558594</v>
      </c>
      <c r="R686">
        <f t="shared" si="188"/>
        <v>1</v>
      </c>
      <c r="AG686" s="8">
        <f t="shared" si="190"/>
        <v>4.6020978643775017E-2</v>
      </c>
      <c r="AH686" s="8">
        <f t="shared" si="191"/>
        <v>-0.14229809988436498</v>
      </c>
      <c r="AI686" s="8">
        <f t="shared" si="192"/>
        <v>0.98875341733617705</v>
      </c>
      <c r="AJ686" s="8"/>
      <c r="AK686" s="8"/>
      <c r="AL686" s="8"/>
      <c r="AN686" s="8">
        <f t="shared" si="199"/>
        <v>0.99999999999999978</v>
      </c>
      <c r="AO686" s="8">
        <f t="shared" si="200"/>
        <v>5.0251843351230612</v>
      </c>
      <c r="AP686" s="8">
        <f t="shared" si="201"/>
        <v>0.15011813384017159</v>
      </c>
      <c r="AQ686" s="8"/>
      <c r="AR686" s="8">
        <f t="shared" si="202"/>
        <v>287.9218536778061</v>
      </c>
      <c r="AS686" s="8">
        <f t="shared" si="203"/>
        <v>81.398864502578149</v>
      </c>
    </row>
    <row r="687" spans="1:45">
      <c r="A687" s="19">
        <v>31.531500000000001</v>
      </c>
      <c r="B687" s="19">
        <v>856.04732200000001</v>
      </c>
      <c r="C687" s="19">
        <v>-472.89963940000001</v>
      </c>
      <c r="E687" s="9">
        <f t="shared" si="193"/>
        <v>103.95267799999999</v>
      </c>
      <c r="F687" s="9">
        <f t="shared" si="194"/>
        <v>67.100360599999988</v>
      </c>
      <c r="I687">
        <v>1</v>
      </c>
      <c r="J687">
        <f t="shared" si="189"/>
        <v>8.0967281935682811E-2</v>
      </c>
      <c r="K687">
        <f t="shared" si="195"/>
        <v>0.57319784608941893</v>
      </c>
      <c r="O687">
        <f t="shared" si="196"/>
        <v>6.7952060907597117E-2</v>
      </c>
      <c r="P687">
        <f t="shared" si="197"/>
        <v>4.386234080869883E-2</v>
      </c>
      <c r="Q687">
        <f t="shared" si="198"/>
        <v>0.99672393995388298</v>
      </c>
      <c r="R687">
        <f t="shared" si="188"/>
        <v>1</v>
      </c>
      <c r="AG687" s="8">
        <f t="shared" si="190"/>
        <v>4.6779209431433225E-2</v>
      </c>
      <c r="AH687" s="8">
        <f t="shared" si="191"/>
        <v>-0.14285011397009856</v>
      </c>
      <c r="AI687" s="8">
        <f t="shared" si="192"/>
        <v>0.98863823034702625</v>
      </c>
      <c r="AJ687" s="8"/>
      <c r="AK687" s="8"/>
      <c r="AL687" s="8"/>
      <c r="AN687" s="8">
        <f t="shared" si="199"/>
        <v>0.99999999999999978</v>
      </c>
      <c r="AO687" s="8">
        <f t="shared" si="200"/>
        <v>5.0288538077105889</v>
      </c>
      <c r="AP687" s="8">
        <f t="shared" si="201"/>
        <v>0.1508863814029433</v>
      </c>
      <c r="AQ687" s="8"/>
      <c r="AR687" s="8">
        <f t="shared" si="202"/>
        <v>288.13209897011041</v>
      </c>
      <c r="AS687" s="8">
        <f t="shared" si="203"/>
        <v>81.354847159610117</v>
      </c>
    </row>
    <row r="688" spans="1:45">
      <c r="A688" s="19">
        <v>31.564866670000001</v>
      </c>
      <c r="B688" s="19">
        <v>856.34897469999999</v>
      </c>
      <c r="C688" s="19">
        <v>-473.63314200000002</v>
      </c>
      <c r="E688" s="9">
        <f t="shared" si="193"/>
        <v>103.65102530000001</v>
      </c>
      <c r="F688" s="9">
        <f t="shared" si="194"/>
        <v>66.366857999999979</v>
      </c>
      <c r="I688">
        <v>1</v>
      </c>
      <c r="J688">
        <f t="shared" si="189"/>
        <v>8.0538431990094569E-2</v>
      </c>
      <c r="K688">
        <f t="shared" si="195"/>
        <v>0.56951987468829346</v>
      </c>
      <c r="O688">
        <f t="shared" si="196"/>
        <v>6.7752942043008427E-2</v>
      </c>
      <c r="P688">
        <f t="shared" si="197"/>
        <v>4.3381624741637433E-2</v>
      </c>
      <c r="Q688">
        <f t="shared" si="198"/>
        <v>0.99675853318609342</v>
      </c>
      <c r="R688">
        <f t="shared" si="188"/>
        <v>1</v>
      </c>
      <c r="AG688" s="8">
        <f t="shared" si="190"/>
        <v>4.7297577485341191E-2</v>
      </c>
      <c r="AH688" s="8">
        <f t="shared" si="191"/>
        <v>-0.14289739470306118</v>
      </c>
      <c r="AI688" s="8">
        <f t="shared" si="192"/>
        <v>0.98860673361610052</v>
      </c>
      <c r="AJ688" s="8"/>
      <c r="AK688" s="8"/>
      <c r="AL688" s="8"/>
      <c r="AN688" s="8">
        <f t="shared" si="199"/>
        <v>0.99999999999999989</v>
      </c>
      <c r="AO688" s="8">
        <f t="shared" si="200"/>
        <v>5.0320288575437333</v>
      </c>
      <c r="AP688" s="8">
        <f t="shared" si="201"/>
        <v>0.15109577608387137</v>
      </c>
      <c r="AQ688" s="8"/>
      <c r="AR688" s="8">
        <f t="shared" si="202"/>
        <v>288.31401592529329</v>
      </c>
      <c r="AS688" s="8">
        <f t="shared" si="203"/>
        <v>81.34284972814045</v>
      </c>
    </row>
    <row r="689" spans="1:45">
      <c r="A689" s="19">
        <v>31.598233329999999</v>
      </c>
      <c r="B689" s="19">
        <v>856.83079169999996</v>
      </c>
      <c r="C689" s="19">
        <v>-474.13224259999998</v>
      </c>
      <c r="E689" s="9">
        <f t="shared" si="193"/>
        <v>103.16920830000004</v>
      </c>
      <c r="F689" s="9">
        <f t="shared" si="194"/>
        <v>65.867757400000016</v>
      </c>
      <c r="I689">
        <v>1</v>
      </c>
      <c r="J689">
        <f t="shared" si="189"/>
        <v>8.0093498249909578E-2</v>
      </c>
      <c r="K689">
        <f t="shared" si="195"/>
        <v>0.56820852006433498</v>
      </c>
      <c r="O689">
        <f t="shared" si="196"/>
        <v>6.7435961695734833E-2</v>
      </c>
      <c r="P689">
        <f t="shared" si="197"/>
        <v>4.3054082106495667E-2</v>
      </c>
      <c r="Q689">
        <f t="shared" si="198"/>
        <v>0.99679423006162038</v>
      </c>
      <c r="R689">
        <f t="shared" si="188"/>
        <v>1</v>
      </c>
      <c r="AG689" s="8">
        <f t="shared" si="190"/>
        <v>4.7703906252909767E-2</v>
      </c>
      <c r="AH689" s="8">
        <f t="shared" si="191"/>
        <v>-0.14310118549592152</v>
      </c>
      <c r="AI689" s="8">
        <f t="shared" si="192"/>
        <v>0.98855773126200142</v>
      </c>
      <c r="AJ689" s="8"/>
      <c r="AK689" s="8"/>
      <c r="AL689" s="8"/>
      <c r="AN689" s="8">
        <f t="shared" si="199"/>
        <v>1</v>
      </c>
      <c r="AO689" s="8">
        <f t="shared" si="200"/>
        <v>5.0341616167478183</v>
      </c>
      <c r="AP689" s="8">
        <f t="shared" si="201"/>
        <v>0.15142097928892229</v>
      </c>
      <c r="AQ689" s="8"/>
      <c r="AR689" s="8">
        <f t="shared" si="202"/>
        <v>288.43621402640503</v>
      </c>
      <c r="AS689" s="8">
        <f t="shared" si="203"/>
        <v>81.324216957006911</v>
      </c>
    </row>
    <row r="690" spans="1:45">
      <c r="A690" s="19">
        <v>31.631599999999999</v>
      </c>
      <c r="B690" s="19">
        <v>857.02465240000004</v>
      </c>
      <c r="C690" s="19">
        <v>-474.90875130000001</v>
      </c>
      <c r="E690" s="9">
        <f t="shared" si="193"/>
        <v>102.97534759999996</v>
      </c>
      <c r="F690" s="9">
        <f t="shared" si="194"/>
        <v>65.091248699999994</v>
      </c>
      <c r="I690">
        <v>1</v>
      </c>
      <c r="J690">
        <f t="shared" si="189"/>
        <v>7.9711055438258877E-2</v>
      </c>
      <c r="K690">
        <f t="shared" si="195"/>
        <v>0.56369233690549414</v>
      </c>
      <c r="O690">
        <f t="shared" si="196"/>
        <v>6.7307470525047097E-2</v>
      </c>
      <c r="P690">
        <f t="shared" si="197"/>
        <v>4.254539950990912E-2</v>
      </c>
      <c r="Q690">
        <f t="shared" si="198"/>
        <v>0.99682475560755524</v>
      </c>
      <c r="R690">
        <f t="shared" si="188"/>
        <v>1</v>
      </c>
      <c r="AG690" s="8">
        <f t="shared" si="190"/>
        <v>4.8228276524881528E-2</v>
      </c>
      <c r="AH690" s="8">
        <f t="shared" si="191"/>
        <v>-0.14307330551443032</v>
      </c>
      <c r="AI690" s="8">
        <f t="shared" si="192"/>
        <v>0.98853632335519881</v>
      </c>
      <c r="AJ690" s="8"/>
      <c r="AK690" s="8"/>
      <c r="AL690" s="8"/>
      <c r="AN690" s="8">
        <f t="shared" si="199"/>
        <v>1.0000000000000002</v>
      </c>
      <c r="AO690" s="8">
        <f t="shared" si="200"/>
        <v>5.0375148076671898</v>
      </c>
      <c r="AP690" s="8">
        <f t="shared" si="201"/>
        <v>0.15156283512475754</v>
      </c>
      <c r="AQ690" s="8"/>
      <c r="AR690" s="8">
        <f t="shared" si="202"/>
        <v>288.62833771398664</v>
      </c>
      <c r="AS690" s="8">
        <f t="shared" si="203"/>
        <v>81.316089216314239</v>
      </c>
    </row>
    <row r="691" spans="1:45">
      <c r="A691" s="19">
        <v>31.664966669999998</v>
      </c>
      <c r="B691" s="19">
        <v>857.57582239999999</v>
      </c>
      <c r="C691" s="19">
        <v>-475.6704216</v>
      </c>
      <c r="E691" s="9">
        <f t="shared" si="193"/>
        <v>102.42417760000001</v>
      </c>
      <c r="F691" s="9">
        <f t="shared" si="194"/>
        <v>64.329578400000003</v>
      </c>
      <c r="I691">
        <v>1</v>
      </c>
      <c r="J691">
        <f t="shared" si="189"/>
        <v>7.9135844533536337E-2</v>
      </c>
      <c r="K691">
        <f t="shared" si="195"/>
        <v>0.56080408663048054</v>
      </c>
      <c r="O691">
        <f t="shared" si="196"/>
        <v>6.6944502387141461E-2</v>
      </c>
      <c r="P691">
        <f t="shared" si="197"/>
        <v>4.2045850068535021E-2</v>
      </c>
      <c r="Q691">
        <f t="shared" si="198"/>
        <v>0.99687039282554291</v>
      </c>
      <c r="R691">
        <f t="shared" si="188"/>
        <v>1</v>
      </c>
      <c r="AG691" s="8">
        <f t="shared" si="190"/>
        <v>4.8812601229544492E-2</v>
      </c>
      <c r="AH691" s="8">
        <f t="shared" si="191"/>
        <v>-0.14326996537128089</v>
      </c>
      <c r="AI691" s="8">
        <f t="shared" si="192"/>
        <v>0.98847915859856006</v>
      </c>
      <c r="AJ691" s="8"/>
      <c r="AK691" s="8"/>
      <c r="AL691" s="8"/>
      <c r="AN691" s="8">
        <f t="shared" si="199"/>
        <v>0.99999999999999989</v>
      </c>
      <c r="AO691" s="8">
        <f t="shared" si="200"/>
        <v>5.0407580955023921</v>
      </c>
      <c r="AP691" s="8">
        <f t="shared" si="201"/>
        <v>0.15194098359470543</v>
      </c>
      <c r="AQ691" s="8"/>
      <c r="AR691" s="8">
        <f t="shared" si="202"/>
        <v>288.81416441868981</v>
      </c>
      <c r="AS691" s="8">
        <f t="shared" si="203"/>
        <v>81.294422904956903</v>
      </c>
    </row>
    <row r="692" spans="1:45">
      <c r="A692" s="19">
        <v>31.698333330000001</v>
      </c>
      <c r="B692" s="19">
        <v>857.90398589999995</v>
      </c>
      <c r="C692" s="19">
        <v>-476.25170869999999</v>
      </c>
      <c r="E692" s="9">
        <f t="shared" si="193"/>
        <v>102.09601410000005</v>
      </c>
      <c r="F692" s="9">
        <f t="shared" si="194"/>
        <v>63.748291300000005</v>
      </c>
      <c r="I692">
        <v>1</v>
      </c>
      <c r="J692">
        <f t="shared" si="189"/>
        <v>7.874902484757175E-2</v>
      </c>
      <c r="K692">
        <f t="shared" si="195"/>
        <v>0.55816449728281459</v>
      </c>
      <c r="O692">
        <f t="shared" si="196"/>
        <v>6.6728163121977491E-2</v>
      </c>
      <c r="P692">
        <f t="shared" si="197"/>
        <v>4.1664764468153079E-2</v>
      </c>
      <c r="Q692">
        <f t="shared" si="198"/>
        <v>0.99690089760626666</v>
      </c>
      <c r="R692">
        <f t="shared" si="188"/>
        <v>1</v>
      </c>
      <c r="AG692" s="8">
        <f t="shared" si="190"/>
        <v>4.9240585117642191E-2</v>
      </c>
      <c r="AH692" s="8">
        <f t="shared" si="191"/>
        <v>-0.14336263509901995</v>
      </c>
      <c r="AI692" s="8">
        <f t="shared" si="192"/>
        <v>0.98844449496910924</v>
      </c>
      <c r="AJ692" s="8"/>
      <c r="AK692" s="8"/>
      <c r="AL692" s="8"/>
      <c r="AN692" s="8">
        <f t="shared" si="199"/>
        <v>0.99999999999999989</v>
      </c>
      <c r="AO692" s="8">
        <f t="shared" si="200"/>
        <v>5.0432335072313546</v>
      </c>
      <c r="AP692" s="8">
        <f t="shared" si="201"/>
        <v>0.15216983153038655</v>
      </c>
      <c r="AQ692" s="8"/>
      <c r="AR692" s="8">
        <f t="shared" si="202"/>
        <v>288.95599506331655</v>
      </c>
      <c r="AS692" s="8">
        <f t="shared" si="203"/>
        <v>81.281310884092093</v>
      </c>
    </row>
    <row r="693" spans="1:45">
      <c r="A693" s="19">
        <v>31.7317</v>
      </c>
      <c r="B693" s="19">
        <v>858.73322459999997</v>
      </c>
      <c r="C693" s="19">
        <v>-477.27268909999998</v>
      </c>
      <c r="E693" s="9">
        <f t="shared" si="193"/>
        <v>101.26677540000003</v>
      </c>
      <c r="F693" s="9">
        <f t="shared" si="194"/>
        <v>62.72731090000002</v>
      </c>
      <c r="I693">
        <v>1</v>
      </c>
      <c r="J693">
        <f t="shared" si="189"/>
        <v>7.7929180834874115E-2</v>
      </c>
      <c r="K693">
        <f t="shared" si="195"/>
        <v>0.55458126676101838</v>
      </c>
      <c r="O693">
        <f t="shared" si="196"/>
        <v>6.6182199828707794E-2</v>
      </c>
      <c r="P693">
        <f t="shared" si="197"/>
        <v>4.0994999675888565E-2</v>
      </c>
      <c r="Q693">
        <f t="shared" si="198"/>
        <v>0.99696505777655364</v>
      </c>
      <c r="R693">
        <f t="shared" si="188"/>
        <v>1</v>
      </c>
      <c r="AG693" s="8">
        <f t="shared" si="190"/>
        <v>5.0041286479744145E-2</v>
      </c>
      <c r="AH693" s="8">
        <f t="shared" si="191"/>
        <v>-0.14368224580267777</v>
      </c>
      <c r="AI693" s="8">
        <f t="shared" si="192"/>
        <v>0.988357871364695</v>
      </c>
      <c r="AJ693" s="8"/>
      <c r="AK693" s="8"/>
      <c r="AL693" s="8"/>
      <c r="AN693" s="8">
        <f t="shared" si="199"/>
        <v>0.99999999999999989</v>
      </c>
      <c r="AO693" s="8">
        <f t="shared" si="200"/>
        <v>5.0475284124915287</v>
      </c>
      <c r="AP693" s="8">
        <f t="shared" si="201"/>
        <v>0.15274022973954793</v>
      </c>
      <c r="AQ693" s="8"/>
      <c r="AR693" s="8">
        <f t="shared" si="202"/>
        <v>289.20207500813308</v>
      </c>
      <c r="AS693" s="8">
        <f t="shared" si="203"/>
        <v>81.248629474065325</v>
      </c>
    </row>
    <row r="694" spans="1:45">
      <c r="A694" s="19">
        <v>31.76506667</v>
      </c>
      <c r="B694" s="19">
        <v>858.9115845</v>
      </c>
      <c r="C694" s="19">
        <v>-478.03337770000002</v>
      </c>
      <c r="E694" s="9">
        <f t="shared" si="193"/>
        <v>101.0884155</v>
      </c>
      <c r="F694" s="9">
        <f t="shared" si="194"/>
        <v>61.966622299999983</v>
      </c>
      <c r="I694">
        <v>1</v>
      </c>
      <c r="J694">
        <f t="shared" si="189"/>
        <v>7.7565923803530626E-2</v>
      </c>
      <c r="K694">
        <f t="shared" si="195"/>
        <v>0.5499193830328194</v>
      </c>
      <c r="O694">
        <f t="shared" si="196"/>
        <v>6.6063828604572022E-2</v>
      </c>
      <c r="P694">
        <f t="shared" si="197"/>
        <v>4.0496750241687682E-2</v>
      </c>
      <c r="Q694">
        <f t="shared" si="198"/>
        <v>0.99699327167738105</v>
      </c>
      <c r="R694">
        <f t="shared" si="188"/>
        <v>1</v>
      </c>
      <c r="AG694" s="8">
        <f t="shared" si="190"/>
        <v>5.0552580159874315E-2</v>
      </c>
      <c r="AH694" s="8">
        <f t="shared" si="191"/>
        <v>-0.143647625364974</v>
      </c>
      <c r="AI694" s="8">
        <f t="shared" si="192"/>
        <v>0.98833688404621611</v>
      </c>
      <c r="AJ694" s="8"/>
      <c r="AK694" s="8"/>
      <c r="AL694" s="8"/>
      <c r="AN694" s="8">
        <f t="shared" si="199"/>
        <v>1</v>
      </c>
      <c r="AO694" s="8">
        <f t="shared" si="200"/>
        <v>5.0507739104349483</v>
      </c>
      <c r="AP694" s="8">
        <f t="shared" si="201"/>
        <v>0.15287810902738408</v>
      </c>
      <c r="AQ694" s="8"/>
      <c r="AR694" s="8">
        <f t="shared" si="202"/>
        <v>289.38802834270939</v>
      </c>
      <c r="AS694" s="8">
        <f t="shared" si="203"/>
        <v>81.240729572790045</v>
      </c>
    </row>
    <row r="695" spans="1:45">
      <c r="A695" s="19">
        <v>31.798433330000002</v>
      </c>
      <c r="B695" s="19">
        <v>859.46248960000003</v>
      </c>
      <c r="C695" s="19">
        <v>-478.58026230000002</v>
      </c>
      <c r="E695" s="9">
        <f t="shared" si="193"/>
        <v>100.53751039999997</v>
      </c>
      <c r="F695" s="9">
        <f t="shared" si="194"/>
        <v>61.419737699999985</v>
      </c>
      <c r="I695">
        <v>1</v>
      </c>
      <c r="J695">
        <f t="shared" si="189"/>
        <v>7.7067854919728632E-2</v>
      </c>
      <c r="K695">
        <f t="shared" si="195"/>
        <v>0.54840562226126643</v>
      </c>
      <c r="O695">
        <f t="shared" si="196"/>
        <v>6.5701294579760441E-2</v>
      </c>
      <c r="P695">
        <f t="shared" si="197"/>
        <v>4.0137817851110411E-2</v>
      </c>
      <c r="Q695">
        <f t="shared" si="198"/>
        <v>0.99703174245792925</v>
      </c>
      <c r="R695">
        <f t="shared" si="188"/>
        <v>1</v>
      </c>
      <c r="AG695" s="8">
        <f t="shared" si="190"/>
        <v>5.1002116345341325E-2</v>
      </c>
      <c r="AH695" s="8">
        <f t="shared" si="191"/>
        <v>-0.14388498589793391</v>
      </c>
      <c r="AI695" s="8">
        <f t="shared" si="192"/>
        <v>0.98827925960299678</v>
      </c>
      <c r="AJ695" s="8"/>
      <c r="AK695" s="8"/>
      <c r="AL695" s="8"/>
      <c r="AN695" s="8">
        <f t="shared" si="199"/>
        <v>0.99999999999999989</v>
      </c>
      <c r="AO695" s="8">
        <f t="shared" si="200"/>
        <v>5.0530355128665612</v>
      </c>
      <c r="AP695" s="8">
        <f t="shared" si="201"/>
        <v>0.15325604842224361</v>
      </c>
      <c r="AQ695" s="8"/>
      <c r="AR695" s="8">
        <f t="shared" si="202"/>
        <v>289.51760861697733</v>
      </c>
      <c r="AS695" s="8">
        <f t="shared" si="203"/>
        <v>81.219075240552868</v>
      </c>
    </row>
    <row r="696" spans="1:45">
      <c r="A696" s="19">
        <v>31.831800000000001</v>
      </c>
      <c r="B696" s="19">
        <v>860.03972539999995</v>
      </c>
      <c r="C696" s="19">
        <v>-479.71213490000002</v>
      </c>
      <c r="E696" s="9">
        <f t="shared" si="193"/>
        <v>99.960274600000048</v>
      </c>
      <c r="F696" s="9">
        <f t="shared" si="194"/>
        <v>60.287865099999976</v>
      </c>
      <c r="I696">
        <v>1</v>
      </c>
      <c r="J696">
        <f t="shared" si="189"/>
        <v>7.6355217666619971E-2</v>
      </c>
      <c r="K696">
        <f t="shared" si="195"/>
        <v>0.54270917147308562</v>
      </c>
      <c r="O696">
        <f t="shared" si="196"/>
        <v>6.532042482550364E-2</v>
      </c>
      <c r="P696">
        <f t="shared" si="197"/>
        <v>3.9395939796214308E-2</v>
      </c>
      <c r="Q696">
        <f t="shared" si="198"/>
        <v>0.99708635635444776</v>
      </c>
      <c r="R696">
        <f t="shared" si="188"/>
        <v>1</v>
      </c>
      <c r="AG696" s="8">
        <f t="shared" si="190"/>
        <v>5.1823262300267126E-2</v>
      </c>
      <c r="AH696" s="8">
        <f t="shared" si="191"/>
        <v>-0.14402686260117548</v>
      </c>
      <c r="AI696" s="8">
        <f t="shared" si="192"/>
        <v>0.98821587334641603</v>
      </c>
      <c r="AJ696" s="8"/>
      <c r="AK696" s="8"/>
      <c r="AL696" s="8"/>
      <c r="AN696" s="8">
        <f t="shared" si="199"/>
        <v>1</v>
      </c>
      <c r="AO696" s="8">
        <f t="shared" si="200"/>
        <v>5.0577822317897372</v>
      </c>
      <c r="AP696" s="8">
        <f t="shared" si="201"/>
        <v>0.15367071245405861</v>
      </c>
      <c r="AQ696" s="8"/>
      <c r="AR696" s="8">
        <f t="shared" si="202"/>
        <v>289.78957557781024</v>
      </c>
      <c r="AS696" s="8">
        <f t="shared" si="203"/>
        <v>81.195316741613979</v>
      </c>
    </row>
    <row r="697" spans="1:45">
      <c r="A697" s="19">
        <v>31.865166670000001</v>
      </c>
      <c r="B697" s="19">
        <v>860.27520589999995</v>
      </c>
      <c r="C697" s="19">
        <v>-480.38918649999999</v>
      </c>
      <c r="E697" s="9">
        <f t="shared" si="193"/>
        <v>99.724794100000054</v>
      </c>
      <c r="F697" s="9">
        <f t="shared" si="194"/>
        <v>59.610813500000006</v>
      </c>
      <c r="I697">
        <v>1</v>
      </c>
      <c r="J697">
        <f t="shared" si="189"/>
        <v>7.5992289207122851E-2</v>
      </c>
      <c r="K697">
        <f t="shared" si="195"/>
        <v>0.53876579420101101</v>
      </c>
      <c r="O697">
        <f t="shared" si="196"/>
        <v>6.5164655998204882E-2</v>
      </c>
      <c r="P697">
        <f t="shared" si="197"/>
        <v>3.8952380805172764E-2</v>
      </c>
      <c r="Q697">
        <f t="shared" si="198"/>
        <v>0.99711397524969247</v>
      </c>
      <c r="R697">
        <f t="shared" si="188"/>
        <v>1</v>
      </c>
      <c r="AG697" s="8">
        <f t="shared" si="190"/>
        <v>5.2293106414064747E-2</v>
      </c>
      <c r="AH697" s="8">
        <f t="shared" si="191"/>
        <v>-0.14404355982386316</v>
      </c>
      <c r="AI697" s="8">
        <f t="shared" si="192"/>
        <v>0.98818868840664043</v>
      </c>
      <c r="AJ697" s="8"/>
      <c r="AK697" s="8"/>
      <c r="AL697" s="8"/>
      <c r="AN697" s="8">
        <f t="shared" si="199"/>
        <v>0.99999999999999978</v>
      </c>
      <c r="AO697" s="8">
        <f t="shared" si="200"/>
        <v>5.060630299909266</v>
      </c>
      <c r="AP697" s="8">
        <f t="shared" si="201"/>
        <v>0.15384821277267124</v>
      </c>
      <c r="AQ697" s="8"/>
      <c r="AR697" s="8">
        <f t="shared" si="202"/>
        <v>289.95275786082499</v>
      </c>
      <c r="AS697" s="8">
        <f t="shared" si="203"/>
        <v>81.185146722495247</v>
      </c>
    </row>
    <row r="698" spans="1:45">
      <c r="A698" s="19">
        <v>31.898533329999999</v>
      </c>
      <c r="B698" s="19">
        <v>860.82451300000002</v>
      </c>
      <c r="C698" s="19">
        <v>-480.9917696</v>
      </c>
      <c r="E698" s="9">
        <f t="shared" si="193"/>
        <v>99.175486999999976</v>
      </c>
      <c r="F698" s="9">
        <f t="shared" si="194"/>
        <v>59.008230400000002</v>
      </c>
      <c r="I698">
        <v>1</v>
      </c>
      <c r="J698">
        <f t="shared" si="189"/>
        <v>7.5477694913839904E-2</v>
      </c>
      <c r="K698">
        <f t="shared" si="195"/>
        <v>0.53672609880498479</v>
      </c>
      <c r="O698">
        <f t="shared" si="196"/>
        <v>6.480300325867866E-2</v>
      </c>
      <c r="P698">
        <f t="shared" si="197"/>
        <v>3.8557013054042903E-2</v>
      </c>
      <c r="Q698">
        <f t="shared" si="198"/>
        <v>0.99715291079804103</v>
      </c>
      <c r="R698">
        <f t="shared" si="188"/>
        <v>1</v>
      </c>
      <c r="AG698" s="8">
        <f t="shared" si="190"/>
        <v>5.2777132913113693E-2</v>
      </c>
      <c r="AH698" s="8">
        <f t="shared" si="191"/>
        <v>-0.14426917723847327</v>
      </c>
      <c r="AI698" s="8">
        <f t="shared" si="192"/>
        <v>0.98813004141175942</v>
      </c>
      <c r="AJ698" s="8"/>
      <c r="AK698" s="8"/>
      <c r="AL698" s="8"/>
      <c r="AN698" s="8">
        <f t="shared" si="199"/>
        <v>0.99999999999999989</v>
      </c>
      <c r="AO698" s="8">
        <f t="shared" si="200"/>
        <v>5.0630908041133136</v>
      </c>
      <c r="AP698" s="8">
        <f t="shared" si="201"/>
        <v>0.15423045001566127</v>
      </c>
      <c r="AQ698" s="8"/>
      <c r="AR698" s="8">
        <f t="shared" si="202"/>
        <v>290.09373436719108</v>
      </c>
      <c r="AS698" s="8">
        <f t="shared" si="203"/>
        <v>81.163246141699204</v>
      </c>
    </row>
    <row r="699" spans="1:45">
      <c r="A699" s="19">
        <v>31.931899999999999</v>
      </c>
      <c r="B699" s="19">
        <v>860.76060859999996</v>
      </c>
      <c r="C699" s="19">
        <v>-481.52586819999999</v>
      </c>
      <c r="E699" s="9">
        <f t="shared" si="193"/>
        <v>99.239391400000045</v>
      </c>
      <c r="F699" s="9">
        <f t="shared" si="194"/>
        <v>58.474131800000009</v>
      </c>
      <c r="I699">
        <v>1</v>
      </c>
      <c r="J699">
        <f t="shared" si="189"/>
        <v>7.5334524649511972E-2</v>
      </c>
      <c r="K699">
        <f t="shared" si="195"/>
        <v>0.53245754654993516</v>
      </c>
      <c r="O699">
        <f t="shared" si="196"/>
        <v>6.4843995462422907E-2</v>
      </c>
      <c r="P699">
        <f t="shared" si="197"/>
        <v>3.8207573460676401E-2</v>
      </c>
      <c r="Q699">
        <f t="shared" si="198"/>
        <v>0.99716369648253655</v>
      </c>
      <c r="R699">
        <f t="shared" si="188"/>
        <v>1</v>
      </c>
      <c r="AG699" s="8">
        <f t="shared" si="190"/>
        <v>5.3099303685267121E-2</v>
      </c>
      <c r="AH699" s="8">
        <f t="shared" si="191"/>
        <v>-0.14412740644076227</v>
      </c>
      <c r="AI699" s="8">
        <f t="shared" si="192"/>
        <v>0.98813347006403895</v>
      </c>
      <c r="AJ699" s="8"/>
      <c r="AK699" s="8"/>
      <c r="AL699" s="8"/>
      <c r="AN699" s="8">
        <f t="shared" si="199"/>
        <v>0.99999999999999989</v>
      </c>
      <c r="AO699" s="8">
        <f t="shared" si="200"/>
        <v>5.0653777364186032</v>
      </c>
      <c r="AP699" s="8">
        <f t="shared" si="201"/>
        <v>0.15420812932519379</v>
      </c>
      <c r="AQ699" s="8"/>
      <c r="AR699" s="8">
        <f t="shared" si="202"/>
        <v>290.22476593631632</v>
      </c>
      <c r="AS699" s="8">
        <f t="shared" si="203"/>
        <v>81.164525023058815</v>
      </c>
    </row>
    <row r="700" spans="1:45">
      <c r="A700" s="19">
        <v>31.965266669999998</v>
      </c>
      <c r="B700" s="19">
        <v>861.81296580000003</v>
      </c>
      <c r="C700" s="19">
        <v>-482.16711500000002</v>
      </c>
      <c r="E700" s="9">
        <f t="shared" si="193"/>
        <v>98.187034199999971</v>
      </c>
      <c r="F700" s="9">
        <f t="shared" si="194"/>
        <v>57.832884999999976</v>
      </c>
      <c r="I700">
        <v>1</v>
      </c>
      <c r="J700">
        <f t="shared" si="189"/>
        <v>7.4522045174707549E-2</v>
      </c>
      <c r="K700">
        <f t="shared" si="195"/>
        <v>0.53229745903823689</v>
      </c>
      <c r="O700">
        <f t="shared" si="196"/>
        <v>6.4152007924800761E-2</v>
      </c>
      <c r="P700">
        <f t="shared" si="197"/>
        <v>3.7786004303550808E-2</v>
      </c>
      <c r="Q700">
        <f t="shared" si="198"/>
        <v>0.99722451722668171</v>
      </c>
      <c r="R700">
        <f t="shared" si="188"/>
        <v>1</v>
      </c>
      <c r="AG700" s="8">
        <f t="shared" si="190"/>
        <v>5.3705058264993902E-2</v>
      </c>
      <c r="AH700" s="8">
        <f t="shared" si="191"/>
        <v>-0.14465766819018636</v>
      </c>
      <c r="AI700" s="8">
        <f t="shared" si="192"/>
        <v>0.98802324150322063</v>
      </c>
      <c r="AJ700" s="8"/>
      <c r="AK700" s="8"/>
      <c r="AL700" s="8"/>
      <c r="AN700" s="8">
        <f t="shared" si="199"/>
        <v>0.99999999999999989</v>
      </c>
      <c r="AO700" s="8">
        <f t="shared" si="200"/>
        <v>5.0678733945763303</v>
      </c>
      <c r="AP700" s="8">
        <f t="shared" si="201"/>
        <v>0.15492412511044784</v>
      </c>
      <c r="AQ700" s="8"/>
      <c r="AR700" s="8">
        <f t="shared" si="202"/>
        <v>290.36775661586148</v>
      </c>
      <c r="AS700" s="8">
        <f t="shared" si="203"/>
        <v>81.123501486414597</v>
      </c>
    </row>
    <row r="701" spans="1:45">
      <c r="A701" s="19">
        <v>31.998633330000001</v>
      </c>
      <c r="B701" s="19">
        <v>861.81006449999995</v>
      </c>
      <c r="C701" s="19">
        <v>-483.52088750000001</v>
      </c>
      <c r="E701" s="9">
        <f t="shared" si="193"/>
        <v>98.189935500000047</v>
      </c>
      <c r="F701" s="9">
        <f t="shared" si="194"/>
        <v>56.479112499999985</v>
      </c>
      <c r="I701">
        <v>1</v>
      </c>
      <c r="J701">
        <f t="shared" si="189"/>
        <v>7.4074638495269421E-2</v>
      </c>
      <c r="K701">
        <f t="shared" si="195"/>
        <v>0.52198657402167714</v>
      </c>
      <c r="O701">
        <f t="shared" si="196"/>
        <v>6.4151442313354956E-2</v>
      </c>
      <c r="P701">
        <f t="shared" si="197"/>
        <v>3.6900080532726615E-2</v>
      </c>
      <c r="Q701">
        <f t="shared" si="198"/>
        <v>0.99725772822565506</v>
      </c>
      <c r="R701">
        <f t="shared" si="188"/>
        <v>1</v>
      </c>
      <c r="AG701" s="8">
        <f t="shared" si="190"/>
        <v>5.4552347504458365E-2</v>
      </c>
      <c r="AH701" s="8">
        <f t="shared" si="191"/>
        <v>-0.14439690643396857</v>
      </c>
      <c r="AI701" s="8">
        <f t="shared" si="192"/>
        <v>0.98801496688767443</v>
      </c>
      <c r="AJ701" s="8"/>
      <c r="AK701" s="8"/>
      <c r="AL701" s="8"/>
      <c r="AN701" s="8">
        <f t="shared" si="199"/>
        <v>0.99999999999999989</v>
      </c>
      <c r="AO701" s="8">
        <f t="shared" si="200"/>
        <v>5.0736073115913767</v>
      </c>
      <c r="AP701" s="8">
        <f t="shared" si="201"/>
        <v>0.15497774092506722</v>
      </c>
      <c r="AQ701" s="8"/>
      <c r="AR701" s="8">
        <f t="shared" si="202"/>
        <v>290.69628586090187</v>
      </c>
      <c r="AS701" s="8">
        <f t="shared" si="203"/>
        <v>81.120429526521747</v>
      </c>
    </row>
    <row r="702" spans="1:45">
      <c r="A702" s="19">
        <v>32.031999999999996</v>
      </c>
      <c r="B702" s="19">
        <v>862.95977249999999</v>
      </c>
      <c r="C702" s="19">
        <v>-484.21911710000001</v>
      </c>
      <c r="E702" s="9">
        <f t="shared" si="193"/>
        <v>97.040227500000015</v>
      </c>
      <c r="F702" s="9">
        <f t="shared" si="194"/>
        <v>55.780882899999995</v>
      </c>
      <c r="I702">
        <v>1</v>
      </c>
      <c r="J702">
        <f t="shared" si="189"/>
        <v>7.3187968438418335E-2</v>
      </c>
      <c r="K702">
        <f t="shared" si="195"/>
        <v>0.52170069336381464</v>
      </c>
      <c r="O702">
        <f t="shared" si="196"/>
        <v>6.3395352729438789E-2</v>
      </c>
      <c r="P702">
        <f t="shared" si="197"/>
        <v>3.6441059940889149E-2</v>
      </c>
      <c r="Q702">
        <f t="shared" si="198"/>
        <v>0.99732295591884101</v>
      </c>
      <c r="R702">
        <f t="shared" si="188"/>
        <v>1</v>
      </c>
      <c r="AG702" s="8">
        <f t="shared" si="190"/>
        <v>5.521255914045832E-2</v>
      </c>
      <c r="AH702" s="8">
        <f t="shared" si="191"/>
        <v>-0.14497653482710626</v>
      </c>
      <c r="AI702" s="8">
        <f t="shared" si="192"/>
        <v>0.98789340399796488</v>
      </c>
      <c r="AJ702" s="8"/>
      <c r="AK702" s="8"/>
      <c r="AL702" s="8"/>
      <c r="AN702" s="8">
        <f t="shared" si="199"/>
        <v>1</v>
      </c>
      <c r="AO702" s="8">
        <f t="shared" si="200"/>
        <v>5.0762679610192256</v>
      </c>
      <c r="AP702" s="8">
        <f t="shared" si="201"/>
        <v>0.1557633041054769</v>
      </c>
      <c r="AQ702" s="8"/>
      <c r="AR702" s="8">
        <f t="shared" si="202"/>
        <v>290.84872984388153</v>
      </c>
      <c r="AS702" s="8">
        <f t="shared" si="203"/>
        <v>81.075420071743409</v>
      </c>
    </row>
    <row r="703" spans="1:45">
      <c r="A703" s="19">
        <v>32.065366670000003</v>
      </c>
      <c r="B703" s="19">
        <v>862.75149380000005</v>
      </c>
      <c r="C703" s="19">
        <v>-484.84729199999998</v>
      </c>
      <c r="E703" s="9">
        <f t="shared" si="193"/>
        <v>97.248506199999952</v>
      </c>
      <c r="F703" s="9">
        <f t="shared" si="194"/>
        <v>55.152708000000018</v>
      </c>
      <c r="I703">
        <v>1</v>
      </c>
      <c r="J703">
        <f t="shared" si="189"/>
        <v>7.3101854892872672E-2</v>
      </c>
      <c r="K703">
        <f t="shared" si="195"/>
        <v>0.51590091835869867</v>
      </c>
      <c r="O703">
        <f t="shared" si="196"/>
        <v>6.353092980921507E-2</v>
      </c>
      <c r="P703">
        <f t="shared" si="197"/>
        <v>3.6030402498214806E-2</v>
      </c>
      <c r="Q703">
        <f t="shared" si="198"/>
        <v>0.99732924907143539</v>
      </c>
      <c r="R703">
        <f t="shared" si="188"/>
        <v>1</v>
      </c>
      <c r="AG703" s="8">
        <f t="shared" si="190"/>
        <v>5.5565499299115972E-2</v>
      </c>
      <c r="AH703" s="8">
        <f t="shared" si="191"/>
        <v>-0.14472711180310871</v>
      </c>
      <c r="AI703" s="8">
        <f t="shared" si="192"/>
        <v>0.98791018741420544</v>
      </c>
      <c r="AJ703" s="8"/>
      <c r="AK703" s="8"/>
      <c r="AL703" s="8"/>
      <c r="AN703" s="8">
        <f t="shared" si="199"/>
        <v>1</v>
      </c>
      <c r="AO703" s="8">
        <f t="shared" si="200"/>
        <v>5.0789681400497457</v>
      </c>
      <c r="AP703" s="8">
        <f t="shared" si="201"/>
        <v>0.15565508038208087</v>
      </c>
      <c r="AQ703" s="8"/>
      <c r="AR703" s="8">
        <f t="shared" si="202"/>
        <v>291.00343870626006</v>
      </c>
      <c r="AS703" s="8">
        <f t="shared" si="203"/>
        <v>81.081620834337187</v>
      </c>
    </row>
    <row r="704" spans="1:45">
      <c r="A704" s="19">
        <v>32.098733330000002</v>
      </c>
      <c r="B704" s="19">
        <v>862.97920169999998</v>
      </c>
      <c r="C704" s="19">
        <v>-485.8597863</v>
      </c>
      <c r="E704" s="9">
        <f t="shared" si="193"/>
        <v>97.020798300000024</v>
      </c>
      <c r="F704" s="9">
        <f t="shared" si="194"/>
        <v>54.140213700000004</v>
      </c>
      <c r="I704">
        <v>1</v>
      </c>
      <c r="J704">
        <f t="shared" si="189"/>
        <v>7.2643670888587544E-2</v>
      </c>
      <c r="K704">
        <f t="shared" si="195"/>
        <v>0.50898499044904633</v>
      </c>
      <c r="O704">
        <f t="shared" si="196"/>
        <v>6.337954965012435E-2</v>
      </c>
      <c r="P704">
        <f t="shared" si="197"/>
        <v>3.5367492562339516E-2</v>
      </c>
      <c r="Q704">
        <f t="shared" si="198"/>
        <v>0.99736260866146387</v>
      </c>
      <c r="R704">
        <f t="shared" si="188"/>
        <v>1</v>
      </c>
      <c r="AG704" s="8">
        <f t="shared" si="190"/>
        <v>5.6243565435687898E-2</v>
      </c>
      <c r="AH704" s="8">
        <f t="shared" si="191"/>
        <v>-0.14467453788237106</v>
      </c>
      <c r="AI704" s="8">
        <f t="shared" si="192"/>
        <v>0.98787951665959939</v>
      </c>
      <c r="AJ704" s="8"/>
      <c r="AK704" s="8"/>
      <c r="AL704" s="8"/>
      <c r="AN704" s="8">
        <f t="shared" si="199"/>
        <v>0.99999999999999978</v>
      </c>
      <c r="AO704" s="8">
        <f t="shared" si="200"/>
        <v>5.0831676592565058</v>
      </c>
      <c r="AP704" s="8">
        <f t="shared" si="201"/>
        <v>0.15585279682674269</v>
      </c>
      <c r="AQ704" s="8"/>
      <c r="AR704" s="8">
        <f t="shared" si="202"/>
        <v>291.24405343279153</v>
      </c>
      <c r="AS704" s="8">
        <f t="shared" si="203"/>
        <v>81.070292516517739</v>
      </c>
    </row>
    <row r="705" spans="1:45">
      <c r="A705" s="19">
        <v>32.132100000000001</v>
      </c>
      <c r="B705" s="19">
        <v>863.31720970000003</v>
      </c>
      <c r="C705" s="19">
        <v>-486.26303910000001</v>
      </c>
      <c r="E705" s="9">
        <f t="shared" si="193"/>
        <v>96.682790299999965</v>
      </c>
      <c r="F705" s="9">
        <f t="shared" si="194"/>
        <v>53.736960899999985</v>
      </c>
      <c r="I705">
        <v>1</v>
      </c>
      <c r="J705">
        <f t="shared" si="189"/>
        <v>7.2319596847273945E-2</v>
      </c>
      <c r="K705">
        <f t="shared" si="195"/>
        <v>0.50729054061654277</v>
      </c>
      <c r="O705">
        <f t="shared" si="196"/>
        <v>6.3156869369301205E-2</v>
      </c>
      <c r="P705">
        <f t="shared" si="197"/>
        <v>3.5103023085428543E-2</v>
      </c>
      <c r="Q705">
        <f t="shared" si="198"/>
        <v>0.99738607751548891</v>
      </c>
      <c r="R705">
        <f t="shared" si="188"/>
        <v>1</v>
      </c>
      <c r="AG705" s="8">
        <f t="shared" si="190"/>
        <v>5.65615637040362E-2</v>
      </c>
      <c r="AH705" s="8">
        <f t="shared" si="191"/>
        <v>-0.14480700430834645</v>
      </c>
      <c r="AI705" s="8">
        <f t="shared" si="192"/>
        <v>0.98784195143484199</v>
      </c>
      <c r="AJ705" s="8"/>
      <c r="AK705" s="8"/>
      <c r="AL705" s="8"/>
      <c r="AN705" s="8">
        <f t="shared" si="199"/>
        <v>0.99999999999999989</v>
      </c>
      <c r="AO705" s="8">
        <f t="shared" si="200"/>
        <v>5.0847654239225948</v>
      </c>
      <c r="AP705" s="8">
        <f t="shared" si="201"/>
        <v>0.15609461945127756</v>
      </c>
      <c r="AQ705" s="8"/>
      <c r="AR705" s="8">
        <f t="shared" si="202"/>
        <v>291.33559860481358</v>
      </c>
      <c r="AS705" s="8">
        <f t="shared" si="203"/>
        <v>81.056437100741107</v>
      </c>
    </row>
    <row r="706" spans="1:45">
      <c r="A706" s="19">
        <v>32.165466670000001</v>
      </c>
      <c r="B706" s="19">
        <v>864.30478149999999</v>
      </c>
      <c r="C706" s="19">
        <v>-487.00760220000001</v>
      </c>
      <c r="E706" s="9">
        <f t="shared" si="193"/>
        <v>95.69521850000001</v>
      </c>
      <c r="F706" s="9">
        <f t="shared" si="194"/>
        <v>52.992397799999992</v>
      </c>
      <c r="I706">
        <v>1</v>
      </c>
      <c r="J706">
        <f t="shared" si="189"/>
        <v>7.1512043709404643E-2</v>
      </c>
      <c r="K706">
        <f t="shared" si="195"/>
        <v>0.50572709137876215</v>
      </c>
      <c r="O706">
        <f t="shared" si="196"/>
        <v>6.2507034432188524E-2</v>
      </c>
      <c r="P706">
        <f t="shared" si="197"/>
        <v>3.4614034910519904E-2</v>
      </c>
      <c r="Q706">
        <f t="shared" si="198"/>
        <v>0.99744410331291578</v>
      </c>
      <c r="R706">
        <f t="shared" si="188"/>
        <v>1</v>
      </c>
      <c r="AG706" s="8">
        <f t="shared" si="190"/>
        <v>5.7219161157327392E-2</v>
      </c>
      <c r="AH706" s="8">
        <f t="shared" si="191"/>
        <v>-0.14527700725234438</v>
      </c>
      <c r="AI706" s="8">
        <f t="shared" si="192"/>
        <v>0.98773506506565523</v>
      </c>
      <c r="AJ706" s="8"/>
      <c r="AK706" s="8"/>
      <c r="AL706" s="8"/>
      <c r="AN706" s="8">
        <f t="shared" si="199"/>
        <v>1.0000000000000002</v>
      </c>
      <c r="AO706" s="8">
        <f t="shared" si="200"/>
        <v>5.0875932130037809</v>
      </c>
      <c r="AP706" s="8">
        <f t="shared" si="201"/>
        <v>0.15678066651898637</v>
      </c>
      <c r="AQ706" s="8"/>
      <c r="AR706" s="8">
        <f t="shared" si="202"/>
        <v>291.49761898451868</v>
      </c>
      <c r="AS706" s="8">
        <f t="shared" si="203"/>
        <v>81.017129499214064</v>
      </c>
    </row>
    <row r="707" spans="1:45">
      <c r="A707" s="19">
        <v>32.198833329999999</v>
      </c>
      <c r="B707" s="19">
        <v>864.82240779999995</v>
      </c>
      <c r="C707" s="19">
        <v>-487.80929579999997</v>
      </c>
      <c r="E707" s="9">
        <f t="shared" si="193"/>
        <v>95.177592200000049</v>
      </c>
      <c r="F707" s="9">
        <f t="shared" si="194"/>
        <v>52.190704200000027</v>
      </c>
      <c r="I707">
        <v>1</v>
      </c>
      <c r="J707">
        <f t="shared" si="189"/>
        <v>7.0958025043352996E-2</v>
      </c>
      <c r="K707">
        <f t="shared" si="195"/>
        <v>0.50157611144282632</v>
      </c>
      <c r="O707">
        <f t="shared" si="196"/>
        <v>6.2165631790364412E-2</v>
      </c>
      <c r="P707">
        <f t="shared" si="197"/>
        <v>3.4088570903950913E-2</v>
      </c>
      <c r="Q707">
        <f t="shared" si="198"/>
        <v>0.99748353548208057</v>
      </c>
      <c r="R707">
        <f t="shared" si="188"/>
        <v>1</v>
      </c>
      <c r="AG707" s="8">
        <f t="shared" si="190"/>
        <v>5.7821324800913086E-2</v>
      </c>
      <c r="AH707" s="8">
        <f t="shared" si="191"/>
        <v>-0.14544450568837239</v>
      </c>
      <c r="AI707" s="8">
        <f t="shared" si="192"/>
        <v>0.98767534654021427</v>
      </c>
      <c r="AJ707" s="8"/>
      <c r="AK707" s="8"/>
      <c r="AL707" s="8"/>
      <c r="AN707" s="8">
        <f t="shared" si="199"/>
        <v>1</v>
      </c>
      <c r="AO707" s="8">
        <f t="shared" si="200"/>
        <v>5.0907806839267664</v>
      </c>
      <c r="AP707" s="8">
        <f t="shared" si="201"/>
        <v>0.15716267479804635</v>
      </c>
      <c r="AQ707" s="8"/>
      <c r="AR707" s="8">
        <f t="shared" si="202"/>
        <v>291.68024761572644</v>
      </c>
      <c r="AS707" s="8">
        <f t="shared" si="203"/>
        <v>80.995242037084878</v>
      </c>
    </row>
    <row r="708" spans="1:45">
      <c r="A708" s="19">
        <v>32.232199999999999</v>
      </c>
      <c r="B708" s="19">
        <v>865.01692009999999</v>
      </c>
      <c r="C708" s="19">
        <v>-488.19264980000003</v>
      </c>
      <c r="E708" s="9">
        <f t="shared" si="193"/>
        <v>94.983079900000007</v>
      </c>
      <c r="F708" s="9">
        <f t="shared" si="194"/>
        <v>51.807350199999973</v>
      </c>
      <c r="I708">
        <v>1</v>
      </c>
      <c r="J708">
        <f t="shared" si="189"/>
        <v>7.0724227112755361E-2</v>
      </c>
      <c r="K708">
        <f t="shared" si="195"/>
        <v>0.4993337189904708</v>
      </c>
      <c r="O708">
        <f t="shared" si="196"/>
        <v>6.2037178571263764E-2</v>
      </c>
      <c r="P708">
        <f t="shared" si="197"/>
        <v>3.3837414401018971E-2</v>
      </c>
      <c r="Q708">
        <f t="shared" si="198"/>
        <v>0.99750008414113467</v>
      </c>
      <c r="R708">
        <f t="shared" si="188"/>
        <v>1</v>
      </c>
      <c r="AG708" s="8">
        <f t="shared" si="190"/>
        <v>5.8098967411411392E-2</v>
      </c>
      <c r="AH708" s="8">
        <f t="shared" si="191"/>
        <v>-0.14549170652470889</v>
      </c>
      <c r="AI708" s="8">
        <f t="shared" si="192"/>
        <v>0.98765210135869985</v>
      </c>
      <c r="AJ708" s="8"/>
      <c r="AK708" s="8"/>
      <c r="AL708" s="8"/>
      <c r="AN708" s="8">
        <f t="shared" si="199"/>
        <v>0.99999999999999978</v>
      </c>
      <c r="AO708" s="8">
        <f t="shared" si="200"/>
        <v>5.0923162403367002</v>
      </c>
      <c r="AP708" s="8">
        <f t="shared" si="201"/>
        <v>0.15731112113806245</v>
      </c>
      <c r="AQ708" s="8"/>
      <c r="AR708" s="8">
        <f t="shared" si="202"/>
        <v>291.76822851721988</v>
      </c>
      <c r="AS708" s="8">
        <f t="shared" si="203"/>
        <v>80.986736688317791</v>
      </c>
    </row>
    <row r="709" spans="1:45">
      <c r="A709" s="19">
        <v>32.265566669999998</v>
      </c>
      <c r="B709" s="19">
        <v>865.97261939999999</v>
      </c>
      <c r="C709" s="19">
        <v>-489.52656539999998</v>
      </c>
      <c r="E709" s="9">
        <f t="shared" si="193"/>
        <v>94.027380600000015</v>
      </c>
      <c r="F709" s="9">
        <f t="shared" si="194"/>
        <v>50.473434600000019</v>
      </c>
      <c r="I709">
        <v>1</v>
      </c>
      <c r="J709">
        <f t="shared" si="189"/>
        <v>6.9751500221268622E-2</v>
      </c>
      <c r="K709">
        <f t="shared" si="195"/>
        <v>0.49264857710524207</v>
      </c>
      <c r="O709">
        <f t="shared" si="196"/>
        <v>6.1407058395833242E-2</v>
      </c>
      <c r="P709">
        <f t="shared" si="197"/>
        <v>3.2963006372640248E-2</v>
      </c>
      <c r="Q709">
        <f t="shared" si="198"/>
        <v>0.99756835023473356</v>
      </c>
      <c r="R709">
        <f t="shared" si="188"/>
        <v>1</v>
      </c>
      <c r="AG709" s="8">
        <f t="shared" si="190"/>
        <v>5.9119016188497735E-2</v>
      </c>
      <c r="AH709" s="8">
        <f t="shared" si="191"/>
        <v>-0.14582881971897976</v>
      </c>
      <c r="AI709" s="8">
        <f t="shared" si="192"/>
        <v>0.98754184582946825</v>
      </c>
      <c r="AJ709" s="8"/>
      <c r="AK709" s="8"/>
      <c r="AL709" s="8"/>
      <c r="AN709" s="8">
        <f t="shared" si="199"/>
        <v>0.99999999999999978</v>
      </c>
      <c r="AO709" s="8">
        <f t="shared" si="200"/>
        <v>5.0975419189755433</v>
      </c>
      <c r="AP709" s="8">
        <f t="shared" si="201"/>
        <v>0.15801334154912738</v>
      </c>
      <c r="AQ709" s="8"/>
      <c r="AR709" s="8">
        <f t="shared" si="202"/>
        <v>292.0676378483173</v>
      </c>
      <c r="AS709" s="8">
        <f t="shared" si="203"/>
        <v>80.946502422475831</v>
      </c>
    </row>
    <row r="710" spans="1:45">
      <c r="A710" s="19">
        <v>32.298933329999997</v>
      </c>
      <c r="B710" s="19">
        <v>866.00757109999995</v>
      </c>
      <c r="C710" s="19">
        <v>-490.03343050000001</v>
      </c>
      <c r="E710" s="9">
        <f t="shared" si="193"/>
        <v>93.99242890000005</v>
      </c>
      <c r="F710" s="9">
        <f t="shared" si="194"/>
        <v>49.966569499999991</v>
      </c>
      <c r="I710">
        <v>1</v>
      </c>
      <c r="J710">
        <f t="shared" si="189"/>
        <v>6.9573716089081708E-2</v>
      </c>
      <c r="K710">
        <f t="shared" si="195"/>
        <v>0.48860848584374722</v>
      </c>
      <c r="O710">
        <f t="shared" si="196"/>
        <v>6.1383130128701002E-2</v>
      </c>
      <c r="P710">
        <f t="shared" si="197"/>
        <v>3.2631398864757716E-2</v>
      </c>
      <c r="Q710">
        <f t="shared" si="198"/>
        <v>0.99758072512640905</v>
      </c>
      <c r="R710">
        <f t="shared" si="188"/>
        <v>1</v>
      </c>
      <c r="AG710" s="8">
        <f t="shared" si="190"/>
        <v>5.9442934636927736E-2</v>
      </c>
      <c r="AH710" s="8">
        <f t="shared" si="191"/>
        <v>-0.14575334015506264</v>
      </c>
      <c r="AI710" s="8">
        <f t="shared" si="192"/>
        <v>0.98753354442033636</v>
      </c>
      <c r="AJ710" s="8"/>
      <c r="AK710" s="8"/>
      <c r="AL710" s="8"/>
      <c r="AN710" s="8">
        <f t="shared" si="199"/>
        <v>0.99999999999999989</v>
      </c>
      <c r="AO710" s="8">
        <f t="shared" si="200"/>
        <v>5.0996291382958141</v>
      </c>
      <c r="AP710" s="8">
        <f t="shared" si="201"/>
        <v>0.15806608820754398</v>
      </c>
      <c r="AQ710" s="8"/>
      <c r="AR710" s="8">
        <f t="shared" si="202"/>
        <v>292.18722670628699</v>
      </c>
      <c r="AS710" s="8">
        <f t="shared" si="203"/>
        <v>80.943480261565142</v>
      </c>
    </row>
    <row r="711" spans="1:45">
      <c r="A711" s="19">
        <v>32.332299999999996</v>
      </c>
      <c r="B711" s="19">
        <v>866.23715919999995</v>
      </c>
      <c r="C711" s="19">
        <v>-490.76703190000001</v>
      </c>
      <c r="E711" s="9">
        <f t="shared" si="193"/>
        <v>93.762840800000049</v>
      </c>
      <c r="F711" s="9">
        <f t="shared" si="194"/>
        <v>49.232968099999994</v>
      </c>
      <c r="I711">
        <v>1</v>
      </c>
      <c r="J711">
        <f t="shared" si="189"/>
        <v>6.9213938543838643E-2</v>
      </c>
      <c r="K711">
        <f t="shared" si="195"/>
        <v>0.48350951030955458</v>
      </c>
      <c r="O711">
        <f t="shared" si="196"/>
        <v>6.1230948966458483E-2</v>
      </c>
      <c r="P711">
        <f t="shared" si="197"/>
        <v>3.2151130783554256E-2</v>
      </c>
      <c r="Q711">
        <f t="shared" si="198"/>
        <v>0.99760567143436274</v>
      </c>
      <c r="R711">
        <f t="shared" si="188"/>
        <v>1</v>
      </c>
      <c r="AG711" s="8">
        <f t="shared" si="190"/>
        <v>5.9946416377379061E-2</v>
      </c>
      <c r="AH711" s="8">
        <f t="shared" si="191"/>
        <v>-0.14575507792917911</v>
      </c>
      <c r="AI711" s="8">
        <f t="shared" si="192"/>
        <v>0.98750285286745809</v>
      </c>
      <c r="AJ711" s="8"/>
      <c r="AK711" s="8"/>
      <c r="AL711" s="8"/>
      <c r="AN711" s="8">
        <f t="shared" si="199"/>
        <v>0.99999999999999967</v>
      </c>
      <c r="AO711" s="8">
        <f t="shared" si="200"/>
        <v>5.1025830877488305</v>
      </c>
      <c r="AP711" s="8">
        <f t="shared" si="201"/>
        <v>0.15826094912998001</v>
      </c>
      <c r="AQ711" s="8"/>
      <c r="AR711" s="8">
        <f t="shared" si="202"/>
        <v>292.3564755428398</v>
      </c>
      <c r="AS711" s="8">
        <f t="shared" si="203"/>
        <v>80.932315553117533</v>
      </c>
    </row>
    <row r="712" spans="1:45">
      <c r="A712" s="19">
        <v>32.365666670000003</v>
      </c>
      <c r="B712" s="19">
        <v>866.55734970000003</v>
      </c>
      <c r="C712" s="19">
        <v>-491.26861659999997</v>
      </c>
      <c r="E712" s="9">
        <f t="shared" si="193"/>
        <v>93.442650299999968</v>
      </c>
      <c r="F712" s="9">
        <f t="shared" si="194"/>
        <v>48.731383400000027</v>
      </c>
      <c r="I712">
        <v>1</v>
      </c>
      <c r="J712">
        <f t="shared" si="189"/>
        <v>6.8873576598190558E-2</v>
      </c>
      <c r="K712">
        <f t="shared" si="195"/>
        <v>0.48070805817582318</v>
      </c>
      <c r="O712">
        <f t="shared" si="196"/>
        <v>6.1019709506765815E-2</v>
      </c>
      <c r="P712">
        <f t="shared" si="197"/>
        <v>3.1822458474626898E-2</v>
      </c>
      <c r="Q712">
        <f t="shared" si="198"/>
        <v>0.99762915263555751</v>
      </c>
      <c r="R712">
        <f t="shared" si="188"/>
        <v>1</v>
      </c>
      <c r="AG712" s="8">
        <f t="shared" si="190"/>
        <v>6.0322276763958224E-2</v>
      </c>
      <c r="AH712" s="8">
        <f t="shared" si="191"/>
        <v>-0.14585746651380416</v>
      </c>
      <c r="AI712" s="8">
        <f t="shared" si="192"/>
        <v>0.98746484615311081</v>
      </c>
      <c r="AJ712" s="8"/>
      <c r="AK712" s="8"/>
      <c r="AL712" s="8"/>
      <c r="AN712" s="8">
        <f t="shared" si="199"/>
        <v>0.99999999999999989</v>
      </c>
      <c r="AO712" s="8">
        <f t="shared" si="200"/>
        <v>5.1045386476735057</v>
      </c>
      <c r="AP712" s="8">
        <f t="shared" si="201"/>
        <v>0.15850192483477321</v>
      </c>
      <c r="AQ712" s="8"/>
      <c r="AR712" s="8">
        <f t="shared" si="202"/>
        <v>292.46852087310862</v>
      </c>
      <c r="AS712" s="8">
        <f t="shared" si="203"/>
        <v>80.918508662267683</v>
      </c>
    </row>
    <row r="713" spans="1:45">
      <c r="A713" s="19">
        <v>32.399033330000002</v>
      </c>
      <c r="B713" s="19">
        <v>867.23408949999998</v>
      </c>
      <c r="C713" s="19">
        <v>-492.20742639999997</v>
      </c>
      <c r="E713" s="9">
        <f t="shared" si="193"/>
        <v>92.765910500000018</v>
      </c>
      <c r="F713" s="9">
        <f t="shared" si="194"/>
        <v>47.792573600000026</v>
      </c>
      <c r="I713">
        <v>1</v>
      </c>
      <c r="J713">
        <f t="shared" si="189"/>
        <v>6.8192631795388814E-2</v>
      </c>
      <c r="K713">
        <f t="shared" si="195"/>
        <v>0.47572992691350807</v>
      </c>
      <c r="O713">
        <f t="shared" si="196"/>
        <v>6.0573458372757669E-2</v>
      </c>
      <c r="P713">
        <f t="shared" si="197"/>
        <v>3.1207169227175952E-2</v>
      </c>
      <c r="Q713">
        <f t="shared" si="198"/>
        <v>0.99767578337333129</v>
      </c>
      <c r="R713">
        <f t="shared" si="188"/>
        <v>1</v>
      </c>
      <c r="AG713" s="8">
        <f t="shared" si="190"/>
        <v>6.104071280493277E-2</v>
      </c>
      <c r="AH713" s="8">
        <f t="shared" si="191"/>
        <v>-0.14609707658485407</v>
      </c>
      <c r="AI713" s="8">
        <f t="shared" si="192"/>
        <v>0.98738527211703186</v>
      </c>
      <c r="AJ713" s="8"/>
      <c r="AK713" s="8"/>
      <c r="AL713" s="8"/>
      <c r="AN713" s="8">
        <f t="shared" si="199"/>
        <v>1</v>
      </c>
      <c r="AO713" s="8">
        <f t="shared" si="200"/>
        <v>5.1081532835154224</v>
      </c>
      <c r="AP713" s="8">
        <f t="shared" si="201"/>
        <v>0.15900527888933258</v>
      </c>
      <c r="AQ713" s="8"/>
      <c r="AR713" s="8">
        <f t="shared" si="202"/>
        <v>292.67562425132712</v>
      </c>
      <c r="AS713" s="8">
        <f t="shared" si="203"/>
        <v>80.889668599340638</v>
      </c>
    </row>
    <row r="714" spans="1:45">
      <c r="A714" s="19">
        <v>32.432400000000001</v>
      </c>
      <c r="B714" s="19">
        <v>867.63427369999999</v>
      </c>
      <c r="C714" s="19">
        <v>-493.1990725</v>
      </c>
      <c r="E714" s="9">
        <f t="shared" si="193"/>
        <v>92.365726300000006</v>
      </c>
      <c r="F714" s="9">
        <f t="shared" si="194"/>
        <v>46.8009275</v>
      </c>
      <c r="I714">
        <v>1</v>
      </c>
      <c r="J714">
        <f t="shared" si="189"/>
        <v>6.7660240199930832E-2</v>
      </c>
      <c r="K714">
        <f t="shared" si="195"/>
        <v>0.46898646033057517</v>
      </c>
      <c r="O714">
        <f t="shared" si="196"/>
        <v>6.0308711616156765E-2</v>
      </c>
      <c r="P714">
        <f t="shared" si="197"/>
        <v>3.0557910959296605E-2</v>
      </c>
      <c r="Q714">
        <f t="shared" si="198"/>
        <v>0.9977119190332463</v>
      </c>
      <c r="R714">
        <f t="shared" si="188"/>
        <v>1</v>
      </c>
      <c r="AG714" s="8">
        <f t="shared" si="190"/>
        <v>6.173848148695503E-2</v>
      </c>
      <c r="AH714" s="8">
        <f t="shared" si="191"/>
        <v>-0.14615497852898124</v>
      </c>
      <c r="AI714" s="8">
        <f t="shared" si="192"/>
        <v>0.98733331866947449</v>
      </c>
      <c r="AJ714" s="8"/>
      <c r="AK714" s="8"/>
      <c r="AL714" s="8"/>
      <c r="AN714" s="8">
        <f t="shared" si="199"/>
        <v>1</v>
      </c>
      <c r="AO714" s="8">
        <f t="shared" si="200"/>
        <v>5.1120705484472762</v>
      </c>
      <c r="AP714" s="8">
        <f t="shared" si="201"/>
        <v>0.15933306516344103</v>
      </c>
      <c r="AQ714" s="8"/>
      <c r="AR714" s="8">
        <f t="shared" si="202"/>
        <v>292.90006699915693</v>
      </c>
      <c r="AS714" s="8">
        <f t="shared" si="203"/>
        <v>80.870887829251899</v>
      </c>
    </row>
    <row r="715" spans="1:45">
      <c r="A715" s="19">
        <v>32.465766670000001</v>
      </c>
      <c r="B715" s="19">
        <v>867.99537880000003</v>
      </c>
      <c r="C715" s="19">
        <v>-493.92106050000001</v>
      </c>
      <c r="E715" s="9">
        <f t="shared" si="193"/>
        <v>92.004621199999974</v>
      </c>
      <c r="F715" s="9">
        <f t="shared" si="194"/>
        <v>46.07893949999999</v>
      </c>
      <c r="I715">
        <v>1</v>
      </c>
      <c r="J715">
        <f t="shared" si="189"/>
        <v>6.7233494919367975E-2</v>
      </c>
      <c r="K715">
        <f t="shared" si="195"/>
        <v>0.46431369178728099</v>
      </c>
      <c r="O715">
        <f t="shared" si="196"/>
        <v>6.0070144910667693E-2</v>
      </c>
      <c r="P715">
        <f t="shared" si="197"/>
        <v>3.0085103737103255E-2</v>
      </c>
      <c r="Q715">
        <f t="shared" si="198"/>
        <v>0.99774067984799497</v>
      </c>
      <c r="R715">
        <f t="shared" si="188"/>
        <v>1</v>
      </c>
      <c r="AG715" s="8">
        <f t="shared" si="190"/>
        <v>6.225996161520507E-2</v>
      </c>
      <c r="AH715" s="8">
        <f t="shared" si="191"/>
        <v>-0.14624033917177931</v>
      </c>
      <c r="AI715" s="8">
        <f t="shared" si="192"/>
        <v>0.98728793185098551</v>
      </c>
      <c r="AJ715" s="8"/>
      <c r="AK715" s="8"/>
      <c r="AL715" s="8"/>
      <c r="AN715" s="8">
        <f t="shared" si="199"/>
        <v>1</v>
      </c>
      <c r="AO715" s="8">
        <f t="shared" si="200"/>
        <v>5.1148839297329598</v>
      </c>
      <c r="AP715" s="8">
        <f t="shared" si="201"/>
        <v>0.15961887483763815</v>
      </c>
      <c r="AQ715" s="8"/>
      <c r="AR715" s="8">
        <f t="shared" si="202"/>
        <v>293.0612618729877</v>
      </c>
      <c r="AS715" s="8">
        <f t="shared" si="203"/>
        <v>80.8545121411764</v>
      </c>
    </row>
    <row r="716" spans="1:45">
      <c r="A716" s="19">
        <v>32.499133329999999</v>
      </c>
      <c r="B716" s="19">
        <v>868.64244489999999</v>
      </c>
      <c r="C716" s="19">
        <v>-494.42668709999998</v>
      </c>
      <c r="E716" s="9">
        <f t="shared" si="193"/>
        <v>91.357555100000013</v>
      </c>
      <c r="F716" s="9">
        <f t="shared" si="194"/>
        <v>45.573312900000019</v>
      </c>
      <c r="I716">
        <v>1</v>
      </c>
      <c r="J716">
        <f t="shared" si="189"/>
        <v>6.6702903312183925E-2</v>
      </c>
      <c r="K716">
        <f t="shared" si="195"/>
        <v>0.46272364957652967</v>
      </c>
      <c r="O716">
        <f t="shared" si="196"/>
        <v>5.964417521004723E-2</v>
      </c>
      <c r="P716">
        <f t="shared" si="197"/>
        <v>2.975323339744133E-2</v>
      </c>
      <c r="Q716">
        <f t="shared" si="198"/>
        <v>0.99777618605873264</v>
      </c>
      <c r="R716">
        <f t="shared" si="188"/>
        <v>1</v>
      </c>
      <c r="AG716" s="8">
        <f t="shared" si="190"/>
        <v>6.2701539574595233E-2</v>
      </c>
      <c r="AH716" s="8">
        <f t="shared" si="191"/>
        <v>-0.14654451246390957</v>
      </c>
      <c r="AI716" s="8">
        <f t="shared" si="192"/>
        <v>0.98721488177685546</v>
      </c>
      <c r="AJ716" s="8"/>
      <c r="AK716" s="8"/>
      <c r="AL716" s="8"/>
      <c r="AN716" s="8">
        <f t="shared" si="199"/>
        <v>1.0000000000000002</v>
      </c>
      <c r="AO716" s="8">
        <f t="shared" si="200"/>
        <v>5.1166853711386793</v>
      </c>
      <c r="AP716" s="8">
        <f t="shared" si="201"/>
        <v>0.1600778229275992</v>
      </c>
      <c r="AQ716" s="8"/>
      <c r="AR716" s="8">
        <f t="shared" si="202"/>
        <v>293.16447686257555</v>
      </c>
      <c r="AS716" s="8">
        <f t="shared" si="203"/>
        <v>80.828216352606034</v>
      </c>
    </row>
    <row r="717" spans="1:45">
      <c r="A717" s="19">
        <v>32.532499999999999</v>
      </c>
      <c r="B717" s="19">
        <v>868.75039260000005</v>
      </c>
      <c r="C717" s="19">
        <v>-495.21452640000001</v>
      </c>
      <c r="E717" s="9">
        <f t="shared" si="193"/>
        <v>91.249607399999945</v>
      </c>
      <c r="F717" s="9">
        <f t="shared" si="194"/>
        <v>44.785473599999989</v>
      </c>
      <c r="I717">
        <v>1</v>
      </c>
      <c r="J717">
        <f t="shared" si="189"/>
        <v>6.6408786254430419E-2</v>
      </c>
      <c r="K717">
        <f t="shared" si="195"/>
        <v>0.45626202711296576</v>
      </c>
      <c r="O717">
        <f t="shared" si="196"/>
        <v>5.9571736900683875E-2</v>
      </c>
      <c r="P717">
        <f t="shared" si="197"/>
        <v>2.9237917030991243E-2</v>
      </c>
      <c r="Q717">
        <f t="shared" si="198"/>
        <v>0.99779574681911953</v>
      </c>
      <c r="R717">
        <f t="shared" si="188"/>
        <v>1</v>
      </c>
      <c r="AG717" s="8">
        <f t="shared" si="190"/>
        <v>6.3215018543142112E-2</v>
      </c>
      <c r="AH717" s="8">
        <f t="shared" si="191"/>
        <v>-0.14646018644601586</v>
      </c>
      <c r="AI717" s="8">
        <f t="shared" si="192"/>
        <v>0.98719464910259125</v>
      </c>
      <c r="AJ717" s="8"/>
      <c r="AK717" s="8"/>
      <c r="AL717" s="8"/>
      <c r="AN717" s="8">
        <f t="shared" si="199"/>
        <v>0.99999999999999978</v>
      </c>
      <c r="AO717" s="8">
        <f t="shared" si="200"/>
        <v>5.1198527068233073</v>
      </c>
      <c r="AP717" s="8">
        <f t="shared" si="201"/>
        <v>0.1602047072274575</v>
      </c>
      <c r="AQ717" s="8"/>
      <c r="AR717" s="8">
        <f t="shared" si="202"/>
        <v>293.34595182960595</v>
      </c>
      <c r="AS717" s="8">
        <f t="shared" si="203"/>
        <v>80.820946417737687</v>
      </c>
    </row>
    <row r="718" spans="1:45">
      <c r="A718" s="19">
        <v>32.565866669999998</v>
      </c>
      <c r="B718" s="19">
        <v>869.50164889999996</v>
      </c>
      <c r="C718" s="19">
        <v>-495.97959959999997</v>
      </c>
      <c r="E718" s="9">
        <f t="shared" si="193"/>
        <v>90.498351100000036</v>
      </c>
      <c r="F718" s="9">
        <f t="shared" si="194"/>
        <v>44.020400400000028</v>
      </c>
      <c r="I718">
        <v>1</v>
      </c>
      <c r="J718">
        <f t="shared" si="189"/>
        <v>6.5742412067442288E-2</v>
      </c>
      <c r="K718">
        <f t="shared" si="195"/>
        <v>0.4527264276105239</v>
      </c>
      <c r="O718">
        <f t="shared" si="196"/>
        <v>5.907680336776823E-2</v>
      </c>
      <c r="P718">
        <f t="shared" si="197"/>
        <v>2.8736264329585409E-2</v>
      </c>
      <c r="Q718">
        <f t="shared" si="198"/>
        <v>0.9978397458591366</v>
      </c>
      <c r="R718">
        <f t="shared" si="188"/>
        <v>1</v>
      </c>
      <c r="AG718" s="8">
        <f t="shared" si="190"/>
        <v>6.3838884216166542E-2</v>
      </c>
      <c r="AH718" s="8">
        <f t="shared" si="191"/>
        <v>-0.14677906581370734</v>
      </c>
      <c r="AI718" s="8">
        <f t="shared" si="192"/>
        <v>0.98710713841046172</v>
      </c>
      <c r="AJ718" s="8"/>
      <c r="AK718" s="8"/>
      <c r="AL718" s="8"/>
      <c r="AN718" s="8">
        <f t="shared" si="199"/>
        <v>1.0000000000000002</v>
      </c>
      <c r="AO718" s="8">
        <f t="shared" si="200"/>
        <v>5.1226417918449378</v>
      </c>
      <c r="AP718" s="8">
        <f t="shared" si="201"/>
        <v>0.16075236576495211</v>
      </c>
      <c r="AQ718" s="8"/>
      <c r="AR718" s="8">
        <f t="shared" si="202"/>
        <v>293.5057546300485</v>
      </c>
      <c r="AS718" s="8">
        <f t="shared" si="203"/>
        <v>80.789567894924943</v>
      </c>
    </row>
    <row r="719" spans="1:45">
      <c r="A719" s="19">
        <v>32.599233329999997</v>
      </c>
      <c r="B719" s="19">
        <v>869.94945410000003</v>
      </c>
      <c r="C719" s="19">
        <v>-496.9036936</v>
      </c>
      <c r="E719" s="9">
        <f t="shared" si="193"/>
        <v>90.050545899999975</v>
      </c>
      <c r="F719" s="9">
        <f t="shared" si="194"/>
        <v>43.096306400000003</v>
      </c>
      <c r="I719">
        <v>1</v>
      </c>
      <c r="J719">
        <f t="shared" si="189"/>
        <v>6.5211836258660241E-2</v>
      </c>
      <c r="K719">
        <f t="shared" si="195"/>
        <v>0.44636448207552598</v>
      </c>
      <c r="O719">
        <f t="shared" si="196"/>
        <v>5.8780859396481817E-2</v>
      </c>
      <c r="P719">
        <f t="shared" si="197"/>
        <v>2.8131288952087299E-2</v>
      </c>
      <c r="Q719">
        <f t="shared" si="198"/>
        <v>0.99787446161854709</v>
      </c>
      <c r="R719">
        <f t="shared" si="188"/>
        <v>1</v>
      </c>
      <c r="AG719" s="8">
        <f t="shared" si="190"/>
        <v>6.4503251432338315E-2</v>
      </c>
      <c r="AH719" s="8">
        <f t="shared" si="191"/>
        <v>-0.14687919332358212</v>
      </c>
      <c r="AI719" s="8">
        <f t="shared" si="192"/>
        <v>0.98704905304816049</v>
      </c>
      <c r="AJ719" s="8"/>
      <c r="AK719" s="8"/>
      <c r="AL719" s="8"/>
      <c r="AN719" s="8">
        <f t="shared" si="199"/>
        <v>1</v>
      </c>
      <c r="AO719" s="8">
        <f t="shared" si="200"/>
        <v>5.126190656010567</v>
      </c>
      <c r="AP719" s="8">
        <f t="shared" si="201"/>
        <v>0.1611148559466995</v>
      </c>
      <c r="AQ719" s="8"/>
      <c r="AR719" s="8">
        <f t="shared" si="202"/>
        <v>293.7090895688043</v>
      </c>
      <c r="AS719" s="8">
        <f t="shared" si="203"/>
        <v>80.768798737395883</v>
      </c>
    </row>
    <row r="720" spans="1:45">
      <c r="A720" s="19">
        <v>32.632599999999996</v>
      </c>
      <c r="B720" s="19">
        <v>870.33380839999995</v>
      </c>
      <c r="C720" s="19">
        <v>-497.39983169999999</v>
      </c>
      <c r="E720" s="9">
        <f t="shared" si="193"/>
        <v>89.666191600000047</v>
      </c>
      <c r="F720" s="9">
        <f t="shared" si="194"/>
        <v>42.600168300000007</v>
      </c>
      <c r="I720">
        <v>1</v>
      </c>
      <c r="J720">
        <f t="shared" si="189"/>
        <v>6.484238476775514E-2</v>
      </c>
      <c r="K720">
        <f t="shared" si="195"/>
        <v>0.44352774669278738</v>
      </c>
      <c r="O720">
        <f t="shared" si="196"/>
        <v>5.8527424466230112E-2</v>
      </c>
      <c r="P720">
        <f t="shared" si="197"/>
        <v>2.7806223147621004E-2</v>
      </c>
      <c r="Q720">
        <f t="shared" si="198"/>
        <v>0.99789846905364799</v>
      </c>
      <c r="R720">
        <f t="shared" si="188"/>
        <v>1</v>
      </c>
      <c r="AG720" s="8">
        <f t="shared" si="190"/>
        <v>6.4887794388844386E-2</v>
      </c>
      <c r="AH720" s="8">
        <f t="shared" si="191"/>
        <v>-0.1470221576038907</v>
      </c>
      <c r="AI720" s="8">
        <f t="shared" si="192"/>
        <v>0.98700256297177247</v>
      </c>
      <c r="AJ720" s="8"/>
      <c r="AK720" s="8"/>
      <c r="AL720" s="8"/>
      <c r="AN720" s="8">
        <f t="shared" si="199"/>
        <v>1</v>
      </c>
      <c r="AO720" s="8">
        <f t="shared" si="200"/>
        <v>5.1280238484493808</v>
      </c>
      <c r="AP720" s="8">
        <f t="shared" si="201"/>
        <v>0.16140440257977806</v>
      </c>
      <c r="AQ720" s="8"/>
      <c r="AR720" s="8">
        <f t="shared" si="202"/>
        <v>293.81412375858361</v>
      </c>
      <c r="AS720" s="8">
        <f t="shared" si="203"/>
        <v>80.752208937348257</v>
      </c>
    </row>
    <row r="721" spans="1:45">
      <c r="A721" s="19">
        <v>32.665966670000003</v>
      </c>
      <c r="B721" s="19">
        <v>870.71579880000002</v>
      </c>
      <c r="C721" s="19">
        <v>-497.98026499999997</v>
      </c>
      <c r="E721" s="9">
        <f t="shared" si="193"/>
        <v>89.284201199999984</v>
      </c>
      <c r="F721" s="9">
        <f t="shared" si="194"/>
        <v>42.019735000000026</v>
      </c>
      <c r="I721">
        <v>1</v>
      </c>
      <c r="J721">
        <f t="shared" si="189"/>
        <v>6.4451202480371408E-2</v>
      </c>
      <c r="K721">
        <f t="shared" si="195"/>
        <v>0.43987596240426141</v>
      </c>
      <c r="O721">
        <f t="shared" si="196"/>
        <v>5.8275372179598946E-2</v>
      </c>
      <c r="P721">
        <f t="shared" si="197"/>
        <v>2.742608057306696E-2</v>
      </c>
      <c r="Q721">
        <f t="shared" si="198"/>
        <v>0.99792374012332674</v>
      </c>
      <c r="R721">
        <f t="shared" si="188"/>
        <v>1</v>
      </c>
      <c r="AG721" s="8">
        <f t="shared" si="190"/>
        <v>6.5324520276378556E-2</v>
      </c>
      <c r="AH721" s="8">
        <f t="shared" si="191"/>
        <v>-0.14714743218960807</v>
      </c>
      <c r="AI721" s="8">
        <f t="shared" si="192"/>
        <v>0.98695508522458397</v>
      </c>
      <c r="AJ721" s="8"/>
      <c r="AK721" s="8"/>
      <c r="AL721" s="8"/>
      <c r="AN721" s="8">
        <f t="shared" si="199"/>
        <v>1</v>
      </c>
      <c r="AO721" s="8">
        <f t="shared" si="200"/>
        <v>5.1301913651512194</v>
      </c>
      <c r="AP721" s="8">
        <f t="shared" si="201"/>
        <v>0.16169957009611591</v>
      </c>
      <c r="AQ721" s="8"/>
      <c r="AR721" s="8">
        <f t="shared" si="202"/>
        <v>293.93831331762306</v>
      </c>
      <c r="AS721" s="8">
        <f t="shared" si="203"/>
        <v>80.735297084412736</v>
      </c>
    </row>
    <row r="722" spans="1:45">
      <c r="A722" s="19">
        <v>32.699333330000002</v>
      </c>
      <c r="B722" s="19">
        <v>871.32414270000004</v>
      </c>
      <c r="C722" s="19">
        <v>-499.10349189999999</v>
      </c>
      <c r="E722" s="9">
        <f t="shared" si="193"/>
        <v>88.675857299999961</v>
      </c>
      <c r="F722" s="9">
        <f t="shared" si="194"/>
        <v>40.896508100000005</v>
      </c>
      <c r="I722">
        <v>1</v>
      </c>
      <c r="J722">
        <f t="shared" si="189"/>
        <v>6.3775055151196955E-2</v>
      </c>
      <c r="K722">
        <f t="shared" si="195"/>
        <v>0.43212130120334236</v>
      </c>
      <c r="O722">
        <f t="shared" si="196"/>
        <v>5.7873563864505664E-2</v>
      </c>
      <c r="P722">
        <f t="shared" si="197"/>
        <v>2.6690767311709138E-2</v>
      </c>
      <c r="Q722">
        <f t="shared" si="198"/>
        <v>0.99796706035115867</v>
      </c>
      <c r="R722">
        <f t="shared" si="188"/>
        <v>1</v>
      </c>
      <c r="AG722" s="8">
        <f t="shared" si="190"/>
        <v>6.6144176523139225E-2</v>
      </c>
      <c r="AH722" s="8">
        <f t="shared" si="191"/>
        <v>-0.147308649066346</v>
      </c>
      <c r="AI722" s="8">
        <f t="shared" si="192"/>
        <v>0.98687644101089167</v>
      </c>
      <c r="AJ722" s="8"/>
      <c r="AK722" s="8"/>
      <c r="AL722" s="8"/>
      <c r="AN722" s="8">
        <f t="shared" si="199"/>
        <v>1</v>
      </c>
      <c r="AO722" s="8">
        <f t="shared" si="200"/>
        <v>5.1344256441875604</v>
      </c>
      <c r="AP722" s="8">
        <f t="shared" si="201"/>
        <v>0.16218732689981885</v>
      </c>
      <c r="AQ722" s="8"/>
      <c r="AR722" s="8">
        <f t="shared" si="202"/>
        <v>294.18091963568611</v>
      </c>
      <c r="AS722" s="8">
        <f t="shared" si="203"/>
        <v>80.707350678131775</v>
      </c>
    </row>
    <row r="723" spans="1:45">
      <c r="A723" s="19">
        <v>32.732700000000001</v>
      </c>
      <c r="B723" s="19">
        <v>871.82095159999994</v>
      </c>
      <c r="C723" s="19">
        <v>-499.83137119999998</v>
      </c>
      <c r="E723" s="9">
        <f t="shared" si="193"/>
        <v>88.179048400000056</v>
      </c>
      <c r="F723" s="9">
        <f t="shared" si="194"/>
        <v>40.168628800000022</v>
      </c>
      <c r="I723">
        <v>1</v>
      </c>
      <c r="J723">
        <f t="shared" si="189"/>
        <v>6.3277472960395459E-2</v>
      </c>
      <c r="K723">
        <f t="shared" si="195"/>
        <v>0.42744715847934833</v>
      </c>
      <c r="O723">
        <f t="shared" si="196"/>
        <v>5.7545787824275718E-2</v>
      </c>
      <c r="P723">
        <f t="shared" si="197"/>
        <v>2.6214111311694432E-2</v>
      </c>
      <c r="Q723">
        <f t="shared" si="198"/>
        <v>0.99799864863226218</v>
      </c>
      <c r="R723">
        <f t="shared" si="188"/>
        <v>1</v>
      </c>
      <c r="AG723" s="8">
        <f t="shared" si="190"/>
        <v>6.6695123610276408E-2</v>
      </c>
      <c r="AH723" s="8">
        <f t="shared" si="191"/>
        <v>-0.14747665936378415</v>
      </c>
      <c r="AI723" s="8">
        <f t="shared" si="192"/>
        <v>0.98681426592318178</v>
      </c>
      <c r="AJ723" s="8"/>
      <c r="AK723" s="8"/>
      <c r="AL723" s="8"/>
      <c r="AN723" s="8">
        <f t="shared" si="199"/>
        <v>0.99999999999999978</v>
      </c>
      <c r="AO723" s="8">
        <f t="shared" si="200"/>
        <v>5.1371057016653268</v>
      </c>
      <c r="AP723" s="8">
        <f t="shared" si="201"/>
        <v>0.16257191432888174</v>
      </c>
      <c r="AQ723" s="8"/>
      <c r="AR723" s="8">
        <f t="shared" si="202"/>
        <v>294.33447561801461</v>
      </c>
      <c r="AS723" s="8">
        <f t="shared" si="203"/>
        <v>80.685315441592678</v>
      </c>
    </row>
    <row r="724" spans="1:45">
      <c r="A724" s="19">
        <v>32.766066670000001</v>
      </c>
      <c r="B724" s="19">
        <v>872.22298460000002</v>
      </c>
      <c r="C724" s="19">
        <v>-500.58507509999998</v>
      </c>
      <c r="E724" s="9">
        <f t="shared" si="193"/>
        <v>87.777015399999982</v>
      </c>
      <c r="F724" s="9">
        <f t="shared" si="194"/>
        <v>39.414924900000017</v>
      </c>
      <c r="I724">
        <v>1</v>
      </c>
      <c r="J724">
        <f t="shared" si="189"/>
        <v>6.2831322149040247E-2</v>
      </c>
      <c r="K724">
        <f t="shared" si="195"/>
        <v>0.42205088362371301</v>
      </c>
      <c r="O724">
        <f t="shared" si="196"/>
        <v>5.7280215241262443E-2</v>
      </c>
      <c r="P724">
        <f t="shared" si="197"/>
        <v>2.5720803694473712E-2</v>
      </c>
      <c r="Q724">
        <f t="shared" si="198"/>
        <v>0.99802676176504657</v>
      </c>
      <c r="R724">
        <f t="shared" si="188"/>
        <v>1</v>
      </c>
      <c r="AG724" s="8">
        <f t="shared" si="190"/>
        <v>6.7243771283566345E-2</v>
      </c>
      <c r="AH724" s="8">
        <f t="shared" si="191"/>
        <v>-0.14758090591334577</v>
      </c>
      <c r="AI724" s="8">
        <f t="shared" si="192"/>
        <v>0.9867614460614883</v>
      </c>
      <c r="AJ724" s="8"/>
      <c r="AK724" s="8"/>
      <c r="AL724" s="8"/>
      <c r="AN724" s="8">
        <f t="shared" si="199"/>
        <v>0.99999999999999989</v>
      </c>
      <c r="AO724" s="8">
        <f t="shared" si="200"/>
        <v>5.139923263706625</v>
      </c>
      <c r="AP724" s="8">
        <f t="shared" si="201"/>
        <v>0.16289792744877074</v>
      </c>
      <c r="AQ724" s="8"/>
      <c r="AR724" s="8">
        <f t="shared" si="202"/>
        <v>294.49591003149726</v>
      </c>
      <c r="AS724" s="8">
        <f t="shared" si="203"/>
        <v>80.666636265757148</v>
      </c>
    </row>
    <row r="725" spans="1:45">
      <c r="A725" s="19">
        <v>32.799433329999999</v>
      </c>
      <c r="B725" s="19">
        <v>872.01300590000005</v>
      </c>
      <c r="C725" s="19">
        <v>-501.10559019999999</v>
      </c>
      <c r="E725" s="9">
        <f t="shared" si="193"/>
        <v>87.986994099999947</v>
      </c>
      <c r="F725" s="9">
        <f t="shared" si="194"/>
        <v>38.894409800000005</v>
      </c>
      <c r="I725">
        <v>1</v>
      </c>
      <c r="J725">
        <f t="shared" si="189"/>
        <v>6.2818119464721656E-2</v>
      </c>
      <c r="K725">
        <f t="shared" si="195"/>
        <v>0.41622077852095651</v>
      </c>
      <c r="O725">
        <f t="shared" si="196"/>
        <v>5.7417144240881623E-2</v>
      </c>
      <c r="P725">
        <f t="shared" si="197"/>
        <v>2.5381091381670027E-2</v>
      </c>
      <c r="Q725">
        <f t="shared" si="198"/>
        <v>0.99802759067447488</v>
      </c>
      <c r="R725">
        <f t="shared" si="188"/>
        <v>1</v>
      </c>
      <c r="AG725" s="8">
        <f t="shared" si="190"/>
        <v>6.752818294723395E-2</v>
      </c>
      <c r="AH725" s="8">
        <f t="shared" si="191"/>
        <v>-0.14735060209227138</v>
      </c>
      <c r="AI725" s="8">
        <f t="shared" si="192"/>
        <v>0.98677644102952211</v>
      </c>
      <c r="AJ725" s="8"/>
      <c r="AK725" s="8"/>
      <c r="AL725" s="8"/>
      <c r="AN725" s="8">
        <f t="shared" si="199"/>
        <v>0.99999999999999989</v>
      </c>
      <c r="AO725" s="8">
        <f t="shared" si="200"/>
        <v>5.1421091415034974</v>
      </c>
      <c r="AP725" s="8">
        <f t="shared" si="201"/>
        <v>0.16280544174215072</v>
      </c>
      <c r="AQ725" s="8"/>
      <c r="AR725" s="8">
        <f t="shared" si="202"/>
        <v>294.62115160378943</v>
      </c>
      <c r="AS725" s="8">
        <f t="shared" si="203"/>
        <v>80.671935306411768</v>
      </c>
    </row>
    <row r="726" spans="1:45">
      <c r="A726" s="19">
        <v>32.832799999999999</v>
      </c>
      <c r="B726" s="19">
        <v>873.00351929999999</v>
      </c>
      <c r="C726" s="19">
        <v>-501.97057050000001</v>
      </c>
      <c r="E726" s="9">
        <f t="shared" si="193"/>
        <v>86.996480700000006</v>
      </c>
      <c r="F726" s="9">
        <f t="shared" si="194"/>
        <v>38.029429499999992</v>
      </c>
      <c r="I726">
        <v>1</v>
      </c>
      <c r="J726">
        <f t="shared" si="189"/>
        <v>6.199107290564438E-2</v>
      </c>
      <c r="K726">
        <f t="shared" si="195"/>
        <v>0.41210619109145696</v>
      </c>
      <c r="O726">
        <f t="shared" si="196"/>
        <v>5.6764760157751823E-2</v>
      </c>
      <c r="P726">
        <f t="shared" si="197"/>
        <v>2.4814008878679059E-2</v>
      </c>
      <c r="Q726">
        <f t="shared" si="198"/>
        <v>0.99807916868733504</v>
      </c>
      <c r="R726">
        <f t="shared" si="188"/>
        <v>1</v>
      </c>
      <c r="AG726" s="8">
        <f t="shared" si="190"/>
        <v>6.8260167865963506E-2</v>
      </c>
      <c r="AH726" s="8">
        <f t="shared" si="191"/>
        <v>-0.14779813602893221</v>
      </c>
      <c r="AI726" s="8">
        <f t="shared" si="192"/>
        <v>0.98665914097487784</v>
      </c>
      <c r="AJ726" s="8"/>
      <c r="AK726" s="8"/>
      <c r="AL726" s="8"/>
      <c r="AN726" s="8">
        <f t="shared" si="199"/>
        <v>1</v>
      </c>
      <c r="AO726" s="8">
        <f t="shared" si="200"/>
        <v>5.1450513171588321</v>
      </c>
      <c r="AP726" s="8">
        <f t="shared" si="201"/>
        <v>0.16352753954406962</v>
      </c>
      <c r="AQ726" s="8"/>
      <c r="AR726" s="8">
        <f t="shared" si="202"/>
        <v>294.78972585142623</v>
      </c>
      <c r="AS726" s="8">
        <f t="shared" si="203"/>
        <v>80.630562149966138</v>
      </c>
    </row>
    <row r="727" spans="1:45">
      <c r="A727" s="19">
        <v>32.866166669999998</v>
      </c>
      <c r="B727" s="19">
        <v>873.37398940000003</v>
      </c>
      <c r="C727" s="19">
        <v>-502.59116510000001</v>
      </c>
      <c r="E727" s="9">
        <f t="shared" si="193"/>
        <v>86.626010599999972</v>
      </c>
      <c r="F727" s="9">
        <f t="shared" si="194"/>
        <v>37.408834899999988</v>
      </c>
      <c r="I727">
        <v>1</v>
      </c>
      <c r="J727">
        <f t="shared" si="189"/>
        <v>6.1604151752988182E-2</v>
      </c>
      <c r="K727">
        <f t="shared" si="195"/>
        <v>0.40765240940965375</v>
      </c>
      <c r="O727">
        <f t="shared" si="196"/>
        <v>5.6520176494993676E-2</v>
      </c>
      <c r="P727">
        <f t="shared" si="197"/>
        <v>2.4407841667593536E-2</v>
      </c>
      <c r="Q727">
        <f t="shared" si="198"/>
        <v>0.99810306427447881</v>
      </c>
      <c r="R727">
        <f t="shared" si="188"/>
        <v>1</v>
      </c>
      <c r="AG727" s="8">
        <f t="shared" si="190"/>
        <v>6.8719389522260879E-2</v>
      </c>
      <c r="AH727" s="8">
        <f t="shared" si="191"/>
        <v>-0.14790830877179542</v>
      </c>
      <c r="AI727" s="8">
        <f t="shared" si="192"/>
        <v>0.98661075288076749</v>
      </c>
      <c r="AJ727" s="8"/>
      <c r="AK727" s="8"/>
      <c r="AL727" s="8"/>
      <c r="AN727" s="8">
        <f t="shared" si="199"/>
        <v>0.99999999999999978</v>
      </c>
      <c r="AO727" s="8">
        <f t="shared" si="200"/>
        <v>5.1473243295239133</v>
      </c>
      <c r="AP727" s="8">
        <f t="shared" si="201"/>
        <v>0.16382449705509017</v>
      </c>
      <c r="AQ727" s="8"/>
      <c r="AR727" s="8">
        <f t="shared" si="202"/>
        <v>294.91995986672646</v>
      </c>
      <c r="AS727" s="8">
        <f t="shared" si="203"/>
        <v>80.613547737889945</v>
      </c>
    </row>
    <row r="728" spans="1:45">
      <c r="A728" s="19">
        <v>32.899533329999997</v>
      </c>
      <c r="B728" s="19">
        <v>873.78391090000002</v>
      </c>
      <c r="C728" s="19">
        <v>-503.66697859999999</v>
      </c>
      <c r="E728" s="9">
        <f t="shared" si="193"/>
        <v>86.216089099999976</v>
      </c>
      <c r="F728" s="9">
        <f t="shared" si="194"/>
        <v>36.333021400000007</v>
      </c>
      <c r="I728">
        <v>1</v>
      </c>
      <c r="J728">
        <f t="shared" si="189"/>
        <v>6.1077455441147982E-2</v>
      </c>
      <c r="K728">
        <f t="shared" si="195"/>
        <v>0.3988328475406489</v>
      </c>
      <c r="O728">
        <f t="shared" si="196"/>
        <v>5.624879634651897E-2</v>
      </c>
      <c r="P728">
        <f t="shared" si="197"/>
        <v>2.3704261498244145E-2</v>
      </c>
      <c r="Q728">
        <f t="shared" si="198"/>
        <v>0.99813535199209868</v>
      </c>
      <c r="R728">
        <f t="shared" si="188"/>
        <v>1</v>
      </c>
      <c r="AG728" s="8">
        <f t="shared" si="190"/>
        <v>6.9470359700293735E-2</v>
      </c>
      <c r="AH728" s="8">
        <f t="shared" si="191"/>
        <v>-0.14795524117660921</v>
      </c>
      <c r="AI728" s="8">
        <f t="shared" si="192"/>
        <v>0.98655112170200443</v>
      </c>
      <c r="AJ728" s="8"/>
      <c r="AK728" s="8"/>
      <c r="AL728" s="8"/>
      <c r="AN728" s="8">
        <f t="shared" si="199"/>
        <v>1</v>
      </c>
      <c r="AO728" s="8">
        <f t="shared" si="200"/>
        <v>5.1513700157730575</v>
      </c>
      <c r="AP728" s="8">
        <f t="shared" si="201"/>
        <v>0.16418972116395913</v>
      </c>
      <c r="AQ728" s="8"/>
      <c r="AR728" s="8">
        <f t="shared" si="202"/>
        <v>295.1517606140365</v>
      </c>
      <c r="AS728" s="8">
        <f t="shared" si="203"/>
        <v>80.592621937875336</v>
      </c>
    </row>
    <row r="729" spans="1:45">
      <c r="A729" s="19">
        <v>32.932899999999997</v>
      </c>
      <c r="B729" s="19">
        <v>874.2474694</v>
      </c>
      <c r="C729" s="19">
        <v>-504.13988540000003</v>
      </c>
      <c r="E729" s="9">
        <f t="shared" si="193"/>
        <v>85.7525306</v>
      </c>
      <c r="F729" s="9">
        <f t="shared" si="194"/>
        <v>35.860114599999974</v>
      </c>
      <c r="I729">
        <v>1</v>
      </c>
      <c r="J729">
        <f t="shared" si="189"/>
        <v>6.067515008552516E-2</v>
      </c>
      <c r="K729">
        <f t="shared" si="195"/>
        <v>0.3960810985321721</v>
      </c>
      <c r="O729">
        <f t="shared" si="196"/>
        <v>5.5943340135682897E-2</v>
      </c>
      <c r="P729">
        <f t="shared" si="197"/>
        <v>2.3394465146808936E-2</v>
      </c>
      <c r="Q729">
        <f t="shared" si="198"/>
        <v>0.99815982773048828</v>
      </c>
      <c r="R729">
        <f t="shared" si="188"/>
        <v>1</v>
      </c>
      <c r="AG729" s="8">
        <f t="shared" si="190"/>
        <v>6.9855282325916701E-2</v>
      </c>
      <c r="AH729" s="8">
        <f t="shared" si="191"/>
        <v>-0.14815146551239169</v>
      </c>
      <c r="AI729" s="8">
        <f t="shared" si="192"/>
        <v>0.98649449202603101</v>
      </c>
      <c r="AJ729" s="8"/>
      <c r="AK729" s="8"/>
      <c r="AL729" s="8"/>
      <c r="AN729" s="8">
        <f t="shared" si="199"/>
        <v>0.99999999999999989</v>
      </c>
      <c r="AO729" s="8">
        <f t="shared" si="200"/>
        <v>5.1529880660945651</v>
      </c>
      <c r="AP729" s="8">
        <f t="shared" si="201"/>
        <v>0.16453581814532758</v>
      </c>
      <c r="AQ729" s="8"/>
      <c r="AR729" s="8">
        <f t="shared" si="202"/>
        <v>295.24446806849869</v>
      </c>
      <c r="AS729" s="8">
        <f t="shared" si="203"/>
        <v>80.572792041540708</v>
      </c>
    </row>
    <row r="730" spans="1:45">
      <c r="A730" s="19">
        <v>32.966266670000003</v>
      </c>
      <c r="B730" s="19">
        <v>874.67443560000004</v>
      </c>
      <c r="C730" s="19">
        <v>-504.97914229999998</v>
      </c>
      <c r="E730" s="9">
        <f t="shared" si="193"/>
        <v>85.325564399999962</v>
      </c>
      <c r="F730" s="9">
        <f t="shared" si="194"/>
        <v>35.020857700000022</v>
      </c>
      <c r="I730">
        <v>1</v>
      </c>
      <c r="J730">
        <f t="shared" si="189"/>
        <v>6.0203524763633325E-2</v>
      </c>
      <c r="K730">
        <f t="shared" si="195"/>
        <v>0.38947217839620829</v>
      </c>
      <c r="O730">
        <f t="shared" si="196"/>
        <v>5.5661220964433059E-2</v>
      </c>
      <c r="P730">
        <f t="shared" si="197"/>
        <v>2.2845482623067997E-2</v>
      </c>
      <c r="Q730">
        <f t="shared" si="198"/>
        <v>0.99818831510114747</v>
      </c>
      <c r="R730">
        <f t="shared" si="188"/>
        <v>1</v>
      </c>
      <c r="AG730" s="8">
        <f t="shared" si="190"/>
        <v>7.0461710293095031E-2</v>
      </c>
      <c r="AH730" s="8">
        <f t="shared" si="191"/>
        <v>-0.1482544039591521</v>
      </c>
      <c r="AI730" s="8">
        <f t="shared" si="192"/>
        <v>0.98643589710091573</v>
      </c>
      <c r="AJ730" s="8"/>
      <c r="AK730" s="8"/>
      <c r="AL730" s="8"/>
      <c r="AN730" s="8">
        <f t="shared" si="199"/>
        <v>0.99999999999999989</v>
      </c>
      <c r="AO730" s="8">
        <f t="shared" si="200"/>
        <v>5.1560622099148592</v>
      </c>
      <c r="AP730" s="8">
        <f t="shared" si="201"/>
        <v>0.16489316813030341</v>
      </c>
      <c r="AQ730" s="8"/>
      <c r="AR730" s="8">
        <f t="shared" si="202"/>
        <v>295.42060353501773</v>
      </c>
      <c r="AS730" s="8">
        <f t="shared" si="203"/>
        <v>80.552317395592524</v>
      </c>
    </row>
    <row r="731" spans="1:45">
      <c r="A731" s="19">
        <v>32.999633330000002</v>
      </c>
      <c r="B731" s="19">
        <v>875.008287</v>
      </c>
      <c r="C731" s="19">
        <v>-505.46052150000003</v>
      </c>
      <c r="E731" s="9">
        <f t="shared" si="193"/>
        <v>84.991713000000004</v>
      </c>
      <c r="F731" s="9">
        <f t="shared" si="194"/>
        <v>34.539478499999973</v>
      </c>
      <c r="I731">
        <v>1</v>
      </c>
      <c r="J731">
        <f t="shared" si="189"/>
        <v>5.9879923916740976E-2</v>
      </c>
      <c r="K731">
        <f t="shared" si="195"/>
        <v>0.3859997639079652</v>
      </c>
      <c r="O731">
        <f t="shared" si="196"/>
        <v>5.5440963326565056E-2</v>
      </c>
      <c r="P731">
        <f t="shared" si="197"/>
        <v>2.2530454949615863E-2</v>
      </c>
      <c r="Q731">
        <f t="shared" si="198"/>
        <v>0.99820773298206111</v>
      </c>
      <c r="R731">
        <f t="shared" ref="R731:R794" si="204">SQRT(O731^2+P731^2+Q731^2)</f>
        <v>1</v>
      </c>
      <c r="AG731" s="8">
        <f t="shared" si="190"/>
        <v>7.0826716241879001E-2</v>
      </c>
      <c r="AH731" s="8">
        <f t="shared" si="191"/>
        <v>-0.14836854628060619</v>
      </c>
      <c r="AI731" s="8">
        <f t="shared" si="192"/>
        <v>0.9863925946300347</v>
      </c>
      <c r="AJ731" s="8"/>
      <c r="AK731" s="8"/>
      <c r="AL731" s="8"/>
      <c r="AN731" s="8">
        <f t="shared" si="199"/>
        <v>1</v>
      </c>
      <c r="AO731" s="8">
        <f t="shared" si="200"/>
        <v>5.1577693751091855</v>
      </c>
      <c r="AP731" s="8">
        <f t="shared" si="201"/>
        <v>0.16515676243930799</v>
      </c>
      <c r="AQ731" s="8"/>
      <c r="AR731" s="8">
        <f t="shared" si="202"/>
        <v>295.51841689558427</v>
      </c>
      <c r="AS731" s="8">
        <f t="shared" si="203"/>
        <v>80.537214554182896</v>
      </c>
    </row>
    <row r="732" spans="1:45">
      <c r="A732" s="19">
        <v>33.033000000000001</v>
      </c>
      <c r="B732" s="19">
        <v>875.82376280000005</v>
      </c>
      <c r="C732" s="19">
        <v>-506.10136169999998</v>
      </c>
      <c r="E732" s="9">
        <f t="shared" si="193"/>
        <v>84.176237199999946</v>
      </c>
      <c r="F732" s="9">
        <f t="shared" si="194"/>
        <v>33.898638300000016</v>
      </c>
      <c r="I732">
        <v>1</v>
      </c>
      <c r="J732">
        <f t="shared" si="189"/>
        <v>5.9223431436911257E-2</v>
      </c>
      <c r="K732">
        <f t="shared" si="195"/>
        <v>0.38284066256879806</v>
      </c>
      <c r="O732">
        <f t="shared" si="196"/>
        <v>5.4903974892822317E-2</v>
      </c>
      <c r="P732">
        <f t="shared" si="197"/>
        <v>2.211039656835679E-2</v>
      </c>
      <c r="Q732">
        <f t="shared" si="198"/>
        <v>0.99824680510611119</v>
      </c>
      <c r="R732">
        <f t="shared" si="204"/>
        <v>1</v>
      </c>
      <c r="AG732" s="8">
        <f t="shared" si="190"/>
        <v>7.1384377719423117E-2</v>
      </c>
      <c r="AH732" s="8">
        <f t="shared" si="191"/>
        <v>-0.14875038159076348</v>
      </c>
      <c r="AI732" s="8">
        <f t="shared" si="192"/>
        <v>0.98629488216973582</v>
      </c>
      <c r="AJ732" s="8"/>
      <c r="AK732" s="8"/>
      <c r="AL732" s="8"/>
      <c r="AN732" s="8">
        <f t="shared" si="199"/>
        <v>1</v>
      </c>
      <c r="AO732" s="8">
        <f t="shared" si="200"/>
        <v>5.1598225940183919</v>
      </c>
      <c r="AP732" s="8">
        <f t="shared" si="201"/>
        <v>0.16575003945502753</v>
      </c>
      <c r="AQ732" s="8"/>
      <c r="AR732" s="8">
        <f t="shared" si="202"/>
        <v>295.63605767349827</v>
      </c>
      <c r="AS732" s="8">
        <f t="shared" si="203"/>
        <v>80.503222285100051</v>
      </c>
    </row>
    <row r="733" spans="1:45">
      <c r="A733" s="19">
        <v>33.066366670000001</v>
      </c>
      <c r="B733" s="19">
        <v>875.97358139999994</v>
      </c>
      <c r="C733" s="19">
        <v>-506.9523939</v>
      </c>
      <c r="E733" s="9">
        <f t="shared" si="193"/>
        <v>84.026418600000056</v>
      </c>
      <c r="F733" s="9">
        <f t="shared" si="194"/>
        <v>33.047606099999996</v>
      </c>
      <c r="I733">
        <v>1</v>
      </c>
      <c r="J733">
        <f t="shared" si="189"/>
        <v>5.892434949122409E-2</v>
      </c>
      <c r="K733">
        <f t="shared" si="195"/>
        <v>0.37471736603472594</v>
      </c>
      <c r="O733">
        <f t="shared" si="196"/>
        <v>5.4803927260333229E-2</v>
      </c>
      <c r="P733">
        <f t="shared" si="197"/>
        <v>2.1554394808307863E-2</v>
      </c>
      <c r="Q733">
        <f t="shared" si="198"/>
        <v>0.99826446276590042</v>
      </c>
      <c r="R733">
        <f t="shared" si="204"/>
        <v>1</v>
      </c>
      <c r="AG733" s="8">
        <f t="shared" si="190"/>
        <v>7.1944279812257511E-2</v>
      </c>
      <c r="AH733" s="8">
        <f t="shared" si="191"/>
        <v>-0.14867916180839258</v>
      </c>
      <c r="AI733" s="8">
        <f t="shared" si="192"/>
        <v>0.98626493775569724</v>
      </c>
      <c r="AJ733" s="8"/>
      <c r="AK733" s="8"/>
      <c r="AL733" s="8"/>
      <c r="AN733" s="8">
        <f t="shared" si="199"/>
        <v>0.99999999999999989</v>
      </c>
      <c r="AO733" s="8">
        <f t="shared" si="200"/>
        <v>5.1630652930658529</v>
      </c>
      <c r="AP733" s="8">
        <f t="shared" si="201"/>
        <v>0.16593143105759478</v>
      </c>
      <c r="AQ733" s="8"/>
      <c r="AR733" s="8">
        <f t="shared" si="202"/>
        <v>295.82185064314888</v>
      </c>
      <c r="AS733" s="8">
        <f t="shared" si="203"/>
        <v>80.49282931183383</v>
      </c>
    </row>
    <row r="734" spans="1:45">
      <c r="A734" s="19">
        <v>33.099733329999999</v>
      </c>
      <c r="B734" s="19">
        <v>876.08333330000005</v>
      </c>
      <c r="C734" s="19">
        <v>-508.33333329999999</v>
      </c>
      <c r="E734" s="9">
        <f t="shared" si="193"/>
        <v>83.916666699999951</v>
      </c>
      <c r="F734" s="9">
        <f t="shared" si="194"/>
        <v>31.666666700000007</v>
      </c>
      <c r="I734">
        <v>1</v>
      </c>
      <c r="J734">
        <f t="shared" si="189"/>
        <v>5.8529716976939622E-2</v>
      </c>
      <c r="K734">
        <f t="shared" si="195"/>
        <v>0.36083678324958735</v>
      </c>
      <c r="O734">
        <f t="shared" si="196"/>
        <v>5.4729243400720183E-2</v>
      </c>
      <c r="P734">
        <f t="shared" si="197"/>
        <v>2.0652544693052995E-2</v>
      </c>
      <c r="Q734">
        <f t="shared" si="198"/>
        <v>0.99828762504324686</v>
      </c>
      <c r="R734">
        <f t="shared" si="204"/>
        <v>1</v>
      </c>
      <c r="AG734" s="8">
        <f t="shared" si="190"/>
        <v>7.2826827868515173E-2</v>
      </c>
      <c r="AH734" s="8">
        <f t="shared" si="191"/>
        <v>-0.14848082086600173</v>
      </c>
      <c r="AI734" s="8">
        <f t="shared" si="192"/>
        <v>0.98623004363970168</v>
      </c>
      <c r="AJ734" s="8"/>
      <c r="AK734" s="8"/>
      <c r="AL734" s="8"/>
      <c r="AN734" s="8">
        <f t="shared" si="199"/>
        <v>1</v>
      </c>
      <c r="AO734" s="8">
        <f t="shared" si="200"/>
        <v>5.1683913806261526</v>
      </c>
      <c r="AP734" s="8">
        <f t="shared" si="201"/>
        <v>0.16614255847386139</v>
      </c>
      <c r="AQ734" s="8"/>
      <c r="AR734" s="8">
        <f t="shared" si="202"/>
        <v>296.12701298167116</v>
      </c>
      <c r="AS734" s="8">
        <f t="shared" si="203"/>
        <v>80.48073260194225</v>
      </c>
    </row>
    <row r="735" spans="1:45">
      <c r="A735" s="19">
        <v>33.133099999999999</v>
      </c>
      <c r="B735" s="19">
        <v>877.12364809999997</v>
      </c>
      <c r="C735" s="19">
        <v>-509.22537269999998</v>
      </c>
      <c r="E735" s="9">
        <f t="shared" si="193"/>
        <v>82.876351900000031</v>
      </c>
      <c r="F735" s="9">
        <f t="shared" si="194"/>
        <v>30.77462730000002</v>
      </c>
      <c r="I735">
        <v>1</v>
      </c>
      <c r="J735">
        <f t="shared" si="189"/>
        <v>5.7681750424918986E-2</v>
      </c>
      <c r="K735">
        <f t="shared" si="195"/>
        <v>0.35555086730783919</v>
      </c>
      <c r="O735">
        <f t="shared" si="196"/>
        <v>5.4044057141414664E-2</v>
      </c>
      <c r="P735">
        <f t="shared" si="197"/>
        <v>2.0068278564116429E-2</v>
      </c>
      <c r="Q735">
        <f t="shared" si="198"/>
        <v>0.99833686903928798</v>
      </c>
      <c r="R735">
        <f t="shared" si="204"/>
        <v>1</v>
      </c>
      <c r="AG735" s="8">
        <f t="shared" si="190"/>
        <v>7.358429620366462E-2</v>
      </c>
      <c r="AH735" s="8">
        <f t="shared" si="191"/>
        <v>-0.14895332653545137</v>
      </c>
      <c r="AI735" s="8">
        <f t="shared" si="192"/>
        <v>0.98610255950698877</v>
      </c>
      <c r="AJ735" s="8"/>
      <c r="AK735" s="8"/>
      <c r="AL735" s="8"/>
      <c r="AN735" s="8">
        <f t="shared" si="199"/>
        <v>0.99999999999999978</v>
      </c>
      <c r="AO735" s="8">
        <f t="shared" si="200"/>
        <v>5.1712323797519213</v>
      </c>
      <c r="AP735" s="8">
        <f t="shared" si="201"/>
        <v>0.16691165406994446</v>
      </c>
      <c r="AQ735" s="8"/>
      <c r="AR735" s="8">
        <f t="shared" si="202"/>
        <v>296.28979024117808</v>
      </c>
      <c r="AS735" s="8">
        <f t="shared" si="203"/>
        <v>80.436666670244591</v>
      </c>
    </row>
    <row r="736" spans="1:45">
      <c r="A736" s="19">
        <v>33.166466669999998</v>
      </c>
      <c r="B736" s="19">
        <v>877.01254140000003</v>
      </c>
      <c r="C736" s="19">
        <v>-510.23443959999997</v>
      </c>
      <c r="E736" s="9">
        <f t="shared" si="193"/>
        <v>82.987458599999968</v>
      </c>
      <c r="F736" s="9">
        <f t="shared" si="194"/>
        <v>29.765560400000027</v>
      </c>
      <c r="I736">
        <v>1</v>
      </c>
      <c r="J736">
        <f t="shared" ref="J736:J799" si="205">ATAN((SQRT(E736^2+F736^2)^$B$16)/($F$24))</f>
        <v>5.7522572976429626E-2</v>
      </c>
      <c r="K736">
        <f t="shared" si="195"/>
        <v>0.34438246366140918</v>
      </c>
      <c r="O736">
        <f t="shared" si="196"/>
        <v>5.411522990462779E-2</v>
      </c>
      <c r="P736">
        <f t="shared" si="197"/>
        <v>1.9409802052741579E-2</v>
      </c>
      <c r="Q736">
        <f t="shared" si="198"/>
        <v>0.99834603293479496</v>
      </c>
      <c r="R736">
        <f t="shared" si="204"/>
        <v>1</v>
      </c>
      <c r="AG736" s="8">
        <f t="shared" ref="AG736:AG799" si="206">$O736*$Z$27+$P736*$Z$31+$Q736*$Z$35</f>
        <v>7.4191914455429553E-2</v>
      </c>
      <c r="AH736" s="8">
        <f t="shared" ref="AH736:AH799" si="207">$O736*$AA$27+$P736*$AA$31+$Q736*$AA$35</f>
        <v>-0.14868968289113313</v>
      </c>
      <c r="AI736" s="8">
        <f t="shared" ref="AI736:AI799" si="208">$AB$27*$O736+$P736*$AB$31+$AB$35*$Q736</f>
        <v>0.98609681980583053</v>
      </c>
      <c r="AJ736" s="8"/>
      <c r="AK736" s="8"/>
      <c r="AL736" s="8"/>
      <c r="AN736" s="8">
        <f t="shared" si="199"/>
        <v>1</v>
      </c>
      <c r="AO736" s="8">
        <f t="shared" si="200"/>
        <v>5.1752134528099214</v>
      </c>
      <c r="AP736" s="8">
        <f t="shared" si="201"/>
        <v>0.16694619837923019</v>
      </c>
      <c r="AQ736" s="8"/>
      <c r="AR736" s="8">
        <f t="shared" si="202"/>
        <v>296.51788892533472</v>
      </c>
      <c r="AS736" s="8">
        <f t="shared" si="203"/>
        <v>80.43468742711633</v>
      </c>
    </row>
    <row r="737" spans="1:45">
      <c r="A737" s="19">
        <v>33.199833329999997</v>
      </c>
      <c r="B737" s="19">
        <v>878.10526819999995</v>
      </c>
      <c r="C737" s="19">
        <v>-511.0143893</v>
      </c>
      <c r="E737" s="9">
        <f t="shared" ref="E737:E800" si="209">-(B737-($B$15/2))</f>
        <v>81.894731800000045</v>
      </c>
      <c r="F737" s="9">
        <f t="shared" ref="F737:F800" si="210">(($C$15/2)+C737)</f>
        <v>28.985610699999995</v>
      </c>
      <c r="I737">
        <v>1</v>
      </c>
      <c r="J737">
        <f t="shared" si="205"/>
        <v>5.6671986146944131E-2</v>
      </c>
      <c r="K737">
        <f t="shared" ref="K737:K800" si="211">ATAN2(E737,F737)</f>
        <v>0.34017823439510325</v>
      </c>
      <c r="O737">
        <f t="shared" ref="O737:O800" si="212">COS(K737)*SIN(J737)</f>
        <v>5.3395817248283892E-2</v>
      </c>
      <c r="P737">
        <f t="shared" ref="P737:P800" si="213">SIN(K737)*SIN(J737)</f>
        <v>1.8898778196708141E-2</v>
      </c>
      <c r="Q737">
        <f t="shared" ref="Q737:Q800" si="214">COS(J737)</f>
        <v>0.99839457274319132</v>
      </c>
      <c r="R737">
        <f t="shared" si="204"/>
        <v>1</v>
      </c>
      <c r="AG737" s="8">
        <f t="shared" si="206"/>
        <v>7.4889350984021469E-2</v>
      </c>
      <c r="AH737" s="8">
        <f t="shared" si="207"/>
        <v>-0.14921613143084392</v>
      </c>
      <c r="AI737" s="8">
        <f t="shared" si="208"/>
        <v>0.98596456895266027</v>
      </c>
      <c r="AJ737" s="8"/>
      <c r="AK737" s="8"/>
      <c r="AL737" s="8"/>
      <c r="AN737" s="8">
        <f t="shared" ref="AN737:AN800" si="215">AG737^2+AH737^2+AI737^2</f>
        <v>1</v>
      </c>
      <c r="AO737" s="8">
        <f t="shared" ref="AO737:AO800" si="216">IF(ATAN2(AG737,AH737)&gt;=0,ATAN2(AG737,AH737),ATAN2(AG737,AH737)+2*PI())</f>
        <v>5.1775435209171778</v>
      </c>
      <c r="AP737" s="8">
        <f t="shared" ref="AP737:AP800" si="217">ACOS(AI737/AN737)</f>
        <v>0.16774019619107872</v>
      </c>
      <c r="AQ737" s="8"/>
      <c r="AR737" s="8">
        <f t="shared" ref="AR737:AR800" si="218">DEGREES(AO737)</f>
        <v>296.65139199385857</v>
      </c>
      <c r="AS737" s="8">
        <f t="shared" ref="AS737:AS800" si="219">90-DEGREES(AP737)</f>
        <v>80.389194703554779</v>
      </c>
    </row>
    <row r="738" spans="1:45">
      <c r="A738" s="19">
        <v>33.233199999999997</v>
      </c>
      <c r="B738" s="19">
        <v>878.10662639999998</v>
      </c>
      <c r="C738" s="19">
        <v>-511.28883760000002</v>
      </c>
      <c r="E738" s="9">
        <f t="shared" si="209"/>
        <v>81.893373600000018</v>
      </c>
      <c r="F738" s="9">
        <f t="shared" si="210"/>
        <v>28.711162399999978</v>
      </c>
      <c r="I738">
        <v>1</v>
      </c>
      <c r="J738">
        <f t="shared" si="205"/>
        <v>5.661107172773007E-2</v>
      </c>
      <c r="K738">
        <f t="shared" si="211"/>
        <v>0.33720212450983816</v>
      </c>
      <c r="O738">
        <f t="shared" si="212"/>
        <v>5.3394433759122797E-2</v>
      </c>
      <c r="P738">
        <f t="shared" si="213"/>
        <v>1.8719661817842313E-2</v>
      </c>
      <c r="Q738">
        <f t="shared" si="214"/>
        <v>0.99839802118442134</v>
      </c>
      <c r="R738">
        <f t="shared" si="204"/>
        <v>1</v>
      </c>
      <c r="AG738" s="8">
        <f t="shared" si="206"/>
        <v>7.5060665153236242E-2</v>
      </c>
      <c r="AH738" s="8">
        <f t="shared" si="207"/>
        <v>-0.14916396259024206</v>
      </c>
      <c r="AI738" s="8">
        <f t="shared" si="208"/>
        <v>0.98595943568238675</v>
      </c>
      <c r="AJ738" s="8"/>
      <c r="AK738" s="8"/>
      <c r="AL738" s="8"/>
      <c r="AN738" s="8">
        <f t="shared" si="215"/>
        <v>1</v>
      </c>
      <c r="AO738" s="8">
        <f t="shared" si="216"/>
        <v>5.1786005820812644</v>
      </c>
      <c r="AP738" s="8">
        <f t="shared" si="217"/>
        <v>0.16777093988744451</v>
      </c>
      <c r="AQ738" s="8"/>
      <c r="AR738" s="8">
        <f t="shared" si="218"/>
        <v>296.71195713724791</v>
      </c>
      <c r="AS738" s="8">
        <f t="shared" si="219"/>
        <v>80.387433219506391</v>
      </c>
    </row>
    <row r="739" spans="1:45">
      <c r="A739" s="19">
        <v>33.266566670000003</v>
      </c>
      <c r="B739" s="19">
        <v>878.63406699999996</v>
      </c>
      <c r="C739" s="19">
        <v>-512.28400729999998</v>
      </c>
      <c r="E739" s="9">
        <f t="shared" si="209"/>
        <v>81.365933000000041</v>
      </c>
      <c r="F739" s="9">
        <f t="shared" si="210"/>
        <v>27.715992700000015</v>
      </c>
      <c r="I739">
        <v>1</v>
      </c>
      <c r="J739">
        <f t="shared" si="205"/>
        <v>5.6068535057779333E-2</v>
      </c>
      <c r="K739">
        <f t="shared" si="211"/>
        <v>0.32830658511569216</v>
      </c>
      <c r="O739">
        <f t="shared" si="212"/>
        <v>5.3046095715290009E-2</v>
      </c>
      <c r="P739">
        <f t="shared" si="213"/>
        <v>1.8069296908430697E-2</v>
      </c>
      <c r="Q739">
        <f t="shared" si="214"/>
        <v>0.99842857142541708</v>
      </c>
      <c r="R739">
        <f t="shared" si="204"/>
        <v>1</v>
      </c>
      <c r="AG739" s="8">
        <f t="shared" si="206"/>
        <v>7.5782772964886225E-2</v>
      </c>
      <c r="AH739" s="8">
        <f t="shared" si="207"/>
        <v>-0.149298469950332</v>
      </c>
      <c r="AI739" s="8">
        <f t="shared" si="208"/>
        <v>0.98588383605384367</v>
      </c>
      <c r="AJ739" s="8"/>
      <c r="AK739" s="8"/>
      <c r="AL739" s="8"/>
      <c r="AN739" s="8">
        <f t="shared" si="215"/>
        <v>0.99999999999999978</v>
      </c>
      <c r="AO739" s="8">
        <f t="shared" si="216"/>
        <v>5.1820920677972069</v>
      </c>
      <c r="AP739" s="8">
        <f t="shared" si="217"/>
        <v>0.16822306944601051</v>
      </c>
      <c r="AQ739" s="8"/>
      <c r="AR739" s="8">
        <f t="shared" si="218"/>
        <v>296.91200453300161</v>
      </c>
      <c r="AS739" s="8">
        <f t="shared" si="219"/>
        <v>80.361528104007448</v>
      </c>
    </row>
    <row r="740" spans="1:45">
      <c r="A740" s="19">
        <v>33.299933330000002</v>
      </c>
      <c r="B740" s="19">
        <v>879.10622780000006</v>
      </c>
      <c r="C740" s="19">
        <v>-513.16340849999995</v>
      </c>
      <c r="E740" s="9">
        <f t="shared" si="209"/>
        <v>80.893772199999944</v>
      </c>
      <c r="F740" s="9">
        <f t="shared" si="210"/>
        <v>26.836591500000054</v>
      </c>
      <c r="I740">
        <v>1</v>
      </c>
      <c r="J740">
        <f t="shared" si="205"/>
        <v>5.5589133203059055E-2</v>
      </c>
      <c r="K740">
        <f t="shared" si="211"/>
        <v>0.32032579771580755</v>
      </c>
      <c r="O740">
        <f t="shared" si="212"/>
        <v>5.2734304945163436E-2</v>
      </c>
      <c r="P740">
        <f t="shared" si="213"/>
        <v>1.749465949431624E-2</v>
      </c>
      <c r="Q740">
        <f t="shared" si="214"/>
        <v>0.99845532197045672</v>
      </c>
      <c r="R740">
        <f t="shared" si="204"/>
        <v>1</v>
      </c>
      <c r="AG740" s="8">
        <f t="shared" si="206"/>
        <v>7.6421920208540439E-2</v>
      </c>
      <c r="AH740" s="8">
        <f t="shared" si="207"/>
        <v>-0.14942101382814954</v>
      </c>
      <c r="AI740" s="8">
        <f t="shared" si="208"/>
        <v>0.98581593146905855</v>
      </c>
      <c r="AJ740" s="8"/>
      <c r="AK740" s="8"/>
      <c r="AL740" s="8"/>
      <c r="AN740" s="8">
        <f t="shared" si="215"/>
        <v>1.0000000000000002</v>
      </c>
      <c r="AO740" s="8">
        <f t="shared" si="216"/>
        <v>5.1851574540267755</v>
      </c>
      <c r="AP740" s="8">
        <f t="shared" si="217"/>
        <v>0.16862815447917812</v>
      </c>
      <c r="AQ740" s="8"/>
      <c r="AR740" s="8">
        <f t="shared" si="218"/>
        <v>297.08763822653344</v>
      </c>
      <c r="AS740" s="8">
        <f t="shared" si="219"/>
        <v>80.338318441263027</v>
      </c>
    </row>
    <row r="741" spans="1:45">
      <c r="A741" s="19">
        <v>33.333300000000001</v>
      </c>
      <c r="B741" s="19">
        <v>879.44846719999998</v>
      </c>
      <c r="C741" s="19">
        <v>-513.59188559999996</v>
      </c>
      <c r="E741" s="9">
        <f t="shared" si="209"/>
        <v>80.551532800000018</v>
      </c>
      <c r="F741" s="9">
        <f t="shared" si="210"/>
        <v>26.408114400000045</v>
      </c>
      <c r="I741">
        <v>1</v>
      </c>
      <c r="J741">
        <f t="shared" si="205"/>
        <v>5.5286649498857345E-2</v>
      </c>
      <c r="K741">
        <f t="shared" si="211"/>
        <v>0.31679955340917249</v>
      </c>
      <c r="O741">
        <f t="shared" si="212"/>
        <v>5.2508677678371536E-2</v>
      </c>
      <c r="P741">
        <f t="shared" si="213"/>
        <v>1.7214510002758931E-2</v>
      </c>
      <c r="Q741">
        <f t="shared" si="214"/>
        <v>0.99847208244088315</v>
      </c>
      <c r="R741">
        <f t="shared" si="204"/>
        <v>1</v>
      </c>
      <c r="AG741" s="8">
        <f t="shared" si="206"/>
        <v>7.6754963776180879E-2</v>
      </c>
      <c r="AH741" s="8">
        <f t="shared" si="207"/>
        <v>-0.1495501933622187</v>
      </c>
      <c r="AI741" s="8">
        <f t="shared" si="208"/>
        <v>0.98577046780730859</v>
      </c>
      <c r="AJ741" s="8"/>
      <c r="AK741" s="8"/>
      <c r="AL741" s="8"/>
      <c r="AN741" s="8">
        <f t="shared" si="215"/>
        <v>0.99999999999999989</v>
      </c>
      <c r="AO741" s="8">
        <f t="shared" si="216"/>
        <v>5.1865714605676789</v>
      </c>
      <c r="AP741" s="8">
        <f t="shared" si="217"/>
        <v>0.16889883026221875</v>
      </c>
      <c r="AQ741" s="8"/>
      <c r="AR741" s="8">
        <f t="shared" si="218"/>
        <v>297.16865483353109</v>
      </c>
      <c r="AS741" s="8">
        <f t="shared" si="219"/>
        <v>80.322809861278401</v>
      </c>
    </row>
    <row r="742" spans="1:45">
      <c r="A742" s="19">
        <v>33.366666670000001</v>
      </c>
      <c r="B742" s="19">
        <v>880.10381559999996</v>
      </c>
      <c r="C742" s="19">
        <v>-514.31926290000001</v>
      </c>
      <c r="E742" s="9">
        <f t="shared" si="209"/>
        <v>79.896184400000038</v>
      </c>
      <c r="F742" s="9">
        <f t="shared" si="210"/>
        <v>25.680737099999988</v>
      </c>
      <c r="I742">
        <v>1</v>
      </c>
      <c r="J742">
        <f t="shared" si="205"/>
        <v>5.4728158320199359E-2</v>
      </c>
      <c r="K742">
        <f t="shared" si="211"/>
        <v>0.31099624642689666</v>
      </c>
      <c r="O742">
        <f t="shared" si="212"/>
        <v>5.2076798318572509E-2</v>
      </c>
      <c r="P742">
        <f t="shared" si="213"/>
        <v>1.6738854010016797E-2</v>
      </c>
      <c r="Q742">
        <f t="shared" si="214"/>
        <v>0.99850278809992221</v>
      </c>
      <c r="R742">
        <f t="shared" si="204"/>
        <v>1</v>
      </c>
      <c r="AG742" s="8">
        <f t="shared" si="206"/>
        <v>7.7334615903574461E-2</v>
      </c>
      <c r="AH742" s="8">
        <f t="shared" si="207"/>
        <v>-0.14981550169282482</v>
      </c>
      <c r="AI742" s="8">
        <f t="shared" si="208"/>
        <v>0.98568487491468282</v>
      </c>
      <c r="AJ742" s="8"/>
      <c r="AK742" s="8"/>
      <c r="AL742" s="8"/>
      <c r="AN742" s="8">
        <f t="shared" si="215"/>
        <v>1.0000000000000002</v>
      </c>
      <c r="AO742" s="8">
        <f t="shared" si="216"/>
        <v>5.1889116678167202</v>
      </c>
      <c r="AP742" s="8">
        <f t="shared" si="217"/>
        <v>0.16940725997966943</v>
      </c>
      <c r="AQ742" s="8"/>
      <c r="AR742" s="8">
        <f t="shared" si="218"/>
        <v>297.30273883208707</v>
      </c>
      <c r="AS742" s="8">
        <f t="shared" si="219"/>
        <v>80.293678984289443</v>
      </c>
    </row>
    <row r="743" spans="1:45">
      <c r="A743" s="19">
        <v>33.400033329999999</v>
      </c>
      <c r="B743" s="19">
        <v>880.08854269999995</v>
      </c>
      <c r="C743" s="19">
        <v>-515.21438920000003</v>
      </c>
      <c r="E743" s="9">
        <f t="shared" si="209"/>
        <v>79.911457300000052</v>
      </c>
      <c r="F743" s="9">
        <f t="shared" si="210"/>
        <v>24.785610799999972</v>
      </c>
      <c r="I743">
        <v>1</v>
      </c>
      <c r="J743">
        <f t="shared" si="205"/>
        <v>5.4560215175491984E-2</v>
      </c>
      <c r="K743">
        <f t="shared" si="211"/>
        <v>0.30075475432121196</v>
      </c>
      <c r="O743">
        <f t="shared" si="212"/>
        <v>5.2085329781191209E-2</v>
      </c>
      <c r="P743">
        <f t="shared" si="213"/>
        <v>1.6154963955916399E-2</v>
      </c>
      <c r="Q743">
        <f t="shared" si="214"/>
        <v>0.99851196065003023</v>
      </c>
      <c r="R743">
        <f t="shared" si="204"/>
        <v>1</v>
      </c>
      <c r="AG743" s="8">
        <f t="shared" si="206"/>
        <v>7.788912069920037E-2</v>
      </c>
      <c r="AH743" s="8">
        <f t="shared" si="207"/>
        <v>-0.14963286674439613</v>
      </c>
      <c r="AI743" s="8">
        <f t="shared" si="208"/>
        <v>0.98566895561672174</v>
      </c>
      <c r="AJ743" s="8"/>
      <c r="AK743" s="8"/>
      <c r="AL743" s="8"/>
      <c r="AN743" s="8">
        <f t="shared" si="215"/>
        <v>0.99999999999999978</v>
      </c>
      <c r="AO743" s="8">
        <f t="shared" si="216"/>
        <v>5.1923291833048051</v>
      </c>
      <c r="AP743" s="8">
        <f t="shared" si="217"/>
        <v>0.16950165549334573</v>
      </c>
      <c r="AQ743" s="8"/>
      <c r="AR743" s="8">
        <f t="shared" si="218"/>
        <v>297.49854804597493</v>
      </c>
      <c r="AS743" s="8">
        <f t="shared" si="219"/>
        <v>80.288270519750824</v>
      </c>
    </row>
    <row r="744" spans="1:45">
      <c r="A744" s="19">
        <v>33.433399999999999</v>
      </c>
      <c r="B744" s="19">
        <v>881.0192687</v>
      </c>
      <c r="C744" s="19">
        <v>-515.95439150000004</v>
      </c>
      <c r="E744" s="9">
        <f t="shared" si="209"/>
        <v>78.980731300000002</v>
      </c>
      <c r="F744" s="9">
        <f t="shared" si="210"/>
        <v>24.045608499999958</v>
      </c>
      <c r="I744">
        <v>1</v>
      </c>
      <c r="J744">
        <f t="shared" si="205"/>
        <v>5.3831115325308473E-2</v>
      </c>
      <c r="K744">
        <f t="shared" si="211"/>
        <v>0.29553347587385603</v>
      </c>
      <c r="O744">
        <f t="shared" si="212"/>
        <v>5.1472501971848571E-2</v>
      </c>
      <c r="P744">
        <f t="shared" si="213"/>
        <v>1.5670754253076239E-2</v>
      </c>
      <c r="Q744">
        <f t="shared" si="214"/>
        <v>0.9985514553601621</v>
      </c>
      <c r="R744">
        <f t="shared" si="204"/>
        <v>1</v>
      </c>
      <c r="AG744" s="8">
        <f t="shared" si="206"/>
        <v>7.8529584424835444E-2</v>
      </c>
      <c r="AH744" s="8">
        <f t="shared" si="207"/>
        <v>-0.15006618381056458</v>
      </c>
      <c r="AI744" s="8">
        <f t="shared" si="208"/>
        <v>0.98555225373726207</v>
      </c>
      <c r="AJ744" s="8"/>
      <c r="AK744" s="8"/>
      <c r="AL744" s="8"/>
      <c r="AN744" s="8">
        <f t="shared" si="215"/>
        <v>1.0000000000000002</v>
      </c>
      <c r="AO744" s="8">
        <f t="shared" si="216"/>
        <v>5.1945021103367095</v>
      </c>
      <c r="AP744" s="8">
        <f t="shared" si="217"/>
        <v>0.17019207082166243</v>
      </c>
      <c r="AQ744" s="8"/>
      <c r="AR744" s="8">
        <f t="shared" si="218"/>
        <v>297.62304759409295</v>
      </c>
      <c r="AS744" s="8">
        <f t="shared" si="219"/>
        <v>80.248712635327138</v>
      </c>
    </row>
    <row r="745" spans="1:45">
      <c r="A745" s="19">
        <v>33.466766669999998</v>
      </c>
      <c r="B745" s="19">
        <v>881.24404319999996</v>
      </c>
      <c r="C745" s="19">
        <v>-516.50373690000004</v>
      </c>
      <c r="E745" s="9">
        <f t="shared" si="209"/>
        <v>78.755956800000035</v>
      </c>
      <c r="F745" s="9">
        <f t="shared" si="210"/>
        <v>23.496263099999965</v>
      </c>
      <c r="I745">
        <v>1</v>
      </c>
      <c r="J745">
        <f t="shared" si="205"/>
        <v>5.3584983605653648E-2</v>
      </c>
      <c r="K745">
        <f t="shared" si="211"/>
        <v>0.28993562334323608</v>
      </c>
      <c r="O745">
        <f t="shared" si="212"/>
        <v>5.13238989663607E-2</v>
      </c>
      <c r="P745">
        <f t="shared" si="213"/>
        <v>1.5312109488985688E-2</v>
      </c>
      <c r="Q745">
        <f t="shared" si="214"/>
        <v>0.99856466826034262</v>
      </c>
      <c r="R745">
        <f t="shared" si="204"/>
        <v>1</v>
      </c>
      <c r="AG745" s="8">
        <f t="shared" si="206"/>
        <v>7.891496922888902E-2</v>
      </c>
      <c r="AH745" s="8">
        <f t="shared" si="207"/>
        <v>-0.15009906349966123</v>
      </c>
      <c r="AI745" s="8">
        <f t="shared" si="208"/>
        <v>0.98551646296149109</v>
      </c>
      <c r="AJ745" s="8"/>
      <c r="AK745" s="8"/>
      <c r="AL745" s="8"/>
      <c r="AN745" s="8">
        <f t="shared" si="215"/>
        <v>0.99999999999999989</v>
      </c>
      <c r="AO745" s="8">
        <f t="shared" si="216"/>
        <v>5.1964257653756905</v>
      </c>
      <c r="AP745" s="8">
        <f t="shared" si="217"/>
        <v>0.17040325609985252</v>
      </c>
      <c r="AQ745" s="8"/>
      <c r="AR745" s="8">
        <f t="shared" si="218"/>
        <v>297.73326490906561</v>
      </c>
      <c r="AS745" s="8">
        <f t="shared" si="219"/>
        <v>80.236612610191543</v>
      </c>
    </row>
    <row r="746" spans="1:45">
      <c r="A746" s="19">
        <v>33.500133329999997</v>
      </c>
      <c r="B746" s="19">
        <v>881.69507639999995</v>
      </c>
      <c r="C746" s="19">
        <v>-517.31451890000005</v>
      </c>
      <c r="E746" s="9">
        <f t="shared" si="209"/>
        <v>78.304923600000052</v>
      </c>
      <c r="F746" s="9">
        <f t="shared" si="210"/>
        <v>22.685481099999947</v>
      </c>
      <c r="I746">
        <v>1</v>
      </c>
      <c r="J746">
        <f t="shared" si="205"/>
        <v>5.3149407150214927E-2</v>
      </c>
      <c r="K746">
        <f t="shared" si="211"/>
        <v>0.28198709045854137</v>
      </c>
      <c r="O746">
        <f t="shared" si="212"/>
        <v>5.1026207734632123E-2</v>
      </c>
      <c r="P746">
        <f t="shared" si="213"/>
        <v>1.47826473477163E-2</v>
      </c>
      <c r="Q746">
        <f t="shared" si="214"/>
        <v>0.9985879027214456</v>
      </c>
      <c r="R746">
        <f t="shared" si="204"/>
        <v>1</v>
      </c>
      <c r="AG746" s="8">
        <f t="shared" si="206"/>
        <v>7.9506692429384615E-2</v>
      </c>
      <c r="AH746" s="8">
        <f t="shared" si="207"/>
        <v>-0.15022141811927248</v>
      </c>
      <c r="AI746" s="8">
        <f t="shared" si="208"/>
        <v>0.98545025820544285</v>
      </c>
      <c r="AJ746" s="8"/>
      <c r="AK746" s="8"/>
      <c r="AL746" s="8"/>
      <c r="AN746" s="8">
        <f t="shared" si="215"/>
        <v>1</v>
      </c>
      <c r="AO746" s="8">
        <f t="shared" si="216"/>
        <v>5.1991722886188478</v>
      </c>
      <c r="AP746" s="8">
        <f t="shared" si="217"/>
        <v>0.17079321900751743</v>
      </c>
      <c r="AQ746" s="8"/>
      <c r="AR746" s="8">
        <f t="shared" si="218"/>
        <v>297.89062909923314</v>
      </c>
      <c r="AS746" s="8">
        <f t="shared" si="219"/>
        <v>80.214269381415704</v>
      </c>
    </row>
    <row r="747" spans="1:45">
      <c r="A747" s="19">
        <v>33.533499999999997</v>
      </c>
      <c r="B747" s="19">
        <v>882.1607027</v>
      </c>
      <c r="C747" s="19">
        <v>-518.16497790000005</v>
      </c>
      <c r="E747" s="9">
        <f t="shared" si="209"/>
        <v>77.839297299999998</v>
      </c>
      <c r="F747" s="9">
        <f t="shared" si="210"/>
        <v>21.835022099999946</v>
      </c>
      <c r="I747">
        <v>1</v>
      </c>
      <c r="J747">
        <f t="shared" si="205"/>
        <v>5.2700986313483689E-2</v>
      </c>
      <c r="K747">
        <f t="shared" si="211"/>
        <v>0.27348538413012874</v>
      </c>
      <c r="O747">
        <f t="shared" si="212"/>
        <v>5.0718889000850371E-2</v>
      </c>
      <c r="P747">
        <f t="shared" si="213"/>
        <v>1.422736459134263E-2</v>
      </c>
      <c r="Q747">
        <f t="shared" si="214"/>
        <v>0.99861162440425477</v>
      </c>
      <c r="R747">
        <f t="shared" si="204"/>
        <v>1</v>
      </c>
      <c r="AG747" s="8">
        <f t="shared" si="206"/>
        <v>8.0125804989270313E-2</v>
      </c>
      <c r="AH747" s="8">
        <f t="shared" si="207"/>
        <v>-0.15034505025559969</v>
      </c>
      <c r="AI747" s="8">
        <f t="shared" si="208"/>
        <v>0.98538125679275157</v>
      </c>
      <c r="AJ747" s="8"/>
      <c r="AK747" s="8"/>
      <c r="AL747" s="8"/>
      <c r="AN747" s="8">
        <f t="shared" si="215"/>
        <v>1</v>
      </c>
      <c r="AO747" s="8">
        <f t="shared" si="216"/>
        <v>5.2020447623567225</v>
      </c>
      <c r="AP747" s="8">
        <f t="shared" si="217"/>
        <v>0.17119871877912773</v>
      </c>
      <c r="AQ747" s="8"/>
      <c r="AR747" s="8">
        <f t="shared" si="218"/>
        <v>298.05520972117552</v>
      </c>
      <c r="AS747" s="8">
        <f t="shared" si="219"/>
        <v>80.191035955908916</v>
      </c>
    </row>
    <row r="748" spans="1:45">
      <c r="A748" s="19">
        <v>33.566866670000003</v>
      </c>
      <c r="B748" s="19">
        <v>882.78937889999997</v>
      </c>
      <c r="C748" s="19">
        <v>-518.94095470000002</v>
      </c>
      <c r="E748" s="9">
        <f t="shared" si="209"/>
        <v>77.210621100000026</v>
      </c>
      <c r="F748" s="9">
        <f t="shared" si="210"/>
        <v>21.05904529999998</v>
      </c>
      <c r="I748">
        <v>1</v>
      </c>
      <c r="J748">
        <f t="shared" si="205"/>
        <v>5.2165776622449395E-2</v>
      </c>
      <c r="K748">
        <f t="shared" si="211"/>
        <v>0.2662713753060737</v>
      </c>
      <c r="O748">
        <f t="shared" si="212"/>
        <v>5.0304566101943643E-2</v>
      </c>
      <c r="P748">
        <f t="shared" si="213"/>
        <v>1.3720471630005761E-2</v>
      </c>
      <c r="Q748">
        <f t="shared" si="214"/>
        <v>0.99863967440090495</v>
      </c>
      <c r="R748">
        <f t="shared" si="204"/>
        <v>1</v>
      </c>
      <c r="AG748" s="8">
        <f t="shared" si="206"/>
        <v>8.0729894017675552E-2</v>
      </c>
      <c r="AH748" s="8">
        <f t="shared" si="207"/>
        <v>-0.15058401802508853</v>
      </c>
      <c r="AI748" s="8">
        <f t="shared" si="208"/>
        <v>0.98529545707230115</v>
      </c>
      <c r="AJ748" s="8"/>
      <c r="AK748" s="8"/>
      <c r="AL748" s="8"/>
      <c r="AN748" s="8">
        <f t="shared" si="215"/>
        <v>1.0000000000000002</v>
      </c>
      <c r="AO748" s="8">
        <f t="shared" si="216"/>
        <v>5.2045071059030921</v>
      </c>
      <c r="AP748" s="8">
        <f t="shared" si="217"/>
        <v>0.1717016142767569</v>
      </c>
      <c r="AQ748" s="8"/>
      <c r="AR748" s="8">
        <f t="shared" si="218"/>
        <v>298.19629161409375</v>
      </c>
      <c r="AS748" s="8">
        <f t="shared" si="219"/>
        <v>80.162222166358632</v>
      </c>
    </row>
    <row r="749" spans="1:45">
      <c r="A749" s="19">
        <v>33.600233330000002</v>
      </c>
      <c r="B749" s="19">
        <v>883.00509939999995</v>
      </c>
      <c r="C749" s="19">
        <v>-519.65069500000004</v>
      </c>
      <c r="E749" s="9">
        <f t="shared" si="209"/>
        <v>76.994900600000051</v>
      </c>
      <c r="F749" s="9">
        <f t="shared" si="210"/>
        <v>20.349304999999958</v>
      </c>
      <c r="I749">
        <v>1</v>
      </c>
      <c r="J749">
        <f t="shared" si="205"/>
        <v>5.1907406396837712E-2</v>
      </c>
      <c r="K749">
        <f t="shared" si="211"/>
        <v>0.25838611982896575</v>
      </c>
      <c r="O749">
        <f t="shared" si="212"/>
        <v>5.0161735364874858E-2</v>
      </c>
      <c r="P749">
        <f t="shared" si="213"/>
        <v>1.3257455290086081E-2</v>
      </c>
      <c r="Q749">
        <f t="shared" si="214"/>
        <v>0.99865311303996629</v>
      </c>
      <c r="R749">
        <f t="shared" si="204"/>
        <v>1</v>
      </c>
      <c r="AG749" s="8">
        <f t="shared" si="206"/>
        <v>8.1213030705113515E-2</v>
      </c>
      <c r="AH749" s="8">
        <f t="shared" si="207"/>
        <v>-0.15058001327986595</v>
      </c>
      <c r="AI749" s="8">
        <f t="shared" si="208"/>
        <v>0.98525636422421847</v>
      </c>
      <c r="AJ749" s="8"/>
      <c r="AK749" s="8"/>
      <c r="AL749" s="8"/>
      <c r="AN749" s="8">
        <f t="shared" si="215"/>
        <v>1.0000000000000002</v>
      </c>
      <c r="AO749" s="8">
        <f t="shared" si="216"/>
        <v>5.2070070257521293</v>
      </c>
      <c r="AP749" s="8">
        <f t="shared" si="217"/>
        <v>0.17193026508898179</v>
      </c>
      <c r="AQ749" s="8"/>
      <c r="AR749" s="8">
        <f t="shared" si="218"/>
        <v>298.33952647056458</v>
      </c>
      <c r="AS749" s="8">
        <f t="shared" si="219"/>
        <v>80.149121439835909</v>
      </c>
    </row>
    <row r="750" spans="1:45">
      <c r="A750" s="19">
        <v>33.633600000000001</v>
      </c>
      <c r="B750" s="19">
        <v>883.37464390000002</v>
      </c>
      <c r="C750" s="19">
        <v>-520.31502650000004</v>
      </c>
      <c r="E750" s="9">
        <f t="shared" si="209"/>
        <v>76.625356099999976</v>
      </c>
      <c r="F750" s="9">
        <f t="shared" si="210"/>
        <v>19.684973499999955</v>
      </c>
      <c r="I750">
        <v>1</v>
      </c>
      <c r="J750">
        <f t="shared" si="205"/>
        <v>5.156165536273373E-2</v>
      </c>
      <c r="K750">
        <f t="shared" si="211"/>
        <v>0.25146117831997405</v>
      </c>
      <c r="O750">
        <f t="shared" si="212"/>
        <v>4.9917909909874505E-2</v>
      </c>
      <c r="P750">
        <f t="shared" si="213"/>
        <v>1.2823858625451337E-2</v>
      </c>
      <c r="Q750">
        <f t="shared" si="214"/>
        <v>0.99867099232939782</v>
      </c>
      <c r="R750">
        <f t="shared" si="204"/>
        <v>1</v>
      </c>
      <c r="AG750" s="8">
        <f t="shared" si="206"/>
        <v>8.1697500879922461E-2</v>
      </c>
      <c r="AH750" s="8">
        <f t="shared" si="207"/>
        <v>-0.1506800242312786</v>
      </c>
      <c r="AI750" s="8">
        <f t="shared" si="208"/>
        <v>0.98520101941057514</v>
      </c>
      <c r="AJ750" s="8"/>
      <c r="AK750" s="8"/>
      <c r="AL750" s="8"/>
      <c r="AN750" s="8">
        <f t="shared" si="215"/>
        <v>1</v>
      </c>
      <c r="AO750" s="8">
        <f t="shared" si="216"/>
        <v>5.2092177937335835</v>
      </c>
      <c r="AP750" s="8">
        <f t="shared" si="217"/>
        <v>0.17225345840296669</v>
      </c>
      <c r="AQ750" s="8"/>
      <c r="AR750" s="8">
        <f t="shared" si="218"/>
        <v>298.46619414538458</v>
      </c>
      <c r="AS750" s="8">
        <f t="shared" si="219"/>
        <v>80.130603826977719</v>
      </c>
    </row>
    <row r="751" spans="1:45">
      <c r="A751" s="19">
        <v>33.666966670000001</v>
      </c>
      <c r="B751" s="19">
        <v>884.06811570000002</v>
      </c>
      <c r="C751" s="19">
        <v>-521.18403560000002</v>
      </c>
      <c r="E751" s="9">
        <f t="shared" si="209"/>
        <v>75.931884299999979</v>
      </c>
      <c r="F751" s="9">
        <f t="shared" si="210"/>
        <v>18.815964399999984</v>
      </c>
      <c r="I751">
        <v>1</v>
      </c>
      <c r="J751">
        <f t="shared" si="205"/>
        <v>5.0978979634290357E-2</v>
      </c>
      <c r="K751">
        <f t="shared" si="211"/>
        <v>0.24290754483890534</v>
      </c>
      <c r="O751">
        <f t="shared" si="212"/>
        <v>4.9460946278443704E-2</v>
      </c>
      <c r="P751">
        <f t="shared" si="213"/>
        <v>1.2256450803835887E-2</v>
      </c>
      <c r="Q751">
        <f t="shared" si="214"/>
        <v>0.99870085321227897</v>
      </c>
      <c r="R751">
        <f t="shared" si="204"/>
        <v>1</v>
      </c>
      <c r="AG751" s="8">
        <f t="shared" si="206"/>
        <v>8.2371591892018411E-2</v>
      </c>
      <c r="AH751" s="8">
        <f t="shared" si="207"/>
        <v>-0.15094085495652521</v>
      </c>
      <c r="AI751" s="8">
        <f t="shared" si="208"/>
        <v>0.98510495844563084</v>
      </c>
      <c r="AJ751" s="8"/>
      <c r="AK751" s="8"/>
      <c r="AL751" s="8"/>
      <c r="AN751" s="8">
        <f t="shared" si="215"/>
        <v>1.0000000000000002</v>
      </c>
      <c r="AO751" s="8">
        <f t="shared" si="216"/>
        <v>5.2119410234180377</v>
      </c>
      <c r="AP751" s="8">
        <f t="shared" si="217"/>
        <v>0.17281299822839635</v>
      </c>
      <c r="AQ751" s="8"/>
      <c r="AR751" s="8">
        <f t="shared" si="218"/>
        <v>298.62222371294854</v>
      </c>
      <c r="AS751" s="8">
        <f t="shared" si="219"/>
        <v>80.098544556511115</v>
      </c>
    </row>
    <row r="752" spans="1:45">
      <c r="A752" s="19">
        <v>33.700333329999999</v>
      </c>
      <c r="B752" s="19">
        <v>884.77315129999999</v>
      </c>
      <c r="C752" s="19">
        <v>-522.00013019999994</v>
      </c>
      <c r="E752" s="9">
        <f t="shared" si="209"/>
        <v>75.226848700000005</v>
      </c>
      <c r="F752" s="9">
        <f t="shared" si="210"/>
        <v>17.999869800000056</v>
      </c>
      <c r="I752">
        <v>1</v>
      </c>
      <c r="J752">
        <f t="shared" si="205"/>
        <v>5.040089224808033E-2</v>
      </c>
      <c r="K752">
        <f t="shared" si="211"/>
        <v>0.23485892084837845</v>
      </c>
      <c r="O752">
        <f t="shared" si="212"/>
        <v>4.8996495632794138E-2</v>
      </c>
      <c r="P752">
        <f t="shared" si="213"/>
        <v>1.1723614072465669E-2</v>
      </c>
      <c r="Q752">
        <f t="shared" si="214"/>
        <v>0.99873014387710635</v>
      </c>
      <c r="R752">
        <f t="shared" si="204"/>
        <v>1</v>
      </c>
      <c r="AG752" s="8">
        <f t="shared" si="206"/>
        <v>8.3014844150707451E-2</v>
      </c>
      <c r="AH752" s="8">
        <f t="shared" si="207"/>
        <v>-0.15121901058674245</v>
      </c>
      <c r="AI752" s="8">
        <f t="shared" si="208"/>
        <v>0.98500829767459341</v>
      </c>
      <c r="AJ752" s="8"/>
      <c r="AK752" s="8"/>
      <c r="AL752" s="8"/>
      <c r="AN752" s="8">
        <f t="shared" si="215"/>
        <v>1</v>
      </c>
      <c r="AO752" s="8">
        <f t="shared" si="216"/>
        <v>5.2144417917159558</v>
      </c>
      <c r="AP752" s="8">
        <f t="shared" si="217"/>
        <v>0.17337422718039774</v>
      </c>
      <c r="AQ752" s="8"/>
      <c r="AR752" s="8">
        <f t="shared" si="218"/>
        <v>298.76550718195932</v>
      </c>
      <c r="AS752" s="8">
        <f t="shared" si="219"/>
        <v>80.066388506220889</v>
      </c>
    </row>
    <row r="753" spans="1:45">
      <c r="A753" s="19">
        <v>33.733699999999999</v>
      </c>
      <c r="B753" s="19">
        <v>885.01821319999999</v>
      </c>
      <c r="C753" s="19">
        <v>-522.51856020000002</v>
      </c>
      <c r="E753" s="9">
        <f t="shared" si="209"/>
        <v>74.981786800000009</v>
      </c>
      <c r="F753" s="9">
        <f t="shared" si="210"/>
        <v>17.481439799999976</v>
      </c>
      <c r="I753">
        <v>1</v>
      </c>
      <c r="J753">
        <f t="shared" si="205"/>
        <v>5.0165438655170605E-2</v>
      </c>
      <c r="K753">
        <f t="shared" si="211"/>
        <v>0.22905092758147852</v>
      </c>
      <c r="O753">
        <f t="shared" si="212"/>
        <v>4.8834745262894372E-2</v>
      </c>
      <c r="P753">
        <f t="shared" si="213"/>
        <v>1.1385453666751269E-2</v>
      </c>
      <c r="Q753">
        <f t="shared" si="214"/>
        <v>0.99874197824058164</v>
      </c>
      <c r="R753">
        <f t="shared" si="204"/>
        <v>1</v>
      </c>
      <c r="AG753" s="8">
        <f t="shared" si="206"/>
        <v>8.3384333026154306E-2</v>
      </c>
      <c r="AH753" s="8">
        <f t="shared" si="207"/>
        <v>-0.15127008490918567</v>
      </c>
      <c r="AI753" s="8">
        <f t="shared" si="208"/>
        <v>0.98496924541700848</v>
      </c>
      <c r="AJ753" s="8"/>
      <c r="AK753" s="8"/>
      <c r="AL753" s="8"/>
      <c r="AN753" s="8">
        <f t="shared" si="215"/>
        <v>1</v>
      </c>
      <c r="AO753" s="8">
        <f t="shared" si="216"/>
        <v>5.2161746398871589</v>
      </c>
      <c r="AP753" s="8">
        <f t="shared" si="217"/>
        <v>0.17360046181482724</v>
      </c>
      <c r="AQ753" s="8"/>
      <c r="AR753" s="8">
        <f t="shared" si="218"/>
        <v>298.86479206870627</v>
      </c>
      <c r="AS753" s="8">
        <f t="shared" si="219"/>
        <v>80.05342621648839</v>
      </c>
    </row>
    <row r="754" spans="1:45">
      <c r="A754" s="19">
        <v>33.767066669999998</v>
      </c>
      <c r="B754" s="19">
        <v>885.29970400000002</v>
      </c>
      <c r="C754" s="19">
        <v>-523.2556452</v>
      </c>
      <c r="E754" s="9">
        <f t="shared" si="209"/>
        <v>74.70029599999998</v>
      </c>
      <c r="F754" s="9">
        <f t="shared" si="210"/>
        <v>16.744354799999996</v>
      </c>
      <c r="I754">
        <v>1</v>
      </c>
      <c r="J754">
        <f t="shared" si="205"/>
        <v>4.9876657027894795E-2</v>
      </c>
      <c r="K754">
        <f t="shared" si="211"/>
        <v>0.22050886597382713</v>
      </c>
      <c r="O754">
        <f t="shared" si="212"/>
        <v>4.864878099233709E-2</v>
      </c>
      <c r="P754">
        <f t="shared" si="213"/>
        <v>1.0904808858095933E-2</v>
      </c>
      <c r="Q754">
        <f t="shared" si="214"/>
        <v>0.99875641737699383</v>
      </c>
      <c r="R754">
        <f t="shared" si="204"/>
        <v>1</v>
      </c>
      <c r="AG754" s="8">
        <f t="shared" si="206"/>
        <v>8.3896690583600581E-2</v>
      </c>
      <c r="AH754" s="8">
        <f t="shared" si="207"/>
        <v>-0.15130120617300724</v>
      </c>
      <c r="AI754" s="8">
        <f t="shared" si="208"/>
        <v>0.98492095638163402</v>
      </c>
      <c r="AJ754" s="8"/>
      <c r="AK754" s="8"/>
      <c r="AL754" s="8"/>
      <c r="AN754" s="8">
        <f t="shared" si="215"/>
        <v>0.99999999999999978</v>
      </c>
      <c r="AO754" s="8">
        <f t="shared" si="216"/>
        <v>5.2186813878257814</v>
      </c>
      <c r="AP754" s="8">
        <f t="shared" si="217"/>
        <v>0.17387980333645081</v>
      </c>
      <c r="AQ754" s="8"/>
      <c r="AR754" s="8">
        <f t="shared" si="218"/>
        <v>299.00841814589245</v>
      </c>
      <c r="AS754" s="8">
        <f t="shared" si="219"/>
        <v>80.037421126256604</v>
      </c>
    </row>
    <row r="755" spans="1:45">
      <c r="A755" s="19">
        <v>33.800433329999997</v>
      </c>
      <c r="B755" s="19">
        <v>886.19207219999998</v>
      </c>
      <c r="C755" s="19">
        <v>-524.06854490000001</v>
      </c>
      <c r="E755" s="9">
        <f t="shared" si="209"/>
        <v>73.807927800000016</v>
      </c>
      <c r="F755" s="9">
        <f t="shared" si="210"/>
        <v>15.931455099999994</v>
      </c>
      <c r="I755">
        <v>1</v>
      </c>
      <c r="J755">
        <f t="shared" si="205"/>
        <v>4.9188034250057272E-2</v>
      </c>
      <c r="K755">
        <f t="shared" si="211"/>
        <v>0.21258864243419481</v>
      </c>
      <c r="O755">
        <f t="shared" si="212"/>
        <v>4.8061327823968089E-2</v>
      </c>
      <c r="P755">
        <f t="shared" si="213"/>
        <v>1.0374046651854761E-2</v>
      </c>
      <c r="Q755">
        <f t="shared" si="214"/>
        <v>0.99879051253196349</v>
      </c>
      <c r="R755">
        <f t="shared" si="204"/>
        <v>1</v>
      </c>
      <c r="AG755" s="8">
        <f t="shared" si="206"/>
        <v>8.4573642205858529E-2</v>
      </c>
      <c r="AH755" s="8">
        <f t="shared" si="207"/>
        <v>-0.15169572580203908</v>
      </c>
      <c r="AI755" s="8">
        <f t="shared" si="208"/>
        <v>0.98480236891339179</v>
      </c>
      <c r="AJ755" s="8"/>
      <c r="AK755" s="8"/>
      <c r="AL755" s="8"/>
      <c r="AN755" s="8">
        <f t="shared" si="215"/>
        <v>1.0000000000000002</v>
      </c>
      <c r="AO755" s="8">
        <f t="shared" si="216"/>
        <v>5.2209885776572378</v>
      </c>
      <c r="AP755" s="8">
        <f t="shared" si="217"/>
        <v>0.174563928263191</v>
      </c>
      <c r="AQ755" s="8"/>
      <c r="AR755" s="8">
        <f t="shared" si="218"/>
        <v>299.1406103857704</v>
      </c>
      <c r="AS755" s="8">
        <f t="shared" si="219"/>
        <v>79.998223655294694</v>
      </c>
    </row>
    <row r="756" spans="1:45">
      <c r="A756" s="19">
        <v>33.833799999999997</v>
      </c>
      <c r="B756" s="19">
        <v>886.03214290000005</v>
      </c>
      <c r="C756" s="19">
        <v>-524.84156410000003</v>
      </c>
      <c r="E756" s="9">
        <f t="shared" si="209"/>
        <v>73.967857099999947</v>
      </c>
      <c r="F756" s="9">
        <f t="shared" si="210"/>
        <v>15.158435899999972</v>
      </c>
      <c r="I756">
        <v>1</v>
      </c>
      <c r="J756">
        <f t="shared" si="205"/>
        <v>4.9186293457695651E-2</v>
      </c>
      <c r="K756">
        <f t="shared" si="211"/>
        <v>0.20213405216957672</v>
      </c>
      <c r="O756">
        <f t="shared" si="212"/>
        <v>4.8165452476889588E-2</v>
      </c>
      <c r="P756">
        <f t="shared" si="213"/>
        <v>9.8706783269164929E-3</v>
      </c>
      <c r="Q756">
        <f t="shared" si="214"/>
        <v>0.99879059812208038</v>
      </c>
      <c r="R756">
        <f t="shared" si="204"/>
        <v>1</v>
      </c>
      <c r="AG756" s="8">
        <f t="shared" si="206"/>
        <v>8.5023173545145908E-2</v>
      </c>
      <c r="AH756" s="8">
        <f t="shared" si="207"/>
        <v>-0.15144644066325097</v>
      </c>
      <c r="AI756" s="8">
        <f t="shared" si="208"/>
        <v>0.9848020286183129</v>
      </c>
      <c r="AJ756" s="8"/>
      <c r="AK756" s="8"/>
      <c r="AL756" s="8"/>
      <c r="AN756" s="8">
        <f t="shared" si="215"/>
        <v>1</v>
      </c>
      <c r="AO756" s="8">
        <f t="shared" si="216"/>
        <v>5.2239481719671437</v>
      </c>
      <c r="AP756" s="8">
        <f t="shared" si="217"/>
        <v>0.17456588758905811</v>
      </c>
      <c r="AQ756" s="8"/>
      <c r="AR756" s="8">
        <f t="shared" si="218"/>
        <v>299.3101826487989</v>
      </c>
      <c r="AS756" s="8">
        <f t="shared" si="219"/>
        <v>79.99811139419181</v>
      </c>
    </row>
    <row r="757" spans="1:45">
      <c r="A757" s="19">
        <v>33.867166670000003</v>
      </c>
      <c r="B757" s="19">
        <v>887.03967150000005</v>
      </c>
      <c r="C757" s="19">
        <v>-525.86064750000003</v>
      </c>
      <c r="E757" s="9">
        <f t="shared" si="209"/>
        <v>72.960328499999946</v>
      </c>
      <c r="F757" s="9">
        <f t="shared" si="210"/>
        <v>14.139352499999973</v>
      </c>
      <c r="I757">
        <v>1</v>
      </c>
      <c r="J757">
        <f t="shared" si="205"/>
        <v>4.8404846682448613E-2</v>
      </c>
      <c r="K757">
        <f t="shared" si="211"/>
        <v>0.19142223126320376</v>
      </c>
      <c r="O757">
        <f t="shared" si="212"/>
        <v>4.7502159884686763E-2</v>
      </c>
      <c r="P757">
        <f t="shared" si="213"/>
        <v>9.2056847457991468E-3</v>
      </c>
      <c r="Q757">
        <f t="shared" si="214"/>
        <v>0.99882871413203311</v>
      </c>
      <c r="R757">
        <f t="shared" si="204"/>
        <v>1</v>
      </c>
      <c r="AG757" s="8">
        <f t="shared" si="206"/>
        <v>8.5850043745005017E-2</v>
      </c>
      <c r="AH757" s="8">
        <f t="shared" si="207"/>
        <v>-0.15187196111900947</v>
      </c>
      <c r="AI757" s="8">
        <f t="shared" si="208"/>
        <v>0.98466475381971852</v>
      </c>
      <c r="AJ757" s="8"/>
      <c r="AK757" s="8"/>
      <c r="AL757" s="8"/>
      <c r="AN757" s="8">
        <f t="shared" si="215"/>
        <v>1</v>
      </c>
      <c r="AO757" s="8">
        <f t="shared" si="216"/>
        <v>5.2268870512321168</v>
      </c>
      <c r="AP757" s="8">
        <f t="shared" si="217"/>
        <v>0.1753545107551655</v>
      </c>
      <c r="AQ757" s="8"/>
      <c r="AR757" s="8">
        <f t="shared" si="218"/>
        <v>299.47856802718042</v>
      </c>
      <c r="AS757" s="8">
        <f t="shared" si="219"/>
        <v>79.952926615147618</v>
      </c>
    </row>
    <row r="758" spans="1:45">
      <c r="A758" s="19">
        <v>33.900533330000002</v>
      </c>
      <c r="B758" s="19">
        <v>887.15780930000005</v>
      </c>
      <c r="C758" s="19">
        <v>-526.50420020000001</v>
      </c>
      <c r="E758" s="9">
        <f t="shared" si="209"/>
        <v>72.842190699999946</v>
      </c>
      <c r="F758" s="9">
        <f t="shared" si="210"/>
        <v>13.495799799999986</v>
      </c>
      <c r="I758">
        <v>1</v>
      </c>
      <c r="J758">
        <f t="shared" si="205"/>
        <v>4.8249591620198859E-2</v>
      </c>
      <c r="K758">
        <f t="shared" si="211"/>
        <v>0.18319716055843041</v>
      </c>
      <c r="O758">
        <f t="shared" si="212"/>
        <v>4.7423790809815618E-2</v>
      </c>
      <c r="P758">
        <f t="shared" si="213"/>
        <v>8.7864187001497097E-3</v>
      </c>
      <c r="Q758">
        <f t="shared" si="214"/>
        <v>0.99883621425719871</v>
      </c>
      <c r="R758">
        <f t="shared" si="204"/>
        <v>1</v>
      </c>
      <c r="AG758" s="8">
        <f t="shared" si="206"/>
        <v>8.6272457257015406E-2</v>
      </c>
      <c r="AH758" s="8">
        <f t="shared" si="207"/>
        <v>-0.15181986096190409</v>
      </c>
      <c r="AI758" s="8">
        <f t="shared" si="208"/>
        <v>0.98463586819511328</v>
      </c>
      <c r="AJ758" s="8"/>
      <c r="AK758" s="8"/>
      <c r="AL758" s="8"/>
      <c r="AN758" s="8">
        <f t="shared" si="215"/>
        <v>0.99999999999999989</v>
      </c>
      <c r="AO758" s="8">
        <f t="shared" si="216"/>
        <v>5.2291397490712122</v>
      </c>
      <c r="AP758" s="8">
        <f t="shared" si="217"/>
        <v>0.17552000771575504</v>
      </c>
      <c r="AQ758" s="8"/>
      <c r="AR758" s="8">
        <f t="shared" si="218"/>
        <v>299.60763810587878</v>
      </c>
      <c r="AS758" s="8">
        <f t="shared" si="219"/>
        <v>79.943444337783589</v>
      </c>
    </row>
    <row r="759" spans="1:45">
      <c r="A759" s="19">
        <v>33.933900000000001</v>
      </c>
      <c r="B759" s="19">
        <v>887.85068690000003</v>
      </c>
      <c r="C759" s="19">
        <v>-527.06740879999995</v>
      </c>
      <c r="E759" s="9">
        <f t="shared" si="209"/>
        <v>72.149313099999972</v>
      </c>
      <c r="F759" s="9">
        <f t="shared" si="210"/>
        <v>12.932591200000047</v>
      </c>
      <c r="I759">
        <v>1</v>
      </c>
      <c r="J759">
        <f t="shared" si="205"/>
        <v>4.7734561943653088E-2</v>
      </c>
      <c r="K759">
        <f t="shared" si="211"/>
        <v>0.17736405525335977</v>
      </c>
      <c r="O759">
        <f t="shared" si="212"/>
        <v>4.6967869547168674E-2</v>
      </c>
      <c r="P759">
        <f t="shared" si="213"/>
        <v>8.4188778837932434E-3</v>
      </c>
      <c r="Q759">
        <f t="shared" si="214"/>
        <v>0.99886092211347322</v>
      </c>
      <c r="R759">
        <f t="shared" si="204"/>
        <v>1</v>
      </c>
      <c r="AG759" s="8">
        <f t="shared" si="206"/>
        <v>8.6755389294632834E-2</v>
      </c>
      <c r="AH759" s="8">
        <f t="shared" si="207"/>
        <v>-0.15213911954031756</v>
      </c>
      <c r="AI759" s="8">
        <f t="shared" si="208"/>
        <v>0.98454415377566162</v>
      </c>
      <c r="AJ759" s="8"/>
      <c r="AK759" s="8"/>
      <c r="AL759" s="8"/>
      <c r="AN759" s="8">
        <f t="shared" si="215"/>
        <v>1</v>
      </c>
      <c r="AO759" s="8">
        <f t="shared" si="216"/>
        <v>5.2306365415886145</v>
      </c>
      <c r="AP759" s="8">
        <f t="shared" si="217"/>
        <v>0.17604445463008145</v>
      </c>
      <c r="AQ759" s="8"/>
      <c r="AR759" s="8">
        <f t="shared" si="218"/>
        <v>299.6933979999327</v>
      </c>
      <c r="AS759" s="8">
        <f t="shared" si="219"/>
        <v>79.913395743014036</v>
      </c>
    </row>
    <row r="760" spans="1:45">
      <c r="A760" s="19">
        <v>33.967266670000001</v>
      </c>
      <c r="B760" s="19">
        <v>888.06850359999999</v>
      </c>
      <c r="C760" s="19">
        <v>-528.07095370000002</v>
      </c>
      <c r="E760" s="9">
        <f t="shared" si="209"/>
        <v>71.931496400000015</v>
      </c>
      <c r="F760" s="9">
        <f t="shared" si="210"/>
        <v>11.929046299999982</v>
      </c>
      <c r="I760">
        <v>1</v>
      </c>
      <c r="J760">
        <f t="shared" si="205"/>
        <v>4.7481036255016755E-2</v>
      </c>
      <c r="K760">
        <f t="shared" si="211"/>
        <v>0.1643432568840883</v>
      </c>
      <c r="O760">
        <f t="shared" si="212"/>
        <v>4.6823679220235052E-2</v>
      </c>
      <c r="P760">
        <f t="shared" si="213"/>
        <v>7.7651914016699207E-3</v>
      </c>
      <c r="Q760">
        <f t="shared" si="214"/>
        <v>0.99887298735463659</v>
      </c>
      <c r="R760">
        <f t="shared" si="204"/>
        <v>1</v>
      </c>
      <c r="AG760" s="8">
        <f t="shared" si="206"/>
        <v>8.7420311916276527E-2</v>
      </c>
      <c r="AH760" s="8">
        <f t="shared" si="207"/>
        <v>-0.15207849839819182</v>
      </c>
      <c r="AI760" s="8">
        <f t="shared" si="208"/>
        <v>0.98449470257051774</v>
      </c>
      <c r="AJ760" s="8"/>
      <c r="AK760" s="8"/>
      <c r="AL760" s="8"/>
      <c r="AN760" s="8">
        <f t="shared" si="215"/>
        <v>1.0000000000000002</v>
      </c>
      <c r="AO760" s="8">
        <f t="shared" si="216"/>
        <v>5.2341005754737449</v>
      </c>
      <c r="AP760" s="8">
        <f t="shared" si="217"/>
        <v>0.17632658889949404</v>
      </c>
      <c r="AQ760" s="8"/>
      <c r="AR760" s="8">
        <f t="shared" si="218"/>
        <v>299.89187252164101</v>
      </c>
      <c r="AS760" s="8">
        <f t="shared" si="219"/>
        <v>79.897230640120682</v>
      </c>
    </row>
    <row r="761" spans="1:45">
      <c r="A761" s="19">
        <v>34.000633329999999</v>
      </c>
      <c r="B761" s="19">
        <v>888.54345929999999</v>
      </c>
      <c r="C761" s="19">
        <v>-528.74229019999996</v>
      </c>
      <c r="E761" s="9">
        <f t="shared" si="209"/>
        <v>71.456540700000005</v>
      </c>
      <c r="F761" s="9">
        <f t="shared" si="210"/>
        <v>11.257709800000043</v>
      </c>
      <c r="I761">
        <v>1</v>
      </c>
      <c r="J761">
        <f t="shared" si="205"/>
        <v>4.7102011377184609E-2</v>
      </c>
      <c r="K761">
        <f t="shared" si="211"/>
        <v>0.15626184552926606</v>
      </c>
      <c r="O761">
        <f t="shared" si="212"/>
        <v>4.6510915029020009E-2</v>
      </c>
      <c r="P761">
        <f t="shared" si="213"/>
        <v>7.3276201002712106E-3</v>
      </c>
      <c r="Q761">
        <f t="shared" si="214"/>
        <v>0.99889090533793001</v>
      </c>
      <c r="R761">
        <f t="shared" si="204"/>
        <v>1</v>
      </c>
      <c r="AG761" s="8">
        <f t="shared" si="206"/>
        <v>8.7928273460632658E-2</v>
      </c>
      <c r="AH761" s="8">
        <f t="shared" si="207"/>
        <v>-0.15224166097545555</v>
      </c>
      <c r="AI761" s="8">
        <f t="shared" si="208"/>
        <v>0.98442424563277942</v>
      </c>
      <c r="AJ761" s="8"/>
      <c r="AK761" s="8"/>
      <c r="AL761" s="8"/>
      <c r="AN761" s="8">
        <f t="shared" si="215"/>
        <v>1.0000000000000002</v>
      </c>
      <c r="AO761" s="8">
        <f t="shared" si="216"/>
        <v>5.2361429698571076</v>
      </c>
      <c r="AP761" s="8">
        <f t="shared" si="217"/>
        <v>0.17672779734665522</v>
      </c>
      <c r="AQ761" s="8"/>
      <c r="AR761" s="8">
        <f t="shared" si="218"/>
        <v>300.0088930999089</v>
      </c>
      <c r="AS761" s="8">
        <f t="shared" si="219"/>
        <v>79.874243089393346</v>
      </c>
    </row>
    <row r="762" spans="1:45">
      <c r="A762" s="19">
        <v>34.033999999999999</v>
      </c>
      <c r="B762" s="19">
        <v>888.45410460000005</v>
      </c>
      <c r="C762" s="19">
        <v>-529.60773810000001</v>
      </c>
      <c r="E762" s="9">
        <f t="shared" si="209"/>
        <v>71.545895399999949</v>
      </c>
      <c r="F762" s="9">
        <f t="shared" si="210"/>
        <v>10.392261899999994</v>
      </c>
      <c r="I762">
        <v>1</v>
      </c>
      <c r="J762">
        <f t="shared" si="205"/>
        <v>4.7074902570002256E-2</v>
      </c>
      <c r="K762">
        <f t="shared" si="211"/>
        <v>0.14424428453178748</v>
      </c>
      <c r="O762">
        <f t="shared" si="212"/>
        <v>4.6568816936527348E-2</v>
      </c>
      <c r="P762">
        <f t="shared" si="213"/>
        <v>6.7642642428589672E-3</v>
      </c>
      <c r="Q762">
        <f t="shared" si="214"/>
        <v>0.99889218137814306</v>
      </c>
      <c r="R762">
        <f t="shared" si="204"/>
        <v>1</v>
      </c>
      <c r="AG762" s="8">
        <f t="shared" si="206"/>
        <v>8.8448261226834829E-2</v>
      </c>
      <c r="AH762" s="8">
        <f t="shared" si="207"/>
        <v>-0.15201762133602859</v>
      </c>
      <c r="AI762" s="8">
        <f t="shared" si="208"/>
        <v>0.98441228552333981</v>
      </c>
      <c r="AJ762" s="8"/>
      <c r="AK762" s="8"/>
      <c r="AL762" s="8"/>
      <c r="AN762" s="8">
        <f t="shared" si="215"/>
        <v>1</v>
      </c>
      <c r="AO762" s="8">
        <f t="shared" si="216"/>
        <v>5.2393402928379924</v>
      </c>
      <c r="AP762" s="8">
        <f t="shared" si="217"/>
        <v>0.17679581327885674</v>
      </c>
      <c r="AQ762" s="8"/>
      <c r="AR762" s="8">
        <f t="shared" si="218"/>
        <v>300.19208621245377</v>
      </c>
      <c r="AS762" s="8">
        <f t="shared" si="219"/>
        <v>79.870346063538548</v>
      </c>
    </row>
    <row r="763" spans="1:45">
      <c r="A763" s="19">
        <v>34.067366669999998</v>
      </c>
      <c r="B763" s="19">
        <v>889.21395259999997</v>
      </c>
      <c r="C763" s="19">
        <v>-530.24900319999995</v>
      </c>
      <c r="E763" s="9">
        <f t="shared" si="209"/>
        <v>70.786047400000029</v>
      </c>
      <c r="F763" s="9">
        <f t="shared" si="210"/>
        <v>9.7509968000000526</v>
      </c>
      <c r="I763">
        <v>1</v>
      </c>
      <c r="J763">
        <f t="shared" si="205"/>
        <v>4.6520777767302846E-2</v>
      </c>
      <c r="K763">
        <f t="shared" si="211"/>
        <v>0.1368915483862313</v>
      </c>
      <c r="O763">
        <f t="shared" si="212"/>
        <v>4.6068953572562819E-2</v>
      </c>
      <c r="P763">
        <f t="shared" si="213"/>
        <v>6.3461407348676295E-3</v>
      </c>
      <c r="Q763">
        <f t="shared" si="214"/>
        <v>0.99891810375751144</v>
      </c>
      <c r="R763">
        <f t="shared" si="204"/>
        <v>1</v>
      </c>
      <c r="AG763" s="8">
        <f t="shared" si="206"/>
        <v>8.8992045692251553E-2</v>
      </c>
      <c r="AH763" s="8">
        <f t="shared" si="207"/>
        <v>-0.15236284348361528</v>
      </c>
      <c r="AI763" s="8">
        <f t="shared" si="208"/>
        <v>0.98430990024945675</v>
      </c>
      <c r="AJ763" s="8"/>
      <c r="AK763" s="8"/>
      <c r="AL763" s="8"/>
      <c r="AN763" s="8">
        <f t="shared" si="215"/>
        <v>0.99999999999999989</v>
      </c>
      <c r="AO763" s="8">
        <f t="shared" si="216"/>
        <v>5.2410201312335492</v>
      </c>
      <c r="AP763" s="8">
        <f t="shared" si="217"/>
        <v>0.17737701183043963</v>
      </c>
      <c r="AQ763" s="8"/>
      <c r="AR763" s="8">
        <f t="shared" si="218"/>
        <v>300.28833386278319</v>
      </c>
      <c r="AS763" s="8">
        <f t="shared" si="219"/>
        <v>79.837045839473731</v>
      </c>
    </row>
    <row r="764" spans="1:45">
      <c r="A764" s="19">
        <v>34.100733329999997</v>
      </c>
      <c r="B764" s="19">
        <v>890.04730919999997</v>
      </c>
      <c r="C764" s="19">
        <v>-530.98049279999998</v>
      </c>
      <c r="E764" s="9">
        <f t="shared" si="209"/>
        <v>69.952690800000028</v>
      </c>
      <c r="F764" s="9">
        <f t="shared" si="210"/>
        <v>9.0195072000000209</v>
      </c>
      <c r="I764">
        <v>1</v>
      </c>
      <c r="J764">
        <f t="shared" si="205"/>
        <v>4.5913723626747692E-2</v>
      </c>
      <c r="K764">
        <f t="shared" si="211"/>
        <v>0.1282297690402826</v>
      </c>
      <c r="O764">
        <f t="shared" si="212"/>
        <v>4.5520766370175644E-2</v>
      </c>
      <c r="P764">
        <f t="shared" si="213"/>
        <v>5.8693221851777279E-3</v>
      </c>
      <c r="Q764">
        <f t="shared" si="214"/>
        <v>0.998946150143319</v>
      </c>
      <c r="R764">
        <f t="shared" si="204"/>
        <v>1</v>
      </c>
      <c r="AG764" s="8">
        <f t="shared" si="206"/>
        <v>8.9605757557511073E-2</v>
      </c>
      <c r="AH764" s="8">
        <f t="shared" si="207"/>
        <v>-0.1527358435947857</v>
      </c>
      <c r="AI764" s="8">
        <f t="shared" si="208"/>
        <v>0.98419640839312839</v>
      </c>
      <c r="AJ764" s="8"/>
      <c r="AK764" s="8"/>
      <c r="AL764" s="8"/>
      <c r="AN764" s="8">
        <f t="shared" si="215"/>
        <v>0.99999999999999978</v>
      </c>
      <c r="AO764" s="8">
        <f t="shared" si="216"/>
        <v>5.2429504197719403</v>
      </c>
      <c r="AP764" s="8">
        <f t="shared" si="217"/>
        <v>0.17801906364178732</v>
      </c>
      <c r="AQ764" s="8"/>
      <c r="AR764" s="8">
        <f t="shared" si="218"/>
        <v>300.39893124927551</v>
      </c>
      <c r="AS764" s="8">
        <f t="shared" si="219"/>
        <v>79.800258980454785</v>
      </c>
    </row>
    <row r="765" spans="1:45">
      <c r="A765" s="19">
        <v>34.134099999999997</v>
      </c>
      <c r="B765" s="19">
        <v>890.01294250000001</v>
      </c>
      <c r="C765" s="19">
        <v>-531.65088590000005</v>
      </c>
      <c r="E765" s="9">
        <f t="shared" si="209"/>
        <v>69.987057499999992</v>
      </c>
      <c r="F765" s="9">
        <f t="shared" si="210"/>
        <v>8.3491140999999516</v>
      </c>
      <c r="I765">
        <v>1</v>
      </c>
      <c r="J765">
        <f t="shared" si="205"/>
        <v>4.5881839824110711E-2</v>
      </c>
      <c r="K765">
        <f t="shared" si="211"/>
        <v>0.1187339898172797</v>
      </c>
      <c r="O765">
        <f t="shared" si="212"/>
        <v>4.5542821055520488E-2</v>
      </c>
      <c r="P765">
        <f t="shared" si="213"/>
        <v>5.4330360928293176E-3</v>
      </c>
      <c r="Q765">
        <f t="shared" si="214"/>
        <v>0.99894761302538726</v>
      </c>
      <c r="R765">
        <f t="shared" si="204"/>
        <v>1</v>
      </c>
      <c r="AG765" s="8">
        <f t="shared" si="206"/>
        <v>9.0015021545007318E-2</v>
      </c>
      <c r="AH765" s="8">
        <f t="shared" si="207"/>
        <v>-0.15258369856574952</v>
      </c>
      <c r="AI765" s="8">
        <f t="shared" si="208"/>
        <v>0.98418266131254739</v>
      </c>
      <c r="AJ765" s="8"/>
      <c r="AK765" s="8"/>
      <c r="AL765" s="8"/>
      <c r="AN765" s="8">
        <f t="shared" si="215"/>
        <v>1</v>
      </c>
      <c r="AO765" s="8">
        <f t="shared" si="216"/>
        <v>5.2453775827969968</v>
      </c>
      <c r="AP765" s="8">
        <f t="shared" si="217"/>
        <v>0.17809667880724711</v>
      </c>
      <c r="AQ765" s="8"/>
      <c r="AR765" s="8">
        <f t="shared" si="218"/>
        <v>300.53799744680146</v>
      </c>
      <c r="AS765" s="8">
        <f t="shared" si="219"/>
        <v>79.795811959047725</v>
      </c>
    </row>
    <row r="766" spans="1:45">
      <c r="A766" s="19">
        <v>34.167466670000003</v>
      </c>
      <c r="B766" s="19">
        <v>891.04531589999999</v>
      </c>
      <c r="C766" s="19">
        <v>-532.32712389999995</v>
      </c>
      <c r="E766" s="9">
        <f t="shared" si="209"/>
        <v>68.954684100000009</v>
      </c>
      <c r="F766" s="9">
        <f t="shared" si="210"/>
        <v>7.6728761000000532</v>
      </c>
      <c r="I766">
        <v>1</v>
      </c>
      <c r="J766">
        <f t="shared" si="205"/>
        <v>4.5156255017975572E-2</v>
      </c>
      <c r="K766">
        <f t="shared" si="211"/>
        <v>0.11081830096317176</v>
      </c>
      <c r="O766">
        <f t="shared" si="212"/>
        <v>4.4864012978197018E-2</v>
      </c>
      <c r="P766">
        <f t="shared" si="213"/>
        <v>4.9922063660139378E-3</v>
      </c>
      <c r="Q766">
        <f t="shared" si="214"/>
        <v>0.99898062954948796</v>
      </c>
      <c r="R766">
        <f t="shared" si="204"/>
        <v>1</v>
      </c>
      <c r="AG766" s="8">
        <f t="shared" si="206"/>
        <v>9.0632336628076973E-2</v>
      </c>
      <c r="AH766" s="8">
        <f t="shared" si="207"/>
        <v>-0.1530904541918624</v>
      </c>
      <c r="AI766" s="8">
        <f t="shared" si="208"/>
        <v>0.98404730190812684</v>
      </c>
      <c r="AJ766" s="8"/>
      <c r="AK766" s="8"/>
      <c r="AL766" s="8"/>
      <c r="AN766" s="8">
        <f t="shared" si="215"/>
        <v>0.99999999999999989</v>
      </c>
      <c r="AO766" s="8">
        <f t="shared" si="216"/>
        <v>5.2469188455014457</v>
      </c>
      <c r="AP766" s="8">
        <f t="shared" si="217"/>
        <v>0.17885913015407007</v>
      </c>
      <c r="AQ766" s="8"/>
      <c r="AR766" s="8">
        <f t="shared" si="218"/>
        <v>300.62630529488729</v>
      </c>
      <c r="AS766" s="8">
        <f t="shared" si="219"/>
        <v>79.752126714790705</v>
      </c>
    </row>
    <row r="767" spans="1:45">
      <c r="A767" s="19">
        <v>34.200833330000002</v>
      </c>
      <c r="B767" s="19">
        <v>891.20282589999999</v>
      </c>
      <c r="C767" s="19">
        <v>-533.13519240000005</v>
      </c>
      <c r="E767" s="9">
        <f t="shared" si="209"/>
        <v>68.797174100000007</v>
      </c>
      <c r="F767" s="9">
        <f t="shared" si="210"/>
        <v>6.8648075999999492</v>
      </c>
      <c r="I767">
        <v>1</v>
      </c>
      <c r="J767">
        <f t="shared" si="205"/>
        <v>4.4997442713788117E-2</v>
      </c>
      <c r="K767">
        <f t="shared" si="211"/>
        <v>9.9454072388816317E-2</v>
      </c>
      <c r="O767">
        <f t="shared" si="212"/>
        <v>4.4759980352152763E-2</v>
      </c>
      <c r="P767">
        <f t="shared" si="213"/>
        <v>4.4662975960419087E-3</v>
      </c>
      <c r="Q767">
        <f t="shared" si="214"/>
        <v>0.99898778588362058</v>
      </c>
      <c r="R767">
        <f t="shared" si="204"/>
        <v>1</v>
      </c>
      <c r="AG767" s="8">
        <f t="shared" si="206"/>
        <v>9.1163587180106254E-2</v>
      </c>
      <c r="AH767" s="8">
        <f t="shared" si="207"/>
        <v>-0.1530300141845764</v>
      </c>
      <c r="AI767" s="8">
        <f t="shared" si="208"/>
        <v>0.98400762961021981</v>
      </c>
      <c r="AJ767" s="8"/>
      <c r="AK767" s="8"/>
      <c r="AL767" s="8"/>
      <c r="AN767" s="8">
        <f t="shared" si="215"/>
        <v>1</v>
      </c>
      <c r="AO767" s="8">
        <f t="shared" si="216"/>
        <v>5.2496581174826238</v>
      </c>
      <c r="AP767" s="8">
        <f t="shared" si="217"/>
        <v>0.17908198736237346</v>
      </c>
      <c r="AQ767" s="8"/>
      <c r="AR767" s="8">
        <f t="shared" si="218"/>
        <v>300.78325401834724</v>
      </c>
      <c r="AS767" s="8">
        <f t="shared" si="219"/>
        <v>79.739357937320861</v>
      </c>
    </row>
    <row r="768" spans="1:45">
      <c r="A768" s="19">
        <v>34.234200000000001</v>
      </c>
      <c r="B768" s="19">
        <v>891.56134750000001</v>
      </c>
      <c r="C768" s="19">
        <v>-533.86172710000005</v>
      </c>
      <c r="E768" s="9">
        <f t="shared" si="209"/>
        <v>68.438652499999989</v>
      </c>
      <c r="F768" s="9">
        <f t="shared" si="210"/>
        <v>6.1382728999999472</v>
      </c>
      <c r="I768">
        <v>1</v>
      </c>
      <c r="J768">
        <f t="shared" si="205"/>
        <v>4.4717610466928896E-2</v>
      </c>
      <c r="K768">
        <f t="shared" si="211"/>
        <v>8.9450803743101645E-2</v>
      </c>
      <c r="O768">
        <f t="shared" si="212"/>
        <v>4.4523984643501477E-2</v>
      </c>
      <c r="P768">
        <f t="shared" si="213"/>
        <v>3.99336279067182E-3</v>
      </c>
      <c r="Q768">
        <f t="shared" si="214"/>
        <v>0.9990003342567445</v>
      </c>
      <c r="R768">
        <f t="shared" si="204"/>
        <v>1</v>
      </c>
      <c r="AG768" s="8">
        <f t="shared" si="206"/>
        <v>9.168269789067518E-2</v>
      </c>
      <c r="AH768" s="8">
        <f t="shared" si="207"/>
        <v>-0.15310979698244304</v>
      </c>
      <c r="AI768" s="8">
        <f t="shared" si="208"/>
        <v>0.98394698687250526</v>
      </c>
      <c r="AJ768" s="8"/>
      <c r="AK768" s="8"/>
      <c r="AL768" s="8"/>
      <c r="AN768" s="8">
        <f t="shared" si="215"/>
        <v>0.99999999999999978</v>
      </c>
      <c r="AO768" s="8">
        <f t="shared" si="216"/>
        <v>5.2519283116866236</v>
      </c>
      <c r="AP768" s="8">
        <f t="shared" si="217"/>
        <v>0.17942211576808265</v>
      </c>
      <c r="AQ768" s="8"/>
      <c r="AR768" s="8">
        <f t="shared" si="218"/>
        <v>300.91332656491147</v>
      </c>
      <c r="AS768" s="8">
        <f t="shared" si="219"/>
        <v>79.719870015181201</v>
      </c>
    </row>
    <row r="769" spans="1:45">
      <c r="A769" s="19">
        <v>34.267566670000001</v>
      </c>
      <c r="B769" s="19">
        <v>891.40646990000005</v>
      </c>
      <c r="C769" s="19">
        <v>-534.49135320000005</v>
      </c>
      <c r="E769" s="9">
        <f t="shared" si="209"/>
        <v>68.593530099999953</v>
      </c>
      <c r="F769" s="9">
        <f t="shared" si="210"/>
        <v>5.5086467999999513</v>
      </c>
      <c r="I769">
        <v>1</v>
      </c>
      <c r="J769">
        <f t="shared" si="205"/>
        <v>4.4784038826784306E-2</v>
      </c>
      <c r="K769">
        <f t="shared" si="211"/>
        <v>8.013656396823185E-2</v>
      </c>
      <c r="O769">
        <f t="shared" si="212"/>
        <v>4.4625396803121713E-2</v>
      </c>
      <c r="P769">
        <f t="shared" si="213"/>
        <v>3.5838008182384634E-3</v>
      </c>
      <c r="Q769">
        <f t="shared" si="214"/>
        <v>0.9989973625249764</v>
      </c>
      <c r="R769">
        <f t="shared" si="204"/>
        <v>1</v>
      </c>
      <c r="AG769" s="8">
        <f t="shared" si="206"/>
        <v>9.2043355801201099E-2</v>
      </c>
      <c r="AH769" s="8">
        <f t="shared" si="207"/>
        <v>-0.15289079928281618</v>
      </c>
      <c r="AI769" s="8">
        <f t="shared" si="208"/>
        <v>0.98394736858610232</v>
      </c>
      <c r="AJ769" s="8"/>
      <c r="AK769" s="8"/>
      <c r="AL769" s="8"/>
      <c r="AN769" s="8">
        <f t="shared" si="215"/>
        <v>1</v>
      </c>
      <c r="AO769" s="8">
        <f t="shared" si="216"/>
        <v>5.2542926279503597</v>
      </c>
      <c r="AP769" s="8">
        <f t="shared" si="217"/>
        <v>0.17941997683657029</v>
      </c>
      <c r="AQ769" s="8"/>
      <c r="AR769" s="8">
        <f t="shared" si="218"/>
        <v>301.04879190825767</v>
      </c>
      <c r="AS769" s="8">
        <f t="shared" si="219"/>
        <v>79.719992566929534</v>
      </c>
    </row>
    <row r="770" spans="1:45">
      <c r="A770" s="19">
        <v>34.300933329999999</v>
      </c>
      <c r="B770" s="19">
        <v>892.38896190000003</v>
      </c>
      <c r="C770" s="19">
        <v>-535.27366199999994</v>
      </c>
      <c r="E770" s="9">
        <f t="shared" si="209"/>
        <v>67.611038099999973</v>
      </c>
      <c r="F770" s="9">
        <f t="shared" si="210"/>
        <v>4.7263380000000552</v>
      </c>
      <c r="I770">
        <v>1</v>
      </c>
      <c r="J770">
        <f t="shared" si="205"/>
        <v>4.4101141103667356E-2</v>
      </c>
      <c r="K770">
        <f t="shared" si="211"/>
        <v>6.979129323366777E-2</v>
      </c>
      <c r="O770">
        <f t="shared" si="212"/>
        <v>4.3979520955340898E-2</v>
      </c>
      <c r="P770">
        <f t="shared" si="213"/>
        <v>3.0743808548774009E-3</v>
      </c>
      <c r="Q770">
        <f t="shared" si="214"/>
        <v>0.99902770227801885</v>
      </c>
      <c r="R770">
        <f t="shared" si="204"/>
        <v>1</v>
      </c>
      <c r="AG770" s="8">
        <f t="shared" si="206"/>
        <v>9.2716276919834778E-2</v>
      </c>
      <c r="AH770" s="8">
        <f t="shared" si="207"/>
        <v>-0.15334557105691371</v>
      </c>
      <c r="AI770" s="8">
        <f t="shared" si="208"/>
        <v>0.98381341108533049</v>
      </c>
      <c r="AJ770" s="8"/>
      <c r="AK770" s="8"/>
      <c r="AL770" s="8"/>
      <c r="AN770" s="8">
        <f t="shared" si="215"/>
        <v>0.99999999999999989</v>
      </c>
      <c r="AO770" s="8">
        <f t="shared" si="216"/>
        <v>5.256200898036024</v>
      </c>
      <c r="AP770" s="8">
        <f t="shared" si="217"/>
        <v>0.18016906504193364</v>
      </c>
      <c r="AQ770" s="8"/>
      <c r="AR770" s="8">
        <f t="shared" si="218"/>
        <v>301.15812773033736</v>
      </c>
      <c r="AS770" s="8">
        <f t="shared" si="219"/>
        <v>79.677072974279184</v>
      </c>
    </row>
    <row r="771" spans="1:45">
      <c r="A771" s="19">
        <v>34.334299999999999</v>
      </c>
      <c r="B771" s="19">
        <v>892.78377320000004</v>
      </c>
      <c r="C771" s="19">
        <v>-536.54506579999997</v>
      </c>
      <c r="E771" s="9">
        <f t="shared" si="209"/>
        <v>67.216226799999959</v>
      </c>
      <c r="F771" s="9">
        <f t="shared" si="210"/>
        <v>3.4549342000000252</v>
      </c>
      <c r="I771">
        <v>1</v>
      </c>
      <c r="J771">
        <f t="shared" si="205"/>
        <v>4.3791351351490593E-2</v>
      </c>
      <c r="K771">
        <f t="shared" si="211"/>
        <v>5.1355104914748637E-2</v>
      </c>
      <c r="O771">
        <f t="shared" si="212"/>
        <v>4.3719641026668726E-2</v>
      </c>
      <c r="P771">
        <f t="shared" si="213"/>
        <v>2.2472026501011823E-3</v>
      </c>
      <c r="Q771">
        <f t="shared" si="214"/>
        <v>0.99904131199302693</v>
      </c>
      <c r="R771">
        <f t="shared" si="204"/>
        <v>1</v>
      </c>
      <c r="AG771" s="8">
        <f t="shared" si="206"/>
        <v>9.3579620737154381E-2</v>
      </c>
      <c r="AH771" s="8">
        <f t="shared" si="207"/>
        <v>-0.15334080182809792</v>
      </c>
      <c r="AI771" s="8">
        <f t="shared" si="208"/>
        <v>0.98373240928486549</v>
      </c>
      <c r="AJ771" s="8"/>
      <c r="AK771" s="8"/>
      <c r="AL771" s="8"/>
      <c r="AN771" s="8">
        <f t="shared" si="215"/>
        <v>0.99999999999999978</v>
      </c>
      <c r="AO771" s="8">
        <f t="shared" si="216"/>
        <v>5.2603273153376842</v>
      </c>
      <c r="AP771" s="8">
        <f t="shared" si="217"/>
        <v>0.18062053484862051</v>
      </c>
      <c r="AQ771" s="8"/>
      <c r="AR771" s="8">
        <f t="shared" si="218"/>
        <v>301.39455402623224</v>
      </c>
      <c r="AS771" s="8">
        <f t="shared" si="219"/>
        <v>79.651205659778441</v>
      </c>
    </row>
    <row r="772" spans="1:45">
      <c r="A772" s="19">
        <v>34.367666669999998</v>
      </c>
      <c r="B772" s="19">
        <v>893.57080740000004</v>
      </c>
      <c r="C772" s="19">
        <v>-536.83696410000005</v>
      </c>
      <c r="E772" s="9">
        <f t="shared" si="209"/>
        <v>66.429192599999965</v>
      </c>
      <c r="F772" s="9">
        <f t="shared" si="210"/>
        <v>3.1630358999999544</v>
      </c>
      <c r="I772">
        <v>1</v>
      </c>
      <c r="J772">
        <f t="shared" si="205"/>
        <v>4.3264958386966604E-2</v>
      </c>
      <c r="K772">
        <f t="shared" si="211"/>
        <v>4.7579213423568835E-2</v>
      </c>
      <c r="O772">
        <f t="shared" si="212"/>
        <v>4.3202515320934838E-2</v>
      </c>
      <c r="P772">
        <f t="shared" si="213"/>
        <v>2.0570942018406382E-3</v>
      </c>
      <c r="Q772">
        <f t="shared" si="214"/>
        <v>0.99906421767241227</v>
      </c>
      <c r="R772">
        <f t="shared" si="204"/>
        <v>1</v>
      </c>
      <c r="AG772" s="8">
        <f t="shared" si="206"/>
        <v>9.3910908026106896E-2</v>
      </c>
      <c r="AH772" s="8">
        <f t="shared" si="207"/>
        <v>-0.15377045675897935</v>
      </c>
      <c r="AI772" s="8">
        <f t="shared" si="208"/>
        <v>0.98363376720293971</v>
      </c>
      <c r="AJ772" s="8"/>
      <c r="AK772" s="8"/>
      <c r="AL772" s="8"/>
      <c r="AN772" s="8">
        <f t="shared" si="215"/>
        <v>1</v>
      </c>
      <c r="AO772" s="8">
        <f t="shared" si="216"/>
        <v>5.2606545860513325</v>
      </c>
      <c r="AP772" s="8">
        <f t="shared" si="217"/>
        <v>0.18116882140241164</v>
      </c>
      <c r="AQ772" s="8"/>
      <c r="AR772" s="8">
        <f t="shared" si="218"/>
        <v>301.4133052568825</v>
      </c>
      <c r="AS772" s="8">
        <f t="shared" si="219"/>
        <v>79.619791154282439</v>
      </c>
    </row>
    <row r="773" spans="1:45">
      <c r="A773" s="19">
        <v>34.401033329999997</v>
      </c>
      <c r="B773" s="19">
        <v>894.03522750000002</v>
      </c>
      <c r="C773" s="19">
        <v>-537.49010639999995</v>
      </c>
      <c r="E773" s="9">
        <f t="shared" si="209"/>
        <v>65.964772499999981</v>
      </c>
      <c r="F773" s="9">
        <f t="shared" si="210"/>
        <v>2.5098936000000549</v>
      </c>
      <c r="I773">
        <v>1</v>
      </c>
      <c r="J773">
        <f t="shared" si="205"/>
        <v>4.2941490461294987E-2</v>
      </c>
      <c r="K773">
        <f t="shared" si="211"/>
        <v>3.8030653982291177E-2</v>
      </c>
      <c r="O773">
        <f t="shared" si="212"/>
        <v>4.2897254017439823E-2</v>
      </c>
      <c r="P773">
        <f t="shared" si="213"/>
        <v>1.6321975993466647E-3</v>
      </c>
      <c r="Q773">
        <f t="shared" si="214"/>
        <v>0.99907815586607629</v>
      </c>
      <c r="R773">
        <f t="shared" si="204"/>
        <v>1</v>
      </c>
      <c r="AG773" s="8">
        <f t="shared" si="206"/>
        <v>9.4404225971613798E-2</v>
      </c>
      <c r="AH773" s="8">
        <f t="shared" si="207"/>
        <v>-0.15392967589720497</v>
      </c>
      <c r="AI773" s="8">
        <f t="shared" si="208"/>
        <v>0.98356163863627877</v>
      </c>
      <c r="AJ773" s="8"/>
      <c r="AK773" s="8"/>
      <c r="AL773" s="8"/>
      <c r="AN773" s="8">
        <f t="shared" si="215"/>
        <v>0.99999999999999989</v>
      </c>
      <c r="AO773" s="8">
        <f t="shared" si="216"/>
        <v>5.2625265531233811</v>
      </c>
      <c r="AP773" s="8">
        <f t="shared" si="217"/>
        <v>0.18156870024630734</v>
      </c>
      <c r="AQ773" s="8"/>
      <c r="AR773" s="8">
        <f t="shared" si="218"/>
        <v>301.52056106949834</v>
      </c>
      <c r="AS773" s="8">
        <f t="shared" si="219"/>
        <v>79.596879784210643</v>
      </c>
    </row>
    <row r="774" spans="1:45">
      <c r="A774" s="19">
        <v>34.434399999999997</v>
      </c>
      <c r="B774" s="19">
        <v>893.93997490000004</v>
      </c>
      <c r="C774" s="19">
        <v>-538.38694859999998</v>
      </c>
      <c r="E774" s="9">
        <f t="shared" si="209"/>
        <v>66.060025099999962</v>
      </c>
      <c r="F774" s="9">
        <f t="shared" si="210"/>
        <v>1.6130514000000176</v>
      </c>
      <c r="I774">
        <v>1</v>
      </c>
      <c r="J774">
        <f t="shared" si="205"/>
        <v>4.2985682165989893E-2</v>
      </c>
      <c r="K774">
        <f t="shared" si="211"/>
        <v>2.441311406112797E-2</v>
      </c>
      <c r="O774">
        <f t="shared" si="212"/>
        <v>4.2959640299026505E-2</v>
      </c>
      <c r="P774">
        <f t="shared" si="213"/>
        <v>1.0489870057261289E-3</v>
      </c>
      <c r="Q774">
        <f t="shared" si="214"/>
        <v>0.99907625781600884</v>
      </c>
      <c r="R774">
        <f t="shared" si="204"/>
        <v>1</v>
      </c>
      <c r="AG774" s="8">
        <f t="shared" si="206"/>
        <v>9.4941492929111554E-2</v>
      </c>
      <c r="AH774" s="8">
        <f t="shared" si="207"/>
        <v>-0.15369483602104145</v>
      </c>
      <c r="AI774" s="8">
        <f t="shared" si="208"/>
        <v>0.98354664876703057</v>
      </c>
      <c r="AJ774" s="8"/>
      <c r="AK774" s="8"/>
      <c r="AL774" s="8"/>
      <c r="AN774" s="8">
        <f t="shared" si="215"/>
        <v>1</v>
      </c>
      <c r="AO774" s="8">
        <f t="shared" si="216"/>
        <v>5.2657413719441637</v>
      </c>
      <c r="AP774" s="8">
        <f t="shared" si="217"/>
        <v>0.18165169441524842</v>
      </c>
      <c r="AQ774" s="8"/>
      <c r="AR774" s="8">
        <f t="shared" si="218"/>
        <v>301.7047566198284</v>
      </c>
      <c r="AS774" s="8">
        <f t="shared" si="219"/>
        <v>79.592124568606124</v>
      </c>
    </row>
    <row r="775" spans="1:45">
      <c r="A775" s="19">
        <v>34.467766670000003</v>
      </c>
      <c r="B775" s="19">
        <v>894.07589889999997</v>
      </c>
      <c r="C775" s="19">
        <v>-539.42775919999997</v>
      </c>
      <c r="E775" s="9">
        <f t="shared" si="209"/>
        <v>65.92410110000003</v>
      </c>
      <c r="F775" s="9">
        <f t="shared" si="210"/>
        <v>0.57224080000003141</v>
      </c>
      <c r="I775">
        <v>1</v>
      </c>
      <c r="J775">
        <f t="shared" si="205"/>
        <v>4.2884998127395185E-2</v>
      </c>
      <c r="K775">
        <f t="shared" si="211"/>
        <v>8.6800793455695663E-3</v>
      </c>
      <c r="O775">
        <f t="shared" si="212"/>
        <v>4.2870239151008731E-2</v>
      </c>
      <c r="P775">
        <f t="shared" si="213"/>
        <v>3.7212642324471366E-4</v>
      </c>
      <c r="Q775">
        <f t="shared" si="214"/>
        <v>0.99908057939140249</v>
      </c>
      <c r="R775">
        <f t="shared" si="204"/>
        <v>1</v>
      </c>
      <c r="AG775" s="8">
        <f t="shared" si="206"/>
        <v>9.56119831513252E-2</v>
      </c>
      <c r="AH775" s="8">
        <f t="shared" si="207"/>
        <v>-0.15357457371257741</v>
      </c>
      <c r="AI775" s="8">
        <f t="shared" si="208"/>
        <v>0.98350048245380683</v>
      </c>
      <c r="AJ775" s="8"/>
      <c r="AK775" s="8"/>
      <c r="AL775" s="8"/>
      <c r="AN775" s="8">
        <f t="shared" si="215"/>
        <v>1</v>
      </c>
      <c r="AO775" s="8">
        <f t="shared" si="216"/>
        <v>5.269243949210165</v>
      </c>
      <c r="AP775" s="8">
        <f t="shared" si="217"/>
        <v>0.18190706742844154</v>
      </c>
      <c r="AQ775" s="8"/>
      <c r="AR775" s="8">
        <f t="shared" si="218"/>
        <v>301.90543951458875</v>
      </c>
      <c r="AS775" s="8">
        <f t="shared" si="219"/>
        <v>79.577492772748613</v>
      </c>
    </row>
    <row r="776" spans="1:45">
      <c r="A776" s="19">
        <v>34.501133330000002</v>
      </c>
      <c r="B776" s="19">
        <v>895.16155030000004</v>
      </c>
      <c r="C776" s="19">
        <v>-540.16911200000004</v>
      </c>
      <c r="E776" s="9">
        <f t="shared" si="209"/>
        <v>64.838449699999956</v>
      </c>
      <c r="F776" s="9">
        <f t="shared" si="210"/>
        <v>-0.16911200000004101</v>
      </c>
      <c r="I776">
        <v>1</v>
      </c>
      <c r="J776">
        <f t="shared" si="205"/>
        <v>4.2169748778198929E-2</v>
      </c>
      <c r="K776">
        <f t="shared" si="211"/>
        <v>-2.6081995684553183E-3</v>
      </c>
      <c r="O776">
        <f t="shared" si="212"/>
        <v>4.2157108173496043E-2</v>
      </c>
      <c r="P776">
        <f t="shared" si="213"/>
        <v>-1.0995440067466628E-4</v>
      </c>
      <c r="Q776">
        <f t="shared" si="214"/>
        <v>0.99911098789898112</v>
      </c>
      <c r="R776">
        <f t="shared" si="204"/>
        <v>1</v>
      </c>
      <c r="AG776" s="8">
        <f t="shared" si="206"/>
        <v>9.6278102381541428E-2</v>
      </c>
      <c r="AH776" s="8">
        <f t="shared" si="207"/>
        <v>-0.15410039435351136</v>
      </c>
      <c r="AI776" s="8">
        <f t="shared" si="208"/>
        <v>0.98335324042884087</v>
      </c>
      <c r="AJ776" s="8"/>
      <c r="AK776" s="8"/>
      <c r="AL776" s="8"/>
      <c r="AN776" s="8">
        <f t="shared" si="215"/>
        <v>1</v>
      </c>
      <c r="AO776" s="8">
        <f t="shared" si="216"/>
        <v>5.2708266146310763</v>
      </c>
      <c r="AP776" s="8">
        <f t="shared" si="217"/>
        <v>0.18271919147695814</v>
      </c>
      <c r="AQ776" s="8"/>
      <c r="AR776" s="8">
        <f t="shared" si="218"/>
        <v>301.99611956358825</v>
      </c>
      <c r="AS776" s="8">
        <f t="shared" si="219"/>
        <v>79.530961492327535</v>
      </c>
    </row>
    <row r="777" spans="1:45">
      <c r="A777" s="19">
        <v>34.534500000000001</v>
      </c>
      <c r="B777" s="19">
        <v>895.80580729999997</v>
      </c>
      <c r="C777" s="19">
        <v>-540.73634519999996</v>
      </c>
      <c r="E777" s="9">
        <f t="shared" si="209"/>
        <v>64.194192700000031</v>
      </c>
      <c r="F777" s="9">
        <f t="shared" si="210"/>
        <v>-0.73634519999995973</v>
      </c>
      <c r="I777">
        <v>1</v>
      </c>
      <c r="J777">
        <f t="shared" si="205"/>
        <v>4.1748860371743073E-2</v>
      </c>
      <c r="K777">
        <f t="shared" si="211"/>
        <v>-1.1470085950942484E-2</v>
      </c>
      <c r="O777">
        <f t="shared" si="212"/>
        <v>4.173398813975257E-2</v>
      </c>
      <c r="P777">
        <f t="shared" si="213"/>
        <v>-4.787134248603462E-4</v>
      </c>
      <c r="Q777">
        <f t="shared" si="214"/>
        <v>0.9991286429021079</v>
      </c>
      <c r="R777">
        <f t="shared" si="204"/>
        <v>1</v>
      </c>
      <c r="AG777" s="8">
        <f t="shared" si="206"/>
        <v>9.6752055766937128E-2</v>
      </c>
      <c r="AH777" s="8">
        <f t="shared" si="207"/>
        <v>-0.15438730334991807</v>
      </c>
      <c r="AI777" s="8">
        <f t="shared" si="208"/>
        <v>0.98326171504295434</v>
      </c>
      <c r="AJ777" s="8"/>
      <c r="AK777" s="8"/>
      <c r="AL777" s="8"/>
      <c r="AN777" s="8">
        <f t="shared" si="215"/>
        <v>1</v>
      </c>
      <c r="AO777" s="8">
        <f t="shared" si="216"/>
        <v>5.2721983593384296</v>
      </c>
      <c r="AP777" s="8">
        <f t="shared" si="217"/>
        <v>0.18322221230481284</v>
      </c>
      <c r="AQ777" s="8"/>
      <c r="AR777" s="8">
        <f t="shared" si="218"/>
        <v>302.07471474588903</v>
      </c>
      <c r="AS777" s="8">
        <f t="shared" si="219"/>
        <v>79.502140521884286</v>
      </c>
    </row>
    <row r="778" spans="1:45">
      <c r="A778" s="19">
        <v>34.567866670000001</v>
      </c>
      <c r="B778" s="19">
        <v>895.98122060000003</v>
      </c>
      <c r="C778" s="19">
        <v>-541.38007119999997</v>
      </c>
      <c r="E778" s="9">
        <f t="shared" si="209"/>
        <v>64.018779399999971</v>
      </c>
      <c r="F778" s="9">
        <f t="shared" si="210"/>
        <v>-1.3800711999999749</v>
      </c>
      <c r="I778">
        <v>1</v>
      </c>
      <c r="J778">
        <f t="shared" si="205"/>
        <v>4.1640554906935016E-2</v>
      </c>
      <c r="K778">
        <f t="shared" si="211"/>
        <v>-2.1553948573302183E-2</v>
      </c>
      <c r="O778">
        <f t="shared" si="212"/>
        <v>4.1618852912144566E-2</v>
      </c>
      <c r="P778">
        <f t="shared" si="213"/>
        <v>-8.9718955624270809E-4</v>
      </c>
      <c r="Q778">
        <f t="shared" si="214"/>
        <v>0.99913315735850616</v>
      </c>
      <c r="R778">
        <f t="shared" si="204"/>
        <v>1</v>
      </c>
      <c r="AG778" s="8">
        <f t="shared" si="206"/>
        <v>9.7183901552795701E-2</v>
      </c>
      <c r="AH778" s="8">
        <f t="shared" si="207"/>
        <v>-0.15436918008306272</v>
      </c>
      <c r="AI778" s="8">
        <f t="shared" si="208"/>
        <v>0.98322197164193781</v>
      </c>
      <c r="AJ778" s="8"/>
      <c r="AK778" s="8"/>
      <c r="AL778" s="8"/>
      <c r="AN778" s="8">
        <f t="shared" si="215"/>
        <v>1.0000000000000002</v>
      </c>
      <c r="AO778" s="8">
        <f t="shared" si="216"/>
        <v>5.2742571552776214</v>
      </c>
      <c r="AP778" s="8">
        <f t="shared" si="217"/>
        <v>0.18344021614475414</v>
      </c>
      <c r="AQ778" s="8"/>
      <c r="AR778" s="8">
        <f t="shared" si="218"/>
        <v>302.1926750640834</v>
      </c>
      <c r="AS778" s="8">
        <f t="shared" si="219"/>
        <v>79.489649821938002</v>
      </c>
    </row>
    <row r="779" spans="1:45">
      <c r="A779" s="19">
        <v>34.601233329999999</v>
      </c>
      <c r="B779" s="19">
        <v>896.79816659999994</v>
      </c>
      <c r="C779" s="19">
        <v>-541.8562776</v>
      </c>
      <c r="E779" s="9">
        <f t="shared" si="209"/>
        <v>63.201833400000055</v>
      </c>
      <c r="F779" s="9">
        <f t="shared" si="210"/>
        <v>-1.8562775999999985</v>
      </c>
      <c r="I779">
        <v>1</v>
      </c>
      <c r="J779">
        <f t="shared" si="205"/>
        <v>4.1111714518032021E-2</v>
      </c>
      <c r="K779">
        <f t="shared" si="211"/>
        <v>-2.9362187987822575E-2</v>
      </c>
      <c r="O779">
        <f t="shared" si="212"/>
        <v>4.1082418788465261E-2</v>
      </c>
      <c r="P779">
        <f t="shared" si="213"/>
        <v>-1.2066164800663374E-3</v>
      </c>
      <c r="Q779">
        <f t="shared" si="214"/>
        <v>0.99915503248653015</v>
      </c>
      <c r="R779">
        <f t="shared" si="204"/>
        <v>1</v>
      </c>
      <c r="AG779" s="8">
        <f t="shared" si="206"/>
        <v>9.763420437841118E-2</v>
      </c>
      <c r="AH779" s="8">
        <f t="shared" si="207"/>
        <v>-0.15478059994888457</v>
      </c>
      <c r="AI779" s="8">
        <f t="shared" si="208"/>
        <v>0.98311267310255834</v>
      </c>
      <c r="AJ779" s="8"/>
      <c r="AK779" s="8"/>
      <c r="AL779" s="8"/>
      <c r="AN779" s="8">
        <f t="shared" si="215"/>
        <v>0.99999999999999978</v>
      </c>
      <c r="AO779" s="8">
        <f t="shared" si="216"/>
        <v>5.2751417528267996</v>
      </c>
      <c r="AP779" s="8">
        <f t="shared" si="217"/>
        <v>0.18403843299985834</v>
      </c>
      <c r="AQ779" s="8"/>
      <c r="AR779" s="8">
        <f t="shared" si="218"/>
        <v>302.24335877021895</v>
      </c>
      <c r="AS779" s="8">
        <f t="shared" si="219"/>
        <v>79.455374520906943</v>
      </c>
    </row>
    <row r="780" spans="1:45">
      <c r="A780" s="19">
        <v>34.634599999999999</v>
      </c>
      <c r="B780" s="19">
        <v>896.78746279999996</v>
      </c>
      <c r="C780" s="19">
        <v>-542.68409910000003</v>
      </c>
      <c r="E780" s="9">
        <f t="shared" si="209"/>
        <v>63.212537200000043</v>
      </c>
      <c r="F780" s="9">
        <f t="shared" si="210"/>
        <v>-2.6840991000000258</v>
      </c>
      <c r="I780">
        <v>1</v>
      </c>
      <c r="J780">
        <f t="shared" si="205"/>
        <v>4.113827424628437E-2</v>
      </c>
      <c r="K780">
        <f t="shared" si="211"/>
        <v>-4.2436007743686242E-2</v>
      </c>
      <c r="O780">
        <f t="shared" si="212"/>
        <v>4.108964658101627E-2</v>
      </c>
      <c r="P780">
        <f t="shared" si="213"/>
        <v>-1.7447279968921231E-3</v>
      </c>
      <c r="Q780">
        <f t="shared" si="214"/>
        <v>0.99915394052571505</v>
      </c>
      <c r="R780">
        <f t="shared" si="204"/>
        <v>1</v>
      </c>
      <c r="AG780" s="8">
        <f t="shared" si="206"/>
        <v>9.814438200372852E-2</v>
      </c>
      <c r="AH780" s="8">
        <f t="shared" si="207"/>
        <v>-0.15461102805579796</v>
      </c>
      <c r="AI780" s="8">
        <f t="shared" si="208"/>
        <v>0.98308855668481643</v>
      </c>
      <c r="AJ780" s="8"/>
      <c r="AK780" s="8"/>
      <c r="AL780" s="8"/>
      <c r="AN780" s="8">
        <f t="shared" si="215"/>
        <v>1</v>
      </c>
      <c r="AO780" s="8">
        <f t="shared" si="216"/>
        <v>5.2779920274534122</v>
      </c>
      <c r="AP780" s="8">
        <f t="shared" si="217"/>
        <v>0.1841701691597244</v>
      </c>
      <c r="AQ780" s="8"/>
      <c r="AR780" s="8">
        <f t="shared" si="218"/>
        <v>302.40666747677705</v>
      </c>
      <c r="AS780" s="8">
        <f t="shared" si="219"/>
        <v>79.447826594937354</v>
      </c>
    </row>
    <row r="781" spans="1:45">
      <c r="A781" s="19">
        <v>34.667966669999998</v>
      </c>
      <c r="B781" s="19">
        <v>897.27038579999999</v>
      </c>
      <c r="C781" s="19">
        <v>-543.10274830000003</v>
      </c>
      <c r="E781" s="9">
        <f t="shared" si="209"/>
        <v>62.729614200000015</v>
      </c>
      <c r="F781" s="9">
        <f t="shared" si="210"/>
        <v>-3.1027483000000302</v>
      </c>
      <c r="I781">
        <v>1</v>
      </c>
      <c r="J781">
        <f t="shared" si="205"/>
        <v>4.083384074660789E-2</v>
      </c>
      <c r="K781">
        <f t="shared" si="211"/>
        <v>-4.9421979406409307E-2</v>
      </c>
      <c r="O781">
        <f t="shared" si="212"/>
        <v>4.077264897295016E-2</v>
      </c>
      <c r="P781">
        <f t="shared" si="213"/>
        <v>-2.0167072426745302E-3</v>
      </c>
      <c r="Q781">
        <f t="shared" si="214"/>
        <v>0.99916641456147126</v>
      </c>
      <c r="R781">
        <f t="shared" si="204"/>
        <v>1</v>
      </c>
      <c r="AG781" s="8">
        <f t="shared" si="206"/>
        <v>9.8495295697179949E-2</v>
      </c>
      <c r="AH781" s="8">
        <f t="shared" si="207"/>
        <v>-0.1548271287057727</v>
      </c>
      <c r="AI781" s="8">
        <f t="shared" si="208"/>
        <v>0.98301944891352533</v>
      </c>
      <c r="AJ781" s="8"/>
      <c r="AK781" s="8"/>
      <c r="AL781" s="8"/>
      <c r="AN781" s="8">
        <f t="shared" si="215"/>
        <v>0.99999999999999989</v>
      </c>
      <c r="AO781" s="8">
        <f t="shared" si="216"/>
        <v>5.2789754021221844</v>
      </c>
      <c r="AP781" s="8">
        <f t="shared" si="217"/>
        <v>0.18454715607442651</v>
      </c>
      <c r="AQ781" s="8"/>
      <c r="AR781" s="8">
        <f t="shared" si="218"/>
        <v>302.46301069497775</v>
      </c>
      <c r="AS781" s="8">
        <f t="shared" si="219"/>
        <v>79.426226835793273</v>
      </c>
    </row>
    <row r="782" spans="1:45">
      <c r="A782" s="19">
        <v>34.701333329999997</v>
      </c>
      <c r="B782" s="19">
        <v>897.83436889999996</v>
      </c>
      <c r="C782" s="19">
        <v>-543.84129689999997</v>
      </c>
      <c r="E782" s="9">
        <f t="shared" si="209"/>
        <v>62.165631100000041</v>
      </c>
      <c r="F782" s="9">
        <f t="shared" si="210"/>
        <v>-3.8412968999999748</v>
      </c>
      <c r="I782">
        <v>1</v>
      </c>
      <c r="J782">
        <f t="shared" si="205"/>
        <v>4.049071263037398E-2</v>
      </c>
      <c r="K782">
        <f t="shared" si="211"/>
        <v>-6.1712864419672407E-2</v>
      </c>
      <c r="O782">
        <f t="shared" si="212"/>
        <v>4.0402591005987323E-2</v>
      </c>
      <c r="P782">
        <f t="shared" si="213"/>
        <v>-2.4965297518433119E-3</v>
      </c>
      <c r="Q782">
        <f t="shared" si="214"/>
        <v>0.99918036308726621</v>
      </c>
      <c r="R782">
        <f t="shared" si="204"/>
        <v>1</v>
      </c>
      <c r="AG782" s="8">
        <f t="shared" si="206"/>
        <v>9.9059431264526723E-2</v>
      </c>
      <c r="AH782" s="8">
        <f t="shared" si="207"/>
        <v>-0.1550302307135584</v>
      </c>
      <c r="AI782" s="8">
        <f t="shared" si="208"/>
        <v>0.98293074865040697</v>
      </c>
      <c r="AJ782" s="8"/>
      <c r="AK782" s="8"/>
      <c r="AL782" s="8"/>
      <c r="AN782" s="8">
        <f t="shared" si="215"/>
        <v>1.0000000000000002</v>
      </c>
      <c r="AO782" s="8">
        <f t="shared" si="216"/>
        <v>5.2809700484594355</v>
      </c>
      <c r="AP782" s="8">
        <f t="shared" si="217"/>
        <v>0.18502990836574451</v>
      </c>
      <c r="AQ782" s="8"/>
      <c r="AR782" s="8">
        <f t="shared" si="218"/>
        <v>302.57729551172349</v>
      </c>
      <c r="AS782" s="8">
        <f t="shared" si="219"/>
        <v>79.398567166950471</v>
      </c>
    </row>
    <row r="783" spans="1:45">
      <c r="A783" s="19">
        <v>34.734699999999997</v>
      </c>
      <c r="B783" s="19">
        <v>897.99360260000003</v>
      </c>
      <c r="C783" s="19">
        <v>-544.7899251</v>
      </c>
      <c r="E783" s="9">
        <f t="shared" si="209"/>
        <v>62.006397399999969</v>
      </c>
      <c r="F783" s="9">
        <f t="shared" si="210"/>
        <v>-4.7899251000000049</v>
      </c>
      <c r="I783">
        <v>1</v>
      </c>
      <c r="J783">
        <f t="shared" si="205"/>
        <v>4.0429551376837639E-2</v>
      </c>
      <c r="K783">
        <f t="shared" si="211"/>
        <v>-7.709577535673881E-2</v>
      </c>
      <c r="O783">
        <f t="shared" si="212"/>
        <v>4.029847873367317E-2</v>
      </c>
      <c r="P783">
        <f t="shared" si="213"/>
        <v>-3.1130125740580052E-3</v>
      </c>
      <c r="Q783">
        <f t="shared" si="214"/>
        <v>0.99918283700455213</v>
      </c>
      <c r="R783">
        <f t="shared" si="204"/>
        <v>1</v>
      </c>
      <c r="AG783" s="8">
        <f t="shared" si="206"/>
        <v>9.9676437258767236E-2</v>
      </c>
      <c r="AH783" s="8">
        <f t="shared" si="207"/>
        <v>-0.1549415873144</v>
      </c>
      <c r="AI783" s="8">
        <f t="shared" si="208"/>
        <v>0.982882349203552</v>
      </c>
      <c r="AJ783" s="8"/>
      <c r="AK783" s="8"/>
      <c r="AL783" s="8"/>
      <c r="AN783" s="8">
        <f t="shared" si="215"/>
        <v>0.99999999999999989</v>
      </c>
      <c r="AO783" s="8">
        <f t="shared" si="216"/>
        <v>5.2840512312616044</v>
      </c>
      <c r="AP783" s="8">
        <f t="shared" si="217"/>
        <v>0.18529279863198966</v>
      </c>
      <c r="AQ783" s="8"/>
      <c r="AR783" s="8">
        <f t="shared" si="218"/>
        <v>302.75383428219607</v>
      </c>
      <c r="AS783" s="8">
        <f t="shared" si="219"/>
        <v>79.383504664219558</v>
      </c>
    </row>
    <row r="784" spans="1:45">
      <c r="A784" s="19">
        <v>34.768066670000003</v>
      </c>
      <c r="B784" s="19">
        <v>898.21051969999996</v>
      </c>
      <c r="C784" s="19">
        <v>-545.67187390000004</v>
      </c>
      <c r="E784" s="9">
        <f t="shared" si="209"/>
        <v>61.789480300000037</v>
      </c>
      <c r="F784" s="9">
        <f t="shared" si="210"/>
        <v>-5.6718739000000369</v>
      </c>
      <c r="I784">
        <v>1</v>
      </c>
      <c r="J784">
        <f t="shared" si="205"/>
        <v>4.0336315975475996E-2</v>
      </c>
      <c r="K784">
        <f t="shared" si="211"/>
        <v>-9.1536996772944162E-2</v>
      </c>
      <c r="O784">
        <f t="shared" si="212"/>
        <v>4.0156553195629573E-2</v>
      </c>
      <c r="P784">
        <f t="shared" si="213"/>
        <v>-3.6861113716836732E-3</v>
      </c>
      <c r="Q784">
        <f t="shared" si="214"/>
        <v>0.9991866011003161</v>
      </c>
      <c r="R784">
        <f t="shared" si="204"/>
        <v>1</v>
      </c>
      <c r="AG784" s="8">
        <f t="shared" si="206"/>
        <v>0.10026308206292395</v>
      </c>
      <c r="AH784" s="8">
        <f t="shared" si="207"/>
        <v>-0.15490159787990715</v>
      </c>
      <c r="AI784" s="8">
        <f t="shared" si="208"/>
        <v>0.9828289827581882</v>
      </c>
      <c r="AJ784" s="8"/>
      <c r="AK784" s="8"/>
      <c r="AL784" s="8"/>
      <c r="AN784" s="8">
        <f t="shared" si="215"/>
        <v>1</v>
      </c>
      <c r="AO784" s="8">
        <f t="shared" si="216"/>
        <v>5.2868423077646565</v>
      </c>
      <c r="AP784" s="8">
        <f t="shared" si="217"/>
        <v>0.18558224129549794</v>
      </c>
      <c r="AQ784" s="8"/>
      <c r="AR784" s="8">
        <f t="shared" si="218"/>
        <v>302.9137511861191</v>
      </c>
      <c r="AS784" s="8">
        <f t="shared" si="219"/>
        <v>79.36692082118951</v>
      </c>
    </row>
    <row r="785" spans="1:45">
      <c r="A785" s="19">
        <v>34.801433330000002</v>
      </c>
      <c r="B785" s="19">
        <v>898.86200150000002</v>
      </c>
      <c r="C785" s="19">
        <v>-545.95737759999997</v>
      </c>
      <c r="E785" s="9">
        <f t="shared" si="209"/>
        <v>61.137998499999981</v>
      </c>
      <c r="F785" s="9">
        <f t="shared" si="210"/>
        <v>-5.9573775999999725</v>
      </c>
      <c r="I785">
        <v>1</v>
      </c>
      <c r="J785">
        <f t="shared" si="205"/>
        <v>3.9927783335048511E-2</v>
      </c>
      <c r="K785">
        <f t="shared" si="211"/>
        <v>-9.7134836708720501E-2</v>
      </c>
      <c r="O785">
        <f t="shared" si="212"/>
        <v>3.9729010403579186E-2</v>
      </c>
      <c r="P785">
        <f t="shared" si="213"/>
        <v>-3.8712539248148361E-3</v>
      </c>
      <c r="Q785">
        <f t="shared" si="214"/>
        <v>0.99920299195178652</v>
      </c>
      <c r="R785">
        <f t="shared" si="204"/>
        <v>1</v>
      </c>
      <c r="AG785" s="8">
        <f t="shared" si="206"/>
        <v>0.10056333255476503</v>
      </c>
      <c r="AH785" s="8">
        <f t="shared" si="207"/>
        <v>-0.15524787798387349</v>
      </c>
      <c r="AI785" s="8">
        <f t="shared" si="208"/>
        <v>0.98274366572722516</v>
      </c>
      <c r="AJ785" s="8"/>
      <c r="AK785" s="8"/>
      <c r="AL785" s="8"/>
      <c r="AN785" s="8">
        <f t="shared" si="215"/>
        <v>1</v>
      </c>
      <c r="AO785" s="8">
        <f t="shared" si="216"/>
        <v>5.2871877471830384</v>
      </c>
      <c r="AP785" s="8">
        <f t="shared" si="217"/>
        <v>0.18604404913231587</v>
      </c>
      <c r="AQ785" s="8"/>
      <c r="AR785" s="8">
        <f t="shared" si="218"/>
        <v>302.93354340686983</v>
      </c>
      <c r="AS785" s="8">
        <f t="shared" si="219"/>
        <v>79.340461181193774</v>
      </c>
    </row>
    <row r="786" spans="1:45">
      <c r="A786" s="19">
        <v>34.834800000000001</v>
      </c>
      <c r="B786" s="19">
        <v>899.90104989999998</v>
      </c>
      <c r="C786" s="19">
        <v>-546.7602167</v>
      </c>
      <c r="E786" s="9">
        <f t="shared" si="209"/>
        <v>60.098950100000025</v>
      </c>
      <c r="F786" s="9">
        <f t="shared" si="210"/>
        <v>-6.7602167000000009</v>
      </c>
      <c r="I786">
        <v>1</v>
      </c>
      <c r="J786">
        <f t="shared" si="205"/>
        <v>3.9303848180838284E-2</v>
      </c>
      <c r="K786">
        <f t="shared" si="211"/>
        <v>-0.11201392473041505</v>
      </c>
      <c r="O786">
        <f t="shared" si="212"/>
        <v>3.9047475666892324E-2</v>
      </c>
      <c r="P786">
        <f t="shared" si="213"/>
        <v>-4.3922463979311514E-3</v>
      </c>
      <c r="Q786">
        <f t="shared" si="214"/>
        <v>0.99922770318662768</v>
      </c>
      <c r="R786">
        <f t="shared" si="204"/>
        <v>1</v>
      </c>
      <c r="AG786" s="8">
        <f t="shared" si="206"/>
        <v>0.10125685407460802</v>
      </c>
      <c r="AH786" s="8">
        <f t="shared" si="207"/>
        <v>-0.15573134551077936</v>
      </c>
      <c r="AI786" s="8">
        <f t="shared" si="208"/>
        <v>0.98259594825559704</v>
      </c>
      <c r="AJ786" s="8"/>
      <c r="AK786" s="8"/>
      <c r="AL786" s="8"/>
      <c r="AN786" s="8">
        <f t="shared" si="215"/>
        <v>1</v>
      </c>
      <c r="AO786" s="8">
        <f t="shared" si="216"/>
        <v>5.2889062895962597</v>
      </c>
      <c r="AP786" s="8">
        <f t="shared" si="217"/>
        <v>0.18684095302754411</v>
      </c>
      <c r="AQ786" s="8"/>
      <c r="AR786" s="8">
        <f t="shared" si="218"/>
        <v>303.03200863406164</v>
      </c>
      <c r="AS786" s="8">
        <f t="shared" si="219"/>
        <v>79.294801951319656</v>
      </c>
    </row>
    <row r="787" spans="1:45">
      <c r="A787" s="19">
        <v>34.868166670000001</v>
      </c>
      <c r="B787" s="19">
        <v>899.89625569999998</v>
      </c>
      <c r="C787" s="19">
        <v>-547.76819869999997</v>
      </c>
      <c r="E787" s="9">
        <f t="shared" si="209"/>
        <v>60.103744300000017</v>
      </c>
      <c r="F787" s="9">
        <f t="shared" si="210"/>
        <v>-7.7681986999999708</v>
      </c>
      <c r="I787">
        <v>1</v>
      </c>
      <c r="J787">
        <f t="shared" si="205"/>
        <v>3.938643869531356E-2</v>
      </c>
      <c r="K787">
        <f t="shared" si="211"/>
        <v>-0.12853395715837551</v>
      </c>
      <c r="O787">
        <f t="shared" si="212"/>
        <v>3.9051436607448697E-2</v>
      </c>
      <c r="P787">
        <f t="shared" si="213"/>
        <v>-5.0472615744692325E-3</v>
      </c>
      <c r="Q787">
        <f t="shared" si="214"/>
        <v>0.99922445448932706</v>
      </c>
      <c r="R787">
        <f t="shared" si="204"/>
        <v>1</v>
      </c>
      <c r="AG787" s="8">
        <f t="shared" si="206"/>
        <v>0.10187904129862203</v>
      </c>
      <c r="AH787" s="8">
        <f t="shared" si="207"/>
        <v>-0.15552907751364625</v>
      </c>
      <c r="AI787" s="8">
        <f t="shared" si="208"/>
        <v>0.98256367070629458</v>
      </c>
      <c r="AJ787" s="8"/>
      <c r="AK787" s="8"/>
      <c r="AL787" s="8"/>
      <c r="AN787" s="8">
        <f t="shared" si="215"/>
        <v>0.99999999999999978</v>
      </c>
      <c r="AO787" s="8">
        <f t="shared" si="216"/>
        <v>5.2923048369405397</v>
      </c>
      <c r="AP787" s="8">
        <f t="shared" si="217"/>
        <v>0.1870146366265204</v>
      </c>
      <c r="AQ787" s="8"/>
      <c r="AR787" s="8">
        <f t="shared" si="218"/>
        <v>303.22673105336423</v>
      </c>
      <c r="AS787" s="8">
        <f t="shared" si="219"/>
        <v>79.284850614127677</v>
      </c>
    </row>
    <row r="788" spans="1:45">
      <c r="A788" s="19">
        <v>34.901533329999999</v>
      </c>
      <c r="B788" s="19">
        <v>900.15354630000002</v>
      </c>
      <c r="C788" s="19">
        <v>-548.50274260000003</v>
      </c>
      <c r="E788" s="9">
        <f t="shared" si="209"/>
        <v>59.846453699999984</v>
      </c>
      <c r="F788" s="9">
        <f t="shared" si="210"/>
        <v>-8.5027426000000332</v>
      </c>
      <c r="I788">
        <v>1</v>
      </c>
      <c r="J788">
        <f t="shared" si="205"/>
        <v>3.9283801555483625E-2</v>
      </c>
      <c r="K788">
        <f t="shared" si="211"/>
        <v>-0.14113141571655416</v>
      </c>
      <c r="O788">
        <f t="shared" si="212"/>
        <v>3.8883218944016362E-2</v>
      </c>
      <c r="P788">
        <f t="shared" si="213"/>
        <v>-5.5243708139788468E-3</v>
      </c>
      <c r="Q788">
        <f t="shared" si="214"/>
        <v>0.99922849069252495</v>
      </c>
      <c r="R788">
        <f t="shared" si="204"/>
        <v>1</v>
      </c>
      <c r="AG788" s="8">
        <f t="shared" si="206"/>
        <v>0.10238183365259068</v>
      </c>
      <c r="AH788" s="8">
        <f t="shared" si="207"/>
        <v>-0.15554268851356809</v>
      </c>
      <c r="AI788" s="8">
        <f t="shared" si="208"/>
        <v>0.98250925297826308</v>
      </c>
      <c r="AJ788" s="8"/>
      <c r="AK788" s="8"/>
      <c r="AL788" s="8"/>
      <c r="AN788" s="8">
        <f t="shared" si="215"/>
        <v>1.0000000000000002</v>
      </c>
      <c r="AO788" s="8">
        <f t="shared" si="216"/>
        <v>5.2945234287957197</v>
      </c>
      <c r="AP788" s="8">
        <f t="shared" si="217"/>
        <v>0.18730709484247332</v>
      </c>
      <c r="AQ788" s="8"/>
      <c r="AR788" s="8">
        <f t="shared" si="218"/>
        <v>303.35384700312818</v>
      </c>
      <c r="AS788" s="8">
        <f t="shared" si="219"/>
        <v>79.268093992669648</v>
      </c>
    </row>
    <row r="789" spans="1:45">
      <c r="A789" s="19">
        <v>34.934899999999999</v>
      </c>
      <c r="B789" s="19">
        <v>900.74177640000005</v>
      </c>
      <c r="C789" s="19">
        <v>-549.20989469999995</v>
      </c>
      <c r="E789" s="9">
        <f t="shared" si="209"/>
        <v>59.258223599999951</v>
      </c>
      <c r="F789" s="9">
        <f t="shared" si="210"/>
        <v>-9.2098946999999498</v>
      </c>
      <c r="I789">
        <v>1</v>
      </c>
      <c r="J789">
        <f t="shared" si="205"/>
        <v>3.8969894582967679E-2</v>
      </c>
      <c r="K789">
        <f t="shared" si="211"/>
        <v>-0.15418611688250103</v>
      </c>
      <c r="O789">
        <f t="shared" si="212"/>
        <v>3.8497843043703711E-2</v>
      </c>
      <c r="P789">
        <f t="shared" si="213"/>
        <v>-5.9833228043244457E-3</v>
      </c>
      <c r="Q789">
        <f t="shared" si="214"/>
        <v>0.99924076974931397</v>
      </c>
      <c r="R789">
        <f t="shared" si="204"/>
        <v>1</v>
      </c>
      <c r="AG789" s="8">
        <f t="shared" si="206"/>
        <v>0.10293029444636292</v>
      </c>
      <c r="AH789" s="8">
        <f t="shared" si="207"/>
        <v>-0.15576607145070132</v>
      </c>
      <c r="AI789" s="8">
        <f t="shared" si="208"/>
        <v>0.98241655394745864</v>
      </c>
      <c r="AJ789" s="8"/>
      <c r="AK789" s="8"/>
      <c r="AL789" s="8"/>
      <c r="AN789" s="8">
        <f t="shared" si="215"/>
        <v>0.99999999999999989</v>
      </c>
      <c r="AO789" s="8">
        <f t="shared" si="216"/>
        <v>5.2963193733388483</v>
      </c>
      <c r="AP789" s="8">
        <f t="shared" si="217"/>
        <v>0.1878042525645458</v>
      </c>
      <c r="AQ789" s="8"/>
      <c r="AR789" s="8">
        <f t="shared" si="218"/>
        <v>303.45674704568899</v>
      </c>
      <c r="AS789" s="8">
        <f t="shared" si="219"/>
        <v>79.239608953442556</v>
      </c>
    </row>
    <row r="790" spans="1:45">
      <c r="A790" s="19">
        <v>34.968266669999998</v>
      </c>
      <c r="B790" s="19">
        <v>901.43174680000004</v>
      </c>
      <c r="C790" s="19">
        <v>-549.975461</v>
      </c>
      <c r="E790" s="9">
        <f t="shared" si="209"/>
        <v>58.568253199999958</v>
      </c>
      <c r="F790" s="9">
        <f t="shared" si="210"/>
        <v>-9.9754609999999957</v>
      </c>
      <c r="I790">
        <v>1</v>
      </c>
      <c r="J790">
        <f t="shared" si="205"/>
        <v>3.860335785991003E-2</v>
      </c>
      <c r="K790">
        <f t="shared" si="211"/>
        <v>-0.16870307912183349</v>
      </c>
      <c r="O790">
        <f t="shared" si="212"/>
        <v>3.8045868566772008E-2</v>
      </c>
      <c r="P790">
        <f t="shared" si="213"/>
        <v>-6.480047762444794E-3</v>
      </c>
      <c r="Q790">
        <f t="shared" si="214"/>
        <v>0.99925498290776427</v>
      </c>
      <c r="R790">
        <f t="shared" si="204"/>
        <v>1</v>
      </c>
      <c r="AG790" s="8">
        <f t="shared" si="206"/>
        <v>0.10353396409894038</v>
      </c>
      <c r="AH790" s="8">
        <f t="shared" si="207"/>
        <v>-0.15604057517232883</v>
      </c>
      <c r="AI790" s="8">
        <f t="shared" si="208"/>
        <v>0.98230955262475594</v>
      </c>
      <c r="AJ790" s="8"/>
      <c r="AK790" s="8"/>
      <c r="AL790" s="8"/>
      <c r="AN790" s="8">
        <f t="shared" si="215"/>
        <v>1</v>
      </c>
      <c r="AO790" s="8">
        <f t="shared" si="216"/>
        <v>5.2982007096009953</v>
      </c>
      <c r="AP790" s="8">
        <f t="shared" si="217"/>
        <v>0.1883765032796656</v>
      </c>
      <c r="AQ790" s="8"/>
      <c r="AR790" s="8">
        <f t="shared" si="218"/>
        <v>303.56453967335494</v>
      </c>
      <c r="AS790" s="8">
        <f t="shared" si="219"/>
        <v>79.206821402642845</v>
      </c>
    </row>
    <row r="791" spans="1:45">
      <c r="A791" s="19">
        <v>35.001633329999997</v>
      </c>
      <c r="B791" s="19">
        <v>901.46645550000005</v>
      </c>
      <c r="C791" s="19">
        <v>-550.51207050000005</v>
      </c>
      <c r="E791" s="9">
        <f t="shared" si="209"/>
        <v>58.533544499999948</v>
      </c>
      <c r="F791" s="9">
        <f t="shared" si="210"/>
        <v>-10.51207050000005</v>
      </c>
      <c r="I791">
        <v>1</v>
      </c>
      <c r="J791">
        <f t="shared" si="205"/>
        <v>3.8641647536237687E-2</v>
      </c>
      <c r="K791">
        <f t="shared" si="211"/>
        <v>-0.17769629405620713</v>
      </c>
      <c r="O791">
        <f t="shared" si="212"/>
        <v>3.8023713008433158E-2</v>
      </c>
      <c r="P791">
        <f t="shared" si="213"/>
        <v>-6.828698914968641E-3</v>
      </c>
      <c r="Q791">
        <f t="shared" si="214"/>
        <v>0.99925350443227423</v>
      </c>
      <c r="R791">
        <f t="shared" si="204"/>
        <v>1</v>
      </c>
      <c r="AG791" s="8">
        <f t="shared" si="206"/>
        <v>0.10387210339979078</v>
      </c>
      <c r="AH791" s="8">
        <f t="shared" si="207"/>
        <v>-0.15595560776690434</v>
      </c>
      <c r="AI791" s="8">
        <f t="shared" si="208"/>
        <v>0.98228734825475528</v>
      </c>
      <c r="AJ791" s="8"/>
      <c r="AK791" s="8"/>
      <c r="AL791" s="8"/>
      <c r="AN791" s="8">
        <f t="shared" si="215"/>
        <v>1.0000000000000002</v>
      </c>
      <c r="AO791" s="8">
        <f t="shared" si="216"/>
        <v>5.299955082302521</v>
      </c>
      <c r="AP791" s="8">
        <f t="shared" si="217"/>
        <v>0.1884950387462061</v>
      </c>
      <c r="AQ791" s="8"/>
      <c r="AR791" s="8">
        <f t="shared" si="218"/>
        <v>303.66505782484529</v>
      </c>
      <c r="AS791" s="8">
        <f t="shared" si="219"/>
        <v>79.200029820687462</v>
      </c>
    </row>
    <row r="792" spans="1:45">
      <c r="A792" s="19">
        <v>35.034999999999997</v>
      </c>
      <c r="B792" s="19">
        <v>902.54236049999997</v>
      </c>
      <c r="C792" s="19">
        <v>-551.79507430000001</v>
      </c>
      <c r="E792" s="9">
        <f t="shared" si="209"/>
        <v>57.457639500000028</v>
      </c>
      <c r="F792" s="9">
        <f t="shared" si="210"/>
        <v>-11.79507430000001</v>
      </c>
      <c r="I792">
        <v>1</v>
      </c>
      <c r="J792">
        <f t="shared" si="205"/>
        <v>3.8106839431045633E-2</v>
      </c>
      <c r="K792">
        <f t="shared" si="211"/>
        <v>-0.20247012976148573</v>
      </c>
      <c r="O792">
        <f t="shared" si="212"/>
        <v>3.7319391642143943E-2</v>
      </c>
      <c r="P792">
        <f t="shared" si="213"/>
        <v>-7.6610351744416339E-3</v>
      </c>
      <c r="Q792">
        <f t="shared" si="214"/>
        <v>0.99927402225191275</v>
      </c>
      <c r="R792">
        <f t="shared" si="204"/>
        <v>1</v>
      </c>
      <c r="AG792" s="8">
        <f t="shared" si="206"/>
        <v>0.10486812838282374</v>
      </c>
      <c r="AH792" s="8">
        <f t="shared" si="207"/>
        <v>-0.15636544522541401</v>
      </c>
      <c r="AI792" s="8">
        <f t="shared" si="208"/>
        <v>0.9821163491098911</v>
      </c>
      <c r="AJ792" s="8"/>
      <c r="AK792" s="8"/>
      <c r="AL792" s="8"/>
      <c r="AN792" s="8">
        <f t="shared" si="215"/>
        <v>0.99999999999999978</v>
      </c>
      <c r="AO792" s="8">
        <f t="shared" si="216"/>
        <v>5.3031514542769775</v>
      </c>
      <c r="AP792" s="8">
        <f t="shared" si="217"/>
        <v>0.1894054419935447</v>
      </c>
      <c r="AQ792" s="8"/>
      <c r="AR792" s="8">
        <f t="shared" si="218"/>
        <v>303.84819644873556</v>
      </c>
      <c r="AS792" s="8">
        <f t="shared" si="219"/>
        <v>79.147867556959966</v>
      </c>
    </row>
    <row r="793" spans="1:45">
      <c r="A793" s="19">
        <v>35.068366670000003</v>
      </c>
      <c r="B793" s="19">
        <v>902.73549409999998</v>
      </c>
      <c r="C793" s="19">
        <v>-552.17688810000004</v>
      </c>
      <c r="E793" s="9">
        <f t="shared" si="209"/>
        <v>57.264505900000017</v>
      </c>
      <c r="F793" s="9">
        <f t="shared" si="210"/>
        <v>-12.176888100000042</v>
      </c>
      <c r="I793">
        <v>1</v>
      </c>
      <c r="J793">
        <f t="shared" si="205"/>
        <v>3.8033962368853751E-2</v>
      </c>
      <c r="K793">
        <f t="shared" si="211"/>
        <v>-0.2095220731524236</v>
      </c>
      <c r="O793">
        <f t="shared" si="212"/>
        <v>3.719320734136837E-2</v>
      </c>
      <c r="P793">
        <f t="shared" si="213"/>
        <v>-7.9088698445565833E-3</v>
      </c>
      <c r="Q793">
        <f t="shared" si="214"/>
        <v>0.9992767960407386</v>
      </c>
      <c r="R793">
        <f t="shared" si="204"/>
        <v>1</v>
      </c>
      <c r="AG793" s="8">
        <f t="shared" si="206"/>
        <v>0.10514046759000741</v>
      </c>
      <c r="AH793" s="8">
        <f t="shared" si="207"/>
        <v>-0.15640886460647022</v>
      </c>
      <c r="AI793" s="8">
        <f t="shared" si="208"/>
        <v>0.98208031705531573</v>
      </c>
      <c r="AJ793" s="8"/>
      <c r="AK793" s="8"/>
      <c r="AL793" s="8"/>
      <c r="AN793" s="8">
        <f t="shared" si="215"/>
        <v>1</v>
      </c>
      <c r="AO793" s="8">
        <f t="shared" si="216"/>
        <v>5.304223271888195</v>
      </c>
      <c r="AP793" s="8">
        <f t="shared" si="217"/>
        <v>0.18959672647897707</v>
      </c>
      <c r="AQ793" s="8"/>
      <c r="AR793" s="8">
        <f t="shared" si="218"/>
        <v>303.90960707426615</v>
      </c>
      <c r="AS793" s="8">
        <f t="shared" si="219"/>
        <v>79.13690776325835</v>
      </c>
    </row>
    <row r="794" spans="1:45">
      <c r="A794" s="19">
        <v>35.101733330000002</v>
      </c>
      <c r="B794" s="19">
        <v>903.17795420000004</v>
      </c>
      <c r="C794" s="19">
        <v>-552.94925769999998</v>
      </c>
      <c r="E794" s="9">
        <f t="shared" si="209"/>
        <v>56.822045799999955</v>
      </c>
      <c r="F794" s="9">
        <f t="shared" si="210"/>
        <v>-12.949257699999976</v>
      </c>
      <c r="I794">
        <v>1</v>
      </c>
      <c r="J794">
        <f t="shared" si="205"/>
        <v>3.7859269723609763E-2</v>
      </c>
      <c r="K794">
        <f t="shared" si="211"/>
        <v>-0.22406484414418998</v>
      </c>
      <c r="O794">
        <f t="shared" si="212"/>
        <v>3.6904058426482721E-2</v>
      </c>
      <c r="P794">
        <f t="shared" si="213"/>
        <v>-8.4101189250102779E-3</v>
      </c>
      <c r="Q794">
        <f t="shared" si="214"/>
        <v>0.99928342344468113</v>
      </c>
      <c r="R794">
        <f t="shared" si="204"/>
        <v>1</v>
      </c>
      <c r="AG794" s="8">
        <f t="shared" si="206"/>
        <v>0.10570108754409525</v>
      </c>
      <c r="AH794" s="8">
        <f t="shared" si="207"/>
        <v>-0.15652855590153875</v>
      </c>
      <c r="AI794" s="8">
        <f t="shared" si="208"/>
        <v>0.98200106480562144</v>
      </c>
      <c r="AJ794" s="8"/>
      <c r="AK794" s="8"/>
      <c r="AL794" s="8"/>
      <c r="AN794" s="8">
        <f t="shared" si="215"/>
        <v>0.99999999999999989</v>
      </c>
      <c r="AO794" s="8">
        <f t="shared" si="216"/>
        <v>5.3063331044160122</v>
      </c>
      <c r="AP794" s="8">
        <f t="shared" si="217"/>
        <v>0.19001678593587434</v>
      </c>
      <c r="AQ794" s="8"/>
      <c r="AR794" s="8">
        <f t="shared" si="218"/>
        <v>304.03049157358947</v>
      </c>
      <c r="AS794" s="8">
        <f t="shared" si="219"/>
        <v>79.112840129233575</v>
      </c>
    </row>
    <row r="795" spans="1:45">
      <c r="A795" s="19">
        <v>35.135100000000001</v>
      </c>
      <c r="B795" s="19">
        <v>903.7337258</v>
      </c>
      <c r="C795" s="19">
        <v>-553.51438719999999</v>
      </c>
      <c r="E795" s="9">
        <f t="shared" si="209"/>
        <v>56.266274199999998</v>
      </c>
      <c r="F795" s="9">
        <f t="shared" si="210"/>
        <v>-13.514387199999987</v>
      </c>
      <c r="I795">
        <v>1</v>
      </c>
      <c r="J795">
        <f t="shared" si="205"/>
        <v>3.7588432279287459E-2</v>
      </c>
      <c r="K795">
        <f t="shared" si="211"/>
        <v>-0.23572110977400218</v>
      </c>
      <c r="O795">
        <f t="shared" si="212"/>
        <v>3.6540362651490785E-2</v>
      </c>
      <c r="P795">
        <f t="shared" si="213"/>
        <v>-8.7764938468355997E-3</v>
      </c>
      <c r="Q795">
        <f t="shared" si="214"/>
        <v>0.99929363805292681</v>
      </c>
      <c r="R795">
        <f t="shared" ref="R795:R858" si="220">SQRT(O795^2+P795^2+Q795^2)</f>
        <v>1</v>
      </c>
      <c r="AG795" s="8">
        <f t="shared" si="206"/>
        <v>0.10615498148840297</v>
      </c>
      <c r="AH795" s="8">
        <f t="shared" si="207"/>
        <v>-0.15675927976700285</v>
      </c>
      <c r="AI795" s="8">
        <f t="shared" si="208"/>
        <v>0.98191529579293513</v>
      </c>
      <c r="AJ795" s="8"/>
      <c r="AK795" s="8"/>
      <c r="AL795" s="8"/>
      <c r="AN795" s="8">
        <f t="shared" si="215"/>
        <v>0.99999999999999989</v>
      </c>
      <c r="AO795" s="8">
        <f t="shared" si="216"/>
        <v>5.3076379752915228</v>
      </c>
      <c r="AP795" s="8">
        <f t="shared" si="217"/>
        <v>0.19047035487211517</v>
      </c>
      <c r="AQ795" s="8"/>
      <c r="AR795" s="8">
        <f t="shared" si="218"/>
        <v>304.10525516756576</v>
      </c>
      <c r="AS795" s="8">
        <f t="shared" si="219"/>
        <v>79.086852543468751</v>
      </c>
    </row>
    <row r="796" spans="1:45">
      <c r="A796" s="19">
        <v>35.168466670000001</v>
      </c>
      <c r="B796" s="19">
        <v>903.9011094</v>
      </c>
      <c r="C796" s="19">
        <v>-554.5892192</v>
      </c>
      <c r="E796" s="9">
        <f t="shared" si="209"/>
        <v>56.098890600000004</v>
      </c>
      <c r="F796" s="9">
        <f t="shared" si="210"/>
        <v>-14.589219200000002</v>
      </c>
      <c r="I796">
        <v>1</v>
      </c>
      <c r="J796">
        <f t="shared" si="205"/>
        <v>3.7653061021163711E-2</v>
      </c>
      <c r="K796">
        <f t="shared" si="211"/>
        <v>-0.25442662461995386</v>
      </c>
      <c r="O796">
        <f t="shared" si="212"/>
        <v>3.6432314847617067E-2</v>
      </c>
      <c r="P796">
        <f t="shared" si="213"/>
        <v>-9.4746798303940085E-3</v>
      </c>
      <c r="Q796">
        <f t="shared" si="214"/>
        <v>0.99929120724489295</v>
      </c>
      <c r="R796">
        <f t="shared" si="220"/>
        <v>1</v>
      </c>
      <c r="AG796" s="8">
        <f t="shared" si="206"/>
        <v>0.10685037446154419</v>
      </c>
      <c r="AH796" s="8">
        <f t="shared" si="207"/>
        <v>-0.15664866961968565</v>
      </c>
      <c r="AI796" s="8">
        <f t="shared" si="208"/>
        <v>0.98185752112198554</v>
      </c>
      <c r="AJ796" s="8"/>
      <c r="AK796" s="8"/>
      <c r="AL796" s="8"/>
      <c r="AN796" s="8">
        <f t="shared" si="215"/>
        <v>0.99999999999999989</v>
      </c>
      <c r="AO796" s="8">
        <f t="shared" si="216"/>
        <v>5.3110016129683375</v>
      </c>
      <c r="AP796" s="8">
        <f t="shared" si="217"/>
        <v>0.19077528192273574</v>
      </c>
      <c r="AQ796" s="8"/>
      <c r="AR796" s="8">
        <f t="shared" si="218"/>
        <v>304.29797741025845</v>
      </c>
      <c r="AS796" s="8">
        <f t="shared" si="219"/>
        <v>79.069381510408817</v>
      </c>
    </row>
    <row r="797" spans="1:45">
      <c r="A797" s="19">
        <v>35.201833329999999</v>
      </c>
      <c r="B797" s="19">
        <v>904.10163339999997</v>
      </c>
      <c r="C797" s="19">
        <v>-555.15031520000002</v>
      </c>
      <c r="E797" s="9">
        <f t="shared" si="209"/>
        <v>55.898366600000031</v>
      </c>
      <c r="F797" s="9">
        <f t="shared" si="210"/>
        <v>-15.150315200000023</v>
      </c>
      <c r="I797">
        <v>1</v>
      </c>
      <c r="J797">
        <f t="shared" si="205"/>
        <v>3.7620351339814652E-2</v>
      </c>
      <c r="K797">
        <f t="shared" si="211"/>
        <v>-0.26467461508292695</v>
      </c>
      <c r="O797">
        <f t="shared" si="212"/>
        <v>3.6301758754204841E-2</v>
      </c>
      <c r="P797">
        <f t="shared" si="213"/>
        <v>-9.8389831562728184E-3</v>
      </c>
      <c r="Q797">
        <f t="shared" si="214"/>
        <v>0.99929243803893664</v>
      </c>
      <c r="R797">
        <f t="shared" si="220"/>
        <v>1</v>
      </c>
      <c r="AG797" s="8">
        <f t="shared" si="206"/>
        <v>0.10723469135163881</v>
      </c>
      <c r="AH797" s="8">
        <f t="shared" si="207"/>
        <v>-0.15666067452268256</v>
      </c>
      <c r="AI797" s="8">
        <f t="shared" si="208"/>
        <v>0.98181370637652887</v>
      </c>
      <c r="AJ797" s="8"/>
      <c r="AK797" s="8"/>
      <c r="AL797" s="8"/>
      <c r="AN797" s="8">
        <f t="shared" si="215"/>
        <v>1</v>
      </c>
      <c r="AO797" s="8">
        <f t="shared" si="216"/>
        <v>5.3126383348923154</v>
      </c>
      <c r="AP797" s="8">
        <f t="shared" si="217"/>
        <v>0.19100620970943272</v>
      </c>
      <c r="AQ797" s="8"/>
      <c r="AR797" s="8">
        <f t="shared" si="218"/>
        <v>304.39175466873888</v>
      </c>
      <c r="AS797" s="8">
        <f t="shared" si="219"/>
        <v>79.056150322858784</v>
      </c>
    </row>
    <row r="798" spans="1:45">
      <c r="A798" s="19">
        <v>35.235199999999999</v>
      </c>
      <c r="B798" s="19">
        <v>905.13308119999999</v>
      </c>
      <c r="C798" s="19">
        <v>-555.95391819999998</v>
      </c>
      <c r="E798" s="9">
        <f t="shared" si="209"/>
        <v>54.866918800000008</v>
      </c>
      <c r="F798" s="9">
        <f t="shared" si="210"/>
        <v>-15.953918199999976</v>
      </c>
      <c r="I798">
        <v>1</v>
      </c>
      <c r="J798">
        <f t="shared" si="205"/>
        <v>3.7110909049119283E-2</v>
      </c>
      <c r="K798">
        <f t="shared" si="211"/>
        <v>-0.28297198241931981</v>
      </c>
      <c r="O798">
        <f t="shared" si="212"/>
        <v>3.5626824436543116E-2</v>
      </c>
      <c r="P798">
        <f t="shared" si="213"/>
        <v>-1.0359383308150503E-2</v>
      </c>
      <c r="Q798">
        <f t="shared" si="214"/>
        <v>0.99931146924171876</v>
      </c>
      <c r="R798">
        <f t="shared" si="220"/>
        <v>1</v>
      </c>
      <c r="AG798" s="8">
        <f t="shared" si="206"/>
        <v>0.10792514723895352</v>
      </c>
      <c r="AH798" s="8">
        <f t="shared" si="207"/>
        <v>-0.15713706046209058</v>
      </c>
      <c r="AI798" s="8">
        <f t="shared" si="208"/>
        <v>0.98166191065090402</v>
      </c>
      <c r="AJ798" s="8"/>
      <c r="AK798" s="8"/>
      <c r="AL798" s="8"/>
      <c r="AN798" s="8">
        <f t="shared" si="215"/>
        <v>1</v>
      </c>
      <c r="AO798" s="8">
        <f t="shared" si="216"/>
        <v>5.31421560269865</v>
      </c>
      <c r="AP798" s="8">
        <f t="shared" si="217"/>
        <v>0.19180413261232276</v>
      </c>
      <c r="AQ798" s="8"/>
      <c r="AR798" s="8">
        <f t="shared" si="218"/>
        <v>304.48212545720372</v>
      </c>
      <c r="AS798" s="8">
        <f t="shared" si="219"/>
        <v>79.010432708146354</v>
      </c>
    </row>
    <row r="799" spans="1:45">
      <c r="A799" s="19">
        <v>35.268566669999998</v>
      </c>
      <c r="B799" s="19">
        <v>905.10319140000001</v>
      </c>
      <c r="C799" s="19">
        <v>-556.18147850000003</v>
      </c>
      <c r="E799" s="9">
        <f t="shared" si="209"/>
        <v>54.896808599999986</v>
      </c>
      <c r="F799" s="9">
        <f t="shared" si="210"/>
        <v>-16.181478500000026</v>
      </c>
      <c r="I799">
        <v>1</v>
      </c>
      <c r="J799">
        <f t="shared" si="205"/>
        <v>3.7171733155194529E-2</v>
      </c>
      <c r="K799">
        <f t="shared" si="211"/>
        <v>-0.28664414454165094</v>
      </c>
      <c r="O799">
        <f t="shared" si="212"/>
        <v>3.5646845107596817E-2</v>
      </c>
      <c r="P799">
        <f t="shared" si="213"/>
        <v>-1.0507325879439356E-2</v>
      </c>
      <c r="Q799">
        <f t="shared" si="214"/>
        <v>0.99930921067342227</v>
      </c>
      <c r="R799">
        <f t="shared" si="220"/>
        <v>1</v>
      </c>
      <c r="AG799" s="8">
        <f t="shared" si="206"/>
        <v>0.10806004384413483</v>
      </c>
      <c r="AH799" s="8">
        <f t="shared" si="207"/>
        <v>-0.1570732290149576</v>
      </c>
      <c r="AI799" s="8">
        <f t="shared" si="208"/>
        <v>0.98165728625178461</v>
      </c>
      <c r="AJ799" s="8"/>
      <c r="AK799" s="8"/>
      <c r="AL799" s="8"/>
      <c r="AN799" s="8">
        <f t="shared" si="215"/>
        <v>0.99999999999999989</v>
      </c>
      <c r="AO799" s="8">
        <f t="shared" si="216"/>
        <v>5.3149883834305029</v>
      </c>
      <c r="AP799" s="8">
        <f t="shared" si="217"/>
        <v>0.19182838957182202</v>
      </c>
      <c r="AQ799" s="8"/>
      <c r="AR799" s="8">
        <f t="shared" si="218"/>
        <v>304.52640253162792</v>
      </c>
      <c r="AS799" s="8">
        <f t="shared" si="219"/>
        <v>79.009042886743231</v>
      </c>
    </row>
    <row r="800" spans="1:45">
      <c r="A800" s="19">
        <v>35.301933329999997</v>
      </c>
      <c r="B800" s="19">
        <v>905.45384320000005</v>
      </c>
      <c r="C800" s="19">
        <v>-557.47016269999995</v>
      </c>
      <c r="E800" s="9">
        <f t="shared" si="209"/>
        <v>54.546156799999949</v>
      </c>
      <c r="F800" s="9">
        <f t="shared" si="210"/>
        <v>-17.470162699999946</v>
      </c>
      <c r="I800">
        <v>1</v>
      </c>
      <c r="J800">
        <f t="shared" ref="J800:J863" si="221">ATAN((SQRT(E800^2+F800^2)^$B$16)/($F$24))</f>
        <v>3.720034984347835E-2</v>
      </c>
      <c r="K800">
        <f t="shared" si="211"/>
        <v>-0.30995890383172414</v>
      </c>
      <c r="O800">
        <f t="shared" si="212"/>
        <v>3.5419437696777918E-2</v>
      </c>
      <c r="P800">
        <f t="shared" si="213"/>
        <v>-1.1344215167606862E-2</v>
      </c>
      <c r="Q800">
        <f t="shared" si="214"/>
        <v>0.99930814677729662</v>
      </c>
      <c r="R800">
        <f t="shared" si="220"/>
        <v>1</v>
      </c>
      <c r="AG800" s="8">
        <f t="shared" ref="AG800:AG863" si="222">$O800*$Z$27+$P800*$Z$31+$Q800*$Z$35</f>
        <v>0.10892176395946372</v>
      </c>
      <c r="AH800" s="8">
        <f t="shared" ref="AH800:AH863" si="223">$O800*$AA$27+$P800*$AA$31+$Q800*$AA$35</f>
        <v>-0.15703237472453319</v>
      </c>
      <c r="AI800" s="8">
        <f t="shared" ref="AI800:AI863" si="224">$AB$27*$O800+$P800*$AB$31+$AB$35*$Q800</f>
        <v>0.98156858274108005</v>
      </c>
      <c r="AJ800" s="8"/>
      <c r="AK800" s="8"/>
      <c r="AL800" s="8"/>
      <c r="AN800" s="8">
        <f t="shared" si="215"/>
        <v>0.99999999999999989</v>
      </c>
      <c r="AO800" s="8">
        <f t="shared" si="216"/>
        <v>5.3188243820917709</v>
      </c>
      <c r="AP800" s="8">
        <f t="shared" si="217"/>
        <v>0.19229309259389393</v>
      </c>
      <c r="AQ800" s="8"/>
      <c r="AR800" s="8">
        <f t="shared" si="218"/>
        <v>304.74618906513643</v>
      </c>
      <c r="AS800" s="8">
        <f t="shared" si="219"/>
        <v>78.982417364851528</v>
      </c>
    </row>
    <row r="801" spans="1:45">
      <c r="A801" s="19">
        <v>35.335299999999997</v>
      </c>
      <c r="B801" s="19">
        <v>905.89396829999998</v>
      </c>
      <c r="C801" s="19">
        <v>-558.61650980000002</v>
      </c>
      <c r="E801" s="9">
        <f t="shared" ref="E801:E864" si="225">-(B801-($B$15/2))</f>
        <v>54.106031700000017</v>
      </c>
      <c r="F801" s="9">
        <f t="shared" ref="F801:F864" si="226">(($C$15/2)+C801)</f>
        <v>-18.616509800000017</v>
      </c>
      <c r="I801">
        <v>1</v>
      </c>
      <c r="J801">
        <f t="shared" si="221"/>
        <v>3.7163340487126384E-2</v>
      </c>
      <c r="K801">
        <f t="shared" ref="K801:K864" si="227">ATAN2(E801,F801)</f>
        <v>-0.33138632164267046</v>
      </c>
      <c r="O801">
        <f t="shared" ref="O801:O864" si="228">COS(K801)*SIN(J801)</f>
        <v>3.5133276660877649E-2</v>
      </c>
      <c r="P801">
        <f t="shared" ref="P801:P864" si="229">SIN(K801)*SIN(J801)</f>
        <v>-1.2088467195115705E-2</v>
      </c>
      <c r="Q801">
        <f t="shared" ref="Q801:Q864" si="230">COS(J801)</f>
        <v>0.99930952253640759</v>
      </c>
      <c r="R801">
        <f t="shared" si="220"/>
        <v>1</v>
      </c>
      <c r="AG801" s="8">
        <f t="shared" si="222"/>
        <v>0.10971233581017026</v>
      </c>
      <c r="AH801" s="8">
        <f t="shared" si="223"/>
        <v>-0.15707482611887724</v>
      </c>
      <c r="AI801" s="8">
        <f t="shared" si="224"/>
        <v>0.98147374003118437</v>
      </c>
      <c r="AJ801" s="8"/>
      <c r="AK801" s="8"/>
      <c r="AL801" s="8"/>
      <c r="AN801" s="8">
        <f t="shared" ref="AN801:AN864" si="231">AG801^2+AH801^2+AI801^2</f>
        <v>0.99999999999999989</v>
      </c>
      <c r="AO801" s="8">
        <f t="shared" ref="AO801:AO864" si="232">IF(ATAN2(AG801,AH801)&gt;=0,ATAN2(AG801,AH801),ATAN2(AG801,AH801)+2*PI())</f>
        <v>5.3220885675717327</v>
      </c>
      <c r="AP801" s="8">
        <f t="shared" ref="AP801:AP864" si="233">ACOS(AI801/AN801)</f>
        <v>0.19278873404075147</v>
      </c>
      <c r="AQ801" s="8"/>
      <c r="AR801" s="8">
        <f t="shared" ref="AR801:AR864" si="234">DEGREES(AO801)</f>
        <v>304.93321311668615</v>
      </c>
      <c r="AS801" s="8">
        <f t="shared" ref="AS801:AS864" si="235">90-DEGREES(AP801)</f>
        <v>78.954019201794836</v>
      </c>
    </row>
    <row r="802" spans="1:45">
      <c r="A802" s="19">
        <v>35.368666670000003</v>
      </c>
      <c r="B802" s="19">
        <v>906.71915679999995</v>
      </c>
      <c r="C802" s="19">
        <v>-558.78421730000002</v>
      </c>
      <c r="E802" s="9">
        <f t="shared" si="225"/>
        <v>53.280843200000049</v>
      </c>
      <c r="F802" s="9">
        <f t="shared" si="226"/>
        <v>-18.784217300000023</v>
      </c>
      <c r="I802">
        <v>1</v>
      </c>
      <c r="J802">
        <f t="shared" si="221"/>
        <v>3.6687857950371508E-2</v>
      </c>
      <c r="K802">
        <f t="shared" si="227"/>
        <v>-0.33894566094356954</v>
      </c>
      <c r="O802">
        <f t="shared" si="228"/>
        <v>3.4592768262082844E-2</v>
      </c>
      <c r="P802">
        <f t="shared" si="229"/>
        <v>-1.2195716828361073E-2</v>
      </c>
      <c r="Q802">
        <f t="shared" si="230"/>
        <v>0.99932707602416548</v>
      </c>
      <c r="R802">
        <f t="shared" si="220"/>
        <v>1</v>
      </c>
      <c r="AG802" s="8">
        <f t="shared" si="222"/>
        <v>0.10997083232316136</v>
      </c>
      <c r="AH802" s="8">
        <f t="shared" si="223"/>
        <v>-0.15755030870841563</v>
      </c>
      <c r="AI802" s="8">
        <f t="shared" si="224"/>
        <v>0.98136859347751393</v>
      </c>
      <c r="AJ802" s="8"/>
      <c r="AK802" s="8"/>
      <c r="AL802" s="8"/>
      <c r="AN802" s="8">
        <f t="shared" si="231"/>
        <v>1</v>
      </c>
      <c r="AO802" s="8">
        <f t="shared" si="232"/>
        <v>5.3217744606989887</v>
      </c>
      <c r="AP802" s="8">
        <f t="shared" si="233"/>
        <v>0.19333675586904553</v>
      </c>
      <c r="AQ802" s="8"/>
      <c r="AR802" s="8">
        <f t="shared" si="234"/>
        <v>304.91521611856183</v>
      </c>
      <c r="AS802" s="8">
        <f t="shared" si="235"/>
        <v>78.922619863952548</v>
      </c>
    </row>
    <row r="803" spans="1:45">
      <c r="A803" s="19">
        <v>35.402033330000002</v>
      </c>
      <c r="B803" s="19">
        <v>907.0476582</v>
      </c>
      <c r="C803" s="19">
        <v>-559.70588020000002</v>
      </c>
      <c r="E803" s="9">
        <f t="shared" si="225"/>
        <v>52.952341799999999</v>
      </c>
      <c r="F803" s="9">
        <f t="shared" si="226"/>
        <v>-19.705880200000024</v>
      </c>
      <c r="I803">
        <v>1</v>
      </c>
      <c r="J803">
        <f t="shared" si="221"/>
        <v>3.6691211672712373E-2</v>
      </c>
      <c r="K803">
        <f t="shared" si="227"/>
        <v>-0.35626416500449748</v>
      </c>
      <c r="O803">
        <f t="shared" si="228"/>
        <v>3.4379520678248413E-2</v>
      </c>
      <c r="P803">
        <f t="shared" si="229"/>
        <v>-1.2794121898854089E-2</v>
      </c>
      <c r="Q803">
        <f t="shared" si="230"/>
        <v>0.99932695300525698</v>
      </c>
      <c r="R803">
        <f t="shared" si="220"/>
        <v>1</v>
      </c>
      <c r="AG803" s="8">
        <f t="shared" si="222"/>
        <v>0.11060153527873724</v>
      </c>
      <c r="AH803" s="8">
        <f t="shared" si="223"/>
        <v>-0.15756848885876035</v>
      </c>
      <c r="AI803" s="8">
        <f t="shared" si="224"/>
        <v>0.98129479348091564</v>
      </c>
      <c r="AJ803" s="8"/>
      <c r="AK803" s="8"/>
      <c r="AL803" s="8"/>
      <c r="AN803" s="8">
        <f t="shared" si="231"/>
        <v>0.99999999999999989</v>
      </c>
      <c r="AO803" s="8">
        <f t="shared" si="232"/>
        <v>5.3244068868674237</v>
      </c>
      <c r="AP803" s="8">
        <f t="shared" si="233"/>
        <v>0.19372048564293576</v>
      </c>
      <c r="AQ803" s="8"/>
      <c r="AR803" s="8">
        <f t="shared" si="234"/>
        <v>305.06604302789299</v>
      </c>
      <c r="AS803" s="8">
        <f t="shared" si="235"/>
        <v>78.900633767435124</v>
      </c>
    </row>
    <row r="804" spans="1:45">
      <c r="A804" s="19">
        <v>35.435400000000001</v>
      </c>
      <c r="B804" s="19">
        <v>907.4349532</v>
      </c>
      <c r="C804" s="19">
        <v>-560.57206970000004</v>
      </c>
      <c r="E804" s="9">
        <f t="shared" si="225"/>
        <v>52.565046800000005</v>
      </c>
      <c r="F804" s="9">
        <f t="shared" si="226"/>
        <v>-20.572069700000043</v>
      </c>
      <c r="I804">
        <v>1</v>
      </c>
      <c r="J804">
        <f t="shared" si="221"/>
        <v>3.6656459518970994E-2</v>
      </c>
      <c r="K804">
        <f t="shared" si="227"/>
        <v>-0.37303949684159354</v>
      </c>
      <c r="O804">
        <f t="shared" si="228"/>
        <v>3.4127727540816569E-2</v>
      </c>
      <c r="P804">
        <f t="shared" si="229"/>
        <v>-1.335636572994147E-2</v>
      </c>
      <c r="Q804">
        <f t="shared" si="230"/>
        <v>0.9993282272143561</v>
      </c>
      <c r="R804">
        <f t="shared" si="220"/>
        <v>1</v>
      </c>
      <c r="AG804" s="8">
        <f t="shared" si="222"/>
        <v>0.11120897508590194</v>
      </c>
      <c r="AH804" s="8">
        <f t="shared" si="223"/>
        <v>-0.15763384451420293</v>
      </c>
      <c r="AI804" s="8">
        <f t="shared" si="224"/>
        <v>0.98121564139796258</v>
      </c>
      <c r="AJ804" s="8"/>
      <c r="AK804" s="8"/>
      <c r="AL804" s="8"/>
      <c r="AN804" s="8">
        <f t="shared" si="231"/>
        <v>0.99999999999999967</v>
      </c>
      <c r="AO804" s="8">
        <f t="shared" si="232"/>
        <v>5.3267894800405973</v>
      </c>
      <c r="AP804" s="8">
        <f t="shared" si="233"/>
        <v>0.19413121162201907</v>
      </c>
      <c r="AQ804" s="8"/>
      <c r="AR804" s="8">
        <f t="shared" si="234"/>
        <v>305.2025555610125</v>
      </c>
      <c r="AS804" s="8">
        <f t="shared" si="235"/>
        <v>78.877100902297272</v>
      </c>
    </row>
    <row r="805" spans="1:45">
      <c r="A805" s="19">
        <v>35.468766670000001</v>
      </c>
      <c r="B805" s="19">
        <v>907.9870694</v>
      </c>
      <c r="C805" s="19">
        <v>-561.16223790000004</v>
      </c>
      <c r="E805" s="9">
        <f t="shared" si="225"/>
        <v>52.012930600000004</v>
      </c>
      <c r="F805" s="9">
        <f t="shared" si="226"/>
        <v>-21.162237900000036</v>
      </c>
      <c r="I805">
        <v>1</v>
      </c>
      <c r="J805">
        <f t="shared" si="221"/>
        <v>3.646339905734336E-2</v>
      </c>
      <c r="K805">
        <f t="shared" si="227"/>
        <v>-0.3864103841880458</v>
      </c>
      <c r="O805">
        <f t="shared" si="228"/>
        <v>3.3767389561876776E-2</v>
      </c>
      <c r="P805">
        <f t="shared" si="229"/>
        <v>-1.3738766935974462E-2</v>
      </c>
      <c r="Q805">
        <f t="shared" si="230"/>
        <v>0.99933528391889348</v>
      </c>
      <c r="R805">
        <f t="shared" si="220"/>
        <v>1</v>
      </c>
      <c r="AG805" s="8">
        <f t="shared" si="222"/>
        <v>0.11167682670001579</v>
      </c>
      <c r="AH805" s="8">
        <f t="shared" si="223"/>
        <v>-0.15785597972637111</v>
      </c>
      <c r="AI805" s="8">
        <f t="shared" si="224"/>
        <v>0.98112678897420902</v>
      </c>
      <c r="AJ805" s="8"/>
      <c r="AK805" s="8"/>
      <c r="AL805" s="8"/>
      <c r="AN805" s="8">
        <f t="shared" si="231"/>
        <v>0.99999999999999989</v>
      </c>
      <c r="AO805" s="8">
        <f t="shared" si="232"/>
        <v>5.3281042780155801</v>
      </c>
      <c r="AP805" s="8">
        <f t="shared" si="233"/>
        <v>0.19459125356471807</v>
      </c>
      <c r="AQ805" s="8"/>
      <c r="AR805" s="8">
        <f t="shared" si="234"/>
        <v>305.27788793589133</v>
      </c>
      <c r="AS805" s="8">
        <f t="shared" si="235"/>
        <v>78.850742440581627</v>
      </c>
    </row>
    <row r="806" spans="1:45">
      <c r="A806" s="19">
        <v>35.502133329999999</v>
      </c>
      <c r="B806" s="19">
        <v>907.6724729</v>
      </c>
      <c r="C806" s="19">
        <v>-561.96110450000003</v>
      </c>
      <c r="E806" s="9">
        <f t="shared" si="225"/>
        <v>52.327527099999998</v>
      </c>
      <c r="F806" s="9">
        <f t="shared" si="226"/>
        <v>-21.961104500000033</v>
      </c>
      <c r="I806">
        <v>1</v>
      </c>
      <c r="J806">
        <f t="shared" si="221"/>
        <v>3.685464482684301E-2</v>
      </c>
      <c r="K806">
        <f t="shared" si="227"/>
        <v>-0.39736062250224324</v>
      </c>
      <c r="O806">
        <f t="shared" si="228"/>
        <v>3.3975445037577663E-2</v>
      </c>
      <c r="P806">
        <f t="shared" si="229"/>
        <v>-1.425900171965609E-2</v>
      </c>
      <c r="Q806">
        <f t="shared" si="230"/>
        <v>0.99932094444400466</v>
      </c>
      <c r="R806">
        <f t="shared" si="220"/>
        <v>1</v>
      </c>
      <c r="AG806" s="8">
        <f t="shared" si="222"/>
        <v>0.11211115140146447</v>
      </c>
      <c r="AH806" s="8">
        <f t="shared" si="223"/>
        <v>-0.15750179841288986</v>
      </c>
      <c r="AI806" s="8">
        <f t="shared" si="224"/>
        <v>0.98113417697486383</v>
      </c>
      <c r="AJ806" s="8"/>
      <c r="AK806" s="8"/>
      <c r="AL806" s="8"/>
      <c r="AN806" s="8">
        <f t="shared" si="231"/>
        <v>1</v>
      </c>
      <c r="AO806" s="8">
        <f t="shared" si="232"/>
        <v>5.330996363199425</v>
      </c>
      <c r="AP806" s="8">
        <f t="shared" si="233"/>
        <v>0.19455304242469595</v>
      </c>
      <c r="AQ806" s="8"/>
      <c r="AR806" s="8">
        <f t="shared" si="234"/>
        <v>305.44359221091798</v>
      </c>
      <c r="AS806" s="8">
        <f t="shared" si="235"/>
        <v>78.852931777635263</v>
      </c>
    </row>
    <row r="807" spans="1:45">
      <c r="A807" s="19">
        <v>35.535499999999999</v>
      </c>
      <c r="B807" s="19">
        <v>908.85478250000006</v>
      </c>
      <c r="C807" s="19">
        <v>-562.945967</v>
      </c>
      <c r="E807" s="9">
        <f t="shared" si="225"/>
        <v>51.145217499999944</v>
      </c>
      <c r="F807" s="9">
        <f t="shared" si="226"/>
        <v>-22.945966999999996</v>
      </c>
      <c r="I807">
        <v>1</v>
      </c>
      <c r="J807">
        <f t="shared" si="221"/>
        <v>3.6400003967299532E-2</v>
      </c>
      <c r="K807">
        <f t="shared" si="227"/>
        <v>-0.4217252482943662</v>
      </c>
      <c r="O807">
        <f t="shared" si="228"/>
        <v>3.3203451289178947E-2</v>
      </c>
      <c r="P807">
        <f t="shared" si="229"/>
        <v>-1.4896511048518043E-2</v>
      </c>
      <c r="Q807">
        <f t="shared" si="230"/>
        <v>0.99933759299901681</v>
      </c>
      <c r="R807">
        <f t="shared" si="220"/>
        <v>1</v>
      </c>
      <c r="AG807" s="8">
        <f t="shared" si="222"/>
        <v>0.11294059408216253</v>
      </c>
      <c r="AH807" s="8">
        <f t="shared" si="223"/>
        <v>-0.15803292543260664</v>
      </c>
      <c r="AI807" s="8">
        <f t="shared" si="224"/>
        <v>0.98095362616567172</v>
      </c>
      <c r="AJ807" s="8"/>
      <c r="AK807" s="8"/>
      <c r="AL807" s="8"/>
      <c r="AN807" s="8">
        <f t="shared" si="231"/>
        <v>1</v>
      </c>
      <c r="AO807" s="8">
        <f t="shared" si="232"/>
        <v>5.332889542437405</v>
      </c>
      <c r="AP807" s="8">
        <f t="shared" si="233"/>
        <v>0.19548474894572609</v>
      </c>
      <c r="AQ807" s="8"/>
      <c r="AR807" s="8">
        <f t="shared" si="234"/>
        <v>305.55206339111601</v>
      </c>
      <c r="AS807" s="8">
        <f t="shared" si="235"/>
        <v>78.799548926235431</v>
      </c>
    </row>
    <row r="808" spans="1:45">
      <c r="A808" s="19">
        <v>35.568866669999998</v>
      </c>
      <c r="B808" s="19">
        <v>909.07924079999998</v>
      </c>
      <c r="C808" s="19">
        <v>-563.63846590000003</v>
      </c>
      <c r="E808" s="9">
        <f t="shared" si="225"/>
        <v>50.92075920000002</v>
      </c>
      <c r="F808" s="9">
        <f t="shared" si="226"/>
        <v>-23.638465900000028</v>
      </c>
      <c r="I808">
        <v>1</v>
      </c>
      <c r="J808">
        <f t="shared" si="221"/>
        <v>3.6454719518066038E-2</v>
      </c>
      <c r="K808">
        <f t="shared" si="227"/>
        <v>-0.43461665482339923</v>
      </c>
      <c r="O808">
        <f t="shared" si="228"/>
        <v>3.3058256458407084E-2</v>
      </c>
      <c r="P808">
        <f t="shared" si="229"/>
        <v>-1.5346323980289581E-2</v>
      </c>
      <c r="Q808">
        <f t="shared" si="230"/>
        <v>0.99933560029662816</v>
      </c>
      <c r="R808">
        <f t="shared" si="220"/>
        <v>1</v>
      </c>
      <c r="AG808" s="8">
        <f t="shared" si="222"/>
        <v>0.11341016333954204</v>
      </c>
      <c r="AH808" s="8">
        <f t="shared" si="223"/>
        <v>-0.15803212891331245</v>
      </c>
      <c r="AI808" s="8">
        <f t="shared" si="224"/>
        <v>0.98089957747081569</v>
      </c>
      <c r="AJ808" s="8"/>
      <c r="AK808" s="8"/>
      <c r="AL808" s="8"/>
      <c r="AN808" s="8">
        <f t="shared" si="231"/>
        <v>1.0000000000000002</v>
      </c>
      <c r="AO808" s="8">
        <f t="shared" si="232"/>
        <v>5.3348559686512038</v>
      </c>
      <c r="AP808" s="8">
        <f t="shared" si="233"/>
        <v>0.19576280803104806</v>
      </c>
      <c r="AQ808" s="8"/>
      <c r="AR808" s="8">
        <f t="shared" si="234"/>
        <v>305.66473131389057</v>
      </c>
      <c r="AS808" s="8">
        <f t="shared" si="235"/>
        <v>78.783617314191204</v>
      </c>
    </row>
    <row r="809" spans="1:45">
      <c r="A809" s="19">
        <v>35.602233329999997</v>
      </c>
      <c r="B809" s="19">
        <v>909.77787579999995</v>
      </c>
      <c r="C809" s="19">
        <v>-564.06144689999996</v>
      </c>
      <c r="E809" s="9">
        <f t="shared" si="225"/>
        <v>50.222124200000053</v>
      </c>
      <c r="F809" s="9">
        <f t="shared" si="226"/>
        <v>-24.061446899999964</v>
      </c>
      <c r="I809">
        <v>1</v>
      </c>
      <c r="J809">
        <f t="shared" si="221"/>
        <v>3.6158320251691696E-2</v>
      </c>
      <c r="K809">
        <f t="shared" si="227"/>
        <v>-0.44678868935165783</v>
      </c>
      <c r="O809">
        <f t="shared" si="228"/>
        <v>3.2601887846364974E-2</v>
      </c>
      <c r="P809">
        <f t="shared" si="229"/>
        <v>-1.5619582121440097E-2</v>
      </c>
      <c r="Q809">
        <f t="shared" si="230"/>
        <v>0.9993463591584274</v>
      </c>
      <c r="R809">
        <f t="shared" si="220"/>
        <v>1</v>
      </c>
      <c r="AG809" s="8">
        <f t="shared" si="222"/>
        <v>0.11380194127244704</v>
      </c>
      <c r="AH809" s="8">
        <f t="shared" si="223"/>
        <v>-0.15837759544404045</v>
      </c>
      <c r="AI809" s="8">
        <f t="shared" si="224"/>
        <v>0.98079847849799728</v>
      </c>
      <c r="AJ809" s="8"/>
      <c r="AK809" s="8"/>
      <c r="AL809" s="8"/>
      <c r="AN809" s="8">
        <f t="shared" si="231"/>
        <v>1.0000000000000002</v>
      </c>
      <c r="AO809" s="8">
        <f t="shared" si="232"/>
        <v>5.3354552583634387</v>
      </c>
      <c r="AP809" s="8">
        <f t="shared" si="233"/>
        <v>0.19628187813920484</v>
      </c>
      <c r="AQ809" s="8"/>
      <c r="AR809" s="8">
        <f t="shared" si="234"/>
        <v>305.69906808510729</v>
      </c>
      <c r="AS809" s="8">
        <f t="shared" si="235"/>
        <v>78.753876787722419</v>
      </c>
    </row>
    <row r="810" spans="1:45">
      <c r="A810" s="19">
        <v>35.635599999999997</v>
      </c>
      <c r="B810" s="19">
        <v>910.07702370000004</v>
      </c>
      <c r="C810" s="19">
        <v>-565.03038600000002</v>
      </c>
      <c r="E810" s="9">
        <f t="shared" si="225"/>
        <v>49.922976299999959</v>
      </c>
      <c r="F810" s="9">
        <f t="shared" si="226"/>
        <v>-25.030386000000021</v>
      </c>
      <c r="I810">
        <v>1</v>
      </c>
      <c r="J810">
        <f t="shared" si="221"/>
        <v>3.6261970087387574E-2</v>
      </c>
      <c r="K810">
        <f t="shared" si="227"/>
        <v>-0.46475106579348163</v>
      </c>
      <c r="O810">
        <f t="shared" si="228"/>
        <v>3.2408674098938266E-2</v>
      </c>
      <c r="P810">
        <f t="shared" si="229"/>
        <v>-1.6249063709060717E-2</v>
      </c>
      <c r="Q810">
        <f t="shared" si="230"/>
        <v>0.99934260680295606</v>
      </c>
      <c r="R810">
        <f t="shared" si="220"/>
        <v>1</v>
      </c>
      <c r="AG810" s="8">
        <f t="shared" si="222"/>
        <v>0.11445611485328779</v>
      </c>
      <c r="AH810" s="8">
        <f t="shared" si="223"/>
        <v>-0.15836698266070301</v>
      </c>
      <c r="AI810" s="8">
        <f t="shared" si="224"/>
        <v>0.98072406750096397</v>
      </c>
      <c r="AJ810" s="8"/>
      <c r="AK810" s="8"/>
      <c r="AL810" s="8"/>
      <c r="AN810" s="8">
        <f t="shared" si="231"/>
        <v>0.99999999999999978</v>
      </c>
      <c r="AO810" s="8">
        <f t="shared" si="232"/>
        <v>5.3382057668601943</v>
      </c>
      <c r="AP810" s="8">
        <f t="shared" si="233"/>
        <v>0.19666306075963935</v>
      </c>
      <c r="AQ810" s="8"/>
      <c r="AR810" s="8">
        <f t="shared" si="234"/>
        <v>305.85666061348621</v>
      </c>
      <c r="AS810" s="8">
        <f t="shared" si="235"/>
        <v>78.732036632347786</v>
      </c>
    </row>
    <row r="811" spans="1:45">
      <c r="A811" s="19">
        <v>35.668966670000003</v>
      </c>
      <c r="B811" s="19">
        <v>910.57068119999997</v>
      </c>
      <c r="C811" s="19">
        <v>-565.78515249999998</v>
      </c>
      <c r="E811" s="9">
        <f t="shared" si="225"/>
        <v>49.429318800000033</v>
      </c>
      <c r="F811" s="9">
        <f t="shared" si="226"/>
        <v>-25.785152499999981</v>
      </c>
      <c r="I811">
        <v>1</v>
      </c>
      <c r="J811">
        <f t="shared" si="221"/>
        <v>3.6199068134747062E-2</v>
      </c>
      <c r="K811">
        <f t="shared" si="227"/>
        <v>-0.4808227580716537</v>
      </c>
      <c r="O811">
        <f t="shared" si="228"/>
        <v>3.2087616714708382E-2</v>
      </c>
      <c r="P811">
        <f t="shared" si="229"/>
        <v>-1.6738731393366957E-2</v>
      </c>
      <c r="Q811">
        <f t="shared" si="230"/>
        <v>0.99934488527480381</v>
      </c>
      <c r="R811">
        <f t="shared" si="220"/>
        <v>1</v>
      </c>
      <c r="AG811" s="8">
        <f t="shared" si="222"/>
        <v>0.11501435600171819</v>
      </c>
      <c r="AH811" s="8">
        <f t="shared" si="223"/>
        <v>-0.15851911396045412</v>
      </c>
      <c r="AI811" s="8">
        <f t="shared" si="224"/>
        <v>0.98063417665442543</v>
      </c>
      <c r="AJ811" s="8"/>
      <c r="AK811" s="8"/>
      <c r="AL811" s="8"/>
      <c r="AN811" s="8">
        <f t="shared" si="231"/>
        <v>1.0000000000000002</v>
      </c>
      <c r="AO811" s="8">
        <f t="shared" si="232"/>
        <v>5.3400609458373953</v>
      </c>
      <c r="AP811" s="8">
        <f t="shared" si="233"/>
        <v>0.19712257108241493</v>
      </c>
      <c r="AQ811" s="8"/>
      <c r="AR811" s="8">
        <f t="shared" si="234"/>
        <v>305.96295453912126</v>
      </c>
      <c r="AS811" s="8">
        <f t="shared" si="235"/>
        <v>78.705708630210054</v>
      </c>
    </row>
    <row r="812" spans="1:45">
      <c r="A812" s="19">
        <v>35.702333330000002</v>
      </c>
      <c r="B812" s="19">
        <v>910.81990759999996</v>
      </c>
      <c r="C812" s="19">
        <v>-566.33326950000003</v>
      </c>
      <c r="E812" s="9">
        <f t="shared" si="225"/>
        <v>49.180092400000035</v>
      </c>
      <c r="F812" s="9">
        <f t="shared" si="226"/>
        <v>-26.333269500000029</v>
      </c>
      <c r="I812">
        <v>1</v>
      </c>
      <c r="J812">
        <f t="shared" si="221"/>
        <v>3.6222559297833856E-2</v>
      </c>
      <c r="K812">
        <f t="shared" si="227"/>
        <v>-0.49160046757664372</v>
      </c>
      <c r="O812">
        <f t="shared" si="228"/>
        <v>3.1926047136528246E-2</v>
      </c>
      <c r="P812">
        <f t="shared" si="229"/>
        <v>-1.7094664981066647E-2</v>
      </c>
      <c r="Q812">
        <f t="shared" si="230"/>
        <v>0.9993440348265562</v>
      </c>
      <c r="R812">
        <f t="shared" si="220"/>
        <v>1</v>
      </c>
      <c r="AG812" s="8">
        <f t="shared" si="222"/>
        <v>0.11539934190368457</v>
      </c>
      <c r="AH812" s="8">
        <f t="shared" si="223"/>
        <v>-0.15856219211993772</v>
      </c>
      <c r="AI812" s="8">
        <f t="shared" si="224"/>
        <v>0.98058198184461676</v>
      </c>
      <c r="AJ812" s="8"/>
      <c r="AK812" s="8"/>
      <c r="AL812" s="8"/>
      <c r="AN812" s="8">
        <f t="shared" si="231"/>
        <v>0.99999999999999989</v>
      </c>
      <c r="AO812" s="8">
        <f t="shared" si="232"/>
        <v>5.3415208861471468</v>
      </c>
      <c r="AP812" s="8">
        <f t="shared" si="233"/>
        <v>0.19738889963579731</v>
      </c>
      <c r="AQ812" s="8"/>
      <c r="AR812" s="8">
        <f t="shared" si="234"/>
        <v>306.04660295721101</v>
      </c>
      <c r="AS812" s="8">
        <f t="shared" si="235"/>
        <v>78.690449128137416</v>
      </c>
    </row>
    <row r="813" spans="1:45">
      <c r="A813" s="19">
        <v>35.735700000000001</v>
      </c>
      <c r="B813" s="19">
        <v>911.42733169999997</v>
      </c>
      <c r="C813" s="19">
        <v>-567.30849350000005</v>
      </c>
      <c r="E813" s="9">
        <f t="shared" si="225"/>
        <v>48.572668300000032</v>
      </c>
      <c r="F813" s="9">
        <f t="shared" si="226"/>
        <v>-27.308493500000054</v>
      </c>
      <c r="I813">
        <v>1</v>
      </c>
      <c r="J813">
        <f t="shared" si="221"/>
        <v>3.6180965564428229E-2</v>
      </c>
      <c r="K813">
        <f t="shared" si="227"/>
        <v>-0.51217623286701208</v>
      </c>
      <c r="O813">
        <f t="shared" si="228"/>
        <v>3.1531345567064606E-2</v>
      </c>
      <c r="P813">
        <f t="shared" si="229"/>
        <v>-1.7727532285156323E-2</v>
      </c>
      <c r="Q813">
        <f t="shared" si="230"/>
        <v>0.99934554026413158</v>
      </c>
      <c r="R813">
        <f t="shared" si="220"/>
        <v>1</v>
      </c>
      <c r="AG813" s="8">
        <f t="shared" si="222"/>
        <v>0.11611489405667137</v>
      </c>
      <c r="AH813" s="8">
        <f t="shared" si="223"/>
        <v>-0.158739636771943</v>
      </c>
      <c r="AI813" s="8">
        <f t="shared" si="224"/>
        <v>0.98046879557470845</v>
      </c>
      <c r="AJ813" s="8"/>
      <c r="AK813" s="8"/>
      <c r="AL813" s="8"/>
      <c r="AN813" s="8">
        <f t="shared" si="231"/>
        <v>0.99999999999999989</v>
      </c>
      <c r="AO813" s="8">
        <f t="shared" si="232"/>
        <v>5.3439316482934371</v>
      </c>
      <c r="AP813" s="8">
        <f t="shared" si="233"/>
        <v>0.19796522747345668</v>
      </c>
      <c r="AQ813" s="8"/>
      <c r="AR813" s="8">
        <f t="shared" si="234"/>
        <v>306.18472945360338</v>
      </c>
      <c r="AS813" s="8">
        <f t="shared" si="235"/>
        <v>78.657427975423644</v>
      </c>
    </row>
    <row r="814" spans="1:45">
      <c r="A814" s="19">
        <v>35.769066670000001</v>
      </c>
      <c r="B814" s="19">
        <v>912.01041090000001</v>
      </c>
      <c r="C814" s="19">
        <v>-568.00678140000002</v>
      </c>
      <c r="E814" s="9">
        <f t="shared" si="225"/>
        <v>47.989589099999989</v>
      </c>
      <c r="F814" s="9">
        <f t="shared" si="226"/>
        <v>-28.006781400000023</v>
      </c>
      <c r="I814">
        <v>1</v>
      </c>
      <c r="J814">
        <f t="shared" si="221"/>
        <v>3.607668213265347E-2</v>
      </c>
      <c r="K814">
        <f t="shared" si="227"/>
        <v>-0.52827427818926176</v>
      </c>
      <c r="O814">
        <f t="shared" si="228"/>
        <v>3.1151885184571029E-2</v>
      </c>
      <c r="P814">
        <f t="shared" si="229"/>
        <v>-1.8180277325237203E-2</v>
      </c>
      <c r="Q814">
        <f t="shared" si="230"/>
        <v>0.99934930708227576</v>
      </c>
      <c r="R814">
        <f t="shared" si="220"/>
        <v>1</v>
      </c>
      <c r="AG814" s="8">
        <f t="shared" si="222"/>
        <v>0.11665483222772596</v>
      </c>
      <c r="AH814" s="8">
        <f t="shared" si="223"/>
        <v>-0.15895772562786897</v>
      </c>
      <c r="AI814" s="8">
        <f t="shared" si="224"/>
        <v>0.98036936487281989</v>
      </c>
      <c r="AJ814" s="8"/>
      <c r="AK814" s="8"/>
      <c r="AL814" s="8"/>
      <c r="AN814" s="8">
        <f t="shared" si="231"/>
        <v>1</v>
      </c>
      <c r="AO814" s="8">
        <f t="shared" si="232"/>
        <v>5.3454888657536905</v>
      </c>
      <c r="AP814" s="8">
        <f t="shared" si="233"/>
        <v>0.19847015117560507</v>
      </c>
      <c r="AQ814" s="8"/>
      <c r="AR814" s="8">
        <f t="shared" si="234"/>
        <v>306.27395144185999</v>
      </c>
      <c r="AS814" s="8">
        <f t="shared" si="235"/>
        <v>78.628497978314414</v>
      </c>
    </row>
    <row r="815" spans="1:45">
      <c r="A815" s="19">
        <v>35.80243333</v>
      </c>
      <c r="B815" s="19">
        <v>912.55055379999999</v>
      </c>
      <c r="C815" s="19">
        <v>-568.75119219999999</v>
      </c>
      <c r="E815" s="9">
        <f t="shared" si="225"/>
        <v>47.449446200000011</v>
      </c>
      <c r="F815" s="9">
        <f t="shared" si="226"/>
        <v>-28.751192199999991</v>
      </c>
      <c r="I815">
        <v>1</v>
      </c>
      <c r="J815">
        <f t="shared" si="221"/>
        <v>3.6021703677261381E-2</v>
      </c>
      <c r="K815">
        <f t="shared" si="227"/>
        <v>-0.54477069038659787</v>
      </c>
      <c r="O815">
        <f t="shared" si="228"/>
        <v>3.0800761264880041E-2</v>
      </c>
      <c r="P815">
        <f t="shared" si="229"/>
        <v>-1.8663202164683656E-2</v>
      </c>
      <c r="Q815">
        <f t="shared" si="230"/>
        <v>0.99935128858198008</v>
      </c>
      <c r="R815">
        <f t="shared" si="220"/>
        <v>1</v>
      </c>
      <c r="AG815" s="8">
        <f t="shared" si="222"/>
        <v>0.1172152140609124</v>
      </c>
      <c r="AH815" s="8">
        <f t="shared" si="223"/>
        <v>-0.15913990022442065</v>
      </c>
      <c r="AI815" s="8">
        <f t="shared" si="224"/>
        <v>0.98027296491804561</v>
      </c>
      <c r="AJ815" s="8"/>
      <c r="AK815" s="8"/>
      <c r="AL815" s="8"/>
      <c r="AN815" s="8">
        <f t="shared" si="231"/>
        <v>0.99999999999999989</v>
      </c>
      <c r="AO815" s="8">
        <f t="shared" si="232"/>
        <v>5.3472293069252403</v>
      </c>
      <c r="AP815" s="8">
        <f t="shared" si="233"/>
        <v>0.19895847694820468</v>
      </c>
      <c r="AQ815" s="8"/>
      <c r="AR815" s="8">
        <f t="shared" si="234"/>
        <v>306.37367137548057</v>
      </c>
      <c r="AS815" s="8">
        <f t="shared" si="235"/>
        <v>78.600518972516994</v>
      </c>
    </row>
    <row r="816" spans="1:45">
      <c r="A816" s="19">
        <v>35.835799999999999</v>
      </c>
      <c r="B816" s="19">
        <v>912.82198589999996</v>
      </c>
      <c r="C816" s="19">
        <v>-569.28697199999999</v>
      </c>
      <c r="E816" s="9">
        <f t="shared" si="225"/>
        <v>47.178014100000041</v>
      </c>
      <c r="F816" s="9">
        <f t="shared" si="226"/>
        <v>-29.286971999999992</v>
      </c>
      <c r="I816">
        <v>1</v>
      </c>
      <c r="J816">
        <f t="shared" si="221"/>
        <v>3.6053701995974033E-2</v>
      </c>
      <c r="K816">
        <f t="shared" si="227"/>
        <v>-0.55555595890481047</v>
      </c>
      <c r="O816">
        <f t="shared" si="228"/>
        <v>3.0624854489720382E-2</v>
      </c>
      <c r="P816">
        <f t="shared" si="229"/>
        <v>-1.9011170204057279E-2</v>
      </c>
      <c r="Q816">
        <f t="shared" si="230"/>
        <v>0.99935013568566433</v>
      </c>
      <c r="R816">
        <f t="shared" si="220"/>
        <v>1</v>
      </c>
      <c r="AG816" s="8">
        <f t="shared" si="222"/>
        <v>0.11759668040473023</v>
      </c>
      <c r="AH816" s="8">
        <f t="shared" si="223"/>
        <v>-0.15919870884513593</v>
      </c>
      <c r="AI816" s="8">
        <f t="shared" si="224"/>
        <v>0.98021772676269692</v>
      </c>
      <c r="AJ816" s="8"/>
      <c r="AK816" s="8"/>
      <c r="AL816" s="8"/>
      <c r="AN816" s="8">
        <f t="shared" si="231"/>
        <v>0.99999999999999978</v>
      </c>
      <c r="AO816" s="8">
        <f t="shared" si="232"/>
        <v>5.3486049360356134</v>
      </c>
      <c r="AP816" s="8">
        <f t="shared" si="233"/>
        <v>0.19923776030541096</v>
      </c>
      <c r="AQ816" s="8"/>
      <c r="AR816" s="8">
        <f t="shared" si="234"/>
        <v>306.45248911768027</v>
      </c>
      <c r="AS816" s="8">
        <f t="shared" si="235"/>
        <v>78.584517214860824</v>
      </c>
    </row>
    <row r="817" spans="1:45">
      <c r="A817" s="19">
        <v>35.869166669999998</v>
      </c>
      <c r="B817" s="19">
        <v>913.18724740000005</v>
      </c>
      <c r="C817" s="19">
        <v>-569.98658</v>
      </c>
      <c r="E817" s="9">
        <f t="shared" si="225"/>
        <v>46.812752599999953</v>
      </c>
      <c r="F817" s="9">
        <f t="shared" si="226"/>
        <v>-29.986580000000004</v>
      </c>
      <c r="I817">
        <v>1</v>
      </c>
      <c r="J817">
        <f t="shared" si="221"/>
        <v>3.6095866863347571E-2</v>
      </c>
      <c r="K817">
        <f t="shared" si="227"/>
        <v>-0.56971344364638499</v>
      </c>
      <c r="O817">
        <f t="shared" si="228"/>
        <v>3.0388126104337259E-2</v>
      </c>
      <c r="P817">
        <f t="shared" si="229"/>
        <v>-1.946554995951677E-2</v>
      </c>
      <c r="Q817">
        <f t="shared" si="230"/>
        <v>0.99934861492706362</v>
      </c>
      <c r="R817">
        <f t="shared" si="220"/>
        <v>1</v>
      </c>
      <c r="AG817" s="8">
        <f t="shared" si="222"/>
        <v>0.1180968094242332</v>
      </c>
      <c r="AH817" s="8">
        <f t="shared" si="223"/>
        <v>-0.15928205818860655</v>
      </c>
      <c r="AI817" s="8">
        <f t="shared" si="224"/>
        <v>0.980144055505627</v>
      </c>
      <c r="AJ817" s="8"/>
      <c r="AK817" s="8"/>
      <c r="AL817" s="8"/>
      <c r="AN817" s="8">
        <f t="shared" si="231"/>
        <v>1</v>
      </c>
      <c r="AO817" s="8">
        <f t="shared" si="232"/>
        <v>5.350383957493869</v>
      </c>
      <c r="AP817" s="8">
        <f t="shared" si="233"/>
        <v>0.19960964111902113</v>
      </c>
      <c r="AQ817" s="8"/>
      <c r="AR817" s="8">
        <f t="shared" si="234"/>
        <v>306.55441953890153</v>
      </c>
      <c r="AS817" s="8">
        <f t="shared" si="235"/>
        <v>78.563210013759075</v>
      </c>
    </row>
    <row r="818" spans="1:45">
      <c r="A818" s="19">
        <v>35.902533329999997</v>
      </c>
      <c r="B818" s="19">
        <v>913.84253149999995</v>
      </c>
      <c r="C818" s="19">
        <v>-571.02454209999996</v>
      </c>
      <c r="E818" s="9">
        <f t="shared" si="225"/>
        <v>46.15746850000005</v>
      </c>
      <c r="F818" s="9">
        <f t="shared" si="226"/>
        <v>-31.024542099999962</v>
      </c>
      <c r="I818">
        <v>1</v>
      </c>
      <c r="J818">
        <f t="shared" si="221"/>
        <v>3.6110066390702168E-2</v>
      </c>
      <c r="K818">
        <f t="shared" si="227"/>
        <v>-0.59178616650049987</v>
      </c>
      <c r="O818">
        <f t="shared" si="228"/>
        <v>2.9962878133995771E-2</v>
      </c>
      <c r="P818">
        <f t="shared" si="229"/>
        <v>-2.0139418480138681E-2</v>
      </c>
      <c r="Q818">
        <f t="shared" si="230"/>
        <v>0.99934810239335981</v>
      </c>
      <c r="R818">
        <f t="shared" si="220"/>
        <v>1</v>
      </c>
      <c r="AG818" s="8">
        <f t="shared" si="222"/>
        <v>0.11885991238778058</v>
      </c>
      <c r="AH818" s="8">
        <f t="shared" si="223"/>
        <v>-0.15947523276696066</v>
      </c>
      <c r="AI818" s="8">
        <f t="shared" si="224"/>
        <v>0.98002039333939006</v>
      </c>
      <c r="AJ818" s="8"/>
      <c r="AK818" s="8"/>
      <c r="AL818" s="8"/>
      <c r="AN818" s="8">
        <f t="shared" si="231"/>
        <v>1</v>
      </c>
      <c r="AO818" s="8">
        <f t="shared" si="232"/>
        <v>5.3528874769891299</v>
      </c>
      <c r="AP818" s="8">
        <f t="shared" si="233"/>
        <v>0.20023233606346058</v>
      </c>
      <c r="AQ818" s="8"/>
      <c r="AR818" s="8">
        <f t="shared" si="234"/>
        <v>306.6978606399087</v>
      </c>
      <c r="AS818" s="8">
        <f t="shared" si="235"/>
        <v>78.527532221518555</v>
      </c>
    </row>
    <row r="819" spans="1:45">
      <c r="A819" s="19">
        <v>35.935899999999997</v>
      </c>
      <c r="B819" s="19">
        <v>913.78675499999997</v>
      </c>
      <c r="C819" s="19">
        <v>-571.71633329999997</v>
      </c>
      <c r="E819" s="9">
        <f t="shared" si="225"/>
        <v>46.213245000000029</v>
      </c>
      <c r="F819" s="9">
        <f t="shared" si="226"/>
        <v>-31.716333299999974</v>
      </c>
      <c r="I819">
        <v>1</v>
      </c>
      <c r="J819">
        <f t="shared" si="221"/>
        <v>3.6395547956073721E-2</v>
      </c>
      <c r="K819">
        <f t="shared" si="227"/>
        <v>-0.60147473119199057</v>
      </c>
      <c r="O819">
        <f t="shared" si="228"/>
        <v>3.0001578324754002E-2</v>
      </c>
      <c r="P819">
        <f t="shared" si="229"/>
        <v>-2.059020217415921E-2</v>
      </c>
      <c r="Q819">
        <f t="shared" si="230"/>
        <v>0.99933775515210621</v>
      </c>
      <c r="R819">
        <f t="shared" si="220"/>
        <v>1</v>
      </c>
      <c r="AG819" s="8">
        <f t="shared" si="222"/>
        <v>0.11927694368415577</v>
      </c>
      <c r="AH819" s="8">
        <f t="shared" si="223"/>
        <v>-0.159300883178282</v>
      </c>
      <c r="AI819" s="8">
        <f t="shared" si="224"/>
        <v>0.97999808128586974</v>
      </c>
      <c r="AJ819" s="8"/>
      <c r="AK819" s="8"/>
      <c r="AL819" s="8"/>
      <c r="AN819" s="8">
        <f t="shared" si="231"/>
        <v>1</v>
      </c>
      <c r="AO819" s="8">
        <f t="shared" si="232"/>
        <v>5.3550912477931076</v>
      </c>
      <c r="AP819" s="8">
        <f t="shared" si="233"/>
        <v>0.20034448399550375</v>
      </c>
      <c r="AQ819" s="8"/>
      <c r="AR819" s="8">
        <f t="shared" si="234"/>
        <v>306.82412740599079</v>
      </c>
      <c r="AS819" s="8">
        <f t="shared" si="235"/>
        <v>78.521106618331373</v>
      </c>
    </row>
    <row r="820" spans="1:45">
      <c r="A820" s="19">
        <v>35.969266670000003</v>
      </c>
      <c r="B820" s="19">
        <v>914.82933330000003</v>
      </c>
      <c r="C820" s="19">
        <v>-572.64245259999996</v>
      </c>
      <c r="E820" s="9">
        <f t="shared" si="225"/>
        <v>45.17066669999997</v>
      </c>
      <c r="F820" s="9">
        <f t="shared" si="226"/>
        <v>-32.642452599999956</v>
      </c>
      <c r="I820">
        <v>1</v>
      </c>
      <c r="J820">
        <f t="shared" si="221"/>
        <v>3.6186036805780315E-2</v>
      </c>
      <c r="K820">
        <f t="shared" si="227"/>
        <v>-0.62576423291958572</v>
      </c>
      <c r="O820">
        <f t="shared" si="228"/>
        <v>2.9322951748246659E-2</v>
      </c>
      <c r="P820">
        <f t="shared" si="229"/>
        <v>-2.1190146890929729E-2</v>
      </c>
      <c r="Q820">
        <f t="shared" si="230"/>
        <v>0.99934535680890157</v>
      </c>
      <c r="R820">
        <f t="shared" si="220"/>
        <v>1</v>
      </c>
      <c r="AG820" s="8">
        <f t="shared" si="222"/>
        <v>0.12004295496327916</v>
      </c>
      <c r="AH820" s="8">
        <f t="shared" si="223"/>
        <v>-0.15975446406503238</v>
      </c>
      <c r="AI820" s="8">
        <f t="shared" si="224"/>
        <v>0.97983069975122661</v>
      </c>
      <c r="AJ820" s="8"/>
      <c r="AK820" s="8"/>
      <c r="AL820" s="8"/>
      <c r="AN820" s="8">
        <f t="shared" si="231"/>
        <v>1</v>
      </c>
      <c r="AO820" s="8">
        <f t="shared" si="232"/>
        <v>5.3567992923895469</v>
      </c>
      <c r="AP820" s="8">
        <f t="shared" si="233"/>
        <v>0.20118383336438073</v>
      </c>
      <c r="AQ820" s="8"/>
      <c r="AR820" s="8">
        <f t="shared" si="234"/>
        <v>306.92199115258688</v>
      </c>
      <c r="AS820" s="8">
        <f t="shared" si="235"/>
        <v>78.473015441957742</v>
      </c>
    </row>
    <row r="821" spans="1:45">
      <c r="A821" s="19">
        <v>36.002633330000002</v>
      </c>
      <c r="B821" s="19">
        <v>915.01673200000005</v>
      </c>
      <c r="C821" s="19">
        <v>-573.2208905</v>
      </c>
      <c r="E821" s="9">
        <f t="shared" si="225"/>
        <v>44.983267999999953</v>
      </c>
      <c r="F821" s="9">
        <f t="shared" si="226"/>
        <v>-33.220890499999996</v>
      </c>
      <c r="I821">
        <v>1</v>
      </c>
      <c r="J821">
        <f t="shared" si="221"/>
        <v>3.6310714768109841E-2</v>
      </c>
      <c r="K821">
        <f t="shared" si="227"/>
        <v>-0.63611113797199503</v>
      </c>
      <c r="O821">
        <f t="shared" si="228"/>
        <v>2.920236018061435E-2</v>
      </c>
      <c r="P821">
        <f t="shared" si="229"/>
        <v>-2.156642798610698E-2</v>
      </c>
      <c r="Q821">
        <f t="shared" si="230"/>
        <v>0.99934083842490984</v>
      </c>
      <c r="R821">
        <f t="shared" si="220"/>
        <v>1</v>
      </c>
      <c r="AG821" s="8">
        <f t="shared" si="222"/>
        <v>0.12043520584917841</v>
      </c>
      <c r="AH821" s="8">
        <f t="shared" si="223"/>
        <v>-0.15975243542905404</v>
      </c>
      <c r="AI821" s="8">
        <f t="shared" si="224"/>
        <v>0.97978289460806156</v>
      </c>
      <c r="AJ821" s="8"/>
      <c r="AK821" s="8"/>
      <c r="AL821" s="8"/>
      <c r="AN821" s="8">
        <f t="shared" si="231"/>
        <v>0.99999999999999989</v>
      </c>
      <c r="AO821" s="8">
        <f t="shared" si="232"/>
        <v>5.3583728182331631</v>
      </c>
      <c r="AP821" s="8">
        <f t="shared" si="233"/>
        <v>0.20142292296663711</v>
      </c>
      <c r="AQ821" s="8"/>
      <c r="AR821" s="8">
        <f t="shared" si="234"/>
        <v>307.01214754238083</v>
      </c>
      <c r="AS821" s="8">
        <f t="shared" si="235"/>
        <v>78.459316616822989</v>
      </c>
    </row>
    <row r="822" spans="1:45">
      <c r="A822" s="19">
        <v>36.036000000000001</v>
      </c>
      <c r="B822" s="19">
        <v>915.66709070000002</v>
      </c>
      <c r="C822" s="19">
        <v>-573.96099019999997</v>
      </c>
      <c r="E822" s="9">
        <f t="shared" si="225"/>
        <v>44.332909299999983</v>
      </c>
      <c r="F822" s="9">
        <f t="shared" si="226"/>
        <v>-33.960990199999969</v>
      </c>
      <c r="I822">
        <v>1</v>
      </c>
      <c r="J822">
        <f t="shared" si="221"/>
        <v>3.6261569889206757E-2</v>
      </c>
      <c r="K822">
        <f t="shared" si="227"/>
        <v>-0.65369088520491769</v>
      </c>
      <c r="O822">
        <f t="shared" si="228"/>
        <v>2.877974729306209E-2</v>
      </c>
      <c r="P822">
        <f t="shared" si="229"/>
        <v>-2.2046572878043839E-2</v>
      </c>
      <c r="Q822">
        <f t="shared" si="230"/>
        <v>0.9993426213116704</v>
      </c>
      <c r="R822">
        <f t="shared" si="220"/>
        <v>1</v>
      </c>
      <c r="AG822" s="8">
        <f t="shared" si="222"/>
        <v>0.12101335084368334</v>
      </c>
      <c r="AH822" s="8">
        <f t="shared" si="223"/>
        <v>-0.16000213719888132</v>
      </c>
      <c r="AI822" s="8">
        <f t="shared" si="224"/>
        <v>0.97967090648307709</v>
      </c>
      <c r="AJ822" s="8"/>
      <c r="AK822" s="8"/>
      <c r="AL822" s="8"/>
      <c r="AN822" s="8">
        <f t="shared" si="231"/>
        <v>1</v>
      </c>
      <c r="AO822" s="8">
        <f t="shared" si="232"/>
        <v>5.3599247588968497</v>
      </c>
      <c r="AP822" s="8">
        <f t="shared" si="233"/>
        <v>0.20198192021108019</v>
      </c>
      <c r="AQ822" s="8"/>
      <c r="AR822" s="8">
        <f t="shared" si="234"/>
        <v>307.10106719246482</v>
      </c>
      <c r="AS822" s="8">
        <f t="shared" si="235"/>
        <v>78.42728843395696</v>
      </c>
    </row>
    <row r="823" spans="1:45">
      <c r="A823" s="19">
        <v>36.069366670000001</v>
      </c>
      <c r="B823" s="19">
        <v>915.95765119999999</v>
      </c>
      <c r="C823" s="19">
        <v>-574.63589709999997</v>
      </c>
      <c r="E823" s="9">
        <f t="shared" si="225"/>
        <v>44.042348800000013</v>
      </c>
      <c r="F823" s="9">
        <f t="shared" si="226"/>
        <v>-34.635897099999966</v>
      </c>
      <c r="I823">
        <v>1</v>
      </c>
      <c r="J823">
        <f t="shared" si="221"/>
        <v>3.6382567119837721E-2</v>
      </c>
      <c r="K823">
        <f t="shared" si="227"/>
        <v>-0.66640701598207575</v>
      </c>
      <c r="O823">
        <f t="shared" si="228"/>
        <v>2.8592127807900172E-2</v>
      </c>
      <c r="P823">
        <f t="shared" si="229"/>
        <v>-2.2485494611597046E-2</v>
      </c>
      <c r="Q823">
        <f t="shared" si="230"/>
        <v>0.99933822740826272</v>
      </c>
      <c r="R823">
        <f t="shared" si="220"/>
        <v>1</v>
      </c>
      <c r="AG823" s="8">
        <f t="shared" si="222"/>
        <v>0.12148441497330384</v>
      </c>
      <c r="AH823" s="8">
        <f t="shared" si="223"/>
        <v>-0.16004376477202981</v>
      </c>
      <c r="AI823" s="8">
        <f t="shared" si="224"/>
        <v>0.97960580351291782</v>
      </c>
      <c r="AJ823" s="8"/>
      <c r="AK823" s="8"/>
      <c r="AL823" s="8"/>
      <c r="AN823" s="8">
        <f t="shared" si="231"/>
        <v>1</v>
      </c>
      <c r="AO823" s="8">
        <f t="shared" si="232"/>
        <v>5.361669640583596</v>
      </c>
      <c r="AP823" s="8">
        <f t="shared" si="233"/>
        <v>0.20230618633472508</v>
      </c>
      <c r="AQ823" s="8"/>
      <c r="AR823" s="8">
        <f t="shared" si="234"/>
        <v>307.20104154886508</v>
      </c>
      <c r="AS823" s="8">
        <f t="shared" si="235"/>
        <v>78.408709353633043</v>
      </c>
    </row>
    <row r="824" spans="1:45">
      <c r="A824" s="19">
        <v>36.10273333</v>
      </c>
      <c r="B824" s="19">
        <v>916.70871639999996</v>
      </c>
      <c r="C824" s="19">
        <v>-575.68837280000002</v>
      </c>
      <c r="E824" s="9">
        <f t="shared" si="225"/>
        <v>43.291283600000042</v>
      </c>
      <c r="F824" s="9">
        <f t="shared" si="226"/>
        <v>-35.688372800000025</v>
      </c>
      <c r="I824">
        <v>1</v>
      </c>
      <c r="J824">
        <f t="shared" si="221"/>
        <v>3.6431874293140119E-2</v>
      </c>
      <c r="K824">
        <f t="shared" si="227"/>
        <v>-0.68942970764263334</v>
      </c>
      <c r="O824">
        <f t="shared" si="228"/>
        <v>2.8104940358408961E-2</v>
      </c>
      <c r="P824">
        <f t="shared" si="229"/>
        <v>-2.3169088685387567E-2</v>
      </c>
      <c r="Q824">
        <f t="shared" si="230"/>
        <v>0.99933643266766714</v>
      </c>
      <c r="R824">
        <f t="shared" si="220"/>
        <v>1</v>
      </c>
      <c r="AG824" s="8">
        <f t="shared" si="222"/>
        <v>0.12227434155787459</v>
      </c>
      <c r="AH824" s="8">
        <f t="shared" si="223"/>
        <v>-0.1602915643983473</v>
      </c>
      <c r="AI824" s="8">
        <f t="shared" si="224"/>
        <v>0.97946699779998647</v>
      </c>
      <c r="AJ824" s="8"/>
      <c r="AK824" s="8"/>
      <c r="AL824" s="8"/>
      <c r="AN824" s="8">
        <f t="shared" si="231"/>
        <v>1</v>
      </c>
      <c r="AO824" s="8">
        <f t="shared" si="232"/>
        <v>5.3640474087014152</v>
      </c>
      <c r="AP824" s="8">
        <f t="shared" si="233"/>
        <v>0.20299584659718928</v>
      </c>
      <c r="AQ824" s="8"/>
      <c r="AR824" s="8">
        <f t="shared" si="234"/>
        <v>307.33727762667684</v>
      </c>
      <c r="AS824" s="8">
        <f t="shared" si="235"/>
        <v>78.369194731295963</v>
      </c>
    </row>
    <row r="825" spans="1:45">
      <c r="A825" s="19">
        <v>36.136099999999999</v>
      </c>
      <c r="B825" s="19">
        <v>916.91813530000002</v>
      </c>
      <c r="C825" s="19">
        <v>-576.5198815</v>
      </c>
      <c r="E825" s="9">
        <f t="shared" si="225"/>
        <v>43.081864699999983</v>
      </c>
      <c r="F825" s="9">
        <f t="shared" si="226"/>
        <v>-36.519881499999997</v>
      </c>
      <c r="I825">
        <v>1</v>
      </c>
      <c r="J825">
        <f t="shared" si="221"/>
        <v>3.6676546237759268E-2</v>
      </c>
      <c r="K825">
        <f t="shared" si="227"/>
        <v>-0.70314897017895406</v>
      </c>
      <c r="O825">
        <f t="shared" si="228"/>
        <v>2.7970956101355204E-2</v>
      </c>
      <c r="P825">
        <f t="shared" si="229"/>
        <v>-2.3710580063708207E-2</v>
      </c>
      <c r="Q825">
        <f t="shared" si="230"/>
        <v>0.99932749086964412</v>
      </c>
      <c r="R825">
        <f t="shared" si="220"/>
        <v>1</v>
      </c>
      <c r="AG825" s="8">
        <f t="shared" si="222"/>
        <v>0.12282724552877311</v>
      </c>
      <c r="AH825" s="8">
        <f t="shared" si="223"/>
        <v>-0.16025125385855857</v>
      </c>
      <c r="AI825" s="8">
        <f t="shared" si="224"/>
        <v>0.97940441258581967</v>
      </c>
      <c r="AJ825" s="8"/>
      <c r="AK825" s="8"/>
      <c r="AL825" s="8"/>
      <c r="AN825" s="8">
        <f t="shared" si="231"/>
        <v>1.0000000000000002</v>
      </c>
      <c r="AO825" s="8">
        <f t="shared" si="232"/>
        <v>5.3663457349617252</v>
      </c>
      <c r="AP825" s="8">
        <f t="shared" si="233"/>
        <v>0.20330604835682653</v>
      </c>
      <c r="AQ825" s="8"/>
      <c r="AR825" s="8">
        <f t="shared" si="234"/>
        <v>307.46896202133672</v>
      </c>
      <c r="AS825" s="8">
        <f t="shared" si="235"/>
        <v>78.351421479671217</v>
      </c>
    </row>
    <row r="826" spans="1:45">
      <c r="A826" s="19">
        <v>36.169466669999998</v>
      </c>
      <c r="B826" s="19">
        <v>917.10690990000001</v>
      </c>
      <c r="C826" s="19">
        <v>-576.69355050000001</v>
      </c>
      <c r="E826" s="9">
        <f t="shared" si="225"/>
        <v>42.893090099999995</v>
      </c>
      <c r="F826" s="9">
        <f t="shared" si="226"/>
        <v>-36.693550500000015</v>
      </c>
      <c r="I826">
        <v>1</v>
      </c>
      <c r="J826">
        <f t="shared" si="221"/>
        <v>3.6656108402874171E-2</v>
      </c>
      <c r="K826">
        <f t="shared" si="227"/>
        <v>-0.70765841197257773</v>
      </c>
      <c r="O826">
        <f t="shared" si="228"/>
        <v>2.7848230599362159E-2</v>
      </c>
      <c r="P826">
        <f t="shared" si="229"/>
        <v>-2.3823195145209208E-2</v>
      </c>
      <c r="Q826">
        <f t="shared" si="230"/>
        <v>0.99932824008208532</v>
      </c>
      <c r="R826">
        <f t="shared" si="220"/>
        <v>1</v>
      </c>
      <c r="AG826" s="8">
        <f t="shared" si="222"/>
        <v>0.12296962789776754</v>
      </c>
      <c r="AH826" s="8">
        <f t="shared" si="223"/>
        <v>-0.16033191542846492</v>
      </c>
      <c r="AI826" s="8">
        <f t="shared" si="224"/>
        <v>0.97937334429201417</v>
      </c>
      <c r="AJ826" s="8"/>
      <c r="AK826" s="8"/>
      <c r="AL826" s="8"/>
      <c r="AN826" s="8">
        <f t="shared" si="231"/>
        <v>1</v>
      </c>
      <c r="AO826" s="8">
        <f t="shared" si="232"/>
        <v>5.3666621647034507</v>
      </c>
      <c r="AP826" s="8">
        <f t="shared" si="233"/>
        <v>0.20345986419589424</v>
      </c>
      <c r="AQ826" s="8"/>
      <c r="AR826" s="8">
        <f t="shared" si="234"/>
        <v>307.48709211005001</v>
      </c>
      <c r="AS826" s="8">
        <f t="shared" si="235"/>
        <v>78.342608481270375</v>
      </c>
    </row>
    <row r="827" spans="1:45">
      <c r="A827" s="19">
        <v>36.202833329999997</v>
      </c>
      <c r="B827" s="19">
        <v>917.66412149999996</v>
      </c>
      <c r="C827" s="19">
        <v>-577.85507749999999</v>
      </c>
      <c r="E827" s="9">
        <f t="shared" si="225"/>
        <v>42.335878500000035</v>
      </c>
      <c r="F827" s="9">
        <f t="shared" si="226"/>
        <v>-37.855077499999993</v>
      </c>
      <c r="I827">
        <v>1</v>
      </c>
      <c r="J827">
        <f t="shared" si="221"/>
        <v>3.6882828119668608E-2</v>
      </c>
      <c r="K827">
        <f t="shared" si="227"/>
        <v>-0.72957956959610082</v>
      </c>
      <c r="O827">
        <f t="shared" si="228"/>
        <v>2.748824466424149E-2</v>
      </c>
      <c r="P827">
        <f t="shared" si="229"/>
        <v>-2.4578907276102045E-2</v>
      </c>
      <c r="Q827">
        <f t="shared" si="230"/>
        <v>0.99931990559699724</v>
      </c>
      <c r="R827">
        <f t="shared" si="220"/>
        <v>1</v>
      </c>
      <c r="AG827" s="8">
        <f t="shared" si="222"/>
        <v>0.12379115886833147</v>
      </c>
      <c r="AH827" s="8">
        <f t="shared" si="223"/>
        <v>-0.16043792905405749</v>
      </c>
      <c r="AI827" s="8">
        <f t="shared" si="224"/>
        <v>0.97925248016376276</v>
      </c>
      <c r="AJ827" s="8"/>
      <c r="AK827" s="8"/>
      <c r="AL827" s="8"/>
      <c r="AN827" s="8">
        <f t="shared" si="231"/>
        <v>0.99999999999999989</v>
      </c>
      <c r="AO827" s="8">
        <f t="shared" si="232"/>
        <v>5.3695606459502239</v>
      </c>
      <c r="AP827" s="8">
        <f t="shared" si="233"/>
        <v>0.20405716208044877</v>
      </c>
      <c r="AQ827" s="8"/>
      <c r="AR827" s="8">
        <f t="shared" si="234"/>
        <v>307.65316285248792</v>
      </c>
      <c r="AS827" s="8">
        <f t="shared" si="235"/>
        <v>78.308385833373308</v>
      </c>
    </row>
    <row r="828" spans="1:45">
      <c r="A828" s="19">
        <v>36.236199999999997</v>
      </c>
      <c r="B828" s="19">
        <v>918.36763550000001</v>
      </c>
      <c r="C828" s="19">
        <v>-578.70021310000004</v>
      </c>
      <c r="E828" s="9">
        <f t="shared" si="225"/>
        <v>41.632364499999994</v>
      </c>
      <c r="F828" s="9">
        <f t="shared" si="226"/>
        <v>-38.700213100000042</v>
      </c>
      <c r="I828">
        <v>1</v>
      </c>
      <c r="J828">
        <f t="shared" si="221"/>
        <v>3.691534265576521E-2</v>
      </c>
      <c r="K828">
        <f t="shared" si="227"/>
        <v>-0.74891420636617856</v>
      </c>
      <c r="O828">
        <f t="shared" si="228"/>
        <v>2.7031710612131801E-2</v>
      </c>
      <c r="P828">
        <f t="shared" si="229"/>
        <v>-2.51278776430542E-2</v>
      </c>
      <c r="Q828">
        <f t="shared" si="230"/>
        <v>0.99931870611258833</v>
      </c>
      <c r="R828">
        <f t="shared" si="220"/>
        <v>1</v>
      </c>
      <c r="AG828" s="8">
        <f t="shared" si="222"/>
        <v>0.12444420752317695</v>
      </c>
      <c r="AH828" s="8">
        <f t="shared" si="223"/>
        <v>-0.16069791555607024</v>
      </c>
      <c r="AI828" s="8">
        <f t="shared" si="224"/>
        <v>0.97912706997093213</v>
      </c>
      <c r="AJ828" s="8"/>
      <c r="AK828" s="8"/>
      <c r="AL828" s="8"/>
      <c r="AN828" s="8">
        <f t="shared" si="231"/>
        <v>1</v>
      </c>
      <c r="AO828" s="8">
        <f t="shared" si="232"/>
        <v>5.3713230815013526</v>
      </c>
      <c r="AP828" s="8">
        <f t="shared" si="233"/>
        <v>0.20467510906680308</v>
      </c>
      <c r="AQ828" s="8"/>
      <c r="AR828" s="8">
        <f t="shared" si="234"/>
        <v>307.75414297123143</v>
      </c>
      <c r="AS828" s="8">
        <f t="shared" si="235"/>
        <v>78.272980079092378</v>
      </c>
    </row>
    <row r="829" spans="1:45">
      <c r="A829" s="19">
        <v>36.269566670000003</v>
      </c>
      <c r="B829" s="19">
        <v>918.72634740000001</v>
      </c>
      <c r="C829" s="19">
        <v>-579.06877799999995</v>
      </c>
      <c r="E829" s="9">
        <f t="shared" si="225"/>
        <v>41.273652599999991</v>
      </c>
      <c r="F829" s="9">
        <f t="shared" si="226"/>
        <v>-39.068777999999952</v>
      </c>
      <c r="I829">
        <v>1</v>
      </c>
      <c r="J829">
        <f t="shared" si="221"/>
        <v>3.6909124484301746E-2</v>
      </c>
      <c r="K829">
        <f t="shared" si="227"/>
        <v>-0.7579615859328801</v>
      </c>
      <c r="O829">
        <f t="shared" si="228"/>
        <v>2.6798753131725951E-2</v>
      </c>
      <c r="P829">
        <f t="shared" si="229"/>
        <v>-2.5367140314114214E-2</v>
      </c>
      <c r="Q829">
        <f t="shared" si="230"/>
        <v>0.99931893558706719</v>
      </c>
      <c r="R829">
        <f t="shared" si="220"/>
        <v>1</v>
      </c>
      <c r="AG829" s="8">
        <f t="shared" si="222"/>
        <v>0.12473862517271489</v>
      </c>
      <c r="AH829" s="8">
        <f t="shared" si="223"/>
        <v>-0.1608430913532066</v>
      </c>
      <c r="AI829" s="8">
        <f t="shared" si="224"/>
        <v>0.97906576661323685</v>
      </c>
      <c r="AJ829" s="8"/>
      <c r="AK829" s="8"/>
      <c r="AL829" s="8"/>
      <c r="AN829" s="8">
        <f t="shared" si="231"/>
        <v>1.0000000000000002</v>
      </c>
      <c r="AO829" s="8">
        <f t="shared" si="232"/>
        <v>5.3720300166099975</v>
      </c>
      <c r="AP829" s="8">
        <f t="shared" si="233"/>
        <v>0.20497650719343929</v>
      </c>
      <c r="AQ829" s="8"/>
      <c r="AR829" s="8">
        <f t="shared" si="234"/>
        <v>307.79464736934636</v>
      </c>
      <c r="AS829" s="8">
        <f t="shared" si="235"/>
        <v>78.255711238482974</v>
      </c>
    </row>
    <row r="830" spans="1:45">
      <c r="A830" s="19">
        <v>36.302933330000002</v>
      </c>
      <c r="B830" s="19">
        <v>919.12817940000002</v>
      </c>
      <c r="C830" s="19">
        <v>-579.87626520000003</v>
      </c>
      <c r="E830" s="9">
        <f t="shared" si="225"/>
        <v>40.871820599999978</v>
      </c>
      <c r="F830" s="9">
        <f t="shared" si="226"/>
        <v>-39.876265200000034</v>
      </c>
      <c r="I830">
        <v>1</v>
      </c>
      <c r="J830">
        <f t="shared" si="221"/>
        <v>3.708628399375534E-2</v>
      </c>
      <c r="K830">
        <f t="shared" si="227"/>
        <v>-0.77306963634179149</v>
      </c>
      <c r="O830">
        <f t="shared" si="228"/>
        <v>2.6539180040918802E-2</v>
      </c>
      <c r="P830">
        <f t="shared" si="229"/>
        <v>-2.5892738957222435E-2</v>
      </c>
      <c r="Q830">
        <f t="shared" si="230"/>
        <v>0.99931238258717126</v>
      </c>
      <c r="R830">
        <f t="shared" si="220"/>
        <v>1</v>
      </c>
      <c r="AG830" s="8">
        <f t="shared" si="222"/>
        <v>0.12531254903695643</v>
      </c>
      <c r="AH830" s="8">
        <f t="shared" si="223"/>
        <v>-0.16092526676973345</v>
      </c>
      <c r="AI830" s="8">
        <f t="shared" si="224"/>
        <v>0.97897896993191358</v>
      </c>
      <c r="AJ830" s="8"/>
      <c r="AK830" s="8"/>
      <c r="AL830" s="8"/>
      <c r="AN830" s="8">
        <f t="shared" si="231"/>
        <v>1</v>
      </c>
      <c r="AO830" s="8">
        <f t="shared" si="232"/>
        <v>5.3740066773107387</v>
      </c>
      <c r="AP830" s="8">
        <f t="shared" si="233"/>
        <v>0.20540249755318141</v>
      </c>
      <c r="AQ830" s="8"/>
      <c r="AR830" s="8">
        <f t="shared" si="234"/>
        <v>307.90790168502821</v>
      </c>
      <c r="AS830" s="8">
        <f t="shared" si="235"/>
        <v>78.231303788756492</v>
      </c>
    </row>
    <row r="831" spans="1:45">
      <c r="A831" s="19">
        <v>36.336300000000001</v>
      </c>
      <c r="B831" s="19">
        <v>919.67972199999997</v>
      </c>
      <c r="C831" s="19">
        <v>-580.7112601</v>
      </c>
      <c r="E831" s="9">
        <f t="shared" si="225"/>
        <v>40.32027800000003</v>
      </c>
      <c r="F831" s="9">
        <f t="shared" si="226"/>
        <v>-40.711260100000004</v>
      </c>
      <c r="I831">
        <v>1</v>
      </c>
      <c r="J831">
        <f t="shared" si="221"/>
        <v>3.7215490919046114E-2</v>
      </c>
      <c r="K831">
        <f t="shared" si="227"/>
        <v>-0.79022318677761427</v>
      </c>
      <c r="O831">
        <f t="shared" si="228"/>
        <v>2.6182003478290024E-2</v>
      </c>
      <c r="P831">
        <f t="shared" si="229"/>
        <v>-2.6435888005131539E-2</v>
      </c>
      <c r="Q831">
        <f t="shared" si="230"/>
        <v>0.99930758353934401</v>
      </c>
      <c r="R831">
        <f t="shared" si="220"/>
        <v>1</v>
      </c>
      <c r="AG831" s="8">
        <f t="shared" si="222"/>
        <v>0.12593126860078388</v>
      </c>
      <c r="AH831" s="8">
        <f t="shared" si="223"/>
        <v>-0.1610935782201959</v>
      </c>
      <c r="AI831" s="8">
        <f t="shared" si="224"/>
        <v>0.97887188878055476</v>
      </c>
      <c r="AJ831" s="8"/>
      <c r="AK831" s="8"/>
      <c r="AL831" s="8"/>
      <c r="AN831" s="8">
        <f t="shared" si="231"/>
        <v>0.99999999999999989</v>
      </c>
      <c r="AO831" s="8">
        <f t="shared" si="232"/>
        <v>5.3758883789411334</v>
      </c>
      <c r="AP831" s="8">
        <f t="shared" si="233"/>
        <v>0.20592684516915494</v>
      </c>
      <c r="AQ831" s="8"/>
      <c r="AR831" s="8">
        <f t="shared" si="234"/>
        <v>308.01571524675273</v>
      </c>
      <c r="AS831" s="8">
        <f t="shared" si="235"/>
        <v>78.20126088336346</v>
      </c>
    </row>
    <row r="832" spans="1:45">
      <c r="A832" s="19">
        <v>36.369666670000001</v>
      </c>
      <c r="B832" s="19">
        <v>919.68928000000005</v>
      </c>
      <c r="C832" s="19">
        <v>-581.72272350000003</v>
      </c>
      <c r="E832" s="9">
        <f t="shared" si="225"/>
        <v>40.310719999999947</v>
      </c>
      <c r="F832" s="9">
        <f t="shared" si="226"/>
        <v>-41.722723500000029</v>
      </c>
      <c r="I832">
        <v>1</v>
      </c>
      <c r="J832">
        <f t="shared" si="221"/>
        <v>3.7685955453591963E-2</v>
      </c>
      <c r="K832">
        <f t="shared" si="227"/>
        <v>-0.80260899862694668</v>
      </c>
      <c r="O832">
        <f t="shared" si="228"/>
        <v>2.6179238622595895E-2</v>
      </c>
      <c r="P832">
        <f t="shared" si="229"/>
        <v>-2.7096244733189872E-2</v>
      </c>
      <c r="Q832">
        <f t="shared" si="230"/>
        <v>0.9992899684208284</v>
      </c>
      <c r="R832">
        <f t="shared" si="220"/>
        <v>1</v>
      </c>
      <c r="AG832" s="8">
        <f t="shared" si="222"/>
        <v>0.1265589078621909</v>
      </c>
      <c r="AH832" s="8">
        <f t="shared" si="223"/>
        <v>-0.16089319156951118</v>
      </c>
      <c r="AI832" s="8">
        <f t="shared" si="224"/>
        <v>0.97882389823057858</v>
      </c>
      <c r="AJ832" s="8"/>
      <c r="AK832" s="8"/>
      <c r="AL832" s="8"/>
      <c r="AN832" s="8">
        <f t="shared" si="231"/>
        <v>1</v>
      </c>
      <c r="AO832" s="8">
        <f t="shared" si="232"/>
        <v>5.3789068578640551</v>
      </c>
      <c r="AP832" s="8">
        <f t="shared" si="233"/>
        <v>0.2061614153365372</v>
      </c>
      <c r="AQ832" s="8"/>
      <c r="AR832" s="8">
        <f t="shared" si="234"/>
        <v>308.18866134958535</v>
      </c>
      <c r="AS832" s="8">
        <f t="shared" si="235"/>
        <v>78.187821002772779</v>
      </c>
    </row>
    <row r="833" spans="1:45">
      <c r="A833" s="19">
        <v>36.40303333</v>
      </c>
      <c r="B833" s="19">
        <v>920.73843380000005</v>
      </c>
      <c r="C833" s="19">
        <v>-582.45130930000005</v>
      </c>
      <c r="E833" s="9">
        <f t="shared" si="225"/>
        <v>39.261566199999947</v>
      </c>
      <c r="F833" s="9">
        <f t="shared" si="226"/>
        <v>-42.451309300000048</v>
      </c>
      <c r="I833">
        <v>1</v>
      </c>
      <c r="J833">
        <f t="shared" si="221"/>
        <v>3.7560343514264675E-2</v>
      </c>
      <c r="K833">
        <f t="shared" si="227"/>
        <v>-0.82441434504793731</v>
      </c>
      <c r="O833">
        <f t="shared" si="228"/>
        <v>2.5496990401559831E-2</v>
      </c>
      <c r="P833">
        <f t="shared" si="229"/>
        <v>-2.7568452573747567E-2</v>
      </c>
      <c r="Q833">
        <f t="shared" si="230"/>
        <v>0.99929469322275088</v>
      </c>
      <c r="R833">
        <f t="shared" si="220"/>
        <v>1</v>
      </c>
      <c r="AG833" s="8">
        <f t="shared" si="222"/>
        <v>0.12720401822827088</v>
      </c>
      <c r="AH833" s="8">
        <f t="shared" si="223"/>
        <v>-0.16138819702776966</v>
      </c>
      <c r="AI833" s="8">
        <f t="shared" si="224"/>
        <v>0.97865876974904153</v>
      </c>
      <c r="AJ833" s="8"/>
      <c r="AK833" s="8"/>
      <c r="AL833" s="8"/>
      <c r="AN833" s="8">
        <f t="shared" si="231"/>
        <v>1</v>
      </c>
      <c r="AO833" s="8">
        <f t="shared" si="232"/>
        <v>5.3798850211845011</v>
      </c>
      <c r="AP833" s="8">
        <f t="shared" si="233"/>
        <v>0.20696653472091131</v>
      </c>
      <c r="AQ833" s="8"/>
      <c r="AR833" s="8">
        <f t="shared" si="234"/>
        <v>308.24470597952137</v>
      </c>
      <c r="AS833" s="8">
        <f t="shared" si="235"/>
        <v>78.141691060043968</v>
      </c>
    </row>
    <row r="834" spans="1:45">
      <c r="A834" s="19">
        <v>36.436399999999999</v>
      </c>
      <c r="B834" s="19">
        <v>920.7422689</v>
      </c>
      <c r="C834" s="19">
        <v>-582.73904040000002</v>
      </c>
      <c r="E834" s="9">
        <f t="shared" si="225"/>
        <v>39.257731100000001</v>
      </c>
      <c r="F834" s="9">
        <f t="shared" si="226"/>
        <v>-42.739040400000022</v>
      </c>
      <c r="I834">
        <v>1</v>
      </c>
      <c r="J834">
        <f t="shared" si="221"/>
        <v>3.7697586836359084E-2</v>
      </c>
      <c r="K834">
        <f t="shared" si="227"/>
        <v>-0.82782934367341798</v>
      </c>
      <c r="O834">
        <f t="shared" si="228"/>
        <v>2.5495471768519767E-2</v>
      </c>
      <c r="P834">
        <f t="shared" si="229"/>
        <v>-2.775636715112724E-2</v>
      </c>
      <c r="Q834">
        <f t="shared" si="230"/>
        <v>0.999289530117209</v>
      </c>
      <c r="R834">
        <f t="shared" si="220"/>
        <v>1</v>
      </c>
      <c r="AG834" s="8">
        <f t="shared" si="222"/>
        <v>0.12738281541812435</v>
      </c>
      <c r="AH834" s="8">
        <f t="shared" si="223"/>
        <v>-0.16133182790109463</v>
      </c>
      <c r="AI834" s="8">
        <f t="shared" si="224"/>
        <v>0.97864480770208118</v>
      </c>
      <c r="AJ834" s="8"/>
      <c r="AK834" s="8"/>
      <c r="AL834" s="8"/>
      <c r="AN834" s="8">
        <f t="shared" si="231"/>
        <v>0.99999999999999978</v>
      </c>
      <c r="AO834" s="8">
        <f t="shared" si="232"/>
        <v>5.3807378991415984</v>
      </c>
      <c r="AP834" s="8">
        <f t="shared" si="233"/>
        <v>0.20703446817048277</v>
      </c>
      <c r="AQ834" s="8"/>
      <c r="AR834" s="8">
        <f t="shared" si="234"/>
        <v>308.29357228690282</v>
      </c>
      <c r="AS834" s="8">
        <f t="shared" si="235"/>
        <v>78.137798760095762</v>
      </c>
    </row>
    <row r="835" spans="1:45">
      <c r="A835" s="19">
        <v>36.469766669999998</v>
      </c>
      <c r="B835" s="19">
        <v>921.70241529999998</v>
      </c>
      <c r="C835" s="19">
        <v>-583.74727819999998</v>
      </c>
      <c r="E835" s="9">
        <f t="shared" si="225"/>
        <v>38.297584700000016</v>
      </c>
      <c r="F835" s="9">
        <f t="shared" si="226"/>
        <v>-43.747278199999982</v>
      </c>
      <c r="I835">
        <v>1</v>
      </c>
      <c r="J835">
        <f t="shared" si="221"/>
        <v>3.7769577531627213E-2</v>
      </c>
      <c r="K835">
        <f t="shared" si="227"/>
        <v>-0.85172406933802292</v>
      </c>
      <c r="O835">
        <f t="shared" si="228"/>
        <v>2.4872411600571322E-2</v>
      </c>
      <c r="P835">
        <f t="shared" si="229"/>
        <v>-2.8411721478485301E-2</v>
      </c>
      <c r="Q835">
        <f t="shared" si="230"/>
        <v>0.99928681429497546</v>
      </c>
      <c r="R835">
        <f t="shared" si="220"/>
        <v>1</v>
      </c>
      <c r="AG835" s="8">
        <f t="shared" si="222"/>
        <v>0.12818458633924559</v>
      </c>
      <c r="AH835" s="8">
        <f t="shared" si="223"/>
        <v>-0.16171480236320063</v>
      </c>
      <c r="AI835" s="8">
        <f t="shared" si="224"/>
        <v>0.97847689524161352</v>
      </c>
      <c r="AJ835" s="8"/>
      <c r="AK835" s="8"/>
      <c r="AL835" s="8"/>
      <c r="AN835" s="8">
        <f t="shared" si="231"/>
        <v>1</v>
      </c>
      <c r="AO835" s="8">
        <f t="shared" si="232"/>
        <v>5.38263723941746</v>
      </c>
      <c r="AP835" s="8">
        <f t="shared" si="233"/>
        <v>0.20784974533798639</v>
      </c>
      <c r="AQ835" s="8"/>
      <c r="AR835" s="8">
        <f t="shared" si="234"/>
        <v>308.4023964685689</v>
      </c>
      <c r="AS835" s="8">
        <f t="shared" si="235"/>
        <v>78.091086819264419</v>
      </c>
    </row>
    <row r="836" spans="1:45">
      <c r="A836" s="19">
        <v>36.503133329999997</v>
      </c>
      <c r="B836" s="19">
        <v>921.17624369999999</v>
      </c>
      <c r="C836" s="19">
        <v>-584.73688619999996</v>
      </c>
      <c r="E836" s="9">
        <f t="shared" si="225"/>
        <v>38.823756300000014</v>
      </c>
      <c r="F836" s="9">
        <f t="shared" si="226"/>
        <v>-44.736886199999958</v>
      </c>
      <c r="I836">
        <v>1</v>
      </c>
      <c r="J836">
        <f t="shared" si="221"/>
        <v>3.8486662346368959E-2</v>
      </c>
      <c r="K836">
        <f t="shared" si="227"/>
        <v>-0.85604493009550153</v>
      </c>
      <c r="O836">
        <f t="shared" si="228"/>
        <v>2.521907377786271E-2</v>
      </c>
      <c r="P836">
        <f t="shared" si="229"/>
        <v>-2.9060115279717195E-2</v>
      </c>
      <c r="Q836">
        <f t="shared" si="230"/>
        <v>0.99925947982379248</v>
      </c>
      <c r="R836">
        <f t="shared" si="220"/>
        <v>1</v>
      </c>
      <c r="AG836" s="8">
        <f t="shared" si="222"/>
        <v>0.1286999158634255</v>
      </c>
      <c r="AH836" s="8">
        <f t="shared" si="223"/>
        <v>-0.1611900044625704</v>
      </c>
      <c r="AI836" s="8">
        <f t="shared" si="224"/>
        <v>0.97849584266776723</v>
      </c>
      <c r="AJ836" s="8"/>
      <c r="AK836" s="8"/>
      <c r="AL836" s="8"/>
      <c r="AN836" s="8">
        <f t="shared" si="231"/>
        <v>1.0000000000000002</v>
      </c>
      <c r="AO836" s="8">
        <f t="shared" si="232"/>
        <v>5.3861755872303227</v>
      </c>
      <c r="AP836" s="8">
        <f t="shared" si="233"/>
        <v>0.20775790640185798</v>
      </c>
      <c r="AQ836" s="8"/>
      <c r="AR836" s="8">
        <f t="shared" si="234"/>
        <v>308.6051288646953</v>
      </c>
      <c r="AS836" s="8">
        <f t="shared" si="235"/>
        <v>78.096348802699552</v>
      </c>
    </row>
    <row r="837" spans="1:45">
      <c r="A837" s="19">
        <v>36.536499999999997</v>
      </c>
      <c r="B837" s="19">
        <v>922.45142520000002</v>
      </c>
      <c r="C837" s="19">
        <v>-585.49176469999998</v>
      </c>
      <c r="E837" s="9">
        <f t="shared" si="225"/>
        <v>37.548574799999983</v>
      </c>
      <c r="F837" s="9">
        <f t="shared" si="226"/>
        <v>-45.491764699999976</v>
      </c>
      <c r="I837">
        <v>1</v>
      </c>
      <c r="J837">
        <f t="shared" si="221"/>
        <v>3.8323989581849113E-2</v>
      </c>
      <c r="K837">
        <f t="shared" si="227"/>
        <v>-0.8807626077229268</v>
      </c>
      <c r="O837">
        <f t="shared" si="228"/>
        <v>2.4389669645883971E-2</v>
      </c>
      <c r="P837">
        <f t="shared" si="229"/>
        <v>-2.954916714019425E-2</v>
      </c>
      <c r="Q837">
        <f t="shared" si="230"/>
        <v>0.99926572578863404</v>
      </c>
      <c r="R837">
        <f t="shared" si="220"/>
        <v>1</v>
      </c>
      <c r="AG837" s="8">
        <f t="shared" si="222"/>
        <v>0.12940328625157588</v>
      </c>
      <c r="AH837" s="8">
        <f t="shared" si="223"/>
        <v>-0.16181756502580433</v>
      </c>
      <c r="AI837" s="8">
        <f t="shared" si="224"/>
        <v>0.97829947621186653</v>
      </c>
      <c r="AJ837" s="8"/>
      <c r="AK837" s="8"/>
      <c r="AL837" s="8"/>
      <c r="AN837" s="8">
        <f t="shared" si="231"/>
        <v>1</v>
      </c>
      <c r="AO837" s="8">
        <f t="shared" si="232"/>
        <v>5.3869385992822219</v>
      </c>
      <c r="AP837" s="8">
        <f t="shared" si="233"/>
        <v>0.20870776993844942</v>
      </c>
      <c r="AQ837" s="8"/>
      <c r="AR837" s="8">
        <f t="shared" si="234"/>
        <v>308.64884623498671</v>
      </c>
      <c r="AS837" s="8">
        <f t="shared" si="235"/>
        <v>78.041925630939488</v>
      </c>
    </row>
    <row r="838" spans="1:45">
      <c r="A838" s="19">
        <v>36.569866670000003</v>
      </c>
      <c r="B838" s="19">
        <v>922.69146049999995</v>
      </c>
      <c r="C838" s="19">
        <v>-586.07912610000005</v>
      </c>
      <c r="E838" s="9">
        <f t="shared" si="225"/>
        <v>37.308539500000052</v>
      </c>
      <c r="F838" s="9">
        <f t="shared" si="226"/>
        <v>-46.079126100000053</v>
      </c>
      <c r="I838">
        <v>1</v>
      </c>
      <c r="J838">
        <f t="shared" si="221"/>
        <v>3.8522908538209021E-2</v>
      </c>
      <c r="K838">
        <f t="shared" si="227"/>
        <v>-0.89019133583238685</v>
      </c>
      <c r="O838">
        <f t="shared" si="228"/>
        <v>2.4235058604099278E-2</v>
      </c>
      <c r="P838">
        <f t="shared" si="229"/>
        <v>-2.9932297978568168E-2</v>
      </c>
      <c r="Q838">
        <f t="shared" si="230"/>
        <v>0.99925808451679698</v>
      </c>
      <c r="R838">
        <f t="shared" si="220"/>
        <v>1</v>
      </c>
      <c r="AG838" s="8">
        <f t="shared" si="222"/>
        <v>0.129811443627254</v>
      </c>
      <c r="AH838" s="8">
        <f t="shared" si="223"/>
        <v>-0.16184461438278963</v>
      </c>
      <c r="AI838" s="8">
        <f t="shared" si="224"/>
        <v>0.978240926305322</v>
      </c>
      <c r="AJ838" s="8"/>
      <c r="AK838" s="8"/>
      <c r="AL838" s="8"/>
      <c r="AN838" s="8">
        <f t="shared" si="231"/>
        <v>1</v>
      </c>
      <c r="AO838" s="8">
        <f t="shared" si="232"/>
        <v>5.3883936027585406</v>
      </c>
      <c r="AP838" s="8">
        <f t="shared" si="233"/>
        <v>0.20899016405702353</v>
      </c>
      <c r="AQ838" s="8"/>
      <c r="AR838" s="8">
        <f t="shared" si="234"/>
        <v>308.73221179335661</v>
      </c>
      <c r="AS838" s="8">
        <f t="shared" si="235"/>
        <v>78.025745639785882</v>
      </c>
    </row>
    <row r="839" spans="1:45">
      <c r="A839" s="19">
        <v>36.603233330000002</v>
      </c>
      <c r="B839" s="19">
        <v>923.17296759999999</v>
      </c>
      <c r="C839" s="19">
        <v>-586.82980110000005</v>
      </c>
      <c r="E839" s="9">
        <f t="shared" si="225"/>
        <v>36.827032400000007</v>
      </c>
      <c r="F839" s="9">
        <f t="shared" si="226"/>
        <v>-46.829801100000054</v>
      </c>
      <c r="I839">
        <v>1</v>
      </c>
      <c r="J839">
        <f t="shared" si="221"/>
        <v>3.8711072456482844E-2</v>
      </c>
      <c r="K839">
        <f t="shared" si="227"/>
        <v>-0.90440224235054656</v>
      </c>
      <c r="O839">
        <f t="shared" si="228"/>
        <v>2.3923488595140218E-2</v>
      </c>
      <c r="P839">
        <f t="shared" si="229"/>
        <v>-3.0421463243629036E-2</v>
      </c>
      <c r="Q839">
        <f t="shared" si="230"/>
        <v>0.99925081999844001</v>
      </c>
      <c r="R839">
        <f t="shared" si="220"/>
        <v>1</v>
      </c>
      <c r="AG839" s="8">
        <f t="shared" si="222"/>
        <v>0.13036546122027562</v>
      </c>
      <c r="AH839" s="8">
        <f t="shared" si="223"/>
        <v>-0.16198619425622487</v>
      </c>
      <c r="AI839" s="8">
        <f t="shared" si="224"/>
        <v>0.97814381324588939</v>
      </c>
      <c r="AJ839" s="8"/>
      <c r="AK839" s="8"/>
      <c r="AL839" s="8"/>
      <c r="AN839" s="8">
        <f t="shared" si="231"/>
        <v>1</v>
      </c>
      <c r="AO839" s="8">
        <f t="shared" si="232"/>
        <v>5.3900460552656266</v>
      </c>
      <c r="AP839" s="8">
        <f t="shared" si="233"/>
        <v>0.20945772626947767</v>
      </c>
      <c r="AQ839" s="8"/>
      <c r="AR839" s="8">
        <f t="shared" si="234"/>
        <v>308.82689034785847</v>
      </c>
      <c r="AS839" s="8">
        <f t="shared" si="235"/>
        <v>77.998956298352454</v>
      </c>
    </row>
    <row r="840" spans="1:45">
      <c r="A840" s="19">
        <v>36.636600000000001</v>
      </c>
      <c r="B840" s="19">
        <v>923.81563970000002</v>
      </c>
      <c r="C840" s="19">
        <v>-587.69168520000005</v>
      </c>
      <c r="E840" s="9">
        <f t="shared" si="225"/>
        <v>36.18436029999998</v>
      </c>
      <c r="F840" s="9">
        <f t="shared" si="226"/>
        <v>-47.691685200000052</v>
      </c>
      <c r="I840">
        <v>1</v>
      </c>
      <c r="J840">
        <f t="shared" si="221"/>
        <v>3.8901068831891358E-2</v>
      </c>
      <c r="K840">
        <f t="shared" si="227"/>
        <v>-0.92174139768168573</v>
      </c>
      <c r="O840">
        <f t="shared" si="228"/>
        <v>2.3507190153405782E-2</v>
      </c>
      <c r="P840">
        <f t="shared" si="229"/>
        <v>-3.0982930289160597E-2</v>
      </c>
      <c r="Q840">
        <f t="shared" si="230"/>
        <v>0.99924344883606253</v>
      </c>
      <c r="R840">
        <f t="shared" si="220"/>
        <v>1</v>
      </c>
      <c r="AG840" s="8">
        <f t="shared" si="222"/>
        <v>0.13101824068835</v>
      </c>
      <c r="AH840" s="8">
        <f t="shared" si="223"/>
        <v>-0.16220365451206498</v>
      </c>
      <c r="AI840" s="8">
        <f t="shared" si="224"/>
        <v>0.97802054941082928</v>
      </c>
      <c r="AJ840" s="8"/>
      <c r="AK840" s="8"/>
      <c r="AL840" s="8"/>
      <c r="AN840" s="8">
        <f t="shared" si="231"/>
        <v>1</v>
      </c>
      <c r="AO840" s="8">
        <f t="shared" si="232"/>
        <v>5.3918311287783451</v>
      </c>
      <c r="AP840" s="8">
        <f t="shared" si="233"/>
        <v>0.21004971749755241</v>
      </c>
      <c r="AQ840" s="8"/>
      <c r="AR840" s="8">
        <f t="shared" si="234"/>
        <v>308.92916752625786</v>
      </c>
      <c r="AS840" s="8">
        <f t="shared" si="235"/>
        <v>77.965037699475005</v>
      </c>
    </row>
    <row r="841" spans="1:45">
      <c r="A841" s="19">
        <v>36.669966670000001</v>
      </c>
      <c r="B841" s="19">
        <v>923.82378000000006</v>
      </c>
      <c r="C841" s="19">
        <v>-588.33221140000001</v>
      </c>
      <c r="E841" s="9">
        <f t="shared" si="225"/>
        <v>36.176219999999944</v>
      </c>
      <c r="F841" s="9">
        <f t="shared" si="226"/>
        <v>-48.332211400000006</v>
      </c>
      <c r="I841">
        <v>1</v>
      </c>
      <c r="J841">
        <f t="shared" si="221"/>
        <v>3.9233919121689824E-2</v>
      </c>
      <c r="K841">
        <f t="shared" si="227"/>
        <v>-0.92826174725378408</v>
      </c>
      <c r="O841">
        <f t="shared" si="228"/>
        <v>2.3503972868974533E-2</v>
      </c>
      <c r="P841">
        <f t="shared" si="229"/>
        <v>-3.1401815486613679E-2</v>
      </c>
      <c r="Q841">
        <f t="shared" si="230"/>
        <v>0.99923044851701714</v>
      </c>
      <c r="R841">
        <f t="shared" si="220"/>
        <v>1</v>
      </c>
      <c r="AG841" s="8">
        <f t="shared" si="222"/>
        <v>0.13141659257234642</v>
      </c>
      <c r="AH841" s="8">
        <f t="shared" si="223"/>
        <v>-0.16207755513977429</v>
      </c>
      <c r="AI841" s="8">
        <f t="shared" si="224"/>
        <v>0.97798800877954906</v>
      </c>
      <c r="AJ841" s="8"/>
      <c r="AK841" s="8"/>
      <c r="AL841" s="8"/>
      <c r="AN841" s="8">
        <f t="shared" si="231"/>
        <v>1</v>
      </c>
      <c r="AO841" s="8">
        <f t="shared" si="232"/>
        <v>5.3936959860084297</v>
      </c>
      <c r="AP841" s="8">
        <f t="shared" si="233"/>
        <v>0.21020572421170947</v>
      </c>
      <c r="AQ841" s="8"/>
      <c r="AR841" s="8">
        <f t="shared" si="234"/>
        <v>309.03601597493616</v>
      </c>
      <c r="AS841" s="8">
        <f t="shared" si="235"/>
        <v>77.956099173178103</v>
      </c>
    </row>
    <row r="842" spans="1:45">
      <c r="A842" s="19">
        <v>36.70333333</v>
      </c>
      <c r="B842" s="19">
        <v>925.13938929999995</v>
      </c>
      <c r="C842" s="19">
        <v>-589.20351630000005</v>
      </c>
      <c r="E842" s="9">
        <f t="shared" si="225"/>
        <v>34.860610700000052</v>
      </c>
      <c r="F842" s="9">
        <f t="shared" si="226"/>
        <v>-49.203516300000047</v>
      </c>
      <c r="I842">
        <v>1</v>
      </c>
      <c r="J842">
        <f t="shared" si="221"/>
        <v>3.9187786512646115E-2</v>
      </c>
      <c r="K842">
        <f t="shared" si="227"/>
        <v>-0.95438950607438278</v>
      </c>
      <c r="O842">
        <f t="shared" si="228"/>
        <v>2.2648935916250872E-2</v>
      </c>
      <c r="P842">
        <f t="shared" si="229"/>
        <v>-3.1967520509699629E-2</v>
      </c>
      <c r="Q842">
        <f t="shared" si="230"/>
        <v>0.9992322569524682</v>
      </c>
      <c r="R842">
        <f t="shared" si="220"/>
        <v>1</v>
      </c>
      <c r="AG842" s="8">
        <f t="shared" si="222"/>
        <v>0.13219979330071355</v>
      </c>
      <c r="AH842" s="8">
        <f t="shared" si="223"/>
        <v>-0.16270501707642268</v>
      </c>
      <c r="AI842" s="8">
        <f t="shared" si="224"/>
        <v>0.97777824278790826</v>
      </c>
      <c r="AJ842" s="8"/>
      <c r="AK842" s="8"/>
      <c r="AL842" s="8"/>
      <c r="AN842" s="8">
        <f t="shared" si="231"/>
        <v>1</v>
      </c>
      <c r="AO842" s="8">
        <f t="shared" si="232"/>
        <v>5.3947128170061545</v>
      </c>
      <c r="AP842" s="8">
        <f t="shared" si="233"/>
        <v>0.21120866225381874</v>
      </c>
      <c r="AQ842" s="8"/>
      <c r="AR842" s="8">
        <f t="shared" si="234"/>
        <v>309.09427609958385</v>
      </c>
      <c r="AS842" s="8">
        <f t="shared" si="235"/>
        <v>77.898635056252132</v>
      </c>
    </row>
    <row r="843" spans="1:45">
      <c r="A843" s="19">
        <v>36.736699999999999</v>
      </c>
      <c r="B843" s="19">
        <v>924.81837240000004</v>
      </c>
      <c r="C843" s="19">
        <v>-589.98951910000005</v>
      </c>
      <c r="E843" s="9">
        <f t="shared" si="225"/>
        <v>35.181627599999956</v>
      </c>
      <c r="F843" s="9">
        <f t="shared" si="226"/>
        <v>-49.989519100000052</v>
      </c>
      <c r="I843">
        <v>1</v>
      </c>
      <c r="J843">
        <f t="shared" si="221"/>
        <v>3.9731304275573809E-2</v>
      </c>
      <c r="K843">
        <f t="shared" si="227"/>
        <v>-0.95753790075388401</v>
      </c>
      <c r="O843">
        <f t="shared" si="228"/>
        <v>2.2860747543953747E-2</v>
      </c>
      <c r="P843">
        <f t="shared" si="229"/>
        <v>-3.2482800084802123E-2</v>
      </c>
      <c r="Q843">
        <f t="shared" si="230"/>
        <v>0.99921081555414637</v>
      </c>
      <c r="R843">
        <f t="shared" si="220"/>
        <v>1</v>
      </c>
      <c r="AG843" s="8">
        <f t="shared" si="222"/>
        <v>0.13262755713340177</v>
      </c>
      <c r="AH843" s="8">
        <f t="shared" si="223"/>
        <v>-0.16234745200961095</v>
      </c>
      <c r="AI843" s="8">
        <f t="shared" si="224"/>
        <v>0.97777974816152402</v>
      </c>
      <c r="AJ843" s="8"/>
      <c r="AK843" s="8"/>
      <c r="AL843" s="8"/>
      <c r="AN843" s="8">
        <f t="shared" si="231"/>
        <v>1</v>
      </c>
      <c r="AO843" s="8">
        <f t="shared" si="232"/>
        <v>5.397372070210622</v>
      </c>
      <c r="AP843" s="8">
        <f t="shared" si="233"/>
        <v>0.2112014814414982</v>
      </c>
      <c r="AQ843" s="8"/>
      <c r="AR843" s="8">
        <f t="shared" si="234"/>
        <v>309.24664008485649</v>
      </c>
      <c r="AS843" s="8">
        <f t="shared" si="235"/>
        <v>77.899046486491571</v>
      </c>
    </row>
    <row r="844" spans="1:45">
      <c r="A844" s="19">
        <v>36.770066669999999</v>
      </c>
      <c r="B844" s="19">
        <v>925.05593339999996</v>
      </c>
      <c r="C844" s="19">
        <v>-590.69343960000003</v>
      </c>
      <c r="E844" s="9">
        <f t="shared" si="225"/>
        <v>34.944066600000042</v>
      </c>
      <c r="F844" s="9">
        <f t="shared" si="226"/>
        <v>-50.693439600000033</v>
      </c>
      <c r="I844">
        <v>1</v>
      </c>
      <c r="J844">
        <f t="shared" si="221"/>
        <v>4.0021635615788267E-2</v>
      </c>
      <c r="K844">
        <f t="shared" si="227"/>
        <v>-0.96727330165481329</v>
      </c>
      <c r="O844">
        <f t="shared" si="228"/>
        <v>2.2708081703777611E-2</v>
      </c>
      <c r="P844">
        <f t="shared" si="229"/>
        <v>-3.2942667533787121E-2</v>
      </c>
      <c r="Q844">
        <f t="shared" si="230"/>
        <v>0.99919924123324522</v>
      </c>
      <c r="R844">
        <f t="shared" si="220"/>
        <v>1</v>
      </c>
      <c r="AG844" s="8">
        <f t="shared" si="222"/>
        <v>0.13310779713116044</v>
      </c>
      <c r="AH844" s="8">
        <f t="shared" si="223"/>
        <v>-0.16234873475955625</v>
      </c>
      <c r="AI844" s="8">
        <f t="shared" si="224"/>
        <v>0.97771427455308291</v>
      </c>
      <c r="AJ844" s="8"/>
      <c r="AK844" s="8"/>
      <c r="AL844" s="8"/>
      <c r="AN844" s="8">
        <f t="shared" si="231"/>
        <v>1</v>
      </c>
      <c r="AO844" s="8">
        <f t="shared" si="232"/>
        <v>5.3991397219894433</v>
      </c>
      <c r="AP844" s="8">
        <f t="shared" si="233"/>
        <v>0.21151357647085445</v>
      </c>
      <c r="AQ844" s="8"/>
      <c r="AR844" s="8">
        <f t="shared" si="234"/>
        <v>309.3479190714317</v>
      </c>
      <c r="AS844" s="8">
        <f t="shared" si="235"/>
        <v>77.88116475850245</v>
      </c>
    </row>
    <row r="845" spans="1:45">
      <c r="A845" s="19">
        <v>36.803433329999997</v>
      </c>
      <c r="B845" s="19">
        <v>925.68575350000003</v>
      </c>
      <c r="C845" s="19">
        <v>-591.47180370000001</v>
      </c>
      <c r="E845" s="9">
        <f t="shared" si="225"/>
        <v>34.314246499999967</v>
      </c>
      <c r="F845" s="9">
        <f t="shared" si="226"/>
        <v>-51.471803700000009</v>
      </c>
      <c r="I845">
        <v>1</v>
      </c>
      <c r="J845">
        <f t="shared" si="221"/>
        <v>4.021276807129813E-2</v>
      </c>
      <c r="K845">
        <f t="shared" si="227"/>
        <v>-0.98279761440949109</v>
      </c>
      <c r="O845">
        <f t="shared" si="228"/>
        <v>2.2299888943098596E-2</v>
      </c>
      <c r="P845">
        <f t="shared" si="229"/>
        <v>-3.3450115426867162E-2</v>
      </c>
      <c r="Q845">
        <f t="shared" si="230"/>
        <v>0.99919157559051441</v>
      </c>
      <c r="R845">
        <f t="shared" si="220"/>
        <v>1</v>
      </c>
      <c r="AG845" s="8">
        <f t="shared" si="222"/>
        <v>0.13370679388383561</v>
      </c>
      <c r="AH845" s="8">
        <f t="shared" si="223"/>
        <v>-0.16257489668102595</v>
      </c>
      <c r="AI845" s="8">
        <f t="shared" si="224"/>
        <v>0.97759495510076111</v>
      </c>
      <c r="AJ845" s="8"/>
      <c r="AK845" s="8"/>
      <c r="AL845" s="8"/>
      <c r="AN845" s="8">
        <f t="shared" si="231"/>
        <v>1</v>
      </c>
      <c r="AO845" s="8">
        <f t="shared" si="232"/>
        <v>5.4006590817001987</v>
      </c>
      <c r="AP845" s="8">
        <f t="shared" si="233"/>
        <v>0.21208117660485648</v>
      </c>
      <c r="AQ845" s="8"/>
      <c r="AR845" s="8">
        <f t="shared" si="234"/>
        <v>309.43497197042024</v>
      </c>
      <c r="AS845" s="8">
        <f t="shared" si="235"/>
        <v>77.848643666373064</v>
      </c>
    </row>
    <row r="846" spans="1:45">
      <c r="A846" s="19">
        <v>36.836799999999997</v>
      </c>
      <c r="B846" s="19">
        <v>926.11098660000005</v>
      </c>
      <c r="C846" s="19">
        <v>-592.40898719999996</v>
      </c>
      <c r="E846" s="9">
        <f t="shared" si="225"/>
        <v>33.889013399999953</v>
      </c>
      <c r="F846" s="9">
        <f t="shared" si="226"/>
        <v>-52.408987199999956</v>
      </c>
      <c r="I846">
        <v>1</v>
      </c>
      <c r="J846">
        <f t="shared" si="221"/>
        <v>4.0574225575398477E-2</v>
      </c>
      <c r="K846">
        <f t="shared" si="227"/>
        <v>-0.99679664946071189</v>
      </c>
      <c r="O846">
        <f t="shared" si="228"/>
        <v>2.2025559385216033E-2</v>
      </c>
      <c r="P846">
        <f t="shared" si="229"/>
        <v>-3.4062285799462896E-2</v>
      </c>
      <c r="Q846">
        <f t="shared" si="230"/>
        <v>0.99917697902818203</v>
      </c>
      <c r="R846">
        <f t="shared" si="220"/>
        <v>1</v>
      </c>
      <c r="AG846" s="8">
        <f t="shared" si="222"/>
        <v>0.13436649296002623</v>
      </c>
      <c r="AH846" s="8">
        <f t="shared" si="223"/>
        <v>-0.16264312616818899</v>
      </c>
      <c r="AI846" s="8">
        <f t="shared" si="224"/>
        <v>0.97749315040048335</v>
      </c>
      <c r="AJ846" s="8"/>
      <c r="AK846" s="8"/>
      <c r="AL846" s="8"/>
      <c r="AN846" s="8">
        <f t="shared" si="231"/>
        <v>1.0000000000000002</v>
      </c>
      <c r="AO846" s="8">
        <f t="shared" si="232"/>
        <v>5.4028687944537541</v>
      </c>
      <c r="AP846" s="8">
        <f t="shared" si="233"/>
        <v>0.21256427915875853</v>
      </c>
      <c r="AQ846" s="8"/>
      <c r="AR846" s="8">
        <f t="shared" si="234"/>
        <v>309.5615791851352</v>
      </c>
      <c r="AS846" s="8">
        <f t="shared" si="235"/>
        <v>77.820963928962499</v>
      </c>
    </row>
    <row r="847" spans="1:45">
      <c r="A847" s="19">
        <v>36.870166670000003</v>
      </c>
      <c r="B847" s="19">
        <v>926.61518679999995</v>
      </c>
      <c r="C847" s="19">
        <v>-592.86924710000005</v>
      </c>
      <c r="E847" s="9">
        <f t="shared" si="225"/>
        <v>33.384813200000053</v>
      </c>
      <c r="F847" s="9">
        <f t="shared" si="226"/>
        <v>-52.869247100000052</v>
      </c>
      <c r="I847">
        <v>1</v>
      </c>
      <c r="J847">
        <f t="shared" si="221"/>
        <v>4.0650686213762971E-2</v>
      </c>
      <c r="K847">
        <f t="shared" si="227"/>
        <v>-1.0075651208536527</v>
      </c>
      <c r="O847">
        <f t="shared" si="228"/>
        <v>2.1698280978622003E-2</v>
      </c>
      <c r="P847">
        <f t="shared" si="229"/>
        <v>-3.4362084694965309E-2</v>
      </c>
      <c r="Q847">
        <f t="shared" si="230"/>
        <v>0.99917387462742879</v>
      </c>
      <c r="R847">
        <f t="shared" si="220"/>
        <v>1</v>
      </c>
      <c r="AG847" s="8">
        <f t="shared" si="222"/>
        <v>0.1347451458977853</v>
      </c>
      <c r="AH847" s="8">
        <f t="shared" si="223"/>
        <v>-0.16285739882699046</v>
      </c>
      <c r="AI847" s="8">
        <f t="shared" si="224"/>
        <v>0.9774053474911476</v>
      </c>
      <c r="AJ847" s="8"/>
      <c r="AK847" s="8"/>
      <c r="AL847" s="8"/>
      <c r="AN847" s="8">
        <f t="shared" si="231"/>
        <v>0.99999999999999989</v>
      </c>
      <c r="AO847" s="8">
        <f t="shared" si="232"/>
        <v>5.4036042085801235</v>
      </c>
      <c r="AP847" s="8">
        <f t="shared" si="233"/>
        <v>0.21298007097027405</v>
      </c>
      <c r="AQ847" s="8"/>
      <c r="AR847" s="8">
        <f t="shared" si="234"/>
        <v>309.60371531077044</v>
      </c>
      <c r="AS847" s="8">
        <f t="shared" si="235"/>
        <v>77.79714081300655</v>
      </c>
    </row>
    <row r="848" spans="1:45">
      <c r="A848" s="19">
        <v>36.903533330000002</v>
      </c>
      <c r="B848" s="19">
        <v>927.4442004</v>
      </c>
      <c r="C848" s="19">
        <v>-593.8005349</v>
      </c>
      <c r="E848" s="9">
        <f t="shared" si="225"/>
        <v>32.5557996</v>
      </c>
      <c r="F848" s="9">
        <f t="shared" si="226"/>
        <v>-53.800534900000002</v>
      </c>
      <c r="I848">
        <v>1</v>
      </c>
      <c r="J848">
        <f t="shared" si="221"/>
        <v>4.0884802754545618E-2</v>
      </c>
      <c r="K848">
        <f t="shared" si="227"/>
        <v>-1.0266203519128123</v>
      </c>
      <c r="O848">
        <f t="shared" si="228"/>
        <v>2.1160708446983194E-2</v>
      </c>
      <c r="P848">
        <f t="shared" si="229"/>
        <v>-3.4969420112496458E-2</v>
      </c>
      <c r="Q848">
        <f t="shared" si="230"/>
        <v>0.99916433286773076</v>
      </c>
      <c r="R848">
        <f t="shared" si="220"/>
        <v>1</v>
      </c>
      <c r="AG848" s="8">
        <f t="shared" si="222"/>
        <v>0.1354760239295105</v>
      </c>
      <c r="AH848" s="8">
        <f t="shared" si="223"/>
        <v>-0.16317377099345037</v>
      </c>
      <c r="AI848" s="8">
        <f t="shared" si="224"/>
        <v>0.97725153742525661</v>
      </c>
      <c r="AJ848" s="8"/>
      <c r="AK848" s="8"/>
      <c r="AL848" s="8"/>
      <c r="AN848" s="8">
        <f t="shared" si="231"/>
        <v>1</v>
      </c>
      <c r="AO848" s="8">
        <f t="shared" si="232"/>
        <v>5.4053084527306776</v>
      </c>
      <c r="AP848" s="8">
        <f t="shared" si="233"/>
        <v>0.21370652024216885</v>
      </c>
      <c r="AQ848" s="8"/>
      <c r="AR848" s="8">
        <f t="shared" si="234"/>
        <v>309.70136130785704</v>
      </c>
      <c r="AS848" s="8">
        <f t="shared" si="235"/>
        <v>77.755518335696635</v>
      </c>
    </row>
    <row r="849" spans="1:45">
      <c r="A849" s="19">
        <v>36.936900000000001</v>
      </c>
      <c r="B849" s="19">
        <v>927.73721230000001</v>
      </c>
      <c r="C849" s="19">
        <v>-594.71378760000005</v>
      </c>
      <c r="E849" s="9">
        <f t="shared" si="225"/>
        <v>32.26278769999999</v>
      </c>
      <c r="F849" s="9">
        <f t="shared" si="226"/>
        <v>-54.713787600000046</v>
      </c>
      <c r="I849">
        <v>1</v>
      </c>
      <c r="J849">
        <f t="shared" si="221"/>
        <v>4.1301349676208902E-2</v>
      </c>
      <c r="K849">
        <f t="shared" si="227"/>
        <v>-1.0380109932154713</v>
      </c>
      <c r="O849">
        <f t="shared" si="228"/>
        <v>2.0972420158379738E-2</v>
      </c>
      <c r="P849">
        <f t="shared" si="229"/>
        <v>-3.5566689173717886E-2</v>
      </c>
      <c r="Q849">
        <f t="shared" si="230"/>
        <v>0.99914722049051441</v>
      </c>
      <c r="R849">
        <f t="shared" si="220"/>
        <v>1</v>
      </c>
      <c r="AG849" s="8">
        <f t="shared" si="222"/>
        <v>0.13609667159582067</v>
      </c>
      <c r="AH849" s="8">
        <f t="shared" si="223"/>
        <v>-0.16316570816373613</v>
      </c>
      <c r="AI849" s="8">
        <f t="shared" si="224"/>
        <v>0.9771666427278235</v>
      </c>
      <c r="AJ849" s="8"/>
      <c r="AK849" s="8"/>
      <c r="AL849" s="8"/>
      <c r="AN849" s="8">
        <f t="shared" si="231"/>
        <v>1</v>
      </c>
      <c r="AO849" s="8">
        <f t="shared" si="232"/>
        <v>5.4075801031288373</v>
      </c>
      <c r="AP849" s="8">
        <f t="shared" si="233"/>
        <v>0.21410644069930407</v>
      </c>
      <c r="AQ849" s="8"/>
      <c r="AR849" s="8">
        <f t="shared" si="234"/>
        <v>309.83151728820081</v>
      </c>
      <c r="AS849" s="8">
        <f t="shared" si="235"/>
        <v>77.732604581361841</v>
      </c>
    </row>
    <row r="850" spans="1:45">
      <c r="A850" s="19">
        <v>36.970266670000001</v>
      </c>
      <c r="B850" s="19">
        <v>927.79881929999999</v>
      </c>
      <c r="C850" s="19">
        <v>-595.07999940000002</v>
      </c>
      <c r="E850" s="9">
        <f t="shared" si="225"/>
        <v>32.201180700000009</v>
      </c>
      <c r="F850" s="9">
        <f t="shared" si="226"/>
        <v>-55.07999940000002</v>
      </c>
      <c r="I850">
        <v>1</v>
      </c>
      <c r="J850">
        <f t="shared" si="221"/>
        <v>4.1488423652196356E-2</v>
      </c>
      <c r="K850">
        <f t="shared" si="227"/>
        <v>-1.0417582017835916</v>
      </c>
      <c r="O850">
        <f t="shared" si="228"/>
        <v>2.0933333376596738E-2</v>
      </c>
      <c r="P850">
        <f t="shared" si="229"/>
        <v>-3.5806388609314212E-2</v>
      </c>
      <c r="Q850">
        <f t="shared" si="230"/>
        <v>0.99913947879588016</v>
      </c>
      <c r="R850">
        <f t="shared" si="220"/>
        <v>1</v>
      </c>
      <c r="AG850" s="8">
        <f t="shared" si="222"/>
        <v>0.13633523331038999</v>
      </c>
      <c r="AH850" s="8">
        <f t="shared" si="223"/>
        <v>-0.16312825552077836</v>
      </c>
      <c r="AI850" s="8">
        <f t="shared" si="224"/>
        <v>0.97713964017889954</v>
      </c>
      <c r="AJ850" s="8"/>
      <c r="AK850" s="8"/>
      <c r="AL850" s="8"/>
      <c r="AN850" s="8">
        <f t="shared" si="231"/>
        <v>1.0000000000000002</v>
      </c>
      <c r="AO850" s="8">
        <f t="shared" si="232"/>
        <v>5.4085546568566469</v>
      </c>
      <c r="AP850" s="8">
        <f t="shared" si="233"/>
        <v>0.21423348973686118</v>
      </c>
      <c r="AQ850" s="8"/>
      <c r="AR850" s="8">
        <f t="shared" si="234"/>
        <v>309.88735510371305</v>
      </c>
      <c r="AS850" s="8">
        <f t="shared" si="235"/>
        <v>77.725325207718612</v>
      </c>
    </row>
    <row r="851" spans="1:45">
      <c r="A851" s="19">
        <v>37.00363333</v>
      </c>
      <c r="B851" s="19">
        <v>928.54571840000006</v>
      </c>
      <c r="C851" s="19">
        <v>-595.95377050000002</v>
      </c>
      <c r="E851" s="9">
        <f t="shared" si="225"/>
        <v>31.454281599999945</v>
      </c>
      <c r="F851" s="9">
        <f t="shared" si="226"/>
        <v>-55.953770500000019</v>
      </c>
      <c r="I851">
        <v>1</v>
      </c>
      <c r="J851">
        <f t="shared" si="221"/>
        <v>4.1742509889712245E-2</v>
      </c>
      <c r="K851">
        <f t="shared" si="227"/>
        <v>-1.0586745536713171</v>
      </c>
      <c r="O851">
        <f t="shared" si="228"/>
        <v>2.044905524272982E-2</v>
      </c>
      <c r="P851">
        <f t="shared" si="229"/>
        <v>-3.637666116633001E-2</v>
      </c>
      <c r="Q851">
        <f t="shared" si="230"/>
        <v>0.99912890793033804</v>
      </c>
      <c r="R851">
        <f t="shared" si="220"/>
        <v>1</v>
      </c>
      <c r="AG851" s="8">
        <f t="shared" si="222"/>
        <v>0.13701547898109401</v>
      </c>
      <c r="AH851" s="8">
        <f t="shared" si="223"/>
        <v>-0.16340588526987812</v>
      </c>
      <c r="AI851" s="8">
        <f t="shared" si="224"/>
        <v>0.97699809374366176</v>
      </c>
      <c r="AJ851" s="8"/>
      <c r="AK851" s="8"/>
      <c r="AL851" s="8"/>
      <c r="AN851" s="8">
        <f t="shared" si="231"/>
        <v>1</v>
      </c>
      <c r="AO851" s="8">
        <f t="shared" si="232"/>
        <v>5.4101674206807271</v>
      </c>
      <c r="AP851" s="8">
        <f t="shared" si="233"/>
        <v>0.21489826644396892</v>
      </c>
      <c r="AQ851" s="8"/>
      <c r="AR851" s="8">
        <f t="shared" si="234"/>
        <v>309.97975966418426</v>
      </c>
      <c r="AS851" s="8">
        <f t="shared" si="235"/>
        <v>77.687236308082731</v>
      </c>
    </row>
    <row r="852" spans="1:45">
      <c r="A852" s="19">
        <v>37.036999999999999</v>
      </c>
      <c r="B852" s="19">
        <v>929.06581540000002</v>
      </c>
      <c r="C852" s="19">
        <v>-596.89518629999998</v>
      </c>
      <c r="E852" s="9">
        <f t="shared" si="225"/>
        <v>30.93418459999998</v>
      </c>
      <c r="F852" s="9">
        <f t="shared" si="226"/>
        <v>-56.895186299999978</v>
      </c>
      <c r="I852">
        <v>1</v>
      </c>
      <c r="J852">
        <f t="shared" si="221"/>
        <v>4.2118682613577471E-2</v>
      </c>
      <c r="K852">
        <f t="shared" si="227"/>
        <v>-1.0727991443647109</v>
      </c>
      <c r="O852">
        <f t="shared" si="228"/>
        <v>2.0112754413393101E-2</v>
      </c>
      <c r="P852">
        <f t="shared" si="229"/>
        <v>-3.6992050191494236E-2</v>
      </c>
      <c r="Q852">
        <f t="shared" si="230"/>
        <v>0.99911313940541113</v>
      </c>
      <c r="R852">
        <f t="shared" si="220"/>
        <v>1</v>
      </c>
      <c r="AG852" s="8">
        <f t="shared" si="222"/>
        <v>0.13769582717596635</v>
      </c>
      <c r="AH852" s="8">
        <f t="shared" si="223"/>
        <v>-0.16353075717649299</v>
      </c>
      <c r="AI852" s="8">
        <f t="shared" si="224"/>
        <v>0.97688154380948833</v>
      </c>
      <c r="AJ852" s="8"/>
      <c r="AK852" s="8"/>
      <c r="AL852" s="8"/>
      <c r="AN852" s="8">
        <f t="shared" si="231"/>
        <v>1</v>
      </c>
      <c r="AO852" s="8">
        <f t="shared" si="232"/>
        <v>5.412230741373623</v>
      </c>
      <c r="AP852" s="8">
        <f t="shared" si="233"/>
        <v>0.21544413024394515</v>
      </c>
      <c r="AQ852" s="8"/>
      <c r="AR852" s="8">
        <f t="shared" si="234"/>
        <v>310.09797923166917</v>
      </c>
      <c r="AS852" s="8">
        <f t="shared" si="235"/>
        <v>77.655960616155127</v>
      </c>
    </row>
    <row r="853" spans="1:45">
      <c r="A853" s="19">
        <v>37.070366669999999</v>
      </c>
      <c r="B853" s="19">
        <v>929.62827479999999</v>
      </c>
      <c r="C853" s="19">
        <v>-597.43148299999996</v>
      </c>
      <c r="E853" s="9">
        <f t="shared" si="225"/>
        <v>30.371725200000014</v>
      </c>
      <c r="F853" s="9">
        <f t="shared" si="226"/>
        <v>-57.431482999999957</v>
      </c>
      <c r="I853">
        <v>1</v>
      </c>
      <c r="J853">
        <f t="shared" si="221"/>
        <v>4.225464951227971E-2</v>
      </c>
      <c r="K853">
        <f t="shared" si="227"/>
        <v>-1.0843484251071083</v>
      </c>
      <c r="O853">
        <f t="shared" si="228"/>
        <v>1.9747697421987648E-2</v>
      </c>
      <c r="P853">
        <f t="shared" si="229"/>
        <v>-3.7341953455446976E-2</v>
      </c>
      <c r="Q853">
        <f t="shared" si="230"/>
        <v>0.99910740511651741</v>
      </c>
      <c r="R853">
        <f t="shared" si="220"/>
        <v>1</v>
      </c>
      <c r="AG853" s="8">
        <f t="shared" si="222"/>
        <v>0.13813269915021847</v>
      </c>
      <c r="AH853" s="8">
        <f t="shared" si="223"/>
        <v>-0.1637646406335895</v>
      </c>
      <c r="AI853" s="8">
        <f t="shared" si="224"/>
        <v>0.97678068157781794</v>
      </c>
      <c r="AJ853" s="8"/>
      <c r="AK853" s="8"/>
      <c r="AL853" s="8"/>
      <c r="AN853" s="8">
        <f t="shared" si="231"/>
        <v>1</v>
      </c>
      <c r="AO853" s="8">
        <f t="shared" si="232"/>
        <v>5.4130874332773855</v>
      </c>
      <c r="AP853" s="8">
        <f t="shared" si="233"/>
        <v>0.21591542375027828</v>
      </c>
      <c r="AQ853" s="8"/>
      <c r="AR853" s="8">
        <f t="shared" si="234"/>
        <v>310.1470640620978</v>
      </c>
      <c r="AS853" s="8">
        <f t="shared" si="235"/>
        <v>77.628957487330325</v>
      </c>
    </row>
    <row r="854" spans="1:45">
      <c r="A854" s="19">
        <v>37.103733329999997</v>
      </c>
      <c r="B854" s="19">
        <v>929.69024820000004</v>
      </c>
      <c r="C854" s="19">
        <v>-598.47568769999998</v>
      </c>
      <c r="E854" s="9">
        <f t="shared" si="225"/>
        <v>30.309751799999958</v>
      </c>
      <c r="F854" s="9">
        <f t="shared" si="226"/>
        <v>-58.47568769999998</v>
      </c>
      <c r="I854">
        <v>1</v>
      </c>
      <c r="J854">
        <f t="shared" si="221"/>
        <v>4.2843952031723982E-2</v>
      </c>
      <c r="K854">
        <f t="shared" si="227"/>
        <v>-1.0925918248005515</v>
      </c>
      <c r="O854">
        <f t="shared" si="228"/>
        <v>1.9710148519407767E-2</v>
      </c>
      <c r="P854">
        <f t="shared" si="229"/>
        <v>-3.8026193581087227E-2</v>
      </c>
      <c r="Q854">
        <f t="shared" si="230"/>
        <v>0.99908233827201476</v>
      </c>
      <c r="R854">
        <f t="shared" si="220"/>
        <v>1</v>
      </c>
      <c r="AG854" s="8">
        <f t="shared" si="222"/>
        <v>0.13879221307857603</v>
      </c>
      <c r="AH854" s="8">
        <f t="shared" si="223"/>
        <v>-0.16358805983421593</v>
      </c>
      <c r="AI854" s="8">
        <f t="shared" si="224"/>
        <v>0.9767167799666534</v>
      </c>
      <c r="AJ854" s="8"/>
      <c r="AK854" s="8"/>
      <c r="AL854" s="8"/>
      <c r="AN854" s="8">
        <f t="shared" si="231"/>
        <v>0.99999999999999989</v>
      </c>
      <c r="AO854" s="8">
        <f t="shared" si="232"/>
        <v>5.4159680126973502</v>
      </c>
      <c r="AP854" s="8">
        <f t="shared" si="233"/>
        <v>0.21621349002738599</v>
      </c>
      <c r="AQ854" s="8"/>
      <c r="AR854" s="8">
        <f t="shared" si="234"/>
        <v>310.31210910541404</v>
      </c>
      <c r="AS854" s="8">
        <f t="shared" si="235"/>
        <v>77.611879547636875</v>
      </c>
    </row>
    <row r="855" spans="1:45">
      <c r="A855" s="19">
        <v>37.137099999999997</v>
      </c>
      <c r="B855" s="19">
        <v>930.61076960000003</v>
      </c>
      <c r="C855" s="19">
        <v>-599.5218175</v>
      </c>
      <c r="E855" s="9">
        <f t="shared" si="225"/>
        <v>29.389230399999974</v>
      </c>
      <c r="F855" s="9">
        <f t="shared" si="226"/>
        <v>-59.521817499999997</v>
      </c>
      <c r="I855">
        <v>1</v>
      </c>
      <c r="J855">
        <f t="shared" si="221"/>
        <v>4.3184458457387727E-2</v>
      </c>
      <c r="K855">
        <f t="shared" si="227"/>
        <v>-1.1121567090063493</v>
      </c>
      <c r="O855">
        <f t="shared" si="228"/>
        <v>1.9113058190318718E-2</v>
      </c>
      <c r="P855">
        <f t="shared" si="229"/>
        <v>-3.8709552648613484E-2</v>
      </c>
      <c r="Q855">
        <f t="shared" si="230"/>
        <v>0.99906769617496782</v>
      </c>
      <c r="R855">
        <f t="shared" si="220"/>
        <v>1</v>
      </c>
      <c r="AG855" s="8">
        <f t="shared" si="222"/>
        <v>0.13961193461655547</v>
      </c>
      <c r="AH855" s="8">
        <f t="shared" si="223"/>
        <v>-0.16393602242395958</v>
      </c>
      <c r="AI855" s="8">
        <f t="shared" si="224"/>
        <v>0.97654159576765276</v>
      </c>
      <c r="AJ855" s="8"/>
      <c r="AK855" s="8"/>
      <c r="AL855" s="8"/>
      <c r="AN855" s="8">
        <f t="shared" si="231"/>
        <v>1</v>
      </c>
      <c r="AO855" s="8">
        <f t="shared" si="232"/>
        <v>5.4178254001329025</v>
      </c>
      <c r="AP855" s="8">
        <f t="shared" si="233"/>
        <v>0.21702856242161039</v>
      </c>
      <c r="AQ855" s="8"/>
      <c r="AR855" s="8">
        <f t="shared" si="234"/>
        <v>310.41852956639178</v>
      </c>
      <c r="AS855" s="8">
        <f t="shared" si="235"/>
        <v>77.565179339450182</v>
      </c>
    </row>
    <row r="856" spans="1:45">
      <c r="A856" s="19">
        <v>37.170466670000003</v>
      </c>
      <c r="B856" s="19">
        <v>930.36608609999996</v>
      </c>
      <c r="C856" s="19">
        <v>-599.93864699999995</v>
      </c>
      <c r="E856" s="9">
        <f t="shared" si="225"/>
        <v>29.633913900000039</v>
      </c>
      <c r="F856" s="9">
        <f t="shared" si="226"/>
        <v>-59.938646999999946</v>
      </c>
      <c r="I856">
        <v>1</v>
      </c>
      <c r="J856">
        <f t="shared" si="221"/>
        <v>4.3501457858142245E-2</v>
      </c>
      <c r="K856">
        <f t="shared" si="227"/>
        <v>-1.1116354362687482</v>
      </c>
      <c r="O856">
        <f t="shared" si="228"/>
        <v>1.9273594768293857E-2</v>
      </c>
      <c r="P856">
        <f t="shared" si="229"/>
        <v>-3.8983483489091544E-2</v>
      </c>
      <c r="Q856">
        <f t="shared" si="230"/>
        <v>0.99905396078478326</v>
      </c>
      <c r="R856">
        <f t="shared" si="220"/>
        <v>1</v>
      </c>
      <c r="AG856" s="8">
        <f t="shared" si="222"/>
        <v>0.13982538796533481</v>
      </c>
      <c r="AH856" s="8">
        <f t="shared" si="223"/>
        <v>-0.16370074238573989</v>
      </c>
      <c r="AI856" s="8">
        <f t="shared" si="224"/>
        <v>0.9765505249718015</v>
      </c>
      <c r="AJ856" s="8"/>
      <c r="AK856" s="8"/>
      <c r="AL856" s="8"/>
      <c r="AN856" s="8">
        <f t="shared" si="231"/>
        <v>0.99999999999999989</v>
      </c>
      <c r="AO856" s="8">
        <f t="shared" si="232"/>
        <v>5.4192888136570554</v>
      </c>
      <c r="AP856" s="8">
        <f t="shared" si="233"/>
        <v>0.21698709076506661</v>
      </c>
      <c r="AQ856" s="8"/>
      <c r="AR856" s="8">
        <f t="shared" si="234"/>
        <v>310.50237698500814</v>
      </c>
      <c r="AS856" s="8">
        <f t="shared" si="235"/>
        <v>77.567555490339558</v>
      </c>
    </row>
    <row r="857" spans="1:45">
      <c r="A857" s="19">
        <v>37.203833330000002</v>
      </c>
      <c r="B857" s="19">
        <v>931.4072195</v>
      </c>
      <c r="C857" s="19">
        <v>-600.53955910000002</v>
      </c>
      <c r="E857" s="9">
        <f t="shared" si="225"/>
        <v>28.592780500000003</v>
      </c>
      <c r="F857" s="9">
        <f t="shared" si="226"/>
        <v>-60.539559100000019</v>
      </c>
      <c r="I857">
        <v>1</v>
      </c>
      <c r="J857">
        <f t="shared" si="221"/>
        <v>4.3559320688596838E-2</v>
      </c>
      <c r="K857">
        <f t="shared" si="227"/>
        <v>-1.1295539714176204</v>
      </c>
      <c r="O857">
        <f t="shared" si="228"/>
        <v>1.8596698861425173E-2</v>
      </c>
      <c r="P857">
        <f t="shared" si="229"/>
        <v>-3.9374832740948447E-2</v>
      </c>
      <c r="Q857">
        <f t="shared" si="230"/>
        <v>0.99905144278864833</v>
      </c>
      <c r="R857">
        <f t="shared" si="220"/>
        <v>1</v>
      </c>
      <c r="AG857" s="8">
        <f t="shared" si="222"/>
        <v>0.14039119479464107</v>
      </c>
      <c r="AH857" s="8">
        <f t="shared" si="223"/>
        <v>-0.16421378457157329</v>
      </c>
      <c r="AI857" s="8">
        <f t="shared" si="224"/>
        <v>0.97638319597421075</v>
      </c>
      <c r="AJ857" s="8"/>
      <c r="AK857" s="8"/>
      <c r="AL857" s="8"/>
      <c r="AN857" s="8">
        <f t="shared" si="231"/>
        <v>1</v>
      </c>
      <c r="AO857" s="8">
        <f t="shared" si="232"/>
        <v>5.4197378718960012</v>
      </c>
      <c r="AP857" s="8">
        <f t="shared" si="233"/>
        <v>0.2177629575979505</v>
      </c>
      <c r="AQ857" s="8"/>
      <c r="AR857" s="8">
        <f t="shared" si="234"/>
        <v>310.52810612685528</v>
      </c>
      <c r="AS857" s="8">
        <f t="shared" si="235"/>
        <v>77.523101595351136</v>
      </c>
    </row>
    <row r="858" spans="1:45">
      <c r="A858" s="19">
        <v>37.237200000000001</v>
      </c>
      <c r="B858" s="19">
        <v>930.99197330000004</v>
      </c>
      <c r="C858" s="19">
        <v>-601.16142349999996</v>
      </c>
      <c r="E858" s="9">
        <f t="shared" si="225"/>
        <v>29.008026699999959</v>
      </c>
      <c r="F858" s="9">
        <f t="shared" si="226"/>
        <v>-61.161423499999955</v>
      </c>
      <c r="I858">
        <v>1</v>
      </c>
      <c r="J858">
        <f t="shared" si="221"/>
        <v>4.4045772547454495E-2</v>
      </c>
      <c r="K858">
        <f t="shared" si="227"/>
        <v>-1.1279304472739813</v>
      </c>
      <c r="O858">
        <f t="shared" si="228"/>
        <v>1.8868859881664937E-2</v>
      </c>
      <c r="P858">
        <f t="shared" si="229"/>
        <v>-3.9783689601494684E-2</v>
      </c>
      <c r="Q858">
        <f t="shared" si="230"/>
        <v>0.99903014177173755</v>
      </c>
      <c r="R858">
        <f t="shared" si="220"/>
        <v>1</v>
      </c>
      <c r="AG858" s="8">
        <f t="shared" si="222"/>
        <v>0.14070039579928267</v>
      </c>
      <c r="AH858" s="8">
        <f t="shared" si="223"/>
        <v>-0.16383207880623965</v>
      </c>
      <c r="AI858" s="8">
        <f t="shared" si="224"/>
        <v>0.97640281061452872</v>
      </c>
      <c r="AJ858" s="8"/>
      <c r="AK858" s="8"/>
      <c r="AL858" s="8"/>
      <c r="AN858" s="8">
        <f t="shared" si="231"/>
        <v>0.99999999999999989</v>
      </c>
      <c r="AO858" s="8">
        <f t="shared" si="232"/>
        <v>5.4219747057201486</v>
      </c>
      <c r="AP858" s="8">
        <f t="shared" si="233"/>
        <v>0.21767214976026161</v>
      </c>
      <c r="AQ858" s="8"/>
      <c r="AR858" s="8">
        <f t="shared" si="234"/>
        <v>310.65626726445106</v>
      </c>
      <c r="AS858" s="8">
        <f t="shared" si="235"/>
        <v>77.528304501197411</v>
      </c>
    </row>
    <row r="859" spans="1:45">
      <c r="A859" s="19">
        <v>37.270566670000001</v>
      </c>
      <c r="B859" s="19">
        <v>931.78228669999999</v>
      </c>
      <c r="C859" s="19">
        <v>-601.8336789</v>
      </c>
      <c r="E859" s="9">
        <f t="shared" si="225"/>
        <v>28.217713300000014</v>
      </c>
      <c r="F859" s="9">
        <f t="shared" si="226"/>
        <v>-61.833678899999995</v>
      </c>
      <c r="I859">
        <v>1</v>
      </c>
      <c r="J859">
        <f t="shared" si="221"/>
        <v>4.4227359826543876E-2</v>
      </c>
      <c r="K859">
        <f t="shared" si="227"/>
        <v>-1.1426754547986364</v>
      </c>
      <c r="O859">
        <f t="shared" si="228"/>
        <v>1.835553390466433E-2</v>
      </c>
      <c r="P859">
        <f t="shared" si="229"/>
        <v>-4.0222613981235569E-2</v>
      </c>
      <c r="Q859">
        <f t="shared" si="230"/>
        <v>0.99902212973466775</v>
      </c>
      <c r="R859">
        <f t="shared" ref="R859:R922" si="236">SQRT(O859^2+P859^2+Q859^2)</f>
        <v>1</v>
      </c>
      <c r="AG859" s="8">
        <f t="shared" si="222"/>
        <v>0.14126415767347392</v>
      </c>
      <c r="AH859" s="8">
        <f t="shared" si="223"/>
        <v>-0.16417700909575328</v>
      </c>
      <c r="AI859" s="8">
        <f t="shared" si="224"/>
        <v>0.97626346210496728</v>
      </c>
      <c r="AJ859" s="8"/>
      <c r="AK859" s="8"/>
      <c r="AL859" s="8"/>
      <c r="AN859" s="8">
        <f t="shared" si="231"/>
        <v>1</v>
      </c>
      <c r="AO859" s="8">
        <f t="shared" si="232"/>
        <v>5.4229117864987844</v>
      </c>
      <c r="AP859" s="8">
        <f t="shared" si="233"/>
        <v>0.21831647087603412</v>
      </c>
      <c r="AQ859" s="8"/>
      <c r="AR859" s="8">
        <f t="shared" si="234"/>
        <v>310.70995803812968</v>
      </c>
      <c r="AS859" s="8">
        <f t="shared" si="235"/>
        <v>77.491387620612485</v>
      </c>
    </row>
    <row r="860" spans="1:45">
      <c r="A860" s="19">
        <v>37.30393333</v>
      </c>
      <c r="B860" s="19">
        <v>932.64804100000003</v>
      </c>
      <c r="C860" s="19">
        <v>-602.69336929999997</v>
      </c>
      <c r="E860" s="9">
        <f t="shared" si="225"/>
        <v>27.351958999999965</v>
      </c>
      <c r="F860" s="9">
        <f t="shared" si="226"/>
        <v>-62.693369299999972</v>
      </c>
      <c r="I860">
        <v>1</v>
      </c>
      <c r="J860">
        <f t="shared" si="221"/>
        <v>4.45116396602755E-2</v>
      </c>
      <c r="K860">
        <f t="shared" si="227"/>
        <v>-1.1594090595100579</v>
      </c>
      <c r="O860">
        <f t="shared" si="228"/>
        <v>1.7793492446666975E-2</v>
      </c>
      <c r="P860">
        <f t="shared" si="229"/>
        <v>-4.0784427656375709E-2</v>
      </c>
      <c r="Q860">
        <f t="shared" si="230"/>
        <v>0.99900952051884484</v>
      </c>
      <c r="R860">
        <f t="shared" si="236"/>
        <v>1</v>
      </c>
      <c r="AG860" s="8">
        <f t="shared" si="222"/>
        <v>0.14195835325967099</v>
      </c>
      <c r="AH860" s="8">
        <f t="shared" si="223"/>
        <v>-0.16452938217398949</v>
      </c>
      <c r="AI860" s="8">
        <f t="shared" si="224"/>
        <v>0.97610343116969311</v>
      </c>
      <c r="AJ860" s="8"/>
      <c r="AK860" s="8"/>
      <c r="AL860" s="8"/>
      <c r="AN860" s="8">
        <f t="shared" si="231"/>
        <v>1</v>
      </c>
      <c r="AO860" s="8">
        <f t="shared" si="232"/>
        <v>5.4242756971121358</v>
      </c>
      <c r="AP860" s="8">
        <f t="shared" si="233"/>
        <v>0.21905412277810665</v>
      </c>
      <c r="AQ860" s="8"/>
      <c r="AR860" s="8">
        <f t="shared" si="234"/>
        <v>310.78810435990783</v>
      </c>
      <c r="AS860" s="8">
        <f t="shared" si="235"/>
        <v>77.44912327987393</v>
      </c>
    </row>
    <row r="861" spans="1:45">
      <c r="A861" s="19">
        <v>37.337299999999999</v>
      </c>
      <c r="B861" s="19">
        <v>932.95700350000004</v>
      </c>
      <c r="C861" s="19">
        <v>-603.70633659999999</v>
      </c>
      <c r="E861" s="9">
        <f t="shared" si="225"/>
        <v>27.042996499999958</v>
      </c>
      <c r="F861" s="9">
        <f t="shared" si="226"/>
        <v>-63.706336599999986</v>
      </c>
      <c r="I861">
        <v>1</v>
      </c>
      <c r="J861">
        <f t="shared" si="221"/>
        <v>4.5043294751332369E-2</v>
      </c>
      <c r="K861">
        <f t="shared" si="227"/>
        <v>-1.1693538272262782</v>
      </c>
      <c r="O861">
        <f t="shared" si="228"/>
        <v>1.7594561775684189E-2</v>
      </c>
      <c r="P861">
        <f t="shared" si="229"/>
        <v>-4.1448257215550531E-2</v>
      </c>
      <c r="Q861">
        <f t="shared" si="230"/>
        <v>0.99898572230523652</v>
      </c>
      <c r="R861">
        <f t="shared" si="236"/>
        <v>1</v>
      </c>
      <c r="AG861" s="8">
        <f t="shared" si="222"/>
        <v>0.14264469374929695</v>
      </c>
      <c r="AH861" s="8">
        <f t="shared" si="223"/>
        <v>-0.16450984366700475</v>
      </c>
      <c r="AI861" s="8">
        <f t="shared" si="224"/>
        <v>0.97600666118722101</v>
      </c>
      <c r="AJ861" s="8"/>
      <c r="AK861" s="8"/>
      <c r="AL861" s="8"/>
      <c r="AN861" s="8">
        <f t="shared" si="231"/>
        <v>0.99999999999999978</v>
      </c>
      <c r="AO861" s="8">
        <f t="shared" si="232"/>
        <v>5.4267208709524937</v>
      </c>
      <c r="AP861" s="8">
        <f t="shared" si="233"/>
        <v>0.21949899404961282</v>
      </c>
      <c r="AQ861" s="8"/>
      <c r="AR861" s="8">
        <f t="shared" si="234"/>
        <v>310.92820250113613</v>
      </c>
      <c r="AS861" s="8">
        <f t="shared" si="235"/>
        <v>77.423634033590019</v>
      </c>
    </row>
    <row r="862" spans="1:45">
      <c r="A862" s="19">
        <v>37.370666669999999</v>
      </c>
      <c r="B862" s="19">
        <v>933.64079179999999</v>
      </c>
      <c r="C862" s="19">
        <v>-603.99163280000005</v>
      </c>
      <c r="E862" s="9">
        <f t="shared" si="225"/>
        <v>26.359208200000012</v>
      </c>
      <c r="F862" s="9">
        <f t="shared" si="226"/>
        <v>-63.991632800000048</v>
      </c>
      <c r="I862">
        <v>1</v>
      </c>
      <c r="J862">
        <f t="shared" si="221"/>
        <v>4.5042895311485268E-2</v>
      </c>
      <c r="K862">
        <f t="shared" si="227"/>
        <v>-1.1800595177682229</v>
      </c>
      <c r="O862">
        <f t="shared" si="228"/>
        <v>1.7149677793619599E-2</v>
      </c>
      <c r="P862">
        <f t="shared" si="229"/>
        <v>-4.1633871384938625E-2</v>
      </c>
      <c r="Q862">
        <f t="shared" si="230"/>
        <v>0.99898574029116027</v>
      </c>
      <c r="R862">
        <f t="shared" si="236"/>
        <v>1</v>
      </c>
      <c r="AG862" s="8">
        <f t="shared" si="222"/>
        <v>0.1429485759333286</v>
      </c>
      <c r="AH862" s="8">
        <f t="shared" si="223"/>
        <v>-0.16486899630257912</v>
      </c>
      <c r="AI862" s="8">
        <f t="shared" si="224"/>
        <v>0.97590159273197907</v>
      </c>
      <c r="AJ862" s="8"/>
      <c r="AK862" s="8"/>
      <c r="AL862" s="8"/>
      <c r="AN862" s="8">
        <f t="shared" si="231"/>
        <v>1</v>
      </c>
      <c r="AO862" s="8">
        <f t="shared" si="232"/>
        <v>5.426694781336197</v>
      </c>
      <c r="AP862" s="8">
        <f t="shared" si="233"/>
        <v>0.21998101276431559</v>
      </c>
      <c r="AQ862" s="8"/>
      <c r="AR862" s="8">
        <f t="shared" si="234"/>
        <v>310.92670767623321</v>
      </c>
      <c r="AS862" s="8">
        <f t="shared" si="235"/>
        <v>77.396016395591232</v>
      </c>
    </row>
    <row r="863" spans="1:45">
      <c r="A863" s="19">
        <v>37.404033329999997</v>
      </c>
      <c r="B863" s="19">
        <v>933.43128049999996</v>
      </c>
      <c r="C863" s="19">
        <v>-605.23468309999998</v>
      </c>
      <c r="E863" s="9">
        <f t="shared" si="225"/>
        <v>26.568719500000043</v>
      </c>
      <c r="F863" s="9">
        <f t="shared" si="226"/>
        <v>-65.234683099999984</v>
      </c>
      <c r="I863">
        <v>1</v>
      </c>
      <c r="J863">
        <f t="shared" si="221"/>
        <v>4.5851799121321743E-2</v>
      </c>
      <c r="K863">
        <f t="shared" si="227"/>
        <v>-1.1840307027726722</v>
      </c>
      <c r="O863">
        <f t="shared" si="228"/>
        <v>1.7289006554054302E-2</v>
      </c>
      <c r="P863">
        <f t="shared" si="229"/>
        <v>-4.2450027133131243E-2</v>
      </c>
      <c r="Q863">
        <f t="shared" si="230"/>
        <v>0.99894899041381002</v>
      </c>
      <c r="R863">
        <f t="shared" si="236"/>
        <v>1</v>
      </c>
      <c r="AG863" s="8">
        <f t="shared" si="222"/>
        <v>0.14368187577001654</v>
      </c>
      <c r="AH863" s="8">
        <f t="shared" si="223"/>
        <v>-0.16448519684815846</v>
      </c>
      <c r="AI863" s="8">
        <f t="shared" si="224"/>
        <v>0.97585866732484994</v>
      </c>
      <c r="AJ863" s="8"/>
      <c r="AK863" s="8"/>
      <c r="AL863" s="8"/>
      <c r="AN863" s="8">
        <f t="shared" si="231"/>
        <v>1</v>
      </c>
      <c r="AO863" s="8">
        <f t="shared" si="232"/>
        <v>5.430382778429844</v>
      </c>
      <c r="AP863" s="8">
        <f t="shared" si="233"/>
        <v>0.2201776413645431</v>
      </c>
      <c r="AQ863" s="8"/>
      <c r="AR863" s="8">
        <f t="shared" si="234"/>
        <v>311.1380143445557</v>
      </c>
      <c r="AS863" s="8">
        <f t="shared" si="235"/>
        <v>77.384750406666626</v>
      </c>
    </row>
    <row r="864" spans="1:45">
      <c r="A864" s="19">
        <v>37.437399999999997</v>
      </c>
      <c r="B864" s="19">
        <v>934.08813580000003</v>
      </c>
      <c r="C864" s="19">
        <v>-605.95962350000002</v>
      </c>
      <c r="E864" s="9">
        <f t="shared" si="225"/>
        <v>25.911864199999968</v>
      </c>
      <c r="F864" s="9">
        <f t="shared" si="226"/>
        <v>-65.959623500000021</v>
      </c>
      <c r="I864">
        <v>1</v>
      </c>
      <c r="J864">
        <f t="shared" ref="J864:J927" si="237">ATAN((SQRT(E864^2+F864^2)^$B$16)/($F$24))</f>
        <v>4.6134097019635049E-2</v>
      </c>
      <c r="K864">
        <f t="shared" si="227"/>
        <v>-1.1964738092911813</v>
      </c>
      <c r="O864">
        <f t="shared" si="228"/>
        <v>1.6862582381971643E-2</v>
      </c>
      <c r="P864">
        <f t="shared" si="229"/>
        <v>-4.2924336765881331E-2</v>
      </c>
      <c r="Q864">
        <f t="shared" si="230"/>
        <v>0.99893601127831022</v>
      </c>
      <c r="R864">
        <f t="shared" si="236"/>
        <v>1</v>
      </c>
      <c r="AG864" s="8">
        <f t="shared" ref="AG864:AG927" si="238">$O864*$Z$27+$P864*$Z$31+$Q864*$Z$35</f>
        <v>0.14425395500771937</v>
      </c>
      <c r="AH864" s="8">
        <f t="shared" ref="AH864:AH927" si="239">$O864*$AA$27+$P864*$AA$31+$Q864*$AA$35</f>
        <v>-0.16473736060985988</v>
      </c>
      <c r="AI864" s="8">
        <f t="shared" ref="AI864:AI927" si="240">$AB$27*$O864+$P864*$AB$31+$AB$35*$Q864</f>
        <v>0.97573172464767577</v>
      </c>
      <c r="AJ864" s="8"/>
      <c r="AK864" s="8"/>
      <c r="AL864" s="8"/>
      <c r="AN864" s="8">
        <f t="shared" si="231"/>
        <v>0.99999999999999989</v>
      </c>
      <c r="AO864" s="8">
        <f t="shared" si="232"/>
        <v>5.4315927930022632</v>
      </c>
      <c r="AP864" s="8">
        <f t="shared" si="233"/>
        <v>0.22075812004747397</v>
      </c>
      <c r="AQ864" s="8"/>
      <c r="AR864" s="8">
        <f t="shared" si="234"/>
        <v>311.20734307270465</v>
      </c>
      <c r="AS864" s="8">
        <f t="shared" si="235"/>
        <v>77.351491428037377</v>
      </c>
    </row>
    <row r="865" spans="1:45">
      <c r="A865" s="19">
        <v>37.470766670000003</v>
      </c>
      <c r="B865" s="19">
        <v>934.6735271</v>
      </c>
      <c r="C865" s="19">
        <v>-606.56802170000003</v>
      </c>
      <c r="E865" s="9">
        <f t="shared" ref="E865:E928" si="241">-(B865-($B$15/2))</f>
        <v>25.326472899999999</v>
      </c>
      <c r="F865" s="9">
        <f t="shared" ref="F865:F928" si="242">(($C$15/2)+C865)</f>
        <v>-66.568021700000031</v>
      </c>
      <c r="I865">
        <v>1</v>
      </c>
      <c r="J865">
        <f t="shared" si="237"/>
        <v>4.6368541809092362E-2</v>
      </c>
      <c r="K865">
        <f t="shared" ref="K865:K928" si="243">ATAN2(E865,F865)</f>
        <v>-1.2072473767548513</v>
      </c>
      <c r="O865">
        <f t="shared" ref="O865:O928" si="244">COS(K865)*SIN(J865)</f>
        <v>1.6482442362114439E-2</v>
      </c>
      <c r="P865">
        <f t="shared" ref="P865:P928" si="245">SIN(K865)*SIN(J865)</f>
        <v>-4.3322399655193737E-2</v>
      </c>
      <c r="Q865">
        <f t="shared" ref="Q865:Q928" si="246">COS(J865)</f>
        <v>0.99892517176307816</v>
      </c>
      <c r="R865">
        <f t="shared" si="236"/>
        <v>1</v>
      </c>
      <c r="AG865" s="8">
        <f t="shared" si="238"/>
        <v>0.14474043980634529</v>
      </c>
      <c r="AH865" s="8">
        <f t="shared" si="239"/>
        <v>-0.1649697798791111</v>
      </c>
      <c r="AI865" s="8">
        <f t="shared" si="240"/>
        <v>0.97562040610644429</v>
      </c>
      <c r="AJ865" s="8"/>
      <c r="AK865" s="8"/>
      <c r="AL865" s="8"/>
      <c r="AN865" s="8">
        <f t="shared" ref="AN865:AN928" si="247">AG865^2+AH865^2+AI865^2</f>
        <v>0.99999999999999989</v>
      </c>
      <c r="AO865" s="8">
        <f t="shared" ref="AO865:AO928" si="248">IF(ATAN2(AG865,AH865)&gt;=0,ATAN2(AG865,AH865),ATAN2(AG865,AH865)+2*PI())</f>
        <v>5.4325628018101773</v>
      </c>
      <c r="AP865" s="8">
        <f t="shared" ref="AP865:AP928" si="249">ACOS(AI865/AN865)</f>
        <v>0.2212659204086842</v>
      </c>
      <c r="AQ865" s="8"/>
      <c r="AR865" s="8">
        <f t="shared" ref="AR865:AR928" si="250">DEGREES(AO865)</f>
        <v>311.26292048348864</v>
      </c>
      <c r="AS865" s="8">
        <f t="shared" ref="AS865:AS928" si="251">90-DEGREES(AP865)</f>
        <v>77.322396610504811</v>
      </c>
    </row>
    <row r="866" spans="1:45">
      <c r="A866" s="19">
        <v>37.504133330000002</v>
      </c>
      <c r="B866" s="19">
        <v>935.47202019999997</v>
      </c>
      <c r="C866" s="19">
        <v>-607.55696350000005</v>
      </c>
      <c r="E866" s="9">
        <f t="shared" si="241"/>
        <v>24.527979800000026</v>
      </c>
      <c r="F866" s="9">
        <f t="shared" si="242"/>
        <v>-67.556963500000052</v>
      </c>
      <c r="I866">
        <v>1</v>
      </c>
      <c r="J866">
        <f t="shared" si="237"/>
        <v>4.6795371942282935E-2</v>
      </c>
      <c r="K866">
        <f t="shared" si="243"/>
        <v>-1.2225246776226639</v>
      </c>
      <c r="O866">
        <f t="shared" si="244"/>
        <v>1.5964203244088142E-2</v>
      </c>
      <c r="P866">
        <f t="shared" si="245"/>
        <v>-4.3969911287493953E-2</v>
      </c>
      <c r="Q866">
        <f t="shared" si="246"/>
        <v>0.99890529637005698</v>
      </c>
      <c r="R866">
        <f t="shared" si="236"/>
        <v>1</v>
      </c>
      <c r="AG866" s="8">
        <f t="shared" si="238"/>
        <v>0.14550292670270937</v>
      </c>
      <c r="AH866" s="8">
        <f t="shared" si="239"/>
        <v>-0.16525396467443587</v>
      </c>
      <c r="AI866" s="8">
        <f t="shared" si="240"/>
        <v>0.97545887944101795</v>
      </c>
      <c r="AJ866" s="8"/>
      <c r="AK866" s="8"/>
      <c r="AL866" s="8"/>
      <c r="AN866" s="8">
        <f t="shared" si="247"/>
        <v>1.0000000000000002</v>
      </c>
      <c r="AO866" s="8">
        <f t="shared" si="248"/>
        <v>5.4343146758602208</v>
      </c>
      <c r="AP866" s="8">
        <f t="shared" si="249"/>
        <v>0.22200072276858696</v>
      </c>
      <c r="AQ866" s="8"/>
      <c r="AR866" s="8">
        <f t="shared" si="250"/>
        <v>311.36329547279462</v>
      </c>
      <c r="AS866" s="8">
        <f t="shared" si="251"/>
        <v>77.280295536506131</v>
      </c>
    </row>
    <row r="867" spans="1:45">
      <c r="A867" s="19">
        <v>37.537500000000001</v>
      </c>
      <c r="B867" s="19">
        <v>935.43776879999996</v>
      </c>
      <c r="C867" s="19">
        <v>-608.01329940000005</v>
      </c>
      <c r="E867" s="9">
        <f t="shared" si="241"/>
        <v>24.562231200000042</v>
      </c>
      <c r="F867" s="9">
        <f t="shared" si="242"/>
        <v>-68.013299400000051</v>
      </c>
      <c r="I867">
        <v>1</v>
      </c>
      <c r="J867">
        <f t="shared" si="237"/>
        <v>4.7085357801471404E-2</v>
      </c>
      <c r="K867">
        <f t="shared" si="243"/>
        <v>-1.2242330995827182</v>
      </c>
      <c r="O867">
        <f t="shared" si="244"/>
        <v>1.5987451061333171E-2</v>
      </c>
      <c r="P867">
        <f t="shared" si="245"/>
        <v>-4.4269565204536454E-2</v>
      </c>
      <c r="Q867">
        <f t="shared" si="246"/>
        <v>0.99889168932630668</v>
      </c>
      <c r="R867">
        <f t="shared" si="236"/>
        <v>1</v>
      </c>
      <c r="AG867" s="8">
        <f t="shared" si="238"/>
        <v>0.14578012334081367</v>
      </c>
      <c r="AH867" s="8">
        <f t="shared" si="239"/>
        <v>-0.16513907712922843</v>
      </c>
      <c r="AI867" s="8">
        <f t="shared" si="240"/>
        <v>0.97543694867666553</v>
      </c>
      <c r="AJ867" s="8"/>
      <c r="AK867" s="8"/>
      <c r="AL867" s="8"/>
      <c r="AN867" s="8">
        <f t="shared" si="247"/>
        <v>0.99999999999999989</v>
      </c>
      <c r="AO867" s="8">
        <f t="shared" si="248"/>
        <v>5.4356038011980425</v>
      </c>
      <c r="AP867" s="8">
        <f t="shared" si="249"/>
        <v>0.22210030383886648</v>
      </c>
      <c r="AQ867" s="8"/>
      <c r="AR867" s="8">
        <f t="shared" si="250"/>
        <v>311.4371569139152</v>
      </c>
      <c r="AS867" s="8">
        <f t="shared" si="251"/>
        <v>77.274589961459711</v>
      </c>
    </row>
    <row r="868" spans="1:45">
      <c r="A868" s="19">
        <v>37.570866670000001</v>
      </c>
      <c r="B868" s="19">
        <v>936.69198329999995</v>
      </c>
      <c r="C868" s="19">
        <v>-609.20299399999999</v>
      </c>
      <c r="E868" s="9">
        <f t="shared" si="241"/>
        <v>23.308016700000053</v>
      </c>
      <c r="F868" s="9">
        <f t="shared" si="242"/>
        <v>-69.20299399999999</v>
      </c>
      <c r="I868">
        <v>1</v>
      </c>
      <c r="J868">
        <f t="shared" si="237"/>
        <v>4.755261896553329E-2</v>
      </c>
      <c r="K868">
        <f t="shared" si="243"/>
        <v>-1.2459232055862663</v>
      </c>
      <c r="O868">
        <f t="shared" si="244"/>
        <v>1.5172531669549504E-2</v>
      </c>
      <c r="P868">
        <f t="shared" si="245"/>
        <v>-4.5048218027604295E-2</v>
      </c>
      <c r="Q868">
        <f t="shared" si="246"/>
        <v>0.99886958725114561</v>
      </c>
      <c r="R868">
        <f t="shared" si="236"/>
        <v>1</v>
      </c>
      <c r="AG868" s="8">
        <f t="shared" si="238"/>
        <v>0.14675202624479891</v>
      </c>
      <c r="AH868" s="8">
        <f t="shared" si="239"/>
        <v>-0.16566011262157992</v>
      </c>
      <c r="AI868" s="8">
        <f t="shared" si="240"/>
        <v>0.97520283524980134</v>
      </c>
      <c r="AJ868" s="8"/>
      <c r="AK868" s="8"/>
      <c r="AL868" s="8"/>
      <c r="AN868" s="8">
        <f t="shared" si="247"/>
        <v>0.99999999999999989</v>
      </c>
      <c r="AO868" s="8">
        <f t="shared" si="248"/>
        <v>5.4373379878990402</v>
      </c>
      <c r="AP868" s="8">
        <f t="shared" si="249"/>
        <v>0.22316061976942936</v>
      </c>
      <c r="AQ868" s="8"/>
      <c r="AR868" s="8">
        <f t="shared" si="250"/>
        <v>311.53651849277009</v>
      </c>
      <c r="AS868" s="8">
        <f t="shared" si="251"/>
        <v>77.213838333687974</v>
      </c>
    </row>
    <row r="869" spans="1:45">
      <c r="A869" s="19">
        <v>37.60423333</v>
      </c>
      <c r="B869" s="19">
        <v>936.06124090000003</v>
      </c>
      <c r="C869" s="19">
        <v>-609.70830249999995</v>
      </c>
      <c r="E869" s="9">
        <f t="shared" si="241"/>
        <v>23.93875909999997</v>
      </c>
      <c r="F869" s="9">
        <f t="shared" si="242"/>
        <v>-69.708302499999945</v>
      </c>
      <c r="I869">
        <v>1</v>
      </c>
      <c r="J869">
        <f t="shared" si="237"/>
        <v>4.8001074451504366E-2</v>
      </c>
      <c r="K869">
        <f t="shared" si="243"/>
        <v>-1.2400013882933865</v>
      </c>
      <c r="O869">
        <f t="shared" si="244"/>
        <v>1.5584521271014787E-2</v>
      </c>
      <c r="P869">
        <f t="shared" si="245"/>
        <v>-4.538123795554564E-2</v>
      </c>
      <c r="Q869">
        <f t="shared" si="246"/>
        <v>0.99884816961256706</v>
      </c>
      <c r="R869">
        <f t="shared" si="236"/>
        <v>1</v>
      </c>
      <c r="AG869" s="8">
        <f t="shared" si="238"/>
        <v>0.14694904355778771</v>
      </c>
      <c r="AH869" s="8">
        <f t="shared" si="239"/>
        <v>-0.1651707901672945</v>
      </c>
      <c r="AI869" s="8">
        <f t="shared" si="240"/>
        <v>0.97525616566775064</v>
      </c>
      <c r="AJ869" s="8"/>
      <c r="AK869" s="8"/>
      <c r="AL869" s="8"/>
      <c r="AN869" s="8">
        <f t="shared" si="247"/>
        <v>1.0000000000000002</v>
      </c>
      <c r="AO869" s="8">
        <f t="shared" si="248"/>
        <v>5.4394727235688434</v>
      </c>
      <c r="AP869" s="8">
        <f t="shared" si="249"/>
        <v>0.22291951883946659</v>
      </c>
      <c r="AQ869" s="8"/>
      <c r="AR869" s="8">
        <f t="shared" si="250"/>
        <v>311.65882983702585</v>
      </c>
      <c r="AS869" s="8">
        <f t="shared" si="251"/>
        <v>77.227652399411525</v>
      </c>
    </row>
    <row r="870" spans="1:45">
      <c r="A870" s="19">
        <v>37.637599999999999</v>
      </c>
      <c r="B870" s="19">
        <v>937.42722160000005</v>
      </c>
      <c r="C870" s="19">
        <v>-610.43663849999996</v>
      </c>
      <c r="E870" s="9">
        <f t="shared" si="241"/>
        <v>22.572778399999947</v>
      </c>
      <c r="F870" s="9">
        <f t="shared" si="242"/>
        <v>-70.436638499999958</v>
      </c>
      <c r="I870">
        <v>1</v>
      </c>
      <c r="J870">
        <f t="shared" si="237"/>
        <v>4.817281958763954E-2</v>
      </c>
      <c r="K870">
        <f t="shared" si="243"/>
        <v>-1.2606677563340218</v>
      </c>
      <c r="O870">
        <f t="shared" si="244"/>
        <v>1.4695747495478809E-2</v>
      </c>
      <c r="P870">
        <f t="shared" si="245"/>
        <v>-4.585696255390178E-2</v>
      </c>
      <c r="Q870">
        <f t="shared" si="246"/>
        <v>0.99883991409578698</v>
      </c>
      <c r="R870">
        <f t="shared" si="236"/>
        <v>1</v>
      </c>
      <c r="AG870" s="8">
        <f t="shared" si="238"/>
        <v>0.14765512153395227</v>
      </c>
      <c r="AH870" s="8">
        <f t="shared" si="239"/>
        <v>-0.16585498364031215</v>
      </c>
      <c r="AI870" s="8">
        <f t="shared" si="240"/>
        <v>0.97503337865247752</v>
      </c>
      <c r="AJ870" s="8"/>
      <c r="AK870" s="8"/>
      <c r="AL870" s="8"/>
      <c r="AN870" s="8">
        <f t="shared" si="247"/>
        <v>1</v>
      </c>
      <c r="AO870" s="8">
        <f t="shared" si="248"/>
        <v>5.4398003089600326</v>
      </c>
      <c r="AP870" s="8">
        <f t="shared" si="249"/>
        <v>0.22392502009110582</v>
      </c>
      <c r="AQ870" s="8"/>
      <c r="AR870" s="8">
        <f t="shared" si="250"/>
        <v>311.67759909737111</v>
      </c>
      <c r="AS870" s="8">
        <f t="shared" si="251"/>
        <v>77.170041421397471</v>
      </c>
    </row>
    <row r="871" spans="1:45">
      <c r="A871" s="19">
        <v>37.670966669999999</v>
      </c>
      <c r="B871" s="19">
        <v>937.67432129999997</v>
      </c>
      <c r="C871" s="19">
        <v>-611.00360690000002</v>
      </c>
      <c r="E871" s="9">
        <f t="shared" si="241"/>
        <v>22.325678700000026</v>
      </c>
      <c r="F871" s="9">
        <f t="shared" si="242"/>
        <v>-71.003606900000023</v>
      </c>
      <c r="I871">
        <v>1</v>
      </c>
      <c r="J871">
        <f t="shared" si="237"/>
        <v>4.8479251979111654E-2</v>
      </c>
      <c r="K871">
        <f t="shared" si="243"/>
        <v>-1.2661539471072805</v>
      </c>
      <c r="O871">
        <f t="shared" si="244"/>
        <v>1.4535755267105639E-2</v>
      </c>
      <c r="P871">
        <f t="shared" si="245"/>
        <v>-4.6228876929066104E-2</v>
      </c>
      <c r="Q871">
        <f t="shared" si="246"/>
        <v>0.99882511119649575</v>
      </c>
      <c r="R871">
        <f t="shared" si="236"/>
        <v>1</v>
      </c>
      <c r="AG871" s="8">
        <f t="shared" si="238"/>
        <v>0.14805336139252223</v>
      </c>
      <c r="AH871" s="8">
        <f t="shared" si="239"/>
        <v>-0.16588905830162176</v>
      </c>
      <c r="AI871" s="8">
        <f t="shared" si="240"/>
        <v>0.97496719048190361</v>
      </c>
      <c r="AJ871" s="8"/>
      <c r="AK871" s="8"/>
      <c r="AL871" s="8"/>
      <c r="AN871" s="8">
        <f t="shared" si="247"/>
        <v>1.0000000000000002</v>
      </c>
      <c r="AO871" s="8">
        <f t="shared" si="248"/>
        <v>5.4410361473752369</v>
      </c>
      <c r="AP871" s="8">
        <f t="shared" si="249"/>
        <v>0.22422289186923949</v>
      </c>
      <c r="AQ871" s="8"/>
      <c r="AR871" s="8">
        <f t="shared" si="250"/>
        <v>311.74840742272249</v>
      </c>
      <c r="AS871" s="8">
        <f t="shared" si="251"/>
        <v>77.152974625674361</v>
      </c>
    </row>
    <row r="872" spans="1:45">
      <c r="A872" s="19">
        <v>37.704333329999997</v>
      </c>
      <c r="B872" s="19">
        <v>937.78416010000001</v>
      </c>
      <c r="C872" s="19">
        <v>-611.7349451</v>
      </c>
      <c r="E872" s="9">
        <f t="shared" si="241"/>
        <v>22.215839899999992</v>
      </c>
      <c r="F872" s="9">
        <f t="shared" si="242"/>
        <v>-71.734945100000004</v>
      </c>
      <c r="I872">
        <v>1</v>
      </c>
      <c r="J872">
        <f t="shared" si="237"/>
        <v>4.8917187710352784E-2</v>
      </c>
      <c r="K872">
        <f t="shared" si="243"/>
        <v>-1.2704703891538185</v>
      </c>
      <c r="O872">
        <f t="shared" si="244"/>
        <v>1.4465477829658561E-2</v>
      </c>
      <c r="P872">
        <f t="shared" si="245"/>
        <v>-4.6709026650656814E-2</v>
      </c>
      <c r="Q872">
        <f t="shared" si="246"/>
        <v>0.99880379293458221</v>
      </c>
      <c r="R872">
        <f t="shared" si="236"/>
        <v>1</v>
      </c>
      <c r="AG872" s="8">
        <f t="shared" si="238"/>
        <v>0.14852831100082126</v>
      </c>
      <c r="AH872" s="8">
        <f t="shared" si="239"/>
        <v>-0.16580542617170924</v>
      </c>
      <c r="AI872" s="8">
        <f t="shared" si="240"/>
        <v>0.97490917601757188</v>
      </c>
      <c r="AJ872" s="8"/>
      <c r="AK872" s="8"/>
      <c r="AL872" s="8"/>
      <c r="AN872" s="8">
        <f t="shared" si="247"/>
        <v>0.99999999999999978</v>
      </c>
      <c r="AO872" s="8">
        <f t="shared" si="248"/>
        <v>5.442878153260696</v>
      </c>
      <c r="AP872" s="8">
        <f t="shared" si="249"/>
        <v>0.22448365928938174</v>
      </c>
      <c r="AQ872" s="8"/>
      <c r="AR872" s="8">
        <f t="shared" si="250"/>
        <v>311.85394658579753</v>
      </c>
      <c r="AS872" s="8">
        <f t="shared" si="251"/>
        <v>77.138033753065685</v>
      </c>
    </row>
    <row r="873" spans="1:45">
      <c r="A873" s="19">
        <v>37.737699999999997</v>
      </c>
      <c r="B873" s="19">
        <v>938.59094330000005</v>
      </c>
      <c r="C873" s="19">
        <v>-612.47928230000002</v>
      </c>
      <c r="E873" s="9">
        <f t="shared" si="241"/>
        <v>21.409056699999951</v>
      </c>
      <c r="F873" s="9">
        <f t="shared" si="242"/>
        <v>-72.479282300000023</v>
      </c>
      <c r="I873">
        <v>1</v>
      </c>
      <c r="J873">
        <f t="shared" si="237"/>
        <v>4.9232350807716992E-2</v>
      </c>
      <c r="K873">
        <f t="shared" si="243"/>
        <v>-1.2835818327007849</v>
      </c>
      <c r="O873">
        <f t="shared" si="244"/>
        <v>1.3941001770577154E-2</v>
      </c>
      <c r="P873">
        <f t="shared" si="245"/>
        <v>-4.719655877572896E-2</v>
      </c>
      <c r="Q873">
        <f t="shared" si="246"/>
        <v>0.99878833258571953</v>
      </c>
      <c r="R873">
        <f t="shared" si="236"/>
        <v>1</v>
      </c>
      <c r="AG873" s="8">
        <f t="shared" si="238"/>
        <v>0.14914073453815532</v>
      </c>
      <c r="AH873" s="8">
        <f t="shared" si="239"/>
        <v>-0.16614463221815901</v>
      </c>
      <c r="AI873" s="8">
        <f t="shared" si="240"/>
        <v>0.97475791994038818</v>
      </c>
      <c r="AJ873" s="8"/>
      <c r="AK873" s="8"/>
      <c r="AL873" s="8"/>
      <c r="AN873" s="8">
        <f t="shared" si="247"/>
        <v>1</v>
      </c>
      <c r="AO873" s="8">
        <f t="shared" si="248"/>
        <v>5.4439075726555863</v>
      </c>
      <c r="AP873" s="8">
        <f t="shared" si="249"/>
        <v>0.22516213932721674</v>
      </c>
      <c r="AQ873" s="8"/>
      <c r="AR873" s="8">
        <f t="shared" si="250"/>
        <v>311.91292797247365</v>
      </c>
      <c r="AS873" s="8">
        <f t="shared" si="251"/>
        <v>77.099159710413872</v>
      </c>
    </row>
    <row r="874" spans="1:45">
      <c r="A874" s="19">
        <v>37.771066670000003</v>
      </c>
      <c r="B874" s="19">
        <v>938.79028600000004</v>
      </c>
      <c r="C874" s="19">
        <v>-613.76255849999995</v>
      </c>
      <c r="E874" s="9">
        <f t="shared" si="241"/>
        <v>21.209713999999963</v>
      </c>
      <c r="F874" s="9">
        <f t="shared" si="242"/>
        <v>-73.762558499999955</v>
      </c>
      <c r="I874">
        <v>1</v>
      </c>
      <c r="J874">
        <f t="shared" si="237"/>
        <v>5.0006583097898918E-2</v>
      </c>
      <c r="K874">
        <f t="shared" si="243"/>
        <v>-1.2908092087771459</v>
      </c>
      <c r="O874">
        <f t="shared" si="244"/>
        <v>1.3813223901253226E-2</v>
      </c>
      <c r="P874">
        <f t="shared" si="245"/>
        <v>-4.803924918977176E-2</v>
      </c>
      <c r="Q874">
        <f t="shared" si="246"/>
        <v>0.99874993135556056</v>
      </c>
      <c r="R874">
        <f t="shared" si="236"/>
        <v>1</v>
      </c>
      <c r="AG874" s="8">
        <f t="shared" si="238"/>
        <v>0.14997545967756573</v>
      </c>
      <c r="AH874" s="8">
        <f t="shared" si="239"/>
        <v>-0.1660018032638734</v>
      </c>
      <c r="AI874" s="8">
        <f t="shared" si="240"/>
        <v>0.97465417600687743</v>
      </c>
      <c r="AJ874" s="8"/>
      <c r="AK874" s="8"/>
      <c r="AL874" s="8"/>
      <c r="AN874" s="8">
        <f t="shared" si="247"/>
        <v>1</v>
      </c>
      <c r="AO874" s="8">
        <f t="shared" si="248"/>
        <v>5.4471106426881493</v>
      </c>
      <c r="AP874" s="8">
        <f t="shared" si="249"/>
        <v>0.22562633743252247</v>
      </c>
      <c r="AQ874" s="8"/>
      <c r="AR874" s="8">
        <f t="shared" si="250"/>
        <v>312.09645036682434</v>
      </c>
      <c r="AS874" s="8">
        <f t="shared" si="251"/>
        <v>77.072563118121877</v>
      </c>
    </row>
    <row r="875" spans="1:45">
      <c r="A875" s="19">
        <v>37.804433330000002</v>
      </c>
      <c r="B875" s="19">
        <v>938.95239619999995</v>
      </c>
      <c r="C875" s="19">
        <v>-614.11540279999997</v>
      </c>
      <c r="E875" s="9">
        <f t="shared" si="241"/>
        <v>21.047603800000047</v>
      </c>
      <c r="F875" s="9">
        <f t="shared" si="242"/>
        <v>-74.11540279999997</v>
      </c>
      <c r="I875">
        <v>1</v>
      </c>
      <c r="J875">
        <f t="shared" si="237"/>
        <v>5.0200589743684326E-2</v>
      </c>
      <c r="K875">
        <f t="shared" si="243"/>
        <v>-1.2940969056032954</v>
      </c>
      <c r="O875">
        <f t="shared" si="244"/>
        <v>1.3708143680460801E-2</v>
      </c>
      <c r="P875">
        <f t="shared" si="245"/>
        <v>-4.8270796056966075E-2</v>
      </c>
      <c r="Q875">
        <f t="shared" si="246"/>
        <v>0.99874021499329979</v>
      </c>
      <c r="R875">
        <f t="shared" si="236"/>
        <v>1</v>
      </c>
      <c r="AG875" s="8">
        <f t="shared" si="238"/>
        <v>0.15022490602017344</v>
      </c>
      <c r="AH875" s="8">
        <f t="shared" si="239"/>
        <v>-0.16602802807616612</v>
      </c>
      <c r="AI875" s="8">
        <f t="shared" si="240"/>
        <v>0.97461129251839163</v>
      </c>
      <c r="AJ875" s="8"/>
      <c r="AK875" s="8"/>
      <c r="AL875" s="8"/>
      <c r="AN875" s="8">
        <f t="shared" si="247"/>
        <v>1</v>
      </c>
      <c r="AO875" s="8">
        <f t="shared" si="248"/>
        <v>5.4478587901873254</v>
      </c>
      <c r="AP875" s="8">
        <f t="shared" si="249"/>
        <v>0.22581794389386767</v>
      </c>
      <c r="AQ875" s="8"/>
      <c r="AR875" s="8">
        <f t="shared" si="250"/>
        <v>312.13931606098043</v>
      </c>
      <c r="AS875" s="8">
        <f t="shared" si="251"/>
        <v>77.061584876559365</v>
      </c>
    </row>
    <row r="876" spans="1:45">
      <c r="A876" s="19">
        <v>37.837800000000001</v>
      </c>
      <c r="B876" s="19">
        <v>939.04337650000002</v>
      </c>
      <c r="C876" s="19">
        <v>-614.86351730000001</v>
      </c>
      <c r="E876" s="9">
        <f t="shared" si="241"/>
        <v>20.956623499999978</v>
      </c>
      <c r="F876" s="9">
        <f t="shared" si="242"/>
        <v>-74.863517300000012</v>
      </c>
      <c r="I876">
        <v>1</v>
      </c>
      <c r="J876">
        <f t="shared" si="237"/>
        <v>5.0658338341210495E-2</v>
      </c>
      <c r="K876">
        <f t="shared" si="243"/>
        <v>-1.2978515560293247</v>
      </c>
      <c r="O876">
        <f t="shared" si="244"/>
        <v>1.3650045183713502E-2</v>
      </c>
      <c r="P876">
        <f t="shared" si="245"/>
        <v>-4.8762167901557178E-2</v>
      </c>
      <c r="Q876">
        <f t="shared" si="246"/>
        <v>0.99871714076009677</v>
      </c>
      <c r="R876">
        <f t="shared" si="236"/>
        <v>1</v>
      </c>
      <c r="AG876" s="8">
        <f t="shared" si="238"/>
        <v>0.15070686979326836</v>
      </c>
      <c r="AH876" s="8">
        <f t="shared" si="239"/>
        <v>-0.1659292971942003</v>
      </c>
      <c r="AI876" s="8">
        <f t="shared" si="240"/>
        <v>0.97455369668877334</v>
      </c>
      <c r="AJ876" s="8"/>
      <c r="AK876" s="8"/>
      <c r="AL876" s="8"/>
      <c r="AN876" s="8">
        <f t="shared" si="247"/>
        <v>1</v>
      </c>
      <c r="AO876" s="8">
        <f t="shared" si="248"/>
        <v>5.4497486768750978</v>
      </c>
      <c r="AP876" s="8">
        <f t="shared" si="249"/>
        <v>0.22607503497105208</v>
      </c>
      <c r="AQ876" s="8"/>
      <c r="AR876" s="8">
        <f t="shared" si="250"/>
        <v>312.24759859194774</v>
      </c>
      <c r="AS876" s="8">
        <f t="shared" si="251"/>
        <v>77.046854642886217</v>
      </c>
    </row>
    <row r="877" spans="1:45">
      <c r="A877" s="19">
        <v>37.871166670000001</v>
      </c>
      <c r="B877" s="19">
        <v>940.10768380000002</v>
      </c>
      <c r="C877" s="19">
        <v>-615.85972679999998</v>
      </c>
      <c r="E877" s="9">
        <f t="shared" si="241"/>
        <v>19.892316199999982</v>
      </c>
      <c r="F877" s="9">
        <f t="shared" si="242"/>
        <v>-75.859726799999976</v>
      </c>
      <c r="I877">
        <v>1</v>
      </c>
      <c r="J877">
        <f t="shared" si="237"/>
        <v>5.1108045295605524E-2</v>
      </c>
      <c r="K877">
        <f t="shared" si="243"/>
        <v>-1.3143452942023546</v>
      </c>
      <c r="O877">
        <f t="shared" si="244"/>
        <v>1.2957874756662045E-2</v>
      </c>
      <c r="P877">
        <f t="shared" si="245"/>
        <v>-4.9415102246816264E-2</v>
      </c>
      <c r="Q877">
        <f t="shared" si="246"/>
        <v>0.99869426810797679</v>
      </c>
      <c r="R877">
        <f t="shared" si="236"/>
        <v>1</v>
      </c>
      <c r="AG877" s="8">
        <f t="shared" si="238"/>
        <v>0.15152390494051227</v>
      </c>
      <c r="AH877" s="8">
        <f t="shared" si="239"/>
        <v>-0.16637360485170233</v>
      </c>
      <c r="AI877" s="8">
        <f t="shared" si="240"/>
        <v>0.97435123535623858</v>
      </c>
      <c r="AJ877" s="8"/>
      <c r="AK877" s="8"/>
      <c r="AL877" s="8"/>
      <c r="AN877" s="8">
        <f t="shared" si="247"/>
        <v>1</v>
      </c>
      <c r="AO877" s="8">
        <f t="shared" si="248"/>
        <v>5.4511088505179579</v>
      </c>
      <c r="AP877" s="8">
        <f t="shared" si="249"/>
        <v>0.2269764921505899</v>
      </c>
      <c r="AQ877" s="8"/>
      <c r="AR877" s="8">
        <f t="shared" si="250"/>
        <v>312.32553080108852</v>
      </c>
      <c r="AS877" s="8">
        <f t="shared" si="251"/>
        <v>76.995204951086947</v>
      </c>
    </row>
    <row r="878" spans="1:45">
      <c r="A878" s="19">
        <v>37.90453333</v>
      </c>
      <c r="B878" s="19">
        <v>940.52477539999995</v>
      </c>
      <c r="C878" s="19">
        <v>-616.42303010000001</v>
      </c>
      <c r="E878" s="9">
        <f t="shared" si="241"/>
        <v>19.475224600000047</v>
      </c>
      <c r="F878" s="9">
        <f t="shared" si="242"/>
        <v>-76.423030100000005</v>
      </c>
      <c r="I878">
        <v>1</v>
      </c>
      <c r="J878">
        <f t="shared" si="237"/>
        <v>5.1398372096758065E-2</v>
      </c>
      <c r="K878">
        <f t="shared" si="243"/>
        <v>-1.3212727481131095</v>
      </c>
      <c r="O878">
        <f t="shared" si="244"/>
        <v>1.2686845559080664E-2</v>
      </c>
      <c r="P878">
        <f t="shared" si="245"/>
        <v>-4.9784646901359503E-2</v>
      </c>
      <c r="Q878">
        <f t="shared" si="246"/>
        <v>0.99867939444181331</v>
      </c>
      <c r="R878">
        <f t="shared" si="236"/>
        <v>1</v>
      </c>
      <c r="AG878" s="8">
        <f t="shared" si="238"/>
        <v>0.15195161525046344</v>
      </c>
      <c r="AH878" s="8">
        <f t="shared" si="239"/>
        <v>-0.16651202033488505</v>
      </c>
      <c r="AI878" s="8">
        <f t="shared" si="240"/>
        <v>0.97426097823261393</v>
      </c>
      <c r="AJ878" s="8"/>
      <c r="AK878" s="8"/>
      <c r="AL878" s="8"/>
      <c r="AN878" s="8">
        <f t="shared" si="247"/>
        <v>0.99999999999999989</v>
      </c>
      <c r="AO878" s="8">
        <f t="shared" si="248"/>
        <v>5.4520981842739369</v>
      </c>
      <c r="AP878" s="8">
        <f t="shared" si="249"/>
        <v>0.22737722916041525</v>
      </c>
      <c r="AQ878" s="8"/>
      <c r="AR878" s="8">
        <f t="shared" si="250"/>
        <v>312.38221544983594</v>
      </c>
      <c r="AS878" s="8">
        <f t="shared" si="251"/>
        <v>76.97224441172925</v>
      </c>
    </row>
    <row r="879" spans="1:45">
      <c r="A879" s="19">
        <v>37.937899999999999</v>
      </c>
      <c r="B879" s="19">
        <v>941.17831569999998</v>
      </c>
      <c r="C879" s="19">
        <v>-617.41237839999997</v>
      </c>
      <c r="E879" s="9">
        <f t="shared" si="241"/>
        <v>18.821684300000015</v>
      </c>
      <c r="F879" s="9">
        <f t="shared" si="242"/>
        <v>-77.412378399999966</v>
      </c>
      <c r="I879">
        <v>1</v>
      </c>
      <c r="J879">
        <f t="shared" si="237"/>
        <v>5.192651442489811E-2</v>
      </c>
      <c r="K879">
        <f t="shared" si="243"/>
        <v>-1.3322888901921301</v>
      </c>
      <c r="O879">
        <f t="shared" si="244"/>
        <v>1.226226061704117E-2</v>
      </c>
      <c r="P879">
        <f t="shared" si="245"/>
        <v>-5.0433890176651598E-2</v>
      </c>
      <c r="Q879">
        <f t="shared" si="246"/>
        <v>0.9986521214548183</v>
      </c>
      <c r="R879">
        <f t="shared" si="236"/>
        <v>1</v>
      </c>
      <c r="AG879" s="8">
        <f t="shared" si="238"/>
        <v>0.15268818320568206</v>
      </c>
      <c r="AH879" s="8">
        <f t="shared" si="239"/>
        <v>-0.1667068354063026</v>
      </c>
      <c r="AI879" s="8">
        <f t="shared" si="240"/>
        <v>0.97411249336930483</v>
      </c>
      <c r="AJ879" s="8"/>
      <c r="AK879" s="8"/>
      <c r="AL879" s="8"/>
      <c r="AN879" s="8">
        <f t="shared" si="247"/>
        <v>0.99999999999999989</v>
      </c>
      <c r="AO879" s="8">
        <f t="shared" si="248"/>
        <v>5.453924028427771</v>
      </c>
      <c r="AP879" s="8">
        <f t="shared" si="249"/>
        <v>0.22803498854137394</v>
      </c>
      <c r="AQ879" s="8"/>
      <c r="AR879" s="8">
        <f t="shared" si="250"/>
        <v>312.48682861389932</v>
      </c>
      <c r="AS879" s="8">
        <f t="shared" si="251"/>
        <v>76.934557575265188</v>
      </c>
    </row>
    <row r="880" spans="1:45">
      <c r="A880" s="19">
        <v>37.971266669999999</v>
      </c>
      <c r="B880" s="19">
        <v>941.52074730000004</v>
      </c>
      <c r="C880" s="19">
        <v>-617.90462549999995</v>
      </c>
      <c r="E880" s="9">
        <f t="shared" si="241"/>
        <v>18.479252699999961</v>
      </c>
      <c r="F880" s="9">
        <f t="shared" si="242"/>
        <v>-77.904625499999952</v>
      </c>
      <c r="I880">
        <v>1</v>
      </c>
      <c r="J880">
        <f t="shared" si="237"/>
        <v>5.2189014096831035E-2</v>
      </c>
      <c r="K880">
        <f t="shared" si="243"/>
        <v>-1.3378971785718197</v>
      </c>
      <c r="O880">
        <f t="shared" si="244"/>
        <v>1.2039724141440309E-2</v>
      </c>
      <c r="P880">
        <f t="shared" si="245"/>
        <v>-5.0756933496678557E-2</v>
      </c>
      <c r="Q880">
        <f t="shared" si="246"/>
        <v>0.9986384624800968</v>
      </c>
      <c r="R880">
        <f t="shared" si="236"/>
        <v>1</v>
      </c>
      <c r="AG880" s="8">
        <f t="shared" si="238"/>
        <v>0.15305788970017631</v>
      </c>
      <c r="AH880" s="8">
        <f t="shared" si="239"/>
        <v>-0.16681427697828571</v>
      </c>
      <c r="AI880" s="8">
        <f t="shared" si="240"/>
        <v>0.97403607705091722</v>
      </c>
      <c r="AJ880" s="8"/>
      <c r="AK880" s="8"/>
      <c r="AL880" s="8"/>
      <c r="AN880" s="8">
        <f t="shared" si="247"/>
        <v>1</v>
      </c>
      <c r="AO880" s="8">
        <f t="shared" si="248"/>
        <v>5.4548077374252379</v>
      </c>
      <c r="AP880" s="8">
        <f t="shared" si="249"/>
        <v>0.22837277257072097</v>
      </c>
      <c r="AQ880" s="8"/>
      <c r="AR880" s="8">
        <f t="shared" si="250"/>
        <v>312.53746140977188</v>
      </c>
      <c r="AS880" s="8">
        <f t="shared" si="251"/>
        <v>76.915203975996675</v>
      </c>
    </row>
    <row r="881" spans="1:45">
      <c r="A881" s="19">
        <v>38.004633329999997</v>
      </c>
      <c r="B881" s="19">
        <v>942.02173349999998</v>
      </c>
      <c r="C881" s="19">
        <v>-618.7535666</v>
      </c>
      <c r="E881" s="9">
        <f t="shared" si="241"/>
        <v>17.978266500000018</v>
      </c>
      <c r="F881" s="9">
        <f t="shared" si="242"/>
        <v>-78.753566599999999</v>
      </c>
      <c r="I881">
        <v>1</v>
      </c>
      <c r="J881">
        <f t="shared" si="237"/>
        <v>5.2658687639174882E-2</v>
      </c>
      <c r="K881">
        <f t="shared" si="243"/>
        <v>-1.3463572792748359</v>
      </c>
      <c r="O881">
        <f t="shared" si="244"/>
        <v>1.1714276345137295E-2</v>
      </c>
      <c r="P881">
        <f t="shared" si="245"/>
        <v>-5.131423779470471E-2</v>
      </c>
      <c r="Q881">
        <f t="shared" si="246"/>
        <v>0.99861385166102035</v>
      </c>
      <c r="R881">
        <f t="shared" si="236"/>
        <v>1</v>
      </c>
      <c r="AG881" s="8">
        <f t="shared" si="238"/>
        <v>0.15367887307313663</v>
      </c>
      <c r="AH881" s="8">
        <f t="shared" si="239"/>
        <v>-0.16694485953476618</v>
      </c>
      <c r="AI881" s="8">
        <f t="shared" si="240"/>
        <v>0.97391591928969312</v>
      </c>
      <c r="AJ881" s="8"/>
      <c r="AK881" s="8"/>
      <c r="AL881" s="8"/>
      <c r="AN881" s="8">
        <f t="shared" si="247"/>
        <v>1</v>
      </c>
      <c r="AO881" s="8">
        <f t="shared" si="248"/>
        <v>5.4564351704188914</v>
      </c>
      <c r="AP881" s="8">
        <f t="shared" si="249"/>
        <v>0.22890291692469789</v>
      </c>
      <c r="AQ881" s="8"/>
      <c r="AR881" s="8">
        <f t="shared" si="250"/>
        <v>312.63070645174855</v>
      </c>
      <c r="AS881" s="8">
        <f t="shared" si="251"/>
        <v>76.884828941981112</v>
      </c>
    </row>
    <row r="882" spans="1:45">
      <c r="A882" s="19">
        <v>38.037999999999997</v>
      </c>
      <c r="B882" s="19">
        <v>941.99869139999998</v>
      </c>
      <c r="C882" s="19">
        <v>-619.76406299999996</v>
      </c>
      <c r="E882" s="9">
        <f t="shared" si="241"/>
        <v>18.001308600000016</v>
      </c>
      <c r="F882" s="9">
        <f t="shared" si="242"/>
        <v>-79.764062999999965</v>
      </c>
      <c r="I882">
        <v>1</v>
      </c>
      <c r="J882">
        <f t="shared" si="237"/>
        <v>5.33109625534239E-2</v>
      </c>
      <c r="K882">
        <f t="shared" si="243"/>
        <v>-1.3488328975786499</v>
      </c>
      <c r="O882">
        <f t="shared" si="244"/>
        <v>1.1730599853657131E-2</v>
      </c>
      <c r="P882">
        <f t="shared" si="245"/>
        <v>-5.1978460374536128E-2</v>
      </c>
      <c r="Q882">
        <f t="shared" si="246"/>
        <v>0.99857930715800747</v>
      </c>
      <c r="R882">
        <f t="shared" si="236"/>
        <v>1</v>
      </c>
      <c r="AG882" s="8">
        <f t="shared" si="238"/>
        <v>0.15430290396778215</v>
      </c>
      <c r="AH882" s="8">
        <f t="shared" si="239"/>
        <v>-0.16672220972636775</v>
      </c>
      <c r="AI882" s="8">
        <f t="shared" si="240"/>
        <v>0.973855388962379</v>
      </c>
      <c r="AJ882" s="8"/>
      <c r="AK882" s="8"/>
      <c r="AL882" s="8"/>
      <c r="AN882" s="8">
        <f t="shared" si="247"/>
        <v>1</v>
      </c>
      <c r="AO882" s="8">
        <f t="shared" si="248"/>
        <v>5.4591200269308482</v>
      </c>
      <c r="AP882" s="8">
        <f t="shared" si="249"/>
        <v>0.22916952452344841</v>
      </c>
      <c r="AQ882" s="8"/>
      <c r="AR882" s="8">
        <f t="shared" si="250"/>
        <v>312.78453739848192</v>
      </c>
      <c r="AS882" s="8">
        <f t="shared" si="251"/>
        <v>76.869553451786587</v>
      </c>
    </row>
    <row r="883" spans="1:45">
      <c r="A883" s="19">
        <v>38.071366670000003</v>
      </c>
      <c r="B883" s="19">
        <v>943.08708509999997</v>
      </c>
      <c r="C883" s="19">
        <v>-620.56670910000003</v>
      </c>
      <c r="E883" s="9">
        <f t="shared" si="241"/>
        <v>16.912914900000033</v>
      </c>
      <c r="F883" s="9">
        <f t="shared" si="242"/>
        <v>-80.566709100000026</v>
      </c>
      <c r="I883">
        <v>1</v>
      </c>
      <c r="J883">
        <f t="shared" si="237"/>
        <v>5.3674919901229558E-2</v>
      </c>
      <c r="K883">
        <f t="shared" si="243"/>
        <v>-1.3638765781928164</v>
      </c>
      <c r="O883">
        <f t="shared" si="244"/>
        <v>1.102202137191916E-2</v>
      </c>
      <c r="P883">
        <f t="shared" si="245"/>
        <v>-5.2504727589292879E-2</v>
      </c>
      <c r="Q883">
        <f t="shared" si="246"/>
        <v>0.99855984729291569</v>
      </c>
      <c r="R883">
        <f t="shared" si="236"/>
        <v>1</v>
      </c>
      <c r="AG883" s="8">
        <f t="shared" si="238"/>
        <v>0.15500439240539371</v>
      </c>
      <c r="AH883" s="8">
        <f t="shared" si="239"/>
        <v>-0.16722077113054412</v>
      </c>
      <c r="AI883" s="8">
        <f t="shared" si="240"/>
        <v>0.97365848840214042</v>
      </c>
      <c r="AJ883" s="8"/>
      <c r="AK883" s="8"/>
      <c r="AL883" s="8"/>
      <c r="AN883" s="8">
        <f t="shared" si="247"/>
        <v>1</v>
      </c>
      <c r="AO883" s="8">
        <f t="shared" si="248"/>
        <v>5.4598927393989243</v>
      </c>
      <c r="AP883" s="8">
        <f t="shared" si="249"/>
        <v>0.2300346789351595</v>
      </c>
      <c r="AQ883" s="8"/>
      <c r="AR883" s="8">
        <f t="shared" si="250"/>
        <v>312.8288105616798</v>
      </c>
      <c r="AS883" s="8">
        <f t="shared" si="251"/>
        <v>76.819983755368412</v>
      </c>
    </row>
    <row r="884" spans="1:45">
      <c r="A884" s="19">
        <v>38.104733330000002</v>
      </c>
      <c r="B884" s="19">
        <v>943.24840459999996</v>
      </c>
      <c r="C884" s="19">
        <v>-621.17668819999994</v>
      </c>
      <c r="E884" s="9">
        <f t="shared" si="241"/>
        <v>16.751595400000042</v>
      </c>
      <c r="F884" s="9">
        <f t="shared" si="242"/>
        <v>-81.176688199999944</v>
      </c>
      <c r="I884">
        <v>1</v>
      </c>
      <c r="J884">
        <f t="shared" si="237"/>
        <v>5.4046560506316246E-2</v>
      </c>
      <c r="K884">
        <f t="shared" si="243"/>
        <v>-1.3672932356664553</v>
      </c>
      <c r="O884">
        <f t="shared" si="244"/>
        <v>1.0917566873435805E-2</v>
      </c>
      <c r="P884">
        <f t="shared" si="245"/>
        <v>-5.2905523374062902E-2</v>
      </c>
      <c r="Q884">
        <f t="shared" si="246"/>
        <v>0.99853984013161967</v>
      </c>
      <c r="R884">
        <f t="shared" si="236"/>
        <v>1</v>
      </c>
      <c r="AG884" s="8">
        <f t="shared" si="238"/>
        <v>0.15541369519294596</v>
      </c>
      <c r="AH884" s="8">
        <f t="shared" si="239"/>
        <v>-0.16719327300069264</v>
      </c>
      <c r="AI884" s="8">
        <f t="shared" si="240"/>
        <v>0.97359796261587872</v>
      </c>
      <c r="AJ884" s="8"/>
      <c r="AK884" s="8"/>
      <c r="AL884" s="8"/>
      <c r="AN884" s="8">
        <f t="shared" si="247"/>
        <v>1</v>
      </c>
      <c r="AO884" s="8">
        <f t="shared" si="248"/>
        <v>5.4612896464952732</v>
      </c>
      <c r="AP884" s="8">
        <f t="shared" si="249"/>
        <v>0.23029997949124215</v>
      </c>
      <c r="AQ884" s="8"/>
      <c r="AR884" s="8">
        <f t="shared" si="250"/>
        <v>312.90884744267248</v>
      </c>
      <c r="AS884" s="8">
        <f t="shared" si="251"/>
        <v>76.804783153202408</v>
      </c>
    </row>
    <row r="885" spans="1:45">
      <c r="A885" s="19">
        <v>38.138100000000001</v>
      </c>
      <c r="B885" s="19">
        <v>943.81253409999999</v>
      </c>
      <c r="C885" s="19">
        <v>-621.84189279999998</v>
      </c>
      <c r="E885" s="9">
        <f t="shared" si="241"/>
        <v>16.187465900000007</v>
      </c>
      <c r="F885" s="9">
        <f t="shared" si="242"/>
        <v>-81.841892799999982</v>
      </c>
      <c r="I885">
        <v>1</v>
      </c>
      <c r="J885">
        <f t="shared" si="237"/>
        <v>5.4402400508454817E-2</v>
      </c>
      <c r="K885">
        <f t="shared" si="243"/>
        <v>-1.3755271620200054</v>
      </c>
      <c r="O885">
        <f t="shared" si="244"/>
        <v>1.0550523888531895E-2</v>
      </c>
      <c r="P885">
        <f t="shared" si="245"/>
        <v>-5.3342187739778724E-2</v>
      </c>
      <c r="Q885">
        <f t="shared" si="246"/>
        <v>0.9985205543466853</v>
      </c>
      <c r="R885">
        <f t="shared" si="236"/>
        <v>1</v>
      </c>
      <c r="AG885" s="8">
        <f t="shared" si="238"/>
        <v>0.15593227626990822</v>
      </c>
      <c r="AH885" s="8">
        <f t="shared" si="239"/>
        <v>-0.16740016711053521</v>
      </c>
      <c r="AI885" s="8">
        <f t="shared" si="240"/>
        <v>0.97347948579754351</v>
      </c>
      <c r="AJ885" s="8"/>
      <c r="AK885" s="8"/>
      <c r="AL885" s="8"/>
      <c r="AN885" s="8">
        <f t="shared" si="247"/>
        <v>0.99999999999999978</v>
      </c>
      <c r="AO885" s="8">
        <f t="shared" si="248"/>
        <v>5.4623342037299816</v>
      </c>
      <c r="AP885" s="8">
        <f t="shared" si="249"/>
        <v>0.2308184277696288</v>
      </c>
      <c r="AQ885" s="8"/>
      <c r="AR885" s="8">
        <f t="shared" si="250"/>
        <v>312.9686961636811</v>
      </c>
      <c r="AS885" s="8">
        <f t="shared" si="251"/>
        <v>76.775078254955034</v>
      </c>
    </row>
    <row r="886" spans="1:45">
      <c r="A886" s="19">
        <v>38.171466670000001</v>
      </c>
      <c r="B886" s="19">
        <v>944.40538309999999</v>
      </c>
      <c r="C886" s="19">
        <v>-622.40852170000005</v>
      </c>
      <c r="E886" s="9">
        <f t="shared" si="241"/>
        <v>15.594616900000005</v>
      </c>
      <c r="F886" s="9">
        <f t="shared" si="242"/>
        <v>-82.408521700000051</v>
      </c>
      <c r="I886">
        <v>1</v>
      </c>
      <c r="J886">
        <f t="shared" si="237"/>
        <v>5.4694620469047724E-2</v>
      </c>
      <c r="K886">
        <f t="shared" si="243"/>
        <v>-1.3837723573856817</v>
      </c>
      <c r="O886">
        <f t="shared" si="244"/>
        <v>1.0164606758835976E-2</v>
      </c>
      <c r="P886">
        <f t="shared" si="245"/>
        <v>-5.3714061847681675E-2</v>
      </c>
      <c r="Q886">
        <f t="shared" si="246"/>
        <v>0.99850462208707957</v>
      </c>
      <c r="R886">
        <f t="shared" si="236"/>
        <v>1</v>
      </c>
      <c r="AG886" s="8">
        <f t="shared" si="238"/>
        <v>0.15639492494683438</v>
      </c>
      <c r="AH886" s="8">
        <f t="shared" si="239"/>
        <v>-0.16764490642299595</v>
      </c>
      <c r="AI886" s="8">
        <f t="shared" si="240"/>
        <v>0.97336314538886204</v>
      </c>
      <c r="AJ886" s="8"/>
      <c r="AK886" s="8"/>
      <c r="AL886" s="8"/>
      <c r="AN886" s="8">
        <f t="shared" si="247"/>
        <v>1</v>
      </c>
      <c r="AO886" s="8">
        <f t="shared" si="248"/>
        <v>5.4630831856121738</v>
      </c>
      <c r="AP886" s="8">
        <f t="shared" si="249"/>
        <v>0.23132641663746223</v>
      </c>
      <c r="AQ886" s="8"/>
      <c r="AR886" s="8">
        <f t="shared" si="250"/>
        <v>313.01160966446253</v>
      </c>
      <c r="AS886" s="8">
        <f t="shared" si="251"/>
        <v>76.745972636788551</v>
      </c>
    </row>
    <row r="887" spans="1:45">
      <c r="A887" s="19">
        <v>38.20483333</v>
      </c>
      <c r="B887" s="19">
        <v>944.62624559999995</v>
      </c>
      <c r="C887" s="19">
        <v>-623.48360590000004</v>
      </c>
      <c r="E887" s="9">
        <f t="shared" si="241"/>
        <v>15.373754400000053</v>
      </c>
      <c r="F887" s="9">
        <f t="shared" si="242"/>
        <v>-83.483605900000043</v>
      </c>
      <c r="I887">
        <v>1</v>
      </c>
      <c r="J887">
        <f t="shared" si="237"/>
        <v>5.5364013925338074E-2</v>
      </c>
      <c r="K887">
        <f t="shared" si="243"/>
        <v>-1.388683679271058</v>
      </c>
      <c r="O887">
        <f t="shared" si="244"/>
        <v>1.002172696689449E-2</v>
      </c>
      <c r="P887">
        <f t="shared" si="245"/>
        <v>-5.4420662824015177E-2</v>
      </c>
      <c r="Q887">
        <f t="shared" si="246"/>
        <v>0.99846780441153726</v>
      </c>
      <c r="R887">
        <f t="shared" si="236"/>
        <v>1</v>
      </c>
      <c r="AG887" s="8">
        <f t="shared" si="238"/>
        <v>0.15710456051635802</v>
      </c>
      <c r="AH887" s="8">
        <f t="shared" si="239"/>
        <v>-0.16755760524244939</v>
      </c>
      <c r="AI887" s="8">
        <f t="shared" si="240"/>
        <v>0.97326389329429941</v>
      </c>
      <c r="AJ887" s="8"/>
      <c r="AK887" s="8"/>
      <c r="AL887" s="8"/>
      <c r="AN887" s="8">
        <f t="shared" si="247"/>
        <v>1</v>
      </c>
      <c r="AO887" s="8">
        <f t="shared" si="248"/>
        <v>5.4656015795071147</v>
      </c>
      <c r="AP887" s="8">
        <f t="shared" si="249"/>
        <v>0.23175892665331221</v>
      </c>
      <c r="AQ887" s="8"/>
      <c r="AR887" s="8">
        <f t="shared" si="250"/>
        <v>313.15590300579413</v>
      </c>
      <c r="AS887" s="8">
        <f t="shared" si="251"/>
        <v>76.721191638283202</v>
      </c>
    </row>
    <row r="888" spans="1:45">
      <c r="A888" s="19">
        <v>38.238199999999999</v>
      </c>
      <c r="B888" s="19">
        <v>944.69809880000003</v>
      </c>
      <c r="C888" s="19">
        <v>-624.19500830000004</v>
      </c>
      <c r="E888" s="9">
        <f t="shared" si="241"/>
        <v>15.301901199999975</v>
      </c>
      <c r="F888" s="9">
        <f t="shared" si="242"/>
        <v>-84.19500830000004</v>
      </c>
      <c r="I888">
        <v>1</v>
      </c>
      <c r="J888">
        <f t="shared" si="237"/>
        <v>5.5816446613832109E-2</v>
      </c>
      <c r="K888">
        <f t="shared" si="243"/>
        <v>-1.3910150543134037</v>
      </c>
      <c r="O888">
        <f t="shared" si="244"/>
        <v>9.9756013674380979E-3</v>
      </c>
      <c r="P888">
        <f t="shared" si="245"/>
        <v>-5.488833243341968E-2</v>
      </c>
      <c r="Q888">
        <f t="shared" si="246"/>
        <v>0.99844266652624392</v>
      </c>
      <c r="R888">
        <f t="shared" si="236"/>
        <v>1</v>
      </c>
      <c r="AG888" s="8">
        <f t="shared" si="238"/>
        <v>0.15756031086881161</v>
      </c>
      <c r="AH888" s="8">
        <f t="shared" si="239"/>
        <v>-0.16745446228147653</v>
      </c>
      <c r="AI888" s="8">
        <f t="shared" si="240"/>
        <v>0.9732079692958463</v>
      </c>
      <c r="AJ888" s="8"/>
      <c r="AK888" s="8"/>
      <c r="AL888" s="8"/>
      <c r="AN888" s="8">
        <f t="shared" si="247"/>
        <v>0.99999999999999989</v>
      </c>
      <c r="AO888" s="8">
        <f t="shared" si="248"/>
        <v>5.4673543833597424</v>
      </c>
      <c r="AP888" s="8">
        <f t="shared" si="249"/>
        <v>0.23200227740842383</v>
      </c>
      <c r="AQ888" s="8"/>
      <c r="AR888" s="8">
        <f t="shared" si="250"/>
        <v>313.25633126886396</v>
      </c>
      <c r="AS888" s="8">
        <f t="shared" si="251"/>
        <v>76.707248667073983</v>
      </c>
    </row>
    <row r="889" spans="1:45">
      <c r="A889" s="19">
        <v>38.271566669999999</v>
      </c>
      <c r="B889" s="19">
        <v>945.30849620000004</v>
      </c>
      <c r="C889" s="19">
        <v>-624.93178160000002</v>
      </c>
      <c r="E889" s="9">
        <f t="shared" si="241"/>
        <v>14.691503799999964</v>
      </c>
      <c r="F889" s="9">
        <f t="shared" si="242"/>
        <v>-84.931781600000022</v>
      </c>
      <c r="I889">
        <v>1</v>
      </c>
      <c r="J889">
        <f t="shared" si="237"/>
        <v>5.6224108229235806E-2</v>
      </c>
      <c r="K889">
        <f t="shared" si="243"/>
        <v>-1.3995112578370581</v>
      </c>
      <c r="O889">
        <f t="shared" si="244"/>
        <v>9.5782809000665558E-3</v>
      </c>
      <c r="P889">
        <f t="shared" si="245"/>
        <v>-5.5372171057663046E-2</v>
      </c>
      <c r="Q889">
        <f t="shared" si="246"/>
        <v>0.99841984115268878</v>
      </c>
      <c r="R889">
        <f t="shared" si="236"/>
        <v>1</v>
      </c>
      <c r="AG889" s="8">
        <f t="shared" si="238"/>
        <v>0.15813207872775342</v>
      </c>
      <c r="AH889" s="8">
        <f t="shared" si="239"/>
        <v>-0.16767467519241597</v>
      </c>
      <c r="AI889" s="8">
        <f t="shared" si="240"/>
        <v>0.97307730883848964</v>
      </c>
      <c r="AJ889" s="8"/>
      <c r="AK889" s="8"/>
      <c r="AL889" s="8"/>
      <c r="AN889" s="8">
        <f t="shared" si="247"/>
        <v>1</v>
      </c>
      <c r="AO889" s="8">
        <f t="shared" si="248"/>
        <v>5.4685063844423434</v>
      </c>
      <c r="AP889" s="8">
        <f t="shared" si="249"/>
        <v>0.23256986590343387</v>
      </c>
      <c r="AQ889" s="8"/>
      <c r="AR889" s="8">
        <f t="shared" si="250"/>
        <v>313.3223360688915</v>
      </c>
      <c r="AS889" s="8">
        <f t="shared" si="251"/>
        <v>76.674728241809731</v>
      </c>
    </row>
    <row r="890" spans="1:45">
      <c r="A890" s="19">
        <v>38.304933329999997</v>
      </c>
      <c r="B890" s="19">
        <v>945.94862850000004</v>
      </c>
      <c r="C890" s="19">
        <v>-625.75716209999996</v>
      </c>
      <c r="E890" s="9">
        <f t="shared" si="241"/>
        <v>14.051371499999959</v>
      </c>
      <c r="F890" s="9">
        <f t="shared" si="242"/>
        <v>-85.75716209999996</v>
      </c>
      <c r="I890">
        <v>1</v>
      </c>
      <c r="J890">
        <f t="shared" si="237"/>
        <v>5.6690255471536333E-2</v>
      </c>
      <c r="K890">
        <f t="shared" si="243"/>
        <v>-1.408388748461745</v>
      </c>
      <c r="O890">
        <f t="shared" si="244"/>
        <v>9.1615973841196185E-3</v>
      </c>
      <c r="P890">
        <f t="shared" si="245"/>
        <v>-5.5914299324082671E-2</v>
      </c>
      <c r="Q890">
        <f t="shared" si="246"/>
        <v>0.99839353777178874</v>
      </c>
      <c r="R890">
        <f t="shared" si="236"/>
        <v>1</v>
      </c>
      <c r="AG890" s="8">
        <f t="shared" si="238"/>
        <v>0.1587645041728335</v>
      </c>
      <c r="AH890" s="8">
        <f t="shared" si="239"/>
        <v>-0.16789467263539545</v>
      </c>
      <c r="AI890" s="8">
        <f t="shared" si="240"/>
        <v>0.97293638595511867</v>
      </c>
      <c r="AJ890" s="8"/>
      <c r="AK890" s="8"/>
      <c r="AL890" s="8"/>
      <c r="AN890" s="8">
        <f t="shared" si="247"/>
        <v>0.99999999999999989</v>
      </c>
      <c r="AO890" s="8">
        <f t="shared" si="248"/>
        <v>5.4698442825440132</v>
      </c>
      <c r="AP890" s="8">
        <f t="shared" si="249"/>
        <v>0.23318051368815085</v>
      </c>
      <c r="AQ890" s="8"/>
      <c r="AR890" s="8">
        <f t="shared" si="250"/>
        <v>313.39899198353572</v>
      </c>
      <c r="AS890" s="8">
        <f t="shared" si="251"/>
        <v>76.639740700976432</v>
      </c>
    </row>
    <row r="891" spans="1:45">
      <c r="A891" s="19">
        <v>38.338299999999997</v>
      </c>
      <c r="B891" s="19">
        <v>946.59508879999998</v>
      </c>
      <c r="C891" s="19">
        <v>-626.54287650000003</v>
      </c>
      <c r="E891" s="9">
        <f t="shared" si="241"/>
        <v>13.404911200000015</v>
      </c>
      <c r="F891" s="9">
        <f t="shared" si="242"/>
        <v>-86.542876500000034</v>
      </c>
      <c r="I891">
        <v>1</v>
      </c>
      <c r="J891">
        <f t="shared" si="237"/>
        <v>5.7134400195763116E-2</v>
      </c>
      <c r="K891">
        <f t="shared" si="243"/>
        <v>-1.4171242310424805</v>
      </c>
      <c r="O891">
        <f t="shared" si="244"/>
        <v>8.7406899193203866E-3</v>
      </c>
      <c r="P891">
        <f t="shared" si="245"/>
        <v>-5.6430396063536677E-2</v>
      </c>
      <c r="Q891">
        <f t="shared" si="246"/>
        <v>0.99836827410522555</v>
      </c>
      <c r="R891">
        <f t="shared" si="236"/>
        <v>1</v>
      </c>
      <c r="AG891" s="8">
        <f t="shared" si="238"/>
        <v>0.15937346358831342</v>
      </c>
      <c r="AH891" s="8">
        <f t="shared" si="239"/>
        <v>-0.16812668050318114</v>
      </c>
      <c r="AI891" s="8">
        <f t="shared" si="240"/>
        <v>0.97279675082046091</v>
      </c>
      <c r="AJ891" s="8"/>
      <c r="AK891" s="8"/>
      <c r="AL891" s="8"/>
      <c r="AN891" s="8">
        <f t="shared" si="247"/>
        <v>1</v>
      </c>
      <c r="AO891" s="8">
        <f t="shared" si="248"/>
        <v>5.4710661371738354</v>
      </c>
      <c r="AP891" s="8">
        <f t="shared" si="249"/>
        <v>0.23378403671667303</v>
      </c>
      <c r="AQ891" s="8"/>
      <c r="AR891" s="8">
        <f t="shared" si="250"/>
        <v>313.46899909700306</v>
      </c>
      <c r="AS891" s="8">
        <f t="shared" si="251"/>
        <v>76.605161378603157</v>
      </c>
    </row>
    <row r="892" spans="1:45">
      <c r="A892" s="19">
        <v>38.371666670000003</v>
      </c>
      <c r="B892" s="19">
        <v>947.12406450000003</v>
      </c>
      <c r="C892" s="19">
        <v>-627.56686850000006</v>
      </c>
      <c r="E892" s="9">
        <f t="shared" si="241"/>
        <v>12.875935499999969</v>
      </c>
      <c r="F892" s="9">
        <f t="shared" si="242"/>
        <v>-87.566868500000055</v>
      </c>
      <c r="I892">
        <v>1</v>
      </c>
      <c r="J892">
        <f t="shared" si="237"/>
        <v>5.7749448845010279E-2</v>
      </c>
      <c r="K892">
        <f t="shared" si="243"/>
        <v>-1.4248013411052587</v>
      </c>
      <c r="O892">
        <f t="shared" si="244"/>
        <v>8.3965420312372141E-3</v>
      </c>
      <c r="P892">
        <f t="shared" si="245"/>
        <v>-5.7103337610232251E-2</v>
      </c>
      <c r="Q892">
        <f t="shared" si="246"/>
        <v>0.99833296395325422</v>
      </c>
      <c r="R892">
        <f t="shared" si="236"/>
        <v>1</v>
      </c>
      <c r="AG892" s="8">
        <f t="shared" si="238"/>
        <v>0.16010873626104039</v>
      </c>
      <c r="AH892" s="8">
        <f t="shared" si="239"/>
        <v>-0.16823770025067719</v>
      </c>
      <c r="AI892" s="8">
        <f t="shared" si="240"/>
        <v>0.97265680935634025</v>
      </c>
      <c r="AJ892" s="8"/>
      <c r="AK892" s="8"/>
      <c r="AL892" s="8"/>
      <c r="AN892" s="8">
        <f t="shared" si="247"/>
        <v>1.0000000000000002</v>
      </c>
      <c r="AO892" s="8">
        <f t="shared" si="248"/>
        <v>5.47303492208201</v>
      </c>
      <c r="AP892" s="8">
        <f t="shared" si="249"/>
        <v>0.23438735306002356</v>
      </c>
      <c r="AQ892" s="8"/>
      <c r="AR892" s="8">
        <f t="shared" si="250"/>
        <v>313.58180216301054</v>
      </c>
      <c r="AS892" s="8">
        <f t="shared" si="251"/>
        <v>76.570593898417911</v>
      </c>
    </row>
    <row r="893" spans="1:45">
      <c r="A893" s="19">
        <v>38.405033330000002</v>
      </c>
      <c r="B893" s="19">
        <v>947.5867326</v>
      </c>
      <c r="C893" s="19">
        <v>-627.93338329999995</v>
      </c>
      <c r="E893" s="9">
        <f t="shared" si="241"/>
        <v>12.413267399999995</v>
      </c>
      <c r="F893" s="9">
        <f t="shared" si="242"/>
        <v>-87.933383299999946</v>
      </c>
      <c r="I893">
        <v>1</v>
      </c>
      <c r="J893">
        <f t="shared" si="237"/>
        <v>5.7944979205785944E-2</v>
      </c>
      <c r="K893">
        <f t="shared" si="243"/>
        <v>-1.4305562760934887</v>
      </c>
      <c r="O893">
        <f t="shared" si="244"/>
        <v>8.095064482251663E-3</v>
      </c>
      <c r="P893">
        <f t="shared" si="245"/>
        <v>-5.7344000174849329E-2</v>
      </c>
      <c r="Q893">
        <f t="shared" si="246"/>
        <v>0.99832165937385886</v>
      </c>
      <c r="R893">
        <f t="shared" si="236"/>
        <v>1</v>
      </c>
      <c r="AG893" s="8">
        <f t="shared" si="238"/>
        <v>0.16042282054933973</v>
      </c>
      <c r="AH893" s="8">
        <f t="shared" si="239"/>
        <v>-0.16844417386748839</v>
      </c>
      <c r="AI893" s="8">
        <f t="shared" si="240"/>
        <v>0.9725693183198274</v>
      </c>
      <c r="AJ893" s="8"/>
      <c r="AK893" s="8"/>
      <c r="AL893" s="8"/>
      <c r="AN893" s="8">
        <f t="shared" si="247"/>
        <v>1</v>
      </c>
      <c r="AO893" s="8">
        <f t="shared" si="248"/>
        <v>5.4734011052068778</v>
      </c>
      <c r="AP893" s="8">
        <f t="shared" si="249"/>
        <v>0.2347637716137454</v>
      </c>
      <c r="AQ893" s="8"/>
      <c r="AR893" s="8">
        <f t="shared" si="250"/>
        <v>313.60278291059439</v>
      </c>
      <c r="AS893" s="8">
        <f t="shared" si="251"/>
        <v>76.549026703959228</v>
      </c>
    </row>
    <row r="894" spans="1:45">
      <c r="A894" s="19">
        <v>38.438400000000001</v>
      </c>
      <c r="B894" s="19">
        <v>947.86942480000005</v>
      </c>
      <c r="C894" s="19">
        <v>-628.57091930000001</v>
      </c>
      <c r="E894" s="9">
        <f t="shared" si="241"/>
        <v>12.130575199999953</v>
      </c>
      <c r="F894" s="9">
        <f t="shared" si="242"/>
        <v>-88.570919300000014</v>
      </c>
      <c r="I894">
        <v>1</v>
      </c>
      <c r="J894">
        <f t="shared" si="237"/>
        <v>5.8335368976964584E-2</v>
      </c>
      <c r="K894">
        <f t="shared" si="243"/>
        <v>-1.4346842680005136</v>
      </c>
      <c r="O894">
        <f t="shared" si="244"/>
        <v>7.9111639425959446E-3</v>
      </c>
      <c r="P894">
        <f t="shared" si="245"/>
        <v>-5.7763053406464829E-2</v>
      </c>
      <c r="Q894">
        <f t="shared" si="246"/>
        <v>0.99829897482980279</v>
      </c>
      <c r="R894">
        <f t="shared" si="236"/>
        <v>1</v>
      </c>
      <c r="AG894" s="8">
        <f t="shared" si="238"/>
        <v>0.16087192284460786</v>
      </c>
      <c r="AH894" s="8">
        <f t="shared" si="239"/>
        <v>-0.16848479238830164</v>
      </c>
      <c r="AI894" s="8">
        <f t="shared" si="240"/>
        <v>0.97248809718893192</v>
      </c>
      <c r="AJ894" s="8"/>
      <c r="AK894" s="8"/>
      <c r="AL894" s="8"/>
      <c r="AN894" s="8">
        <f t="shared" si="247"/>
        <v>1</v>
      </c>
      <c r="AO894" s="8">
        <f t="shared" si="248"/>
        <v>5.4746768993541712</v>
      </c>
      <c r="AP894" s="8">
        <f t="shared" si="249"/>
        <v>0.23511268524680862</v>
      </c>
      <c r="AQ894" s="8"/>
      <c r="AR894" s="8">
        <f t="shared" si="250"/>
        <v>313.67588053076179</v>
      </c>
      <c r="AS894" s="8">
        <f t="shared" si="251"/>
        <v>76.529035425370125</v>
      </c>
    </row>
    <row r="895" spans="1:45">
      <c r="A895" s="19">
        <v>38.471766670000001</v>
      </c>
      <c r="B895" s="19">
        <v>948.05267200000003</v>
      </c>
      <c r="C895" s="19">
        <v>-629.16937870000004</v>
      </c>
      <c r="E895" s="9">
        <f t="shared" si="241"/>
        <v>11.94732799999997</v>
      </c>
      <c r="F895" s="9">
        <f t="shared" si="242"/>
        <v>-89.169378700000038</v>
      </c>
      <c r="I895">
        <v>1</v>
      </c>
      <c r="J895">
        <f t="shared" si="237"/>
        <v>5.8709905259521661E-2</v>
      </c>
      <c r="K895">
        <f t="shared" si="243"/>
        <v>-1.4376049091817895</v>
      </c>
      <c r="O895">
        <f t="shared" si="244"/>
        <v>7.792077795239708E-3</v>
      </c>
      <c r="P895">
        <f t="shared" si="245"/>
        <v>-5.8156496229415662E-2</v>
      </c>
      <c r="Q895">
        <f t="shared" si="246"/>
        <v>0.99827706848847875</v>
      </c>
      <c r="R895">
        <f t="shared" si="236"/>
        <v>1</v>
      </c>
      <c r="AG895" s="8">
        <f t="shared" si="238"/>
        <v>0.16127820054617115</v>
      </c>
      <c r="AH895" s="8">
        <f t="shared" si="239"/>
        <v>-0.16847280521828017</v>
      </c>
      <c r="AI895" s="8">
        <f t="shared" si="240"/>
        <v>0.97242287916856018</v>
      </c>
      <c r="AJ895" s="8"/>
      <c r="AK895" s="8"/>
      <c r="AL895" s="8"/>
      <c r="AN895" s="8">
        <f t="shared" si="247"/>
        <v>0.99999999999999978</v>
      </c>
      <c r="AO895" s="8">
        <f t="shared" si="248"/>
        <v>5.4759723100522182</v>
      </c>
      <c r="AP895" s="8">
        <f t="shared" si="249"/>
        <v>0.23539248449417993</v>
      </c>
      <c r="AQ895" s="8"/>
      <c r="AR895" s="8">
        <f t="shared" si="250"/>
        <v>313.75010209649594</v>
      </c>
      <c r="AS895" s="8">
        <f t="shared" si="251"/>
        <v>76.513004109384809</v>
      </c>
    </row>
    <row r="896" spans="1:45">
      <c r="A896" s="19">
        <v>38.50513333</v>
      </c>
      <c r="B896" s="19">
        <v>948.83155369999997</v>
      </c>
      <c r="C896" s="19">
        <v>-630.12990100000002</v>
      </c>
      <c r="E896" s="9">
        <f t="shared" si="241"/>
        <v>11.168446300000028</v>
      </c>
      <c r="F896" s="9">
        <f t="shared" si="242"/>
        <v>-90.129901000000018</v>
      </c>
      <c r="I896">
        <v>1</v>
      </c>
      <c r="J896">
        <f t="shared" si="237"/>
        <v>5.9271977007518378E-2</v>
      </c>
      <c r="K896">
        <f t="shared" si="243"/>
        <v>-1.4475097863918525</v>
      </c>
      <c r="O896">
        <f t="shared" si="244"/>
        <v>7.2846722726151508E-3</v>
      </c>
      <c r="P896">
        <f t="shared" si="245"/>
        <v>-5.878765703947976E-2</v>
      </c>
      <c r="Q896">
        <f t="shared" si="246"/>
        <v>0.99824393057493177</v>
      </c>
      <c r="R896">
        <f t="shared" si="236"/>
        <v>1</v>
      </c>
      <c r="AG896" s="8">
        <f t="shared" si="238"/>
        <v>0.16202058622398638</v>
      </c>
      <c r="AH896" s="8">
        <f t="shared" si="239"/>
        <v>-0.16874925106341684</v>
      </c>
      <c r="AI896" s="8">
        <f t="shared" si="240"/>
        <v>0.97225152090658717</v>
      </c>
      <c r="AJ896" s="8"/>
      <c r="AK896" s="8"/>
      <c r="AL896" s="8"/>
      <c r="AN896" s="8">
        <f t="shared" si="247"/>
        <v>1.0000000000000002</v>
      </c>
      <c r="AO896" s="8">
        <f t="shared" si="248"/>
        <v>5.4774475112912411</v>
      </c>
      <c r="AP896" s="8">
        <f t="shared" si="249"/>
        <v>0.23612609731657996</v>
      </c>
      <c r="AQ896" s="8"/>
      <c r="AR896" s="8">
        <f t="shared" si="250"/>
        <v>313.83462490142443</v>
      </c>
      <c r="AS896" s="8">
        <f t="shared" si="251"/>
        <v>76.470971190864617</v>
      </c>
    </row>
    <row r="897" spans="1:45">
      <c r="A897" s="19">
        <v>38.538499999999999</v>
      </c>
      <c r="B897" s="19">
        <v>949.01681369999994</v>
      </c>
      <c r="C897" s="19">
        <v>-631.11128799999994</v>
      </c>
      <c r="E897" s="9">
        <f t="shared" si="241"/>
        <v>10.983186300000057</v>
      </c>
      <c r="F897" s="9">
        <f t="shared" si="242"/>
        <v>-91.111287999999945</v>
      </c>
      <c r="I897">
        <v>1</v>
      </c>
      <c r="J897">
        <f t="shared" si="237"/>
        <v>5.9899063994924583E-2</v>
      </c>
      <c r="K897">
        <f t="shared" si="243"/>
        <v>-1.4508282670694541</v>
      </c>
      <c r="O897">
        <f t="shared" si="244"/>
        <v>7.1644637062824416E-3</v>
      </c>
      <c r="P897">
        <f t="shared" si="245"/>
        <v>-5.9432982221984419E-2</v>
      </c>
      <c r="Q897">
        <f t="shared" si="246"/>
        <v>0.99820658737758416</v>
      </c>
      <c r="R897">
        <f t="shared" si="236"/>
        <v>1</v>
      </c>
      <c r="AG897" s="8">
        <f t="shared" si="238"/>
        <v>0.16266534181567358</v>
      </c>
      <c r="AH897" s="8">
        <f t="shared" si="239"/>
        <v>-0.16865920470157011</v>
      </c>
      <c r="AI897" s="8">
        <f t="shared" si="240"/>
        <v>0.97215948241089734</v>
      </c>
      <c r="AJ897" s="8"/>
      <c r="AK897" s="8"/>
      <c r="AL897" s="8"/>
      <c r="AN897" s="8">
        <f t="shared" si="247"/>
        <v>0.99999999999999978</v>
      </c>
      <c r="AO897" s="8">
        <f t="shared" si="248"/>
        <v>5.4796985077107188</v>
      </c>
      <c r="AP897" s="8">
        <f t="shared" si="249"/>
        <v>0.236519207375115</v>
      </c>
      <c r="AQ897" s="8"/>
      <c r="AR897" s="8">
        <f t="shared" si="250"/>
        <v>313.96359749595956</v>
      </c>
      <c r="AS897" s="8">
        <f t="shared" si="251"/>
        <v>76.448447643626423</v>
      </c>
    </row>
    <row r="898" spans="1:45">
      <c r="A898" s="19">
        <v>38.571866669999999</v>
      </c>
      <c r="B898" s="19">
        <v>949.99508409999999</v>
      </c>
      <c r="C898" s="19">
        <v>-631.90242509999996</v>
      </c>
      <c r="E898" s="9">
        <f t="shared" si="241"/>
        <v>10.004915900000015</v>
      </c>
      <c r="F898" s="9">
        <f t="shared" si="242"/>
        <v>-91.902425099999959</v>
      </c>
      <c r="I898">
        <v>1</v>
      </c>
      <c r="J898">
        <f t="shared" si="237"/>
        <v>6.0343548086820548E-2</v>
      </c>
      <c r="K898">
        <f t="shared" si="243"/>
        <v>-1.4623588160368675</v>
      </c>
      <c r="O898">
        <f t="shared" si="244"/>
        <v>6.5267251470482908E-3</v>
      </c>
      <c r="P898">
        <f t="shared" si="245"/>
        <v>-5.9952714742448898E-2</v>
      </c>
      <c r="Q898">
        <f t="shared" si="246"/>
        <v>0.99817988050945283</v>
      </c>
      <c r="R898">
        <f t="shared" si="236"/>
        <v>1</v>
      </c>
      <c r="AG898" s="8">
        <f t="shared" si="238"/>
        <v>0.1633395771793405</v>
      </c>
      <c r="AH898" s="8">
        <f t="shared" si="239"/>
        <v>-0.16909221769011601</v>
      </c>
      <c r="AI898" s="8">
        <f t="shared" si="240"/>
        <v>0.97197119527458875</v>
      </c>
      <c r="AJ898" s="8"/>
      <c r="AK898" s="8"/>
      <c r="AL898" s="8"/>
      <c r="AN898" s="8">
        <f t="shared" si="247"/>
        <v>1</v>
      </c>
      <c r="AO898" s="8">
        <f t="shared" si="248"/>
        <v>5.4804841466361722</v>
      </c>
      <c r="AP898" s="8">
        <f t="shared" si="249"/>
        <v>0.23732141891900227</v>
      </c>
      <c r="AQ898" s="8"/>
      <c r="AR898" s="8">
        <f t="shared" si="250"/>
        <v>314.00861129060928</v>
      </c>
      <c r="AS898" s="8">
        <f t="shared" si="251"/>
        <v>76.402484307885004</v>
      </c>
    </row>
    <row r="899" spans="1:45">
      <c r="A899" s="19">
        <v>38.605233329999997</v>
      </c>
      <c r="B899" s="19">
        <v>950.0214813</v>
      </c>
      <c r="C899" s="19">
        <v>-632.51323690000004</v>
      </c>
      <c r="E899" s="9">
        <f t="shared" si="241"/>
        <v>9.9785186999999951</v>
      </c>
      <c r="F899" s="9">
        <f t="shared" si="242"/>
        <v>-92.513236900000038</v>
      </c>
      <c r="I899">
        <v>1</v>
      </c>
      <c r="J899">
        <f t="shared" si="237"/>
        <v>6.0741849292151019E-2</v>
      </c>
      <c r="K899">
        <f t="shared" si="243"/>
        <v>-1.4633512665956394</v>
      </c>
      <c r="O899">
        <f t="shared" si="244"/>
        <v>6.5098567828610048E-3</v>
      </c>
      <c r="P899">
        <f t="shared" si="245"/>
        <v>-6.0354441460122969E-2</v>
      </c>
      <c r="Q899">
        <f t="shared" si="246"/>
        <v>0.99815578100850733</v>
      </c>
      <c r="R899">
        <f t="shared" si="236"/>
        <v>1</v>
      </c>
      <c r="AG899" s="8">
        <f t="shared" si="238"/>
        <v>0.16372429090124568</v>
      </c>
      <c r="AH899" s="8">
        <f t="shared" si="239"/>
        <v>-0.16898189560078436</v>
      </c>
      <c r="AI899" s="8">
        <f t="shared" si="240"/>
        <v>0.97192565329249847</v>
      </c>
      <c r="AJ899" s="8"/>
      <c r="AK899" s="8"/>
      <c r="AL899" s="8"/>
      <c r="AN899" s="8">
        <f t="shared" si="247"/>
        <v>1</v>
      </c>
      <c r="AO899" s="8">
        <f t="shared" si="248"/>
        <v>5.4819859133434425</v>
      </c>
      <c r="AP899" s="8">
        <f t="shared" si="249"/>
        <v>0.2375150546756466</v>
      </c>
      <c r="AQ899" s="8"/>
      <c r="AR899" s="8">
        <f t="shared" si="250"/>
        <v>314.09465618474911</v>
      </c>
      <c r="AS899" s="8">
        <f t="shared" si="251"/>
        <v>76.391389796266452</v>
      </c>
    </row>
    <row r="900" spans="1:45">
      <c r="A900" s="19">
        <v>38.638599999999997</v>
      </c>
      <c r="B900" s="19">
        <v>949.96624959999997</v>
      </c>
      <c r="C900" s="19">
        <v>-632.91285579999999</v>
      </c>
      <c r="E900" s="9">
        <f t="shared" si="241"/>
        <v>10.033750400000031</v>
      </c>
      <c r="F900" s="9">
        <f t="shared" si="242"/>
        <v>-92.912855799999988</v>
      </c>
      <c r="I900">
        <v>1</v>
      </c>
      <c r="J900">
        <f t="shared" si="237"/>
        <v>6.1007585099926619E-2</v>
      </c>
      <c r="K900">
        <f t="shared" si="243"/>
        <v>-1.4632222319082822</v>
      </c>
      <c r="O900">
        <f t="shared" si="244"/>
        <v>6.5461228834991642E-3</v>
      </c>
      <c r="P900">
        <f t="shared" si="245"/>
        <v>-6.0617311302026869E-2</v>
      </c>
      <c r="Q900">
        <f t="shared" si="246"/>
        <v>0.99813961440557364</v>
      </c>
      <c r="R900">
        <f t="shared" si="236"/>
        <v>1</v>
      </c>
      <c r="AG900" s="8">
        <f t="shared" si="238"/>
        <v>0.16396246578779464</v>
      </c>
      <c r="AH900" s="8">
        <f t="shared" si="239"/>
        <v>-0.16886547746931574</v>
      </c>
      <c r="AI900" s="8">
        <f t="shared" si="240"/>
        <v>0.97190573634064237</v>
      </c>
      <c r="AJ900" s="8"/>
      <c r="AK900" s="8"/>
      <c r="AL900" s="8"/>
      <c r="AN900" s="8">
        <f t="shared" si="247"/>
        <v>1</v>
      </c>
      <c r="AO900" s="8">
        <f t="shared" si="248"/>
        <v>5.4830568389680376</v>
      </c>
      <c r="AP900" s="8">
        <f t="shared" si="249"/>
        <v>0.23759968906530893</v>
      </c>
      <c r="AQ900" s="8"/>
      <c r="AR900" s="8">
        <f t="shared" si="250"/>
        <v>314.15601570321081</v>
      </c>
      <c r="AS900" s="8">
        <f t="shared" si="251"/>
        <v>76.386540602937146</v>
      </c>
    </row>
    <row r="901" spans="1:45">
      <c r="A901" s="19">
        <v>38.671966670000003</v>
      </c>
      <c r="B901" s="19">
        <v>950.3320602</v>
      </c>
      <c r="C901" s="19">
        <v>-633.93443030000003</v>
      </c>
      <c r="E901" s="9">
        <f t="shared" si="241"/>
        <v>9.6679397999999992</v>
      </c>
      <c r="F901" s="9">
        <f t="shared" si="242"/>
        <v>-93.934430300000031</v>
      </c>
      <c r="I901">
        <v>1</v>
      </c>
      <c r="J901">
        <f t="shared" si="237"/>
        <v>6.165183586926249E-2</v>
      </c>
      <c r="K901">
        <f t="shared" si="243"/>
        <v>-1.4682352352800707</v>
      </c>
      <c r="O901">
        <f t="shared" si="244"/>
        <v>6.3080023929485037E-3</v>
      </c>
      <c r="P901">
        <f t="shared" si="245"/>
        <v>-6.128902572527966E-2</v>
      </c>
      <c r="Q901">
        <f t="shared" si="246"/>
        <v>0.99810012745789012</v>
      </c>
      <c r="R901">
        <f t="shared" si="236"/>
        <v>1</v>
      </c>
      <c r="AG901" s="8">
        <f t="shared" si="238"/>
        <v>0.16466581493301743</v>
      </c>
      <c r="AH901" s="8">
        <f t="shared" si="239"/>
        <v>-0.16887709656010899</v>
      </c>
      <c r="AI901" s="8">
        <f t="shared" si="240"/>
        <v>0.97178479904239734</v>
      </c>
      <c r="AJ901" s="8"/>
      <c r="AK901" s="8"/>
      <c r="AL901" s="8"/>
      <c r="AN901" s="8">
        <f t="shared" si="247"/>
        <v>0.99999999999999978</v>
      </c>
      <c r="AO901" s="8">
        <f t="shared" si="248"/>
        <v>5.4851619080928575</v>
      </c>
      <c r="AP901" s="8">
        <f t="shared" si="249"/>
        <v>0.23811296203381849</v>
      </c>
      <c r="AQ901" s="8"/>
      <c r="AR901" s="8">
        <f t="shared" si="250"/>
        <v>314.27662727964628</v>
      </c>
      <c r="AS901" s="8">
        <f t="shared" si="251"/>
        <v>76.357132228103396</v>
      </c>
    </row>
    <row r="902" spans="1:45">
      <c r="A902" s="19">
        <v>38.705333330000002</v>
      </c>
      <c r="B902" s="19">
        <v>951.68582590000005</v>
      </c>
      <c r="C902" s="19">
        <v>-634.91170699999998</v>
      </c>
      <c r="E902" s="9">
        <f t="shared" si="241"/>
        <v>8.3141740999999456</v>
      </c>
      <c r="F902" s="9">
        <f t="shared" si="242"/>
        <v>-94.911706999999979</v>
      </c>
      <c r="I902">
        <v>1</v>
      </c>
      <c r="J902">
        <f t="shared" si="237"/>
        <v>6.2208423410119555E-2</v>
      </c>
      <c r="K902">
        <f t="shared" si="243"/>
        <v>-1.4834203305291636</v>
      </c>
      <c r="O902">
        <f t="shared" si="244"/>
        <v>5.4251086284096009E-3</v>
      </c>
      <c r="P902">
        <f t="shared" si="245"/>
        <v>-6.1931144860532424E-2</v>
      </c>
      <c r="Q902">
        <f t="shared" si="246"/>
        <v>0.99806567994928752</v>
      </c>
      <c r="R902">
        <f t="shared" si="236"/>
        <v>1</v>
      </c>
      <c r="AG902" s="8">
        <f t="shared" si="238"/>
        <v>0.16552580749389362</v>
      </c>
      <c r="AH902" s="8">
        <f t="shared" si="239"/>
        <v>-0.16950044615299603</v>
      </c>
      <c r="AI902" s="8">
        <f t="shared" si="240"/>
        <v>0.97153013633516783</v>
      </c>
      <c r="AJ902" s="8"/>
      <c r="AK902" s="8"/>
      <c r="AL902" s="8"/>
      <c r="AN902" s="8">
        <f t="shared" si="247"/>
        <v>1</v>
      </c>
      <c r="AO902" s="8">
        <f t="shared" si="248"/>
        <v>5.4859240370571678</v>
      </c>
      <c r="AP902" s="8">
        <f t="shared" si="249"/>
        <v>0.23919024893142216</v>
      </c>
      <c r="AQ902" s="8"/>
      <c r="AR902" s="8">
        <f t="shared" si="250"/>
        <v>314.32029405274596</v>
      </c>
      <c r="AS902" s="8">
        <f t="shared" si="251"/>
        <v>76.295408235545963</v>
      </c>
    </row>
    <row r="903" spans="1:45">
      <c r="A903" s="19">
        <v>38.738700000000001</v>
      </c>
      <c r="B903" s="19">
        <v>951.90680870000006</v>
      </c>
      <c r="C903" s="19">
        <v>-635.71159739999996</v>
      </c>
      <c r="E903" s="9">
        <f t="shared" si="241"/>
        <v>8.093191299999944</v>
      </c>
      <c r="F903" s="9">
        <f t="shared" si="242"/>
        <v>-95.71159739999996</v>
      </c>
      <c r="I903">
        <v>1</v>
      </c>
      <c r="J903">
        <f t="shared" si="237"/>
        <v>6.2721180511446206E-2</v>
      </c>
      <c r="K903">
        <f t="shared" si="243"/>
        <v>-1.486438893842958</v>
      </c>
      <c r="O903">
        <f t="shared" si="244"/>
        <v>5.2812604438492276E-3</v>
      </c>
      <c r="P903">
        <f t="shared" si="245"/>
        <v>-6.2457175992645296E-2</v>
      </c>
      <c r="Q903">
        <f t="shared" si="246"/>
        <v>0.99803367150369626</v>
      </c>
      <c r="R903">
        <f t="shared" si="236"/>
        <v>1</v>
      </c>
      <c r="AG903" s="8">
        <f t="shared" si="238"/>
        <v>0.16606431160636143</v>
      </c>
      <c r="AH903" s="8">
        <f t="shared" si="239"/>
        <v>-0.16946954734461639</v>
      </c>
      <c r="AI903" s="8">
        <f t="shared" si="240"/>
        <v>0.97144362519577843</v>
      </c>
      <c r="AJ903" s="8"/>
      <c r="AK903" s="8"/>
      <c r="AL903" s="8"/>
      <c r="AN903" s="8">
        <f t="shared" si="247"/>
        <v>0.99999999999999989</v>
      </c>
      <c r="AO903" s="8">
        <f t="shared" si="248"/>
        <v>5.4876387824596149</v>
      </c>
      <c r="AP903" s="8">
        <f t="shared" si="249"/>
        <v>0.23955513127182138</v>
      </c>
      <c r="AQ903" s="8"/>
      <c r="AR903" s="8">
        <f t="shared" si="250"/>
        <v>314.41854172724561</v>
      </c>
      <c r="AS903" s="8">
        <f t="shared" si="251"/>
        <v>76.274502017422236</v>
      </c>
    </row>
    <row r="904" spans="1:45">
      <c r="A904" s="19">
        <v>38.772066670000001</v>
      </c>
      <c r="B904" s="19">
        <v>952.26456010000004</v>
      </c>
      <c r="C904" s="19">
        <v>-636.15562509999995</v>
      </c>
      <c r="E904" s="9">
        <f t="shared" si="241"/>
        <v>7.7354398999999603</v>
      </c>
      <c r="F904" s="9">
        <f t="shared" si="242"/>
        <v>-96.155625099999952</v>
      </c>
      <c r="I904">
        <v>1</v>
      </c>
      <c r="J904">
        <f t="shared" si="237"/>
        <v>6.2993458569525346E-2</v>
      </c>
      <c r="K904">
        <f t="shared" si="243"/>
        <v>-1.4905221134523279</v>
      </c>
      <c r="O904">
        <f t="shared" si="244"/>
        <v>5.0479810824811582E-3</v>
      </c>
      <c r="P904">
        <f t="shared" si="245"/>
        <v>-6.2749085088095957E-2</v>
      </c>
      <c r="Q904">
        <f t="shared" si="246"/>
        <v>0.99801656810275341</v>
      </c>
      <c r="R904">
        <f t="shared" si="236"/>
        <v>1</v>
      </c>
      <c r="AG904" s="8">
        <f t="shared" si="238"/>
        <v>0.16640707095212062</v>
      </c>
      <c r="AH904" s="8">
        <f t="shared" si="239"/>
        <v>-0.16959575754667569</v>
      </c>
      <c r="AI904" s="8">
        <f t="shared" si="240"/>
        <v>0.97136294234405762</v>
      </c>
      <c r="AJ904" s="8"/>
      <c r="AK904" s="8"/>
      <c r="AL904" s="8"/>
      <c r="AN904" s="8">
        <f t="shared" si="247"/>
        <v>1</v>
      </c>
      <c r="AO904" s="8">
        <f t="shared" si="248"/>
        <v>5.4882973698766335</v>
      </c>
      <c r="AP904" s="8">
        <f t="shared" si="249"/>
        <v>0.23989494077961382</v>
      </c>
      <c r="AQ904" s="8"/>
      <c r="AR904" s="8">
        <f t="shared" si="250"/>
        <v>314.45627600668121</v>
      </c>
      <c r="AS904" s="8">
        <f t="shared" si="251"/>
        <v>76.255032366787304</v>
      </c>
    </row>
    <row r="905" spans="1:45">
      <c r="A905" s="19">
        <v>38.80543333</v>
      </c>
      <c r="B905" s="19">
        <v>952.76425189999998</v>
      </c>
      <c r="C905" s="19">
        <v>-637.13009699999998</v>
      </c>
      <c r="E905" s="9">
        <f t="shared" si="241"/>
        <v>7.2357481000000234</v>
      </c>
      <c r="F905" s="9">
        <f t="shared" si="242"/>
        <v>-97.130096999999978</v>
      </c>
      <c r="I905">
        <v>1</v>
      </c>
      <c r="J905">
        <f t="shared" si="237"/>
        <v>6.3608389637364052E-2</v>
      </c>
      <c r="K905">
        <f t="shared" si="243"/>
        <v>-1.4964382480707044</v>
      </c>
      <c r="O905">
        <f t="shared" si="244"/>
        <v>4.7222543440644214E-3</v>
      </c>
      <c r="P905">
        <f t="shared" si="245"/>
        <v>-6.3389854947776159E-2</v>
      </c>
      <c r="Q905">
        <f t="shared" si="246"/>
        <v>0.99797766838923296</v>
      </c>
      <c r="R905">
        <f t="shared" si="236"/>
        <v>1</v>
      </c>
      <c r="AG905" s="8">
        <f t="shared" si="238"/>
        <v>0.16710605783691271</v>
      </c>
      <c r="AH905" s="8">
        <f t="shared" si="239"/>
        <v>-0.16969861054128296</v>
      </c>
      <c r="AI905" s="8">
        <f t="shared" si="240"/>
        <v>0.97122497240060923</v>
      </c>
      <c r="AJ905" s="8"/>
      <c r="AK905" s="8"/>
      <c r="AL905" s="8"/>
      <c r="AN905" s="8">
        <f t="shared" si="247"/>
        <v>0.99999999999999978</v>
      </c>
      <c r="AO905" s="8">
        <f t="shared" si="248"/>
        <v>5.4900897994593736</v>
      </c>
      <c r="AP905" s="8">
        <f t="shared" si="249"/>
        <v>0.24047493336124148</v>
      </c>
      <c r="AQ905" s="8"/>
      <c r="AR905" s="8">
        <f t="shared" si="250"/>
        <v>314.5589746568466</v>
      </c>
      <c r="AS905" s="8">
        <f t="shared" si="251"/>
        <v>76.221801239711141</v>
      </c>
    </row>
    <row r="906" spans="1:45">
      <c r="A906" s="19">
        <v>38.838799999999999</v>
      </c>
      <c r="B906" s="19">
        <v>952.77946850000001</v>
      </c>
      <c r="C906" s="19">
        <v>-637.90166490000001</v>
      </c>
      <c r="E906" s="9">
        <f t="shared" si="241"/>
        <v>7.2205314999999928</v>
      </c>
      <c r="F906" s="9">
        <f t="shared" si="242"/>
        <v>-97.901664900000014</v>
      </c>
      <c r="I906">
        <v>1</v>
      </c>
      <c r="J906">
        <f t="shared" si="237"/>
        <v>6.4114823507115407E-2</v>
      </c>
      <c r="K906">
        <f t="shared" si="243"/>
        <v>-1.4971767201469162</v>
      </c>
      <c r="O906">
        <f t="shared" si="244"/>
        <v>4.7126152832846898E-3</v>
      </c>
      <c r="P906">
        <f t="shared" si="245"/>
        <v>-6.3897357454469436E-2</v>
      </c>
      <c r="Q906">
        <f t="shared" si="246"/>
        <v>0.99794534868775631</v>
      </c>
      <c r="R906">
        <f t="shared" si="236"/>
        <v>1</v>
      </c>
      <c r="AG906" s="8">
        <f t="shared" si="238"/>
        <v>0.16758852918964429</v>
      </c>
      <c r="AH906" s="8">
        <f t="shared" si="239"/>
        <v>-0.1695479841327267</v>
      </c>
      <c r="AI906" s="8">
        <f t="shared" si="240"/>
        <v>0.97116814505037208</v>
      </c>
      <c r="AJ906" s="8"/>
      <c r="AK906" s="8"/>
      <c r="AL906" s="8"/>
      <c r="AN906" s="8">
        <f t="shared" si="247"/>
        <v>1</v>
      </c>
      <c r="AO906" s="8">
        <f t="shared" si="248"/>
        <v>5.4919751572346378</v>
      </c>
      <c r="AP906" s="8">
        <f t="shared" si="249"/>
        <v>0.24071342343247881</v>
      </c>
      <c r="AQ906" s="8"/>
      <c r="AR906" s="8">
        <f t="shared" si="250"/>
        <v>314.66699770024144</v>
      </c>
      <c r="AS906" s="8">
        <f t="shared" si="251"/>
        <v>76.208136765173464</v>
      </c>
    </row>
    <row r="907" spans="1:45">
      <c r="A907" s="19">
        <v>38.872166669999999</v>
      </c>
      <c r="B907" s="19">
        <v>953.45417110000005</v>
      </c>
      <c r="C907" s="19">
        <v>-638.63547200000005</v>
      </c>
      <c r="E907" s="9">
        <f t="shared" si="241"/>
        <v>6.5458288999999468</v>
      </c>
      <c r="F907" s="9">
        <f t="shared" si="242"/>
        <v>-98.63547200000005</v>
      </c>
      <c r="I907">
        <v>1</v>
      </c>
      <c r="J907">
        <f t="shared" si="237"/>
        <v>6.456625381283361E-2</v>
      </c>
      <c r="K907">
        <f t="shared" si="243"/>
        <v>-1.5045296535962105</v>
      </c>
      <c r="O907">
        <f t="shared" si="244"/>
        <v>4.272490147838183E-3</v>
      </c>
      <c r="P907">
        <f t="shared" si="245"/>
        <v>-6.4379788837342314E-2</v>
      </c>
      <c r="Q907">
        <f t="shared" si="246"/>
        <v>0.997916323454625</v>
      </c>
      <c r="R907">
        <f t="shared" si="236"/>
        <v>1</v>
      </c>
      <c r="AG907" s="8">
        <f t="shared" si="238"/>
        <v>0.16817051919216305</v>
      </c>
      <c r="AH907" s="8">
        <f t="shared" si="239"/>
        <v>-0.16980737420610792</v>
      </c>
      <c r="AI907" s="8">
        <f t="shared" si="240"/>
        <v>0.97102220991070276</v>
      </c>
      <c r="AJ907" s="8"/>
      <c r="AK907" s="8"/>
      <c r="AL907" s="8"/>
      <c r="AN907" s="8">
        <f t="shared" si="247"/>
        <v>0.99999999999999978</v>
      </c>
      <c r="AO907" s="8">
        <f t="shared" si="248"/>
        <v>5.492944098576011</v>
      </c>
      <c r="AP907" s="8">
        <f t="shared" si="249"/>
        <v>0.24132481756918067</v>
      </c>
      <c r="AQ907" s="8"/>
      <c r="AR907" s="8">
        <f t="shared" si="250"/>
        <v>314.72251394969788</v>
      </c>
      <c r="AS907" s="8">
        <f t="shared" si="251"/>
        <v>76.173106461521414</v>
      </c>
    </row>
    <row r="908" spans="1:45">
      <c r="A908" s="19">
        <v>38.905533329999997</v>
      </c>
      <c r="B908" s="19">
        <v>953.92287650000003</v>
      </c>
      <c r="C908" s="19">
        <v>-638.99163209999995</v>
      </c>
      <c r="E908" s="9">
        <f t="shared" si="241"/>
        <v>6.0771234999999706</v>
      </c>
      <c r="F908" s="9">
        <f t="shared" si="242"/>
        <v>-98.991632099999947</v>
      </c>
      <c r="I908">
        <v>1</v>
      </c>
      <c r="J908">
        <f t="shared" si="237"/>
        <v>6.4780850158466713E-2</v>
      </c>
      <c r="K908">
        <f t="shared" si="243"/>
        <v>-1.5094829999023487</v>
      </c>
      <c r="O908">
        <f t="shared" si="244"/>
        <v>3.9666655319343398E-3</v>
      </c>
      <c r="P908">
        <f t="shared" si="245"/>
        <v>-6.4613907385788205E-2</v>
      </c>
      <c r="Q908">
        <f t="shared" si="246"/>
        <v>0.99790245441971859</v>
      </c>
      <c r="R908">
        <f t="shared" si="236"/>
        <v>1</v>
      </c>
      <c r="AG908" s="8">
        <f t="shared" si="238"/>
        <v>0.16847933722824571</v>
      </c>
      <c r="AH908" s="8">
        <f t="shared" si="239"/>
        <v>-0.17001938618589335</v>
      </c>
      <c r="AI908" s="8">
        <f t="shared" si="240"/>
        <v>0.97093157392686691</v>
      </c>
      <c r="AJ908" s="8"/>
      <c r="AK908" s="8"/>
      <c r="AL908" s="8"/>
      <c r="AN908" s="8">
        <f t="shared" si="247"/>
        <v>0.99999999999999989</v>
      </c>
      <c r="AO908" s="8">
        <f t="shared" si="248"/>
        <v>5.4932375303706467</v>
      </c>
      <c r="AP908" s="8">
        <f t="shared" si="249"/>
        <v>0.24170377293298428</v>
      </c>
      <c r="AQ908" s="8"/>
      <c r="AR908" s="8">
        <f t="shared" si="250"/>
        <v>314.73932635310541</v>
      </c>
      <c r="AS908" s="8">
        <f t="shared" si="251"/>
        <v>76.151393918551619</v>
      </c>
    </row>
    <row r="909" spans="1:45">
      <c r="A909" s="19">
        <v>38.938899999999997</v>
      </c>
      <c r="B909" s="19">
        <v>954.4180748</v>
      </c>
      <c r="C909" s="19">
        <v>-640.10895789999995</v>
      </c>
      <c r="E909" s="9">
        <f t="shared" si="241"/>
        <v>5.5819252000000006</v>
      </c>
      <c r="F909" s="9">
        <f t="shared" si="242"/>
        <v>-100.10895789999995</v>
      </c>
      <c r="I909">
        <v>1</v>
      </c>
      <c r="J909">
        <f t="shared" si="237"/>
        <v>6.5497024792076475E-2</v>
      </c>
      <c r="K909">
        <f t="shared" si="243"/>
        <v>-1.5150955051112622</v>
      </c>
      <c r="O909">
        <f t="shared" si="244"/>
        <v>3.6437454011424863E-3</v>
      </c>
      <c r="P909">
        <f t="shared" si="245"/>
        <v>-6.5348699936231922E-2</v>
      </c>
      <c r="Q909">
        <f t="shared" si="246"/>
        <v>0.99785583654959698</v>
      </c>
      <c r="R909">
        <f t="shared" si="236"/>
        <v>1</v>
      </c>
      <c r="AG909" s="8">
        <f t="shared" si="238"/>
        <v>0.16926620944900669</v>
      </c>
      <c r="AH909" s="8">
        <f t="shared" si="239"/>
        <v>-0.17008971180837387</v>
      </c>
      <c r="AI909" s="8">
        <f t="shared" si="240"/>
        <v>0.97078238564351238</v>
      </c>
      <c r="AJ909" s="8"/>
      <c r="AK909" s="8"/>
      <c r="AL909" s="8"/>
      <c r="AN909" s="8">
        <f t="shared" si="247"/>
        <v>0.99999999999999989</v>
      </c>
      <c r="AO909" s="8">
        <f t="shared" si="248"/>
        <v>5.4953604858358993</v>
      </c>
      <c r="AP909" s="8">
        <f t="shared" si="249"/>
        <v>0.24232627419370911</v>
      </c>
      <c r="AQ909" s="8"/>
      <c r="AR909" s="8">
        <f t="shared" si="250"/>
        <v>314.86096274135866</v>
      </c>
      <c r="AS909" s="8">
        <f t="shared" si="251"/>
        <v>76.115727223570516</v>
      </c>
    </row>
    <row r="910" spans="1:45">
      <c r="A910" s="19">
        <v>38.972266670000003</v>
      </c>
      <c r="B910" s="19">
        <v>954.63032150000004</v>
      </c>
      <c r="C910" s="19">
        <v>-640.82575559999998</v>
      </c>
      <c r="E910" s="9">
        <f t="shared" si="241"/>
        <v>5.3696784999999636</v>
      </c>
      <c r="F910" s="9">
        <f t="shared" si="242"/>
        <v>-100.82575559999998</v>
      </c>
      <c r="I910">
        <v>1</v>
      </c>
      <c r="J910">
        <f t="shared" si="237"/>
        <v>6.5961222929917823E-2</v>
      </c>
      <c r="K910">
        <f t="shared" si="243"/>
        <v>-1.5175895801628905</v>
      </c>
      <c r="O910">
        <f t="shared" si="244"/>
        <v>3.505383187644501E-3</v>
      </c>
      <c r="P910">
        <f t="shared" si="245"/>
        <v>-6.582012471729852E-2</v>
      </c>
      <c r="Q910">
        <f t="shared" si="246"/>
        <v>0.99782534717800542</v>
      </c>
      <c r="R910">
        <f t="shared" si="236"/>
        <v>1</v>
      </c>
      <c r="AG910" s="8">
        <f t="shared" si="238"/>
        <v>0.16975131690220646</v>
      </c>
      <c r="AH910" s="8">
        <f t="shared" si="239"/>
        <v>-0.17007048847037146</v>
      </c>
      <c r="AI910" s="8">
        <f t="shared" si="240"/>
        <v>0.97070104530767654</v>
      </c>
      <c r="AJ910" s="8"/>
      <c r="AK910" s="8"/>
      <c r="AL910" s="8"/>
      <c r="AN910" s="8">
        <f t="shared" si="247"/>
        <v>0.99999999999999989</v>
      </c>
      <c r="AO910" s="8">
        <f t="shared" si="248"/>
        <v>5.4968479118986453</v>
      </c>
      <c r="AP910" s="8">
        <f t="shared" si="249"/>
        <v>0.24266501442584287</v>
      </c>
      <c r="AQ910" s="8"/>
      <c r="AR910" s="8">
        <f t="shared" si="250"/>
        <v>314.94618597709177</v>
      </c>
      <c r="AS910" s="8">
        <f t="shared" si="251"/>
        <v>76.096318837917963</v>
      </c>
    </row>
    <row r="911" spans="1:45">
      <c r="A911" s="19">
        <v>39.005633330000002</v>
      </c>
      <c r="B911" s="19">
        <v>955.57412869999996</v>
      </c>
      <c r="C911" s="19">
        <v>-641.70711010000002</v>
      </c>
      <c r="E911" s="9">
        <f t="shared" si="241"/>
        <v>4.4258713000000398</v>
      </c>
      <c r="F911" s="9">
        <f t="shared" si="242"/>
        <v>-101.70711010000002</v>
      </c>
      <c r="I911">
        <v>1</v>
      </c>
      <c r="J911">
        <f t="shared" si="237"/>
        <v>6.6511484890202352E-2</v>
      </c>
      <c r="K911">
        <f t="shared" si="243"/>
        <v>-1.5273079137187167</v>
      </c>
      <c r="O911">
        <f t="shared" si="244"/>
        <v>2.889435815522695E-3</v>
      </c>
      <c r="P911">
        <f t="shared" si="245"/>
        <v>-6.6399618673106731E-2</v>
      </c>
      <c r="Q911">
        <f t="shared" si="246"/>
        <v>0.99778892647730566</v>
      </c>
      <c r="R911">
        <f t="shared" si="236"/>
        <v>1</v>
      </c>
      <c r="AG911" s="8">
        <f t="shared" si="238"/>
        <v>0.17047517385452726</v>
      </c>
      <c r="AH911" s="8">
        <f t="shared" si="239"/>
        <v>-0.17046322156408503</v>
      </c>
      <c r="AI911" s="8">
        <f t="shared" si="240"/>
        <v>0.97050528344428</v>
      </c>
      <c r="AJ911" s="8"/>
      <c r="AK911" s="8"/>
      <c r="AL911" s="8"/>
      <c r="AN911" s="8">
        <f t="shared" si="247"/>
        <v>0.99999999999999989</v>
      </c>
      <c r="AO911" s="8">
        <f t="shared" si="248"/>
        <v>5.4978222008205879</v>
      </c>
      <c r="AP911" s="8">
        <f t="shared" si="249"/>
        <v>0.24347836692672553</v>
      </c>
      <c r="AQ911" s="8"/>
      <c r="AR911" s="8">
        <f t="shared" si="250"/>
        <v>315.00200862034541</v>
      </c>
      <c r="AS911" s="8">
        <f t="shared" si="251"/>
        <v>76.049717172360971</v>
      </c>
    </row>
    <row r="912" spans="1:45">
      <c r="A912" s="19">
        <v>39.039000000000001</v>
      </c>
      <c r="B912" s="19">
        <v>955.77925210000001</v>
      </c>
      <c r="C912" s="19">
        <v>-642.15023510000003</v>
      </c>
      <c r="E912" s="9">
        <f t="shared" si="241"/>
        <v>4.2207478999999921</v>
      </c>
      <c r="F912" s="9">
        <f t="shared" si="242"/>
        <v>-102.15023510000003</v>
      </c>
      <c r="I912">
        <v>1</v>
      </c>
      <c r="J912">
        <f t="shared" si="237"/>
        <v>6.6797612780647803E-2</v>
      </c>
      <c r="K912">
        <f t="shared" si="243"/>
        <v>-1.5295007939977689</v>
      </c>
      <c r="O912">
        <f t="shared" si="244"/>
        <v>2.7556087856645934E-3</v>
      </c>
      <c r="P912">
        <f t="shared" si="245"/>
        <v>-6.6691044328722859E-2</v>
      </c>
      <c r="Q912">
        <f t="shared" si="246"/>
        <v>0.99776986887085573</v>
      </c>
      <c r="R912">
        <f t="shared" si="236"/>
        <v>1</v>
      </c>
      <c r="AG912" s="8">
        <f t="shared" si="238"/>
        <v>0.17078883767472719</v>
      </c>
      <c r="AH912" s="8">
        <f t="shared" si="239"/>
        <v>-0.17049637374530099</v>
      </c>
      <c r="AI912" s="8">
        <f t="shared" si="240"/>
        <v>0.97044431033698075</v>
      </c>
      <c r="AJ912" s="8"/>
      <c r="AK912" s="8"/>
      <c r="AL912" s="8"/>
      <c r="AN912" s="8">
        <f t="shared" si="247"/>
        <v>0.99999999999999989</v>
      </c>
      <c r="AO912" s="8">
        <f t="shared" si="248"/>
        <v>5.4986440923050992</v>
      </c>
      <c r="AP912" s="8">
        <f t="shared" si="249"/>
        <v>0.24373115495133724</v>
      </c>
      <c r="AQ912" s="8"/>
      <c r="AR912" s="8">
        <f t="shared" si="250"/>
        <v>315.04909953362562</v>
      </c>
      <c r="AS912" s="8">
        <f t="shared" si="251"/>
        <v>76.035233485439278</v>
      </c>
    </row>
    <row r="913" spans="1:45">
      <c r="A913" s="19">
        <v>39.072366670000001</v>
      </c>
      <c r="B913" s="19">
        <v>956.02294859999995</v>
      </c>
      <c r="C913" s="19">
        <v>-642.9024124</v>
      </c>
      <c r="E913" s="9">
        <f t="shared" si="241"/>
        <v>3.9770514000000503</v>
      </c>
      <c r="F913" s="9">
        <f t="shared" si="242"/>
        <v>-102.9024124</v>
      </c>
      <c r="I913">
        <v>1</v>
      </c>
      <c r="J913">
        <f t="shared" si="237"/>
        <v>6.7286664356983231E-2</v>
      </c>
      <c r="K913">
        <f t="shared" si="243"/>
        <v>-1.5321667857554162</v>
      </c>
      <c r="O913">
        <f t="shared" si="244"/>
        <v>2.5966461389770614E-3</v>
      </c>
      <c r="P913">
        <f t="shared" si="245"/>
        <v>-6.7185742645891541E-2</v>
      </c>
      <c r="Q913">
        <f t="shared" si="246"/>
        <v>0.9977371063631687</v>
      </c>
      <c r="R913">
        <f t="shared" si="236"/>
        <v>1</v>
      </c>
      <c r="AG913" s="8">
        <f t="shared" si="238"/>
        <v>0.17130174636607437</v>
      </c>
      <c r="AH913" s="8">
        <f t="shared" si="239"/>
        <v>-0.17048890487107707</v>
      </c>
      <c r="AI913" s="8">
        <f t="shared" si="240"/>
        <v>0.97035521589147644</v>
      </c>
      <c r="AJ913" s="8"/>
      <c r="AK913" s="8"/>
      <c r="AL913" s="8"/>
      <c r="AN913" s="8">
        <f t="shared" si="247"/>
        <v>0.99999999999999989</v>
      </c>
      <c r="AO913" s="8">
        <f t="shared" si="248"/>
        <v>5.500165324576864</v>
      </c>
      <c r="AP913" s="8">
        <f t="shared" si="249"/>
        <v>0.24410006967142217</v>
      </c>
      <c r="AQ913" s="8"/>
      <c r="AR913" s="8">
        <f t="shared" si="250"/>
        <v>315.13625972245688</v>
      </c>
      <c r="AS913" s="8">
        <f t="shared" si="251"/>
        <v>76.014096228978161</v>
      </c>
    </row>
    <row r="914" spans="1:45">
      <c r="A914" s="19">
        <v>39.10573333</v>
      </c>
      <c r="B914" s="19">
        <v>956.62338669999997</v>
      </c>
      <c r="C914" s="19">
        <v>-643.78663280000001</v>
      </c>
      <c r="E914" s="9">
        <f t="shared" si="241"/>
        <v>3.3766133000000309</v>
      </c>
      <c r="F914" s="9">
        <f t="shared" si="242"/>
        <v>-103.78663280000001</v>
      </c>
      <c r="I914">
        <v>1</v>
      </c>
      <c r="J914">
        <f t="shared" si="237"/>
        <v>6.7855145120804677E-2</v>
      </c>
      <c r="K914">
        <f t="shared" si="243"/>
        <v>-1.5382736154054999</v>
      </c>
      <c r="O914">
        <f t="shared" si="244"/>
        <v>2.2047514774218317E-3</v>
      </c>
      <c r="P914">
        <f t="shared" si="245"/>
        <v>-6.7767230556852673E-2</v>
      </c>
      <c r="Q914">
        <f t="shared" si="246"/>
        <v>0.99769872282847849</v>
      </c>
      <c r="R914">
        <f t="shared" si="236"/>
        <v>1</v>
      </c>
      <c r="AG914" s="8">
        <f t="shared" si="238"/>
        <v>0.17196325483170885</v>
      </c>
      <c r="AH914" s="8">
        <f t="shared" si="239"/>
        <v>-0.17067153154868547</v>
      </c>
      <c r="AI914" s="8">
        <f t="shared" si="240"/>
        <v>0.97020609527383961</v>
      </c>
      <c r="AJ914" s="8"/>
      <c r="AK914" s="8"/>
      <c r="AL914" s="8"/>
      <c r="AN914" s="8">
        <f t="shared" si="247"/>
        <v>0.99999999999999989</v>
      </c>
      <c r="AO914" s="8">
        <f t="shared" si="248"/>
        <v>5.5015570971400658</v>
      </c>
      <c r="AP914" s="8">
        <f t="shared" si="249"/>
        <v>0.24471631603975474</v>
      </c>
      <c r="AQ914" s="8"/>
      <c r="AR914" s="8">
        <f t="shared" si="250"/>
        <v>315.21600241637043</v>
      </c>
      <c r="AS914" s="8">
        <f t="shared" si="251"/>
        <v>75.978787912932447</v>
      </c>
    </row>
    <row r="915" spans="1:45">
      <c r="A915" s="19">
        <v>39.139099999999999</v>
      </c>
      <c r="B915" s="19">
        <v>957.20022089999998</v>
      </c>
      <c r="C915" s="19">
        <v>-644.54624720000004</v>
      </c>
      <c r="E915" s="9">
        <f t="shared" si="241"/>
        <v>2.7997791000000234</v>
      </c>
      <c r="F915" s="9">
        <f t="shared" si="242"/>
        <v>-104.54624720000004</v>
      </c>
      <c r="I915">
        <v>1</v>
      </c>
      <c r="J915">
        <f t="shared" si="237"/>
        <v>6.834444366695995E-2</v>
      </c>
      <c r="K915">
        <f t="shared" si="243"/>
        <v>-1.5440224334812855</v>
      </c>
      <c r="O915">
        <f t="shared" si="244"/>
        <v>1.8282042111631086E-3</v>
      </c>
      <c r="P915">
        <f t="shared" si="245"/>
        <v>-6.8266774829606455E-2</v>
      </c>
      <c r="Q915">
        <f t="shared" si="246"/>
        <v>0.99766542744736131</v>
      </c>
      <c r="R915">
        <f t="shared" si="236"/>
        <v>1</v>
      </c>
      <c r="AG915" s="8">
        <f t="shared" si="238"/>
        <v>0.1725429056992418</v>
      </c>
      <c r="AH915" s="8">
        <f t="shared" si="239"/>
        <v>-0.17086558169258004</v>
      </c>
      <c r="AI915" s="8">
        <f t="shared" si="240"/>
        <v>0.97006901748572449</v>
      </c>
      <c r="AJ915" s="8"/>
      <c r="AK915" s="8"/>
      <c r="AL915" s="8"/>
      <c r="AN915" s="8">
        <f t="shared" si="247"/>
        <v>1</v>
      </c>
      <c r="AO915" s="8">
        <f t="shared" si="248"/>
        <v>5.5026714455100123</v>
      </c>
      <c r="AP915" s="8">
        <f t="shared" si="249"/>
        <v>0.24528145653101374</v>
      </c>
      <c r="AQ915" s="8"/>
      <c r="AR915" s="8">
        <f t="shared" si="250"/>
        <v>315.27984987487565</v>
      </c>
      <c r="AS915" s="8">
        <f t="shared" si="251"/>
        <v>75.946407747951355</v>
      </c>
    </row>
    <row r="916" spans="1:45">
      <c r="A916" s="19">
        <v>39.172466669999999</v>
      </c>
      <c r="B916" s="19">
        <v>957.75109220000002</v>
      </c>
      <c r="C916" s="19">
        <v>-645.62530700000002</v>
      </c>
      <c r="E916" s="9">
        <f t="shared" si="241"/>
        <v>2.2489077999999836</v>
      </c>
      <c r="F916" s="9">
        <f t="shared" si="242"/>
        <v>-105.62530700000002</v>
      </c>
      <c r="I916">
        <v>1</v>
      </c>
      <c r="J916">
        <f t="shared" si="237"/>
        <v>6.9046919935248308E-2</v>
      </c>
      <c r="K916">
        <f t="shared" si="243"/>
        <v>-1.5495081702973241</v>
      </c>
      <c r="O916">
        <f t="shared" si="244"/>
        <v>1.468603046951786E-3</v>
      </c>
      <c r="P916">
        <f t="shared" si="245"/>
        <v>-6.8976437226736909E-2</v>
      </c>
      <c r="Q916">
        <f t="shared" si="246"/>
        <v>0.99761720830817491</v>
      </c>
      <c r="R916">
        <f t="shared" si="236"/>
        <v>1</v>
      </c>
      <c r="AG916" s="8">
        <f t="shared" si="238"/>
        <v>0.1733161603211813</v>
      </c>
      <c r="AH916" s="8">
        <f t="shared" si="239"/>
        <v>-0.17097742833368171</v>
      </c>
      <c r="AI916" s="8">
        <f t="shared" si="240"/>
        <v>0.969911453469812</v>
      </c>
      <c r="AJ916" s="8"/>
      <c r="AK916" s="8"/>
      <c r="AL916" s="8"/>
      <c r="AN916" s="8">
        <f t="shared" si="247"/>
        <v>1</v>
      </c>
      <c r="AO916" s="8">
        <f t="shared" si="248"/>
        <v>5.5045798814158147</v>
      </c>
      <c r="AP916" s="8">
        <f t="shared" si="249"/>
        <v>0.2459294849934397</v>
      </c>
      <c r="AQ916" s="8"/>
      <c r="AR916" s="8">
        <f t="shared" si="250"/>
        <v>315.38919519774936</v>
      </c>
      <c r="AS916" s="8">
        <f t="shared" si="251"/>
        <v>75.909278452049989</v>
      </c>
    </row>
    <row r="917" spans="1:45">
      <c r="A917" s="19">
        <v>39.205833329999997</v>
      </c>
      <c r="B917" s="19">
        <v>958.15266589999999</v>
      </c>
      <c r="C917" s="19">
        <v>-645.95362090000003</v>
      </c>
      <c r="E917" s="9">
        <f t="shared" si="241"/>
        <v>1.8473341000000119</v>
      </c>
      <c r="F917" s="9">
        <f t="shared" si="242"/>
        <v>-105.95362090000003</v>
      </c>
      <c r="I917">
        <v>1</v>
      </c>
      <c r="J917">
        <f t="shared" si="237"/>
        <v>6.9258209405396107E-2</v>
      </c>
      <c r="K917">
        <f t="shared" si="243"/>
        <v>-1.5533627843818618</v>
      </c>
      <c r="O917">
        <f t="shared" si="244"/>
        <v>1.2063897824990924E-3</v>
      </c>
      <c r="P917">
        <f t="shared" si="245"/>
        <v>-6.9192338122563299E-2</v>
      </c>
      <c r="Q917">
        <f t="shared" si="246"/>
        <v>0.9976026087419908</v>
      </c>
      <c r="R917">
        <f t="shared" si="236"/>
        <v>1</v>
      </c>
      <c r="AG917" s="8">
        <f t="shared" si="238"/>
        <v>0.17359508917876215</v>
      </c>
      <c r="AH917" s="8">
        <f t="shared" si="239"/>
        <v>-0.17115409865218309</v>
      </c>
      <c r="AI917" s="8">
        <f t="shared" si="240"/>
        <v>0.96983040761133921</v>
      </c>
      <c r="AJ917" s="8"/>
      <c r="AK917" s="8"/>
      <c r="AL917" s="8"/>
      <c r="AN917" s="8">
        <f t="shared" si="247"/>
        <v>1</v>
      </c>
      <c r="AO917" s="8">
        <f t="shared" si="248"/>
        <v>5.5048675077754048</v>
      </c>
      <c r="AP917" s="8">
        <f t="shared" si="249"/>
        <v>0.24626215923779848</v>
      </c>
      <c r="AQ917" s="8"/>
      <c r="AR917" s="8">
        <f t="shared" si="250"/>
        <v>315.40567497423058</v>
      </c>
      <c r="AS917" s="8">
        <f t="shared" si="251"/>
        <v>75.89021762189553</v>
      </c>
    </row>
    <row r="918" spans="1:45">
      <c r="A918" s="19">
        <v>39.239199999999997</v>
      </c>
      <c r="B918" s="19">
        <v>958.82316360000004</v>
      </c>
      <c r="C918" s="19">
        <v>-646.71953699999995</v>
      </c>
      <c r="E918" s="9">
        <f t="shared" si="241"/>
        <v>1.1768363999999565</v>
      </c>
      <c r="F918" s="9">
        <f t="shared" si="242"/>
        <v>-106.71953699999995</v>
      </c>
      <c r="I918">
        <v>1</v>
      </c>
      <c r="J918">
        <f t="shared" si="237"/>
        <v>6.975683974462904E-2</v>
      </c>
      <c r="K918">
        <f t="shared" si="243"/>
        <v>-1.5597693983216432</v>
      </c>
      <c r="O918">
        <f t="shared" si="244"/>
        <v>7.6856443223501136E-4</v>
      </c>
      <c r="P918">
        <f t="shared" si="245"/>
        <v>-6.9696043020755466E-2</v>
      </c>
      <c r="Q918">
        <f t="shared" si="246"/>
        <v>0.99756797808267805</v>
      </c>
      <c r="R918">
        <f t="shared" si="236"/>
        <v>1</v>
      </c>
      <c r="AG918" s="8">
        <f t="shared" si="238"/>
        <v>0.17419607025872716</v>
      </c>
      <c r="AH918" s="8">
        <f t="shared" si="239"/>
        <v>-0.1714038279306547</v>
      </c>
      <c r="AI918" s="8">
        <f t="shared" si="240"/>
        <v>0.96967853275048577</v>
      </c>
      <c r="AJ918" s="8"/>
      <c r="AK918" s="8"/>
      <c r="AL918" s="8"/>
      <c r="AN918" s="8">
        <f t="shared" si="247"/>
        <v>0.99999999999999978</v>
      </c>
      <c r="AO918" s="8">
        <f t="shared" si="248"/>
        <v>5.5058663752542696</v>
      </c>
      <c r="AP918" s="8">
        <f t="shared" si="249"/>
        <v>0.24688438728921858</v>
      </c>
      <c r="AQ918" s="8"/>
      <c r="AR918" s="8">
        <f t="shared" si="250"/>
        <v>315.4629058650624</v>
      </c>
      <c r="AS918" s="8">
        <f t="shared" si="251"/>
        <v>75.854566580654506</v>
      </c>
    </row>
    <row r="919" spans="1:45">
      <c r="A919" s="19">
        <v>39.272566670000003</v>
      </c>
      <c r="B919" s="19">
        <v>958.82156669999995</v>
      </c>
      <c r="C919" s="19">
        <v>-647.70364989999996</v>
      </c>
      <c r="E919" s="9">
        <f t="shared" si="241"/>
        <v>1.1784333000000515</v>
      </c>
      <c r="F919" s="9">
        <f t="shared" si="242"/>
        <v>-107.70364989999996</v>
      </c>
      <c r="I919">
        <v>1</v>
      </c>
      <c r="J919">
        <f t="shared" si="237"/>
        <v>7.0405650249847185E-2</v>
      </c>
      <c r="K919">
        <f t="shared" si="243"/>
        <v>-1.5598553208120371</v>
      </c>
      <c r="O919">
        <f t="shared" si="244"/>
        <v>7.6965704510945771E-4</v>
      </c>
      <c r="P919">
        <f t="shared" si="245"/>
        <v>-7.0343287931131981E-2</v>
      </c>
      <c r="Q919">
        <f t="shared" si="246"/>
        <v>0.99752254584599276</v>
      </c>
      <c r="R919">
        <f t="shared" si="236"/>
        <v>1</v>
      </c>
      <c r="AG919" s="8">
        <f t="shared" si="238"/>
        <v>0.17480710956555023</v>
      </c>
      <c r="AH919" s="8">
        <f t="shared" si="239"/>
        <v>-0.17119841626353527</v>
      </c>
      <c r="AI919" s="8">
        <f t="shared" si="240"/>
        <v>0.96960485596669477</v>
      </c>
      <c r="AJ919" s="8"/>
      <c r="AK919" s="8"/>
      <c r="AL919" s="8"/>
      <c r="AN919" s="8">
        <f t="shared" si="247"/>
        <v>0.99999999999999989</v>
      </c>
      <c r="AO919" s="8">
        <f t="shared" si="248"/>
        <v>5.5082163485044067</v>
      </c>
      <c r="AP919" s="8">
        <f t="shared" si="249"/>
        <v>0.24718568675347807</v>
      </c>
      <c r="AQ919" s="8"/>
      <c r="AR919" s="8">
        <f t="shared" si="250"/>
        <v>315.59754941426388</v>
      </c>
      <c r="AS919" s="8">
        <f t="shared" si="251"/>
        <v>75.837303392982889</v>
      </c>
    </row>
    <row r="920" spans="1:45">
      <c r="A920" s="19">
        <v>39.305933330000002</v>
      </c>
      <c r="B920" s="19">
        <v>959.75826510000002</v>
      </c>
      <c r="C920" s="19">
        <v>-648.45733600000005</v>
      </c>
      <c r="E920" s="9">
        <f t="shared" si="241"/>
        <v>0.2417348999999831</v>
      </c>
      <c r="F920" s="9">
        <f t="shared" si="242"/>
        <v>-108.45733600000005</v>
      </c>
      <c r="I920">
        <v>1</v>
      </c>
      <c r="J920">
        <f t="shared" si="237"/>
        <v>7.0898500183189467E-2</v>
      </c>
      <c r="K920">
        <f t="shared" si="243"/>
        <v>-1.5685674826371598</v>
      </c>
      <c r="O920">
        <f t="shared" si="244"/>
        <v>1.578892252191661E-4</v>
      </c>
      <c r="P920">
        <f t="shared" si="245"/>
        <v>-7.083894278557358E-2</v>
      </c>
      <c r="Q920">
        <f t="shared" si="246"/>
        <v>0.99748775393786904</v>
      </c>
      <c r="R920">
        <f t="shared" si="236"/>
        <v>1</v>
      </c>
      <c r="AG920" s="8">
        <f t="shared" si="238"/>
        <v>0.17545012122418377</v>
      </c>
      <c r="AH920" s="8">
        <f t="shared" si="239"/>
        <v>-0.17161289941596075</v>
      </c>
      <c r="AI920" s="8">
        <f t="shared" si="240"/>
        <v>0.96941542576774931</v>
      </c>
      <c r="AJ920" s="8"/>
      <c r="AK920" s="8"/>
      <c r="AL920" s="8"/>
      <c r="AN920" s="8">
        <f t="shared" si="247"/>
        <v>1</v>
      </c>
      <c r="AO920" s="8">
        <f t="shared" si="248"/>
        <v>5.5088429614179466</v>
      </c>
      <c r="AP920" s="8">
        <f t="shared" si="249"/>
        <v>0.24795871064089758</v>
      </c>
      <c r="AQ920" s="8"/>
      <c r="AR920" s="8">
        <f t="shared" si="250"/>
        <v>315.63345168959813</v>
      </c>
      <c r="AS920" s="8">
        <f t="shared" si="251"/>
        <v>75.793012386770954</v>
      </c>
    </row>
    <row r="921" spans="1:45">
      <c r="A921" s="19">
        <v>39.339300000000001</v>
      </c>
      <c r="B921" s="19">
        <v>959.8160838</v>
      </c>
      <c r="C921" s="19">
        <v>-649.02664379999999</v>
      </c>
      <c r="E921" s="9">
        <f t="shared" si="241"/>
        <v>0.18391619999999875</v>
      </c>
      <c r="F921" s="9">
        <f t="shared" si="242"/>
        <v>-109.02664379999999</v>
      </c>
      <c r="I921">
        <v>1</v>
      </c>
      <c r="J921">
        <f t="shared" si="237"/>
        <v>7.127378693477357E-2</v>
      </c>
      <c r="K921">
        <f t="shared" si="243"/>
        <v>-1.5691094361492788</v>
      </c>
      <c r="O921">
        <f t="shared" si="244"/>
        <v>1.2012925863342579E-4</v>
      </c>
      <c r="P921">
        <f t="shared" si="245"/>
        <v>-7.1213356360036992E-2</v>
      </c>
      <c r="Q921">
        <f t="shared" si="246"/>
        <v>0.99746109871257616</v>
      </c>
      <c r="R921">
        <f t="shared" si="236"/>
        <v>1</v>
      </c>
      <c r="AG921" s="8">
        <f t="shared" si="238"/>
        <v>0.1758145228036426</v>
      </c>
      <c r="AH921" s="8">
        <f t="shared" si="239"/>
        <v>-0.17152983584073642</v>
      </c>
      <c r="AI921" s="8">
        <f t="shared" si="240"/>
        <v>0.96936410547728524</v>
      </c>
      <c r="AJ921" s="8"/>
      <c r="AK921" s="8"/>
      <c r="AL921" s="8"/>
      <c r="AN921" s="8">
        <f t="shared" si="247"/>
        <v>0.99999999999999989</v>
      </c>
      <c r="AO921" s="8">
        <f t="shared" si="248"/>
        <v>5.5101220775393438</v>
      </c>
      <c r="AP921" s="8">
        <f t="shared" si="249"/>
        <v>0.24816773166810724</v>
      </c>
      <c r="AQ921" s="8"/>
      <c r="AR921" s="8">
        <f t="shared" si="250"/>
        <v>315.70673964486133</v>
      </c>
      <c r="AS921" s="8">
        <f t="shared" si="251"/>
        <v>75.781036364082354</v>
      </c>
    </row>
    <row r="922" spans="1:45">
      <c r="A922" s="19">
        <v>39.372666670000001</v>
      </c>
      <c r="B922" s="19">
        <v>960.33578750000004</v>
      </c>
      <c r="C922" s="19">
        <v>-649.90783320000003</v>
      </c>
      <c r="E922" s="9">
        <f t="shared" si="241"/>
        <v>-0.33578750000003765</v>
      </c>
      <c r="F922" s="9">
        <f t="shared" si="242"/>
        <v>-109.90783320000003</v>
      </c>
      <c r="I922">
        <v>1</v>
      </c>
      <c r="J922">
        <f t="shared" si="237"/>
        <v>7.1855024684872884E-2</v>
      </c>
      <c r="K922">
        <f t="shared" si="243"/>
        <v>-1.5738514907943404</v>
      </c>
      <c r="O922">
        <f t="shared" si="244"/>
        <v>-2.1933968224320026E-4</v>
      </c>
      <c r="P922">
        <f t="shared" si="245"/>
        <v>-7.1792872605812796E-2</v>
      </c>
      <c r="Q922">
        <f t="shared" si="246"/>
        <v>0.99741953827519803</v>
      </c>
      <c r="R922">
        <f t="shared" si="236"/>
        <v>1</v>
      </c>
      <c r="AG922" s="8">
        <f t="shared" si="238"/>
        <v>0.17645882653012324</v>
      </c>
      <c r="AH922" s="8">
        <f t="shared" si="239"/>
        <v>-0.17166351060815174</v>
      </c>
      <c r="AI922" s="8">
        <f t="shared" si="240"/>
        <v>0.96922336004932153</v>
      </c>
      <c r="AJ922" s="8"/>
      <c r="AK922" s="8"/>
      <c r="AL922" s="8"/>
      <c r="AN922" s="8">
        <f t="shared" si="247"/>
        <v>0.99999999999999989</v>
      </c>
      <c r="AO922" s="8">
        <f t="shared" si="248"/>
        <v>5.5115610736596201</v>
      </c>
      <c r="AP922" s="8">
        <f t="shared" si="249"/>
        <v>0.24874008710968609</v>
      </c>
      <c r="AQ922" s="8"/>
      <c r="AR922" s="8">
        <f t="shared" si="250"/>
        <v>315.7891880492889</v>
      </c>
      <c r="AS922" s="8">
        <f t="shared" si="251"/>
        <v>75.748242812898539</v>
      </c>
    </row>
    <row r="923" spans="1:45">
      <c r="A923" s="19">
        <v>39.40603333</v>
      </c>
      <c r="B923" s="19">
        <v>960.71535900000003</v>
      </c>
      <c r="C923" s="19">
        <v>-650.54849839999997</v>
      </c>
      <c r="E923" s="9">
        <f t="shared" si="241"/>
        <v>-0.71535900000003494</v>
      </c>
      <c r="F923" s="9">
        <f t="shared" si="242"/>
        <v>-110.54849839999997</v>
      </c>
      <c r="I923">
        <v>1</v>
      </c>
      <c r="J923">
        <f t="shared" si="237"/>
        <v>7.2278632219648545E-2</v>
      </c>
      <c r="K923">
        <f t="shared" si="243"/>
        <v>-1.5772672334618403</v>
      </c>
      <c r="O923">
        <f t="shared" si="244"/>
        <v>-4.6729789463173841E-4</v>
      </c>
      <c r="P923">
        <f t="shared" si="245"/>
        <v>-7.2214203717320305E-2</v>
      </c>
      <c r="Q923">
        <f t="shared" si="246"/>
        <v>0.99738903664224776</v>
      </c>
      <c r="R923">
        <f t="shared" ref="R923:R986" si="252">SQRT(O923^2+P923^2+Q923^2)</f>
        <v>1</v>
      </c>
      <c r="AG923" s="8">
        <f t="shared" si="238"/>
        <v>0.17692755869612092</v>
      </c>
      <c r="AH923" s="8">
        <f t="shared" si="239"/>
        <v>-0.1717617163711862</v>
      </c>
      <c r="AI923" s="8">
        <f t="shared" si="240"/>
        <v>0.96912050425272445</v>
      </c>
      <c r="AJ923" s="8"/>
      <c r="AK923" s="8"/>
      <c r="AL923" s="8"/>
      <c r="AN923" s="8">
        <f t="shared" si="247"/>
        <v>1</v>
      </c>
      <c r="AO923" s="8">
        <f t="shared" si="248"/>
        <v>5.5126010907606728</v>
      </c>
      <c r="AP923" s="8">
        <f t="shared" si="249"/>
        <v>0.24915754622660891</v>
      </c>
      <c r="AQ923" s="8"/>
      <c r="AR923" s="8">
        <f t="shared" si="250"/>
        <v>315.84877663980063</v>
      </c>
      <c r="AS923" s="8">
        <f t="shared" si="251"/>
        <v>75.724324167379592</v>
      </c>
    </row>
    <row r="924" spans="1:45">
      <c r="A924" s="19">
        <v>39.439399999999999</v>
      </c>
      <c r="B924" s="19">
        <v>961.76925979999999</v>
      </c>
      <c r="C924" s="19">
        <v>-651.76617599999997</v>
      </c>
      <c r="E924" s="9">
        <f t="shared" si="241"/>
        <v>-1.7692597999999862</v>
      </c>
      <c r="F924" s="9">
        <f t="shared" si="242"/>
        <v>-111.76617599999997</v>
      </c>
      <c r="I924">
        <v>1</v>
      </c>
      <c r="J924">
        <f t="shared" si="237"/>
        <v>7.308921865487851E-2</v>
      </c>
      <c r="K924">
        <f t="shared" si="243"/>
        <v>-1.5866250157569992</v>
      </c>
      <c r="O924">
        <f t="shared" si="244"/>
        <v>-1.1558284783200954E-3</v>
      </c>
      <c r="P924">
        <f t="shared" si="245"/>
        <v>-7.3015014037925943E-2</v>
      </c>
      <c r="Q924">
        <f t="shared" si="246"/>
        <v>0.997330171901748</v>
      </c>
      <c r="R924">
        <f t="shared" si="252"/>
        <v>1</v>
      </c>
      <c r="AG924" s="8">
        <f t="shared" si="238"/>
        <v>0.17788045473559017</v>
      </c>
      <c r="AH924" s="8">
        <f t="shared" si="239"/>
        <v>-0.17215096942742619</v>
      </c>
      <c r="AI924" s="8">
        <f t="shared" si="240"/>
        <v>0.96887697234904757</v>
      </c>
      <c r="AJ924" s="8"/>
      <c r="AK924" s="8"/>
      <c r="AL924" s="8"/>
      <c r="AN924" s="8">
        <f t="shared" si="247"/>
        <v>1</v>
      </c>
      <c r="AO924" s="8">
        <f t="shared" si="248"/>
        <v>5.5141541705675587</v>
      </c>
      <c r="AP924" s="8">
        <f t="shared" si="249"/>
        <v>0.25014324516544617</v>
      </c>
      <c r="AQ924" s="8"/>
      <c r="AR924" s="8">
        <f t="shared" si="250"/>
        <v>315.93776155798218</v>
      </c>
      <c r="AS924" s="8">
        <f t="shared" si="251"/>
        <v>75.6678477783137</v>
      </c>
    </row>
    <row r="925" spans="1:45">
      <c r="A925" s="19">
        <v>39.472766669999999</v>
      </c>
      <c r="B925" s="19">
        <v>961.85333509999998</v>
      </c>
      <c r="C925" s="19">
        <v>-652.21170059999997</v>
      </c>
      <c r="E925" s="9">
        <f t="shared" si="241"/>
        <v>-1.8533350999999811</v>
      </c>
      <c r="F925" s="9">
        <f t="shared" si="242"/>
        <v>-112.21170059999997</v>
      </c>
      <c r="I925">
        <v>1</v>
      </c>
      <c r="J925">
        <f t="shared" si="237"/>
        <v>7.3383837598873222E-2</v>
      </c>
      <c r="K925">
        <f t="shared" si="243"/>
        <v>-1.5873112409498316</v>
      </c>
      <c r="O925">
        <f t="shared" si="244"/>
        <v>-1.2107852875775892E-3</v>
      </c>
      <c r="P925">
        <f t="shared" si="245"/>
        <v>-7.3307992807422118E-2</v>
      </c>
      <c r="Q925">
        <f t="shared" si="246"/>
        <v>0.99730861431631801</v>
      </c>
      <c r="R925">
        <f t="shared" si="252"/>
        <v>1</v>
      </c>
      <c r="AG925" s="8">
        <f t="shared" si="238"/>
        <v>0.17817278539399928</v>
      </c>
      <c r="AH925" s="8">
        <f t="shared" si="239"/>
        <v>-0.17210955315581217</v>
      </c>
      <c r="AI925" s="8">
        <f t="shared" si="240"/>
        <v>0.96883061484319866</v>
      </c>
      <c r="AJ925" s="8"/>
      <c r="AK925" s="8"/>
      <c r="AL925" s="8"/>
      <c r="AN925" s="8">
        <f t="shared" si="247"/>
        <v>0.99999999999999978</v>
      </c>
      <c r="AO925" s="8">
        <f t="shared" si="248"/>
        <v>5.5150949727047767</v>
      </c>
      <c r="AP925" s="8">
        <f t="shared" si="249"/>
        <v>0.2503304472926966</v>
      </c>
      <c r="AQ925" s="8"/>
      <c r="AR925" s="8">
        <f t="shared" si="250"/>
        <v>315.99166554980167</v>
      </c>
      <c r="AS925" s="8">
        <f t="shared" si="251"/>
        <v>75.657121886506374</v>
      </c>
    </row>
    <row r="926" spans="1:45">
      <c r="A926" s="19">
        <v>39.506133329999997</v>
      </c>
      <c r="B926" s="19">
        <v>961.98522349999996</v>
      </c>
      <c r="C926" s="19">
        <v>-652.88613810000004</v>
      </c>
      <c r="E926" s="9">
        <f t="shared" si="241"/>
        <v>-1.9852234999999609</v>
      </c>
      <c r="F926" s="9">
        <f t="shared" si="242"/>
        <v>-112.88613810000004</v>
      </c>
      <c r="I926">
        <v>1</v>
      </c>
      <c r="J926">
        <f t="shared" si="237"/>
        <v>7.3829954865279712E-2</v>
      </c>
      <c r="K926">
        <f t="shared" si="243"/>
        <v>-1.5883805839480505</v>
      </c>
      <c r="O926">
        <f t="shared" si="244"/>
        <v>-1.296998965255827E-3</v>
      </c>
      <c r="P926">
        <f t="shared" si="245"/>
        <v>-7.3751496648831114E-2</v>
      </c>
      <c r="Q926">
        <f t="shared" si="246"/>
        <v>0.99727580665317539</v>
      </c>
      <c r="R926">
        <f t="shared" si="252"/>
        <v>1</v>
      </c>
      <c r="AG926" s="8">
        <f t="shared" si="238"/>
        <v>0.17861615279037452</v>
      </c>
      <c r="AH926" s="8">
        <f t="shared" si="239"/>
        <v>-0.17204964461963421</v>
      </c>
      <c r="AI926" s="8">
        <f t="shared" si="240"/>
        <v>0.96875961401610011</v>
      </c>
      <c r="AJ926" s="8"/>
      <c r="AK926" s="8"/>
      <c r="AL926" s="8"/>
      <c r="AN926" s="8">
        <f t="shared" si="247"/>
        <v>1</v>
      </c>
      <c r="AO926" s="8">
        <f t="shared" si="248"/>
        <v>5.5165107856388991</v>
      </c>
      <c r="AP926" s="8">
        <f t="shared" si="249"/>
        <v>0.25061689933223641</v>
      </c>
      <c r="AQ926" s="8"/>
      <c r="AR926" s="8">
        <f t="shared" si="250"/>
        <v>316.07278565550689</v>
      </c>
      <c r="AS926" s="8">
        <f t="shared" si="251"/>
        <v>75.640709393607835</v>
      </c>
    </row>
    <row r="927" spans="1:45">
      <c r="A927" s="19">
        <v>39.539499999999997</v>
      </c>
      <c r="B927" s="19">
        <v>962.34286989999998</v>
      </c>
      <c r="C927" s="19">
        <v>-653.77862019999998</v>
      </c>
      <c r="E927" s="9">
        <f t="shared" si="241"/>
        <v>-2.3428698999999824</v>
      </c>
      <c r="F927" s="9">
        <f t="shared" si="242"/>
        <v>-113.77862019999998</v>
      </c>
      <c r="I927">
        <v>1</v>
      </c>
      <c r="J927">
        <f t="shared" si="237"/>
        <v>7.4422822845707726E-2</v>
      </c>
      <c r="K927">
        <f t="shared" si="243"/>
        <v>-1.5913848947305893</v>
      </c>
      <c r="O927">
        <f t="shared" si="244"/>
        <v>-1.5307371180582122E-3</v>
      </c>
      <c r="P927">
        <f t="shared" si="245"/>
        <v>-7.4338381820343566E-2</v>
      </c>
      <c r="Q927">
        <f t="shared" si="246"/>
        <v>0.99723189972654214</v>
      </c>
      <c r="R927">
        <f t="shared" si="252"/>
        <v>1</v>
      </c>
      <c r="AG927" s="8">
        <f t="shared" si="238"/>
        <v>0.17923700072406795</v>
      </c>
      <c r="AH927" s="8">
        <f t="shared" si="239"/>
        <v>-0.17208195234513582</v>
      </c>
      <c r="AI927" s="8">
        <f t="shared" si="240"/>
        <v>0.96863919972739421</v>
      </c>
      <c r="AJ927" s="8"/>
      <c r="AK927" s="8"/>
      <c r="AL927" s="8"/>
      <c r="AN927" s="8">
        <f t="shared" si="247"/>
        <v>0.99999999999999978</v>
      </c>
      <c r="AO927" s="8">
        <f t="shared" si="248"/>
        <v>5.5181505750631539</v>
      </c>
      <c r="AP927" s="8">
        <f t="shared" si="249"/>
        <v>0.25110197806522816</v>
      </c>
      <c r="AQ927" s="8"/>
      <c r="AR927" s="8">
        <f t="shared" si="250"/>
        <v>316.16673866880689</v>
      </c>
      <c r="AS927" s="8">
        <f t="shared" si="251"/>
        <v>75.61291642947586</v>
      </c>
    </row>
    <row r="928" spans="1:45">
      <c r="A928" s="19">
        <v>39.572866670000003</v>
      </c>
      <c r="B928" s="19">
        <v>963.58990019999999</v>
      </c>
      <c r="C928" s="19">
        <v>-654.61662109999997</v>
      </c>
      <c r="E928" s="9">
        <f t="shared" si="241"/>
        <v>-3.5899001999999882</v>
      </c>
      <c r="F928" s="9">
        <f t="shared" si="242"/>
        <v>-114.61662109999997</v>
      </c>
      <c r="I928">
        <v>1</v>
      </c>
      <c r="J928">
        <f t="shared" ref="J928:J991" si="253">ATAN((SQRT(E928^2+F928^2)^$B$16)/($F$24))</f>
        <v>7.4996534077230406E-2</v>
      </c>
      <c r="K928">
        <f t="shared" si="243"/>
        <v>-1.6021070298779714</v>
      </c>
      <c r="O928">
        <f t="shared" si="244"/>
        <v>-2.3456103001213043E-3</v>
      </c>
      <c r="P928">
        <f t="shared" si="245"/>
        <v>-7.4889526738727438E-2</v>
      </c>
      <c r="Q928">
        <f t="shared" si="246"/>
        <v>0.99718907780679655</v>
      </c>
      <c r="R928">
        <f t="shared" si="252"/>
        <v>1</v>
      </c>
      <c r="AG928" s="8">
        <f t="shared" ref="AG928:AG991" si="254">$O928*$Z$27+$P928*$Z$31+$Q928*$Z$35</f>
        <v>0.17999002496900168</v>
      </c>
      <c r="AH928" s="8">
        <f t="shared" ref="AH928:AH991" si="255">$O928*$AA$27+$P928*$AA$31+$Q928*$AA$35</f>
        <v>-0.17266768382157832</v>
      </c>
      <c r="AI928" s="8">
        <f t="shared" ref="AI928:AI991" si="256">$AB$27*$O928+$P928*$AB$31+$AB$35*$Q928</f>
        <v>0.9683953024851728</v>
      </c>
      <c r="AJ928" s="8"/>
      <c r="AK928" s="8"/>
      <c r="AL928" s="8"/>
      <c r="AN928" s="8">
        <f t="shared" si="247"/>
        <v>0.99999999999999967</v>
      </c>
      <c r="AO928" s="8">
        <f t="shared" si="248"/>
        <v>5.5185474702401907</v>
      </c>
      <c r="AP928" s="8">
        <f t="shared" si="249"/>
        <v>0.25208169758398324</v>
      </c>
      <c r="AQ928" s="8"/>
      <c r="AR928" s="8">
        <f t="shared" si="250"/>
        <v>316.18947908736021</v>
      </c>
      <c r="AS928" s="8">
        <f t="shared" si="251"/>
        <v>75.5567826359446</v>
      </c>
    </row>
    <row r="929" spans="1:45">
      <c r="A929" s="19">
        <v>39.606233330000002</v>
      </c>
      <c r="B929" s="19">
        <v>963.65039409999997</v>
      </c>
      <c r="C929" s="19">
        <v>-655.39101300000004</v>
      </c>
      <c r="E929" s="9">
        <f t="shared" ref="E929:E992" si="257">-(B929-($B$15/2))</f>
        <v>-3.6503940999999713</v>
      </c>
      <c r="F929" s="9">
        <f t="shared" ref="F929:F992" si="258">(($C$15/2)+C929)</f>
        <v>-115.39101300000004</v>
      </c>
      <c r="I929">
        <v>1</v>
      </c>
      <c r="J929">
        <f t="shared" si="253"/>
        <v>7.5508150805594018E-2</v>
      </c>
      <c r="K929">
        <f t="shared" ref="K929:K992" si="259">ATAN2(E929,F929)</f>
        <v>-1.6024207748114099</v>
      </c>
      <c r="O929">
        <f t="shared" ref="O929:O992" si="260">COS(K929)*SIN(J929)</f>
        <v>-2.3852375109830555E-3</v>
      </c>
      <c r="P929">
        <f t="shared" ref="P929:P992" si="261">SIN(K929)*SIN(J929)</f>
        <v>-7.5398700824641354E-2</v>
      </c>
      <c r="Q929">
        <f t="shared" ref="Q929:Q992" si="262">COS(J929)</f>
        <v>0.99715061377706249</v>
      </c>
      <c r="R929">
        <f t="shared" si="252"/>
        <v>1</v>
      </c>
      <c r="AG929" s="8">
        <f t="shared" si="254"/>
        <v>0.18048199300265505</v>
      </c>
      <c r="AH929" s="8">
        <f t="shared" si="255"/>
        <v>-0.17254335239301399</v>
      </c>
      <c r="AI929" s="8">
        <f t="shared" si="256"/>
        <v>0.96832589645571787</v>
      </c>
      <c r="AJ929" s="8"/>
      <c r="AK929" s="8"/>
      <c r="AL929" s="8"/>
      <c r="AN929" s="8">
        <f t="shared" ref="AN929:AN992" si="263">AG929^2+AH929^2+AI929^2</f>
        <v>0.99999999999999989</v>
      </c>
      <c r="AO929" s="8">
        <f t="shared" ref="AO929:AO992" si="264">IF(ATAN2(AG929,AH929)&gt;=0,ATAN2(AG929,AH929),ATAN2(AG929,AH929)+2*PI())</f>
        <v>5.520270806689588</v>
      </c>
      <c r="AP929" s="8">
        <f t="shared" ref="AP929:AP992" si="265">ACOS(AI929/AN929)</f>
        <v>0.25235981668061247</v>
      </c>
      <c r="AQ929" s="8"/>
      <c r="AR929" s="8">
        <f t="shared" ref="AR929:AR992" si="266">DEGREES(AO929)</f>
        <v>316.28821899259174</v>
      </c>
      <c r="AS929" s="8">
        <f t="shared" ref="AS929:AS992" si="267">90-DEGREES(AP929)</f>
        <v>75.540847585505759</v>
      </c>
    </row>
    <row r="930" spans="1:45">
      <c r="A930" s="19">
        <v>39.639600000000002</v>
      </c>
      <c r="B930" s="19">
        <v>964.28034560000003</v>
      </c>
      <c r="C930" s="19">
        <v>-656.04999359999999</v>
      </c>
      <c r="E930" s="9">
        <f t="shared" si="257"/>
        <v>-4.2803456000000324</v>
      </c>
      <c r="F930" s="9">
        <f t="shared" si="258"/>
        <v>-116.04999359999999</v>
      </c>
      <c r="I930">
        <v>1</v>
      </c>
      <c r="J930">
        <f t="shared" si="253"/>
        <v>7.5956636178974371E-2</v>
      </c>
      <c r="K930">
        <f t="shared" si="259"/>
        <v>-1.6076632498545791</v>
      </c>
      <c r="O930">
        <f t="shared" si="260"/>
        <v>-2.7969618789100486E-3</v>
      </c>
      <c r="P930">
        <f t="shared" si="261"/>
        <v>-7.5832056212225774E-2</v>
      </c>
      <c r="Q930">
        <f t="shared" si="262"/>
        <v>0.99711668136425924</v>
      </c>
      <c r="R930">
        <f t="shared" si="252"/>
        <v>1</v>
      </c>
      <c r="AG930" s="8">
        <f t="shared" si="254"/>
        <v>0.18100860691637727</v>
      </c>
      <c r="AH930" s="8">
        <f t="shared" si="255"/>
        <v>-0.17279011427632798</v>
      </c>
      <c r="AI930" s="8">
        <f t="shared" si="256"/>
        <v>0.96818358828817475</v>
      </c>
      <c r="AJ930" s="8"/>
      <c r="AK930" s="8"/>
      <c r="AL930" s="8"/>
      <c r="AN930" s="8">
        <f t="shared" si="263"/>
        <v>1</v>
      </c>
      <c r="AO930" s="8">
        <f t="shared" si="264"/>
        <v>5.5210122556714074</v>
      </c>
      <c r="AP930" s="8">
        <f t="shared" si="265"/>
        <v>0.25292912825727898</v>
      </c>
      <c r="AQ930" s="8"/>
      <c r="AR930" s="8">
        <f t="shared" si="266"/>
        <v>316.33070088997425</v>
      </c>
      <c r="AS930" s="8">
        <f t="shared" si="267"/>
        <v>75.508228434934821</v>
      </c>
    </row>
    <row r="931" spans="1:45">
      <c r="A931" s="19">
        <v>39.672966670000001</v>
      </c>
      <c r="B931" s="19">
        <v>964.2806746</v>
      </c>
      <c r="C931" s="19">
        <v>-656.57353139999998</v>
      </c>
      <c r="E931" s="9">
        <f t="shared" si="257"/>
        <v>-4.2806745999999976</v>
      </c>
      <c r="F931" s="9">
        <f t="shared" si="258"/>
        <v>-116.57353139999998</v>
      </c>
      <c r="I931">
        <v>1</v>
      </c>
      <c r="J931">
        <f t="shared" si="253"/>
        <v>7.6301619970891105E-2</v>
      </c>
      <c r="K931">
        <f t="shared" si="259"/>
        <v>-1.6075006460139227</v>
      </c>
      <c r="O931">
        <f t="shared" si="260"/>
        <v>-2.7972541431961224E-3</v>
      </c>
      <c r="P931">
        <f t="shared" si="261"/>
        <v>-7.6176262894557534E-2</v>
      </c>
      <c r="Q931">
        <f t="shared" si="262"/>
        <v>0.9970904434105653</v>
      </c>
      <c r="R931">
        <f t="shared" si="252"/>
        <v>1</v>
      </c>
      <c r="AG931" s="8">
        <f t="shared" si="254"/>
        <v>0.1813335839782384</v>
      </c>
      <c r="AH931" s="8">
        <f t="shared" si="255"/>
        <v>-0.17268128868487398</v>
      </c>
      <c r="AI931" s="8">
        <f t="shared" si="256"/>
        <v>0.96814219196342144</v>
      </c>
      <c r="AJ931" s="8"/>
      <c r="AK931" s="8"/>
      <c r="AL931" s="8"/>
      <c r="AN931" s="8">
        <f t="shared" si="263"/>
        <v>1</v>
      </c>
      <c r="AO931" s="8">
        <f t="shared" si="264"/>
        <v>5.5222227644266644</v>
      </c>
      <c r="AP931" s="8">
        <f t="shared" si="265"/>
        <v>0.25309450120607502</v>
      </c>
      <c r="AQ931" s="8"/>
      <c r="AR931" s="8">
        <f t="shared" si="266"/>
        <v>316.40005793271411</v>
      </c>
      <c r="AS931" s="8">
        <f t="shared" si="267"/>
        <v>75.498753262923174</v>
      </c>
    </row>
    <row r="932" spans="1:45">
      <c r="A932" s="19">
        <v>39.70633333</v>
      </c>
      <c r="B932" s="19">
        <v>964.21688919999997</v>
      </c>
      <c r="C932" s="19">
        <v>-657.74492099999998</v>
      </c>
      <c r="E932" s="9">
        <f t="shared" si="257"/>
        <v>-4.2168891999999687</v>
      </c>
      <c r="F932" s="9">
        <f t="shared" si="258"/>
        <v>-117.74492099999998</v>
      </c>
      <c r="I932">
        <v>1</v>
      </c>
      <c r="J932">
        <f t="shared" si="253"/>
        <v>7.7071977952148624E-2</v>
      </c>
      <c r="K932">
        <f t="shared" si="259"/>
        <v>-1.6065947939666181</v>
      </c>
      <c r="O932">
        <f t="shared" si="260"/>
        <v>-2.7557392924704633E-3</v>
      </c>
      <c r="P932">
        <f t="shared" si="261"/>
        <v>-7.6946367309943642E-2</v>
      </c>
      <c r="Q932">
        <f t="shared" si="262"/>
        <v>0.9970314250106439</v>
      </c>
      <c r="R932">
        <f t="shared" si="252"/>
        <v>1</v>
      </c>
      <c r="AG932" s="8">
        <f t="shared" si="254"/>
        <v>0.18204857934116053</v>
      </c>
      <c r="AH932" s="8">
        <f t="shared" si="255"/>
        <v>-0.17239838971758384</v>
      </c>
      <c r="AI932" s="8">
        <f t="shared" si="256"/>
        <v>0.96805842281478516</v>
      </c>
      <c r="AJ932" s="8"/>
      <c r="AK932" s="8"/>
      <c r="AL932" s="8"/>
      <c r="AN932" s="8">
        <f t="shared" si="263"/>
        <v>1</v>
      </c>
      <c r="AO932" s="8">
        <f t="shared" si="264"/>
        <v>5.5250064659945588</v>
      </c>
      <c r="AP932" s="8">
        <f t="shared" si="265"/>
        <v>0.25342882503387876</v>
      </c>
      <c r="AQ932" s="8"/>
      <c r="AR932" s="8">
        <f t="shared" si="266"/>
        <v>316.55955228397841</v>
      </c>
      <c r="AS932" s="8">
        <f t="shared" si="267"/>
        <v>75.479597918599367</v>
      </c>
    </row>
    <row r="933" spans="1:45">
      <c r="A933" s="19">
        <v>39.739699999999999</v>
      </c>
      <c r="B933" s="19">
        <v>965.55090859999996</v>
      </c>
      <c r="C933" s="19">
        <v>-658.13751920000004</v>
      </c>
      <c r="E933" s="9">
        <f t="shared" si="257"/>
        <v>-5.550908599999957</v>
      </c>
      <c r="F933" s="9">
        <f t="shared" si="258"/>
        <v>-118.13751920000004</v>
      </c>
      <c r="I933">
        <v>1</v>
      </c>
      <c r="J933">
        <f t="shared" si="253"/>
        <v>7.7367016522492421E-2</v>
      </c>
      <c r="K933">
        <f t="shared" si="259"/>
        <v>-1.6177486329718154</v>
      </c>
      <c r="O933">
        <f t="shared" si="260"/>
        <v>-3.6276038604955399E-3</v>
      </c>
      <c r="P933">
        <f t="shared" si="261"/>
        <v>-7.7204679738248877E-2</v>
      </c>
      <c r="Q933">
        <f t="shared" si="262"/>
        <v>0.99700866491557927</v>
      </c>
      <c r="R933">
        <f t="shared" si="252"/>
        <v>1</v>
      </c>
      <c r="AG933" s="8">
        <f t="shared" si="254"/>
        <v>0.1825412450587591</v>
      </c>
      <c r="AH933" s="8">
        <f t="shared" si="255"/>
        <v>-0.17312969252066604</v>
      </c>
      <c r="AI933" s="8">
        <f t="shared" si="256"/>
        <v>0.9678351116900531</v>
      </c>
      <c r="AJ933" s="8"/>
      <c r="AK933" s="8"/>
      <c r="AL933" s="8"/>
      <c r="AN933" s="8">
        <f t="shared" si="263"/>
        <v>0.99999999999999989</v>
      </c>
      <c r="AO933" s="8">
        <f t="shared" si="264"/>
        <v>5.5242423747031353</v>
      </c>
      <c r="AP933" s="8">
        <f t="shared" si="265"/>
        <v>0.25431796149288388</v>
      </c>
      <c r="AQ933" s="8"/>
      <c r="AR933" s="8">
        <f t="shared" si="266"/>
        <v>316.51577307781713</v>
      </c>
      <c r="AS933" s="8">
        <f t="shared" si="267"/>
        <v>75.428654152087162</v>
      </c>
    </row>
    <row r="934" spans="1:45">
      <c r="A934" s="19">
        <v>39.773066669999999</v>
      </c>
      <c r="B934" s="19">
        <v>965.87189969999997</v>
      </c>
      <c r="C934" s="19">
        <v>-659.41563389999999</v>
      </c>
      <c r="E934" s="9">
        <f t="shared" si="257"/>
        <v>-5.8718996999999717</v>
      </c>
      <c r="F934" s="9">
        <f t="shared" si="258"/>
        <v>-119.41563389999999</v>
      </c>
      <c r="I934">
        <v>1</v>
      </c>
      <c r="J934">
        <f t="shared" si="253"/>
        <v>7.8218970502625718E-2</v>
      </c>
      <c r="K934">
        <f t="shared" si="259"/>
        <v>-1.6199287045612332</v>
      </c>
      <c r="O934">
        <f t="shared" si="260"/>
        <v>-3.8376219762430086E-3</v>
      </c>
      <c r="P934">
        <f t="shared" si="261"/>
        <v>-7.804494020250928E-2</v>
      </c>
      <c r="Q934">
        <f t="shared" si="262"/>
        <v>0.99694245569458728</v>
      </c>
      <c r="R934">
        <f t="shared" si="252"/>
        <v>1</v>
      </c>
      <c r="AG934" s="8">
        <f t="shared" si="254"/>
        <v>0.18339414873255566</v>
      </c>
      <c r="AH934" s="8">
        <f t="shared" si="255"/>
        <v>-0.17305897321344996</v>
      </c>
      <c r="AI934" s="8">
        <f t="shared" si="256"/>
        <v>0.96768650812180257</v>
      </c>
      <c r="AJ934" s="8"/>
      <c r="AK934" s="8"/>
      <c r="AL934" s="8"/>
      <c r="AN934" s="8">
        <f t="shared" si="263"/>
        <v>0.99999999999999978</v>
      </c>
      <c r="AO934" s="8">
        <f t="shared" si="264"/>
        <v>5.5267735101516804</v>
      </c>
      <c r="AP934" s="8">
        <f t="shared" si="265"/>
        <v>0.25490796053711851</v>
      </c>
      <c r="AQ934" s="8"/>
      <c r="AR934" s="8">
        <f t="shared" si="266"/>
        <v>316.66079645639473</v>
      </c>
      <c r="AS934" s="8">
        <f t="shared" si="267"/>
        <v>75.394849696935765</v>
      </c>
    </row>
    <row r="935" spans="1:45">
      <c r="A935" s="19">
        <v>39.806433329999997</v>
      </c>
      <c r="B935" s="19">
        <v>966.39947119999999</v>
      </c>
      <c r="C935" s="19">
        <v>-660.06137309999997</v>
      </c>
      <c r="E935" s="9">
        <f t="shared" si="257"/>
        <v>-6.3994711999999936</v>
      </c>
      <c r="F935" s="9">
        <f t="shared" si="258"/>
        <v>-120.06137309999997</v>
      </c>
      <c r="I935">
        <v>1</v>
      </c>
      <c r="J935">
        <f t="shared" si="253"/>
        <v>7.8661999358406703E-2</v>
      </c>
      <c r="K935">
        <f t="shared" si="259"/>
        <v>-1.6240476007181557</v>
      </c>
      <c r="O935">
        <f t="shared" si="260"/>
        <v>-4.182555713072131E-3</v>
      </c>
      <c r="P935">
        <f t="shared" si="261"/>
        <v>-7.8469511977597745E-2</v>
      </c>
      <c r="Q935">
        <f t="shared" si="262"/>
        <v>0.99690773992265935</v>
      </c>
      <c r="R935">
        <f t="shared" si="252"/>
        <v>1</v>
      </c>
      <c r="AG935" s="8">
        <f t="shared" si="254"/>
        <v>0.1838932256908834</v>
      </c>
      <c r="AH935" s="8">
        <f t="shared" si="255"/>
        <v>-0.1732458974823313</v>
      </c>
      <c r="AI935" s="8">
        <f t="shared" si="256"/>
        <v>0.96755833961086979</v>
      </c>
      <c r="AJ935" s="8"/>
      <c r="AK935" s="8"/>
      <c r="AL935" s="8"/>
      <c r="AN935" s="8">
        <f t="shared" si="263"/>
        <v>0.99999999999999989</v>
      </c>
      <c r="AO935" s="8">
        <f t="shared" si="264"/>
        <v>5.5275911465735437</v>
      </c>
      <c r="AP935" s="8">
        <f t="shared" si="265"/>
        <v>0.25541575563126195</v>
      </c>
      <c r="AQ935" s="8"/>
      <c r="AR935" s="8">
        <f t="shared" si="266"/>
        <v>316.70764357254365</v>
      </c>
      <c r="AS935" s="8">
        <f t="shared" si="267"/>
        <v>75.3657551811839</v>
      </c>
    </row>
    <row r="936" spans="1:45">
      <c r="A936" s="19">
        <v>39.839799999999997</v>
      </c>
      <c r="B936" s="19">
        <v>966.44708890000004</v>
      </c>
      <c r="C936" s="19">
        <v>-660.7047202</v>
      </c>
      <c r="E936" s="9">
        <f t="shared" si="257"/>
        <v>-6.4470889000000398</v>
      </c>
      <c r="F936" s="9">
        <f t="shared" si="258"/>
        <v>-120.7047202</v>
      </c>
      <c r="I936">
        <v>1</v>
      </c>
      <c r="J936">
        <f t="shared" si="253"/>
        <v>7.9087276722490288E-2</v>
      </c>
      <c r="K936">
        <f t="shared" si="259"/>
        <v>-1.6241576908313935</v>
      </c>
      <c r="O936">
        <f t="shared" si="260"/>
        <v>-4.2138064970587818E-3</v>
      </c>
      <c r="P936">
        <f t="shared" si="261"/>
        <v>-7.8892402771802844E-2</v>
      </c>
      <c r="Q936">
        <f t="shared" si="262"/>
        <v>0.99687423109422235</v>
      </c>
      <c r="R936">
        <f t="shared" si="252"/>
        <v>1</v>
      </c>
      <c r="AG936" s="8">
        <f t="shared" si="254"/>
        <v>0.18430118204189788</v>
      </c>
      <c r="AH936" s="8">
        <f t="shared" si="255"/>
        <v>-0.17314078167428873</v>
      </c>
      <c r="AI936" s="8">
        <f t="shared" si="256"/>
        <v>0.96749953179274228</v>
      </c>
      <c r="AJ936" s="8"/>
      <c r="AK936" s="8"/>
      <c r="AL936" s="8"/>
      <c r="AN936" s="8">
        <f t="shared" si="263"/>
        <v>1</v>
      </c>
      <c r="AO936" s="8">
        <f t="shared" si="264"/>
        <v>5.5289999753987447</v>
      </c>
      <c r="AP936" s="8">
        <f t="shared" si="265"/>
        <v>0.25564841807470939</v>
      </c>
      <c r="AQ936" s="8"/>
      <c r="AR936" s="8">
        <f t="shared" si="266"/>
        <v>316.78836351828409</v>
      </c>
      <c r="AS936" s="8">
        <f t="shared" si="267"/>
        <v>75.352424605123161</v>
      </c>
    </row>
    <row r="937" spans="1:45">
      <c r="A937" s="19">
        <v>39.873166670000003</v>
      </c>
      <c r="B937" s="19">
        <v>967.70188159999998</v>
      </c>
      <c r="C937" s="19">
        <v>-661.43754460000002</v>
      </c>
      <c r="E937" s="9">
        <f t="shared" si="257"/>
        <v>-7.7018815999999788</v>
      </c>
      <c r="F937" s="9">
        <f t="shared" si="258"/>
        <v>-121.43754460000002</v>
      </c>
      <c r="I937">
        <v>1</v>
      </c>
      <c r="J937">
        <f t="shared" si="253"/>
        <v>7.9617914839809525E-2</v>
      </c>
      <c r="K937">
        <f t="shared" si="259"/>
        <v>-1.6341340674878468</v>
      </c>
      <c r="O937">
        <f t="shared" si="260"/>
        <v>-5.0341253341015515E-3</v>
      </c>
      <c r="P937">
        <f t="shared" si="261"/>
        <v>-7.9374346624849559E-2</v>
      </c>
      <c r="Q937">
        <f t="shared" si="262"/>
        <v>0.99683216775944727</v>
      </c>
      <c r="R937">
        <f t="shared" si="252"/>
        <v>1</v>
      </c>
      <c r="AG937" s="8">
        <f t="shared" si="254"/>
        <v>0.18498995519600697</v>
      </c>
      <c r="AH937" s="8">
        <f t="shared" si="255"/>
        <v>-0.17375265502447518</v>
      </c>
      <c r="AI937" s="8">
        <f t="shared" si="256"/>
        <v>0.96725835811768779</v>
      </c>
      <c r="AJ937" s="8"/>
      <c r="AK937" s="8"/>
      <c r="AL937" s="8"/>
      <c r="AN937" s="8">
        <f t="shared" si="263"/>
        <v>1</v>
      </c>
      <c r="AO937" s="8">
        <f t="shared" si="264"/>
        <v>5.5291010347535874</v>
      </c>
      <c r="AP937" s="8">
        <f t="shared" si="265"/>
        <v>0.25660041955565194</v>
      </c>
      <c r="AQ937" s="8"/>
      <c r="AR937" s="8">
        <f t="shared" si="266"/>
        <v>316.79415379279686</v>
      </c>
      <c r="AS937" s="8">
        <f t="shared" si="267"/>
        <v>75.297878938174946</v>
      </c>
    </row>
    <row r="938" spans="1:45">
      <c r="A938" s="19">
        <v>39.906533330000002</v>
      </c>
      <c r="B938" s="19">
        <v>967.49605220000001</v>
      </c>
      <c r="C938" s="19">
        <v>-662.07054029999995</v>
      </c>
      <c r="E938" s="9">
        <f t="shared" si="257"/>
        <v>-7.4960522000000083</v>
      </c>
      <c r="F938" s="9">
        <f t="shared" si="258"/>
        <v>-122.07054029999995</v>
      </c>
      <c r="I938">
        <v>1</v>
      </c>
      <c r="J938">
        <f t="shared" si="253"/>
        <v>8.0026028089126316E-2</v>
      </c>
      <c r="K938">
        <f t="shared" si="259"/>
        <v>-1.6321268590287128</v>
      </c>
      <c r="O938">
        <f t="shared" si="260"/>
        <v>-4.8997289073868626E-3</v>
      </c>
      <c r="P938">
        <f t="shared" si="261"/>
        <v>-7.9790340180427674E-2</v>
      </c>
      <c r="Q938">
        <f t="shared" si="262"/>
        <v>0.99679962593819516</v>
      </c>
      <c r="R938">
        <f t="shared" si="252"/>
        <v>1</v>
      </c>
      <c r="AG938" s="8">
        <f t="shared" si="254"/>
        <v>0.18534410701758014</v>
      </c>
      <c r="AH938" s="8">
        <f t="shared" si="255"/>
        <v>-0.17349520089779372</v>
      </c>
      <c r="AI938" s="8">
        <f t="shared" si="256"/>
        <v>0.96723677414544684</v>
      </c>
      <c r="AJ938" s="8"/>
      <c r="AK938" s="8"/>
      <c r="AL938" s="8"/>
      <c r="AN938" s="8">
        <f t="shared" si="263"/>
        <v>1.0000000000000002</v>
      </c>
      <c r="AO938" s="8">
        <f t="shared" si="264"/>
        <v>5.5307952403929059</v>
      </c>
      <c r="AP938" s="8">
        <f t="shared" si="265"/>
        <v>0.25668545110298435</v>
      </c>
      <c r="AQ938" s="8"/>
      <c r="AR938" s="8">
        <f t="shared" si="266"/>
        <v>316.89122462555707</v>
      </c>
      <c r="AS938" s="8">
        <f t="shared" si="267"/>
        <v>75.293006989387337</v>
      </c>
    </row>
    <row r="939" spans="1:45">
      <c r="A939" s="19">
        <v>39.939900000000002</v>
      </c>
      <c r="B939" s="19">
        <v>968.54623170000002</v>
      </c>
      <c r="C939" s="19">
        <v>-662.88172659999998</v>
      </c>
      <c r="E939" s="9">
        <f t="shared" si="257"/>
        <v>-8.5462317000000212</v>
      </c>
      <c r="F939" s="9">
        <f t="shared" si="258"/>
        <v>-122.88172659999998</v>
      </c>
      <c r="I939">
        <v>1</v>
      </c>
      <c r="J939">
        <f t="shared" si="253"/>
        <v>8.0605001052513392E-2</v>
      </c>
      <c r="K939">
        <f t="shared" si="259"/>
        <v>-1.6402329505952895</v>
      </c>
      <c r="O939">
        <f t="shared" si="260"/>
        <v>-5.5863887919296758E-3</v>
      </c>
      <c r="P939">
        <f t="shared" si="261"/>
        <v>-8.0323717435744957E-2</v>
      </c>
      <c r="Q939">
        <f t="shared" si="262"/>
        <v>0.99675317540380481</v>
      </c>
      <c r="R939">
        <f t="shared" si="252"/>
        <v>1</v>
      </c>
      <c r="AG939" s="8">
        <f t="shared" si="254"/>
        <v>0.18604317733202658</v>
      </c>
      <c r="AH939" s="8">
        <f t="shared" si="255"/>
        <v>-0.17396592871150818</v>
      </c>
      <c r="AI939" s="8">
        <f t="shared" si="256"/>
        <v>0.96701798939613659</v>
      </c>
      <c r="AJ939" s="8"/>
      <c r="AK939" s="8"/>
      <c r="AL939" s="8"/>
      <c r="AN939" s="8">
        <f t="shared" si="263"/>
        <v>1</v>
      </c>
      <c r="AO939" s="8">
        <f t="shared" si="264"/>
        <v>5.5313216318656098</v>
      </c>
      <c r="AP939" s="8">
        <f t="shared" si="265"/>
        <v>0.25754581910554686</v>
      </c>
      <c r="AQ939" s="8"/>
      <c r="AR939" s="8">
        <f t="shared" si="266"/>
        <v>316.92138463531467</v>
      </c>
      <c r="AS939" s="8">
        <f t="shared" si="267"/>
        <v>75.243711534012405</v>
      </c>
    </row>
    <row r="940" spans="1:45">
      <c r="A940" s="19">
        <v>39.973266670000001</v>
      </c>
      <c r="B940" s="19">
        <v>968.55939920000003</v>
      </c>
      <c r="C940" s="19">
        <v>-663.73559520000003</v>
      </c>
      <c r="E940" s="9">
        <f t="shared" si="257"/>
        <v>-8.5593992000000299</v>
      </c>
      <c r="F940" s="9">
        <f t="shared" si="258"/>
        <v>-123.73559520000003</v>
      </c>
      <c r="I940">
        <v>1</v>
      </c>
      <c r="J940">
        <f t="shared" si="253"/>
        <v>8.1167259510099246E-2</v>
      </c>
      <c r="K940">
        <f t="shared" si="259"/>
        <v>-1.639861218977241</v>
      </c>
      <c r="O940">
        <f t="shared" si="260"/>
        <v>-5.5952041350101518E-3</v>
      </c>
      <c r="P940">
        <f t="shared" si="261"/>
        <v>-8.0884872610098649E-2</v>
      </c>
      <c r="Q940">
        <f t="shared" si="262"/>
        <v>0.99670774606879409</v>
      </c>
      <c r="R940">
        <f t="shared" si="252"/>
        <v>1</v>
      </c>
      <c r="AG940" s="8">
        <f t="shared" si="254"/>
        <v>0.18657507851437807</v>
      </c>
      <c r="AH940" s="8">
        <f t="shared" si="255"/>
        <v>-0.17379578120843728</v>
      </c>
      <c r="AI940" s="8">
        <f t="shared" si="256"/>
        <v>0.9669461032092237</v>
      </c>
      <c r="AJ940" s="8"/>
      <c r="AK940" s="8"/>
      <c r="AL940" s="8"/>
      <c r="AN940" s="8">
        <f t="shared" si="263"/>
        <v>1</v>
      </c>
      <c r="AO940" s="8">
        <f t="shared" si="264"/>
        <v>5.5332338073018272</v>
      </c>
      <c r="AP940" s="8">
        <f t="shared" si="265"/>
        <v>0.25782789776847137</v>
      </c>
      <c r="AQ940" s="8"/>
      <c r="AR940" s="8">
        <f t="shared" si="266"/>
        <v>317.03094421749853</v>
      </c>
      <c r="AS940" s="8">
        <f t="shared" si="267"/>
        <v>75.227549617136134</v>
      </c>
    </row>
    <row r="941" spans="1:45">
      <c r="A941" s="19">
        <v>40.00663333</v>
      </c>
      <c r="B941" s="19">
        <v>969.03929200000005</v>
      </c>
      <c r="C941" s="19">
        <v>-664.6086785</v>
      </c>
      <c r="E941" s="9">
        <f t="shared" si="257"/>
        <v>-9.0392920000000458</v>
      </c>
      <c r="F941" s="9">
        <f t="shared" si="258"/>
        <v>-124.6086785</v>
      </c>
      <c r="I941">
        <v>1</v>
      </c>
      <c r="J941">
        <f t="shared" si="253"/>
        <v>8.1763856564528212E-2</v>
      </c>
      <c r="K941">
        <f t="shared" si="259"/>
        <v>-1.6432109152777254</v>
      </c>
      <c r="O941">
        <f t="shared" si="260"/>
        <v>-5.909133423403116E-3</v>
      </c>
      <c r="P941">
        <f t="shared" si="261"/>
        <v>-8.145873669867508E-2</v>
      </c>
      <c r="Q941">
        <f t="shared" si="262"/>
        <v>0.99665919769881239</v>
      </c>
      <c r="R941">
        <f t="shared" si="252"/>
        <v>1</v>
      </c>
      <c r="AG941" s="8">
        <f t="shared" si="254"/>
        <v>0.18720594438227972</v>
      </c>
      <c r="AH941" s="8">
        <f t="shared" si="255"/>
        <v>-0.17390597287789311</v>
      </c>
      <c r="AI941" s="8">
        <f t="shared" si="256"/>
        <v>0.96680434783121061</v>
      </c>
      <c r="AJ941" s="8"/>
      <c r="AK941" s="8"/>
      <c r="AL941" s="8"/>
      <c r="AN941" s="8">
        <f t="shared" si="263"/>
        <v>1.0000000000000002</v>
      </c>
      <c r="AO941" s="8">
        <f t="shared" si="264"/>
        <v>5.5346011119260909</v>
      </c>
      <c r="AP941" s="8">
        <f t="shared" si="265"/>
        <v>0.25838325818255981</v>
      </c>
      <c r="AQ941" s="8"/>
      <c r="AR941" s="8">
        <f t="shared" si="266"/>
        <v>317.10928500177755</v>
      </c>
      <c r="AS941" s="8">
        <f t="shared" si="267"/>
        <v>75.195729809300232</v>
      </c>
    </row>
    <row r="942" spans="1:45">
      <c r="A942" s="19">
        <v>40.04</v>
      </c>
      <c r="B942" s="19">
        <v>969.73113060000003</v>
      </c>
      <c r="C942" s="19">
        <v>-665.49669159999996</v>
      </c>
      <c r="E942" s="9">
        <f t="shared" si="257"/>
        <v>-9.7311306000000286</v>
      </c>
      <c r="F942" s="9">
        <f t="shared" si="258"/>
        <v>-125.49669159999996</v>
      </c>
      <c r="I942">
        <v>1</v>
      </c>
      <c r="J942">
        <f t="shared" si="253"/>
        <v>8.2381860355738953E-2</v>
      </c>
      <c r="K942">
        <f t="shared" si="259"/>
        <v>-1.6481824109534151</v>
      </c>
      <c r="O942">
        <f t="shared" si="260"/>
        <v>-6.361646838949543E-3</v>
      </c>
      <c r="P942">
        <f t="shared" si="261"/>
        <v>-8.2042433118281674E-2</v>
      </c>
      <c r="Q942">
        <f t="shared" si="262"/>
        <v>0.99660853328552668</v>
      </c>
      <c r="R942">
        <f t="shared" si="252"/>
        <v>1</v>
      </c>
      <c r="AG942" s="8">
        <f t="shared" si="254"/>
        <v>0.187885550311856</v>
      </c>
      <c r="AH942" s="8">
        <f t="shared" si="255"/>
        <v>-0.17414213355258693</v>
      </c>
      <c r="AI942" s="8">
        <f t="shared" si="256"/>
        <v>0.96662998986466575</v>
      </c>
      <c r="AJ942" s="8"/>
      <c r="AK942" s="8"/>
      <c r="AL942" s="8"/>
      <c r="AN942" s="8">
        <f t="shared" si="263"/>
        <v>0.99999999999999978</v>
      </c>
      <c r="AO942" s="8">
        <f t="shared" si="264"/>
        <v>5.535731259705889</v>
      </c>
      <c r="AP942" s="8">
        <f t="shared" si="265"/>
        <v>0.25906475067891033</v>
      </c>
      <c r="AQ942" s="8"/>
      <c r="AR942" s="8">
        <f t="shared" si="266"/>
        <v>317.17403769978608</v>
      </c>
      <c r="AS942" s="8">
        <f t="shared" si="267"/>
        <v>75.156683165489511</v>
      </c>
    </row>
    <row r="943" spans="1:45">
      <c r="A943" s="19">
        <v>40.073366669999999</v>
      </c>
      <c r="B943" s="19">
        <v>969.87274679999996</v>
      </c>
      <c r="C943" s="19">
        <v>-666.07130289999998</v>
      </c>
      <c r="E943" s="9">
        <f t="shared" si="257"/>
        <v>-9.872746799999959</v>
      </c>
      <c r="F943" s="9">
        <f t="shared" si="258"/>
        <v>-126.07130289999998</v>
      </c>
      <c r="I943">
        <v>1</v>
      </c>
      <c r="J943">
        <f t="shared" si="253"/>
        <v>8.2766833858835334E-2</v>
      </c>
      <c r="K943">
        <f t="shared" si="259"/>
        <v>-1.6489476482518464</v>
      </c>
      <c r="O943">
        <f t="shared" si="260"/>
        <v>-6.4543800622359386E-3</v>
      </c>
      <c r="P943">
        <f t="shared" si="261"/>
        <v>-8.2420031663110488E-2</v>
      </c>
      <c r="Q943">
        <f t="shared" si="262"/>
        <v>0.99657678046333398</v>
      </c>
      <c r="R943">
        <f t="shared" si="252"/>
        <v>1</v>
      </c>
      <c r="AG943" s="8">
        <f t="shared" si="254"/>
        <v>0.18826814368445166</v>
      </c>
      <c r="AH943" s="8">
        <f t="shared" si="255"/>
        <v>-0.17410843063441617</v>
      </c>
      <c r="AI943" s="8">
        <f t="shared" si="256"/>
        <v>0.96656161751625103</v>
      </c>
      <c r="AJ943" s="8"/>
      <c r="AK943" s="8"/>
      <c r="AL943" s="8"/>
      <c r="AN943" s="8">
        <f t="shared" si="263"/>
        <v>1.0000000000000002</v>
      </c>
      <c r="AO943" s="8">
        <f t="shared" si="264"/>
        <v>5.5368418569987243</v>
      </c>
      <c r="AP943" s="8">
        <f t="shared" si="265"/>
        <v>0.25933151177031366</v>
      </c>
      <c r="AQ943" s="8"/>
      <c r="AR943" s="8">
        <f t="shared" si="266"/>
        <v>317.23767023740419</v>
      </c>
      <c r="AS943" s="8">
        <f t="shared" si="267"/>
        <v>75.141398880813796</v>
      </c>
    </row>
    <row r="944" spans="1:45">
      <c r="A944" s="19">
        <v>40.106733329999997</v>
      </c>
      <c r="B944" s="19">
        <v>970.08663709999996</v>
      </c>
      <c r="C944" s="19">
        <v>-666.89853000000005</v>
      </c>
      <c r="E944" s="9">
        <f t="shared" si="257"/>
        <v>-10.086637099999962</v>
      </c>
      <c r="F944" s="9">
        <f t="shared" si="258"/>
        <v>-126.89853000000005</v>
      </c>
      <c r="I944">
        <v>1</v>
      </c>
      <c r="J944">
        <f t="shared" si="253"/>
        <v>8.3321654864466937E-2</v>
      </c>
      <c r="K944">
        <f t="shared" si="259"/>
        <v>-1.6501154080099523</v>
      </c>
      <c r="O944">
        <f t="shared" si="260"/>
        <v>-6.5944326954223507E-3</v>
      </c>
      <c r="P944">
        <f t="shared" si="261"/>
        <v>-8.2963608875453537E-2</v>
      </c>
      <c r="Q944">
        <f t="shared" si="262"/>
        <v>0.99653075871233709</v>
      </c>
      <c r="R944">
        <f t="shared" si="252"/>
        <v>1</v>
      </c>
      <c r="AG944" s="8">
        <f t="shared" si="254"/>
        <v>0.18882075158820094</v>
      </c>
      <c r="AH944" s="8">
        <f t="shared" si="255"/>
        <v>-0.17406597312113339</v>
      </c>
      <c r="AI944" s="8">
        <f t="shared" si="256"/>
        <v>0.96646146367615704</v>
      </c>
      <c r="AJ944" s="8"/>
      <c r="AK944" s="8"/>
      <c r="AL944" s="8"/>
      <c r="AN944" s="8">
        <f t="shared" si="263"/>
        <v>1</v>
      </c>
      <c r="AO944" s="8">
        <f t="shared" si="264"/>
        <v>5.5384242205683796</v>
      </c>
      <c r="AP944" s="8">
        <f t="shared" si="265"/>
        <v>0.25972178781199595</v>
      </c>
      <c r="AQ944" s="8"/>
      <c r="AR944" s="8">
        <f t="shared" si="266"/>
        <v>317.32833299160069</v>
      </c>
      <c r="AS944" s="8">
        <f t="shared" si="267"/>
        <v>75.119037710780333</v>
      </c>
    </row>
    <row r="945" spans="1:45">
      <c r="A945" s="19">
        <v>40.140099999999997</v>
      </c>
      <c r="B945" s="19">
        <v>970.73550049999994</v>
      </c>
      <c r="C945" s="19">
        <v>-667.64040869999997</v>
      </c>
      <c r="E945" s="9">
        <f t="shared" si="257"/>
        <v>-10.735500499999944</v>
      </c>
      <c r="F945" s="9">
        <f t="shared" si="258"/>
        <v>-127.64040869999997</v>
      </c>
      <c r="I945">
        <v>1</v>
      </c>
      <c r="J945">
        <f t="shared" si="253"/>
        <v>8.3844044058397571E-2</v>
      </c>
      <c r="K945">
        <f t="shared" si="259"/>
        <v>-1.6547062188117529</v>
      </c>
      <c r="O945">
        <f t="shared" si="260"/>
        <v>-7.0188614552719446E-3</v>
      </c>
      <c r="P945">
        <f t="shared" si="261"/>
        <v>-8.3451194917236751E-2</v>
      </c>
      <c r="Q945">
        <f t="shared" si="262"/>
        <v>0.99648714675642303</v>
      </c>
      <c r="R945">
        <f t="shared" si="252"/>
        <v>1</v>
      </c>
      <c r="AG945" s="8">
        <f t="shared" si="254"/>
        <v>0.18940158354425302</v>
      </c>
      <c r="AH945" s="8">
        <f t="shared" si="255"/>
        <v>-0.17430633020754674</v>
      </c>
      <c r="AI945" s="8">
        <f t="shared" si="256"/>
        <v>0.96630447758483806</v>
      </c>
      <c r="AJ945" s="8"/>
      <c r="AK945" s="8"/>
      <c r="AL945" s="8"/>
      <c r="AN945" s="8">
        <f t="shared" si="263"/>
        <v>0.99999999999999978</v>
      </c>
      <c r="AO945" s="8">
        <f t="shared" si="264"/>
        <v>5.5392671176877872</v>
      </c>
      <c r="AP945" s="8">
        <f t="shared" si="265"/>
        <v>0.26033237508836593</v>
      </c>
      <c r="AQ945" s="8"/>
      <c r="AR945" s="8">
        <f t="shared" si="266"/>
        <v>317.37662743910647</v>
      </c>
      <c r="AS945" s="8">
        <f t="shared" si="267"/>
        <v>75.084053636819945</v>
      </c>
    </row>
    <row r="946" spans="1:45">
      <c r="A946" s="19">
        <v>40.173466670000003</v>
      </c>
      <c r="B946" s="19">
        <v>971.53278750000004</v>
      </c>
      <c r="C946" s="19">
        <v>-668.07152169999995</v>
      </c>
      <c r="E946" s="9">
        <f t="shared" si="257"/>
        <v>-11.53278750000004</v>
      </c>
      <c r="F946" s="9">
        <f t="shared" si="258"/>
        <v>-128.07152169999995</v>
      </c>
      <c r="I946">
        <v>1</v>
      </c>
      <c r="J946">
        <f t="shared" si="253"/>
        <v>8.4172815542112173E-2</v>
      </c>
      <c r="K946">
        <f t="shared" si="259"/>
        <v>-1.6606036882897617</v>
      </c>
      <c r="O946">
        <f t="shared" si="260"/>
        <v>-7.5402698569626012E-3</v>
      </c>
      <c r="P946">
        <f t="shared" si="261"/>
        <v>-8.3734642176476401E-2</v>
      </c>
      <c r="Q946">
        <f t="shared" si="262"/>
        <v>0.99645955965611654</v>
      </c>
      <c r="R946">
        <f t="shared" si="252"/>
        <v>1</v>
      </c>
      <c r="AG946" s="8">
        <f t="shared" si="254"/>
        <v>0.18981749787068442</v>
      </c>
      <c r="AH946" s="8">
        <f t="shared" si="255"/>
        <v>-0.17470199789100299</v>
      </c>
      <c r="AI946" s="8">
        <f t="shared" si="256"/>
        <v>0.96615140088653018</v>
      </c>
      <c r="AJ946" s="8"/>
      <c r="AK946" s="8"/>
      <c r="AL946" s="8"/>
      <c r="AN946" s="8">
        <f t="shared" si="263"/>
        <v>1</v>
      </c>
      <c r="AO946" s="8">
        <f t="shared" si="264"/>
        <v>5.539230318579226</v>
      </c>
      <c r="AP946" s="8">
        <f t="shared" si="265"/>
        <v>0.2609264122983308</v>
      </c>
      <c r="AQ946" s="8"/>
      <c r="AR946" s="8">
        <f t="shared" si="266"/>
        <v>317.3745190054961</v>
      </c>
      <c r="AS946" s="8">
        <f t="shared" si="267"/>
        <v>75.050017811815223</v>
      </c>
    </row>
    <row r="947" spans="1:45">
      <c r="A947" s="19">
        <v>40.206833330000002</v>
      </c>
      <c r="B947" s="19">
        <v>971.7515793</v>
      </c>
      <c r="C947" s="19">
        <v>-669.02349240000001</v>
      </c>
      <c r="E947" s="9">
        <f t="shared" si="257"/>
        <v>-11.751579300000003</v>
      </c>
      <c r="F947" s="9">
        <f t="shared" si="258"/>
        <v>-129.02349240000001</v>
      </c>
      <c r="I947">
        <v>1</v>
      </c>
      <c r="J947">
        <f t="shared" si="253"/>
        <v>8.4810910996959116E-2</v>
      </c>
      <c r="K947">
        <f t="shared" si="259"/>
        <v>-1.661626639009004</v>
      </c>
      <c r="O947">
        <f t="shared" si="260"/>
        <v>-7.683594584647434E-3</v>
      </c>
      <c r="P947">
        <f t="shared" si="261"/>
        <v>-8.4360083201492811E-2</v>
      </c>
      <c r="Q947">
        <f t="shared" si="262"/>
        <v>0.9964057099076139</v>
      </c>
      <c r="R947">
        <f t="shared" si="252"/>
        <v>1</v>
      </c>
      <c r="AG947" s="8">
        <f t="shared" si="254"/>
        <v>0.19044813946267447</v>
      </c>
      <c r="AH947" s="8">
        <f t="shared" si="255"/>
        <v>-0.17463633974732695</v>
      </c>
      <c r="AI947" s="8">
        <f t="shared" si="256"/>
        <v>0.96603915811672036</v>
      </c>
      <c r="AJ947" s="8"/>
      <c r="AK947" s="8"/>
      <c r="AL947" s="8"/>
      <c r="AN947" s="8">
        <f t="shared" si="263"/>
        <v>1</v>
      </c>
      <c r="AO947" s="8">
        <f t="shared" si="264"/>
        <v>5.5410700697304014</v>
      </c>
      <c r="AP947" s="8">
        <f t="shared" si="265"/>
        <v>0.26136114885157191</v>
      </c>
      <c r="AQ947" s="8"/>
      <c r="AR947" s="8">
        <f t="shared" si="266"/>
        <v>317.47992898181275</v>
      </c>
      <c r="AS947" s="8">
        <f t="shared" si="267"/>
        <v>75.025109242114439</v>
      </c>
    </row>
    <row r="948" spans="1:45">
      <c r="A948" s="19">
        <v>40.240200000000002</v>
      </c>
      <c r="B948" s="19">
        <v>972.24454609999998</v>
      </c>
      <c r="C948" s="19">
        <v>-670.0220352</v>
      </c>
      <c r="E948" s="9">
        <f t="shared" si="257"/>
        <v>-12.24454609999998</v>
      </c>
      <c r="F948" s="9">
        <f t="shared" si="258"/>
        <v>-130.0220352</v>
      </c>
      <c r="I948">
        <v>1</v>
      </c>
      <c r="J948">
        <f t="shared" si="253"/>
        <v>8.5496417274073561E-2</v>
      </c>
      <c r="K948">
        <f t="shared" si="259"/>
        <v>-1.6646922610598425</v>
      </c>
      <c r="O948">
        <f t="shared" si="260"/>
        <v>-8.0062130369696893E-3</v>
      </c>
      <c r="P948">
        <f t="shared" si="261"/>
        <v>-8.5016145540223409E-2</v>
      </c>
      <c r="Q948">
        <f t="shared" si="262"/>
        <v>0.99634740705754343</v>
      </c>
      <c r="R948">
        <f t="shared" si="252"/>
        <v>1</v>
      </c>
      <c r="AG948" s="8">
        <f t="shared" si="254"/>
        <v>0.19115869698157553</v>
      </c>
      <c r="AH948" s="8">
        <f t="shared" si="255"/>
        <v>-0.17472791277242433</v>
      </c>
      <c r="AI948" s="8">
        <f t="shared" si="256"/>
        <v>0.96588224389233812</v>
      </c>
      <c r="AJ948" s="8"/>
      <c r="AK948" s="8"/>
      <c r="AL948" s="8"/>
      <c r="AN948" s="8">
        <f t="shared" si="263"/>
        <v>0.99999999999999989</v>
      </c>
      <c r="AO948" s="8">
        <f t="shared" si="264"/>
        <v>5.5426637592325694</v>
      </c>
      <c r="AP948" s="8">
        <f t="shared" si="265"/>
        <v>0.26196772437229843</v>
      </c>
      <c r="AQ948" s="8"/>
      <c r="AR948" s="8">
        <f t="shared" si="266"/>
        <v>317.57124066414133</v>
      </c>
      <c r="AS948" s="8">
        <f t="shared" si="267"/>
        <v>74.990355024820872</v>
      </c>
    </row>
    <row r="949" spans="1:45">
      <c r="A949" s="19">
        <v>40.273566670000001</v>
      </c>
      <c r="B949" s="19">
        <v>972.56945710000002</v>
      </c>
      <c r="C949" s="19">
        <v>-670.56944829999998</v>
      </c>
      <c r="E949" s="9">
        <f t="shared" si="257"/>
        <v>-12.569457100000022</v>
      </c>
      <c r="F949" s="9">
        <f t="shared" si="258"/>
        <v>-130.56944829999998</v>
      </c>
      <c r="I949">
        <v>1</v>
      </c>
      <c r="J949">
        <f t="shared" si="253"/>
        <v>8.5875998599463807E-2</v>
      </c>
      <c r="K949">
        <f t="shared" si="259"/>
        <v>-1.6667670437430919</v>
      </c>
      <c r="O949">
        <f t="shared" si="260"/>
        <v>-8.2188250566918586E-3</v>
      </c>
      <c r="P949">
        <f t="shared" si="261"/>
        <v>-8.5375799828814547E-2</v>
      </c>
      <c r="Q949">
        <f t="shared" si="262"/>
        <v>0.99631492195905491</v>
      </c>
      <c r="R949">
        <f t="shared" si="252"/>
        <v>1</v>
      </c>
      <c r="AG949" s="8">
        <f t="shared" si="254"/>
        <v>0.19155838689481647</v>
      </c>
      <c r="AH949" s="8">
        <f t="shared" si="255"/>
        <v>-0.17481138179130856</v>
      </c>
      <c r="AI949" s="8">
        <f t="shared" si="256"/>
        <v>0.96578795043553378</v>
      </c>
      <c r="AJ949" s="8"/>
      <c r="AK949" s="8"/>
      <c r="AL949" s="8"/>
      <c r="AN949" s="8">
        <f t="shared" si="263"/>
        <v>0.99999999999999989</v>
      </c>
      <c r="AO949" s="8">
        <f t="shared" si="264"/>
        <v>5.5434660098976298</v>
      </c>
      <c r="AP949" s="8">
        <f t="shared" si="265"/>
        <v>0.26233157072206392</v>
      </c>
      <c r="AQ949" s="8"/>
      <c r="AR949" s="8">
        <f t="shared" si="266"/>
        <v>317.6172062413608</v>
      </c>
      <c r="AS949" s="8">
        <f t="shared" si="267"/>
        <v>74.969508164588063</v>
      </c>
    </row>
    <row r="950" spans="1:45">
      <c r="A950" s="19">
        <v>40.30693333</v>
      </c>
      <c r="B950" s="19">
        <v>972.8143245</v>
      </c>
      <c r="C950" s="19">
        <v>-671.18388100000004</v>
      </c>
      <c r="E950" s="9">
        <f t="shared" si="257"/>
        <v>-12.814324499999998</v>
      </c>
      <c r="F950" s="9">
        <f t="shared" si="258"/>
        <v>-131.18388100000004</v>
      </c>
      <c r="I950">
        <v>1</v>
      </c>
      <c r="J950">
        <f t="shared" si="253"/>
        <v>8.6294770049493763E-2</v>
      </c>
      <c r="K950">
        <f t="shared" si="259"/>
        <v>-1.6681695627875806</v>
      </c>
      <c r="O950">
        <f t="shared" si="260"/>
        <v>-8.3791200806535363E-3</v>
      </c>
      <c r="P950">
        <f t="shared" si="261"/>
        <v>-8.5779433129320751E-2</v>
      </c>
      <c r="Q950">
        <f t="shared" si="262"/>
        <v>0.99627891636764365</v>
      </c>
      <c r="R950">
        <f t="shared" si="252"/>
        <v>1</v>
      </c>
      <c r="AG950" s="8">
        <f t="shared" si="254"/>
        <v>0.19198461775437869</v>
      </c>
      <c r="AH950" s="8">
        <f t="shared" si="255"/>
        <v>-0.17483204780982281</v>
      </c>
      <c r="AI950" s="8">
        <f t="shared" si="256"/>
        <v>0.96569957109047577</v>
      </c>
      <c r="AJ950" s="8"/>
      <c r="AK950" s="8"/>
      <c r="AL950" s="8"/>
      <c r="AN950" s="8">
        <f t="shared" si="263"/>
        <v>1</v>
      </c>
      <c r="AO950" s="8">
        <f t="shared" si="264"/>
        <v>5.544513713902381</v>
      </c>
      <c r="AP950" s="8">
        <f t="shared" si="265"/>
        <v>0.2626721494928892</v>
      </c>
      <c r="AQ950" s="8"/>
      <c r="AR950" s="8">
        <f t="shared" si="266"/>
        <v>317.67723525901204</v>
      </c>
      <c r="AS950" s="8">
        <f t="shared" si="267"/>
        <v>74.949994438428021</v>
      </c>
    </row>
    <row r="951" spans="1:45">
      <c r="A951" s="19">
        <v>40.340299999999999</v>
      </c>
      <c r="B951" s="19">
        <v>972.95847160000005</v>
      </c>
      <c r="C951" s="19">
        <v>-671.93349479999995</v>
      </c>
      <c r="E951" s="9">
        <f t="shared" si="257"/>
        <v>-12.958471600000053</v>
      </c>
      <c r="F951" s="9">
        <f t="shared" si="258"/>
        <v>-131.93349479999995</v>
      </c>
      <c r="I951">
        <v>1</v>
      </c>
      <c r="J951">
        <f t="shared" si="253"/>
        <v>8.6795874745957152E-2</v>
      </c>
      <c r="K951">
        <f t="shared" si="259"/>
        <v>-1.6687020220184658</v>
      </c>
      <c r="O951">
        <f t="shared" si="260"/>
        <v>-8.4735922753055946E-3</v>
      </c>
      <c r="P951">
        <f t="shared" si="261"/>
        <v>-8.6271797855493021E-2</v>
      </c>
      <c r="Q951">
        <f t="shared" si="262"/>
        <v>0.99623560221903973</v>
      </c>
      <c r="R951">
        <f t="shared" si="252"/>
        <v>1</v>
      </c>
      <c r="AG951" s="8">
        <f t="shared" si="254"/>
        <v>0.19247573017277789</v>
      </c>
      <c r="AH951" s="8">
        <f t="shared" si="255"/>
        <v>-0.17476304741022483</v>
      </c>
      <c r="AI951" s="8">
        <f t="shared" si="256"/>
        <v>0.9656142969914786</v>
      </c>
      <c r="AJ951" s="8"/>
      <c r="AK951" s="8"/>
      <c r="AL951" s="8"/>
      <c r="AN951" s="8">
        <f t="shared" si="263"/>
        <v>0.99999999999999989</v>
      </c>
      <c r="AO951" s="8">
        <f t="shared" si="264"/>
        <v>5.545981854666195</v>
      </c>
      <c r="AP951" s="8">
        <f t="shared" si="265"/>
        <v>0.26300035346191408</v>
      </c>
      <c r="AQ951" s="8"/>
      <c r="AR951" s="8">
        <f t="shared" si="266"/>
        <v>317.76135352850969</v>
      </c>
      <c r="AS951" s="8">
        <f t="shared" si="267"/>
        <v>74.931189736183455</v>
      </c>
    </row>
    <row r="952" spans="1:45">
      <c r="A952" s="19">
        <v>40.373666669999999</v>
      </c>
      <c r="B952" s="19">
        <v>973.909671</v>
      </c>
      <c r="C952" s="19">
        <v>-672.911475</v>
      </c>
      <c r="E952" s="9">
        <f t="shared" si="257"/>
        <v>-13.909671000000003</v>
      </c>
      <c r="F952" s="9">
        <f t="shared" si="258"/>
        <v>-132.911475</v>
      </c>
      <c r="I952">
        <v>1</v>
      </c>
      <c r="J952">
        <f t="shared" si="253"/>
        <v>8.7500604356916437E-2</v>
      </c>
      <c r="K952">
        <f t="shared" si="259"/>
        <v>-1.6750703990936484</v>
      </c>
      <c r="O952">
        <f t="shared" si="260"/>
        <v>-9.0959016316540867E-3</v>
      </c>
      <c r="P952">
        <f t="shared" si="261"/>
        <v>-8.6914327615516693E-2</v>
      </c>
      <c r="Q952">
        <f t="shared" si="262"/>
        <v>0.99617426398630171</v>
      </c>
      <c r="R952">
        <f t="shared" si="252"/>
        <v>1</v>
      </c>
      <c r="AG952" s="8">
        <f t="shared" si="254"/>
        <v>0.1932587257537956</v>
      </c>
      <c r="AH952" s="8">
        <f t="shared" si="255"/>
        <v>-0.17513784414125877</v>
      </c>
      <c r="AI952" s="8">
        <f t="shared" si="256"/>
        <v>0.96538997325928932</v>
      </c>
      <c r="AJ952" s="8"/>
      <c r="AK952" s="8"/>
      <c r="AL952" s="8"/>
      <c r="AN952" s="8">
        <f t="shared" si="263"/>
        <v>1</v>
      </c>
      <c r="AO952" s="8">
        <f t="shared" si="264"/>
        <v>5.5469360493851232</v>
      </c>
      <c r="AP952" s="8">
        <f t="shared" si="265"/>
        <v>0.26386182894226073</v>
      </c>
      <c r="AQ952" s="8"/>
      <c r="AR952" s="8">
        <f t="shared" si="266"/>
        <v>317.81602485873793</v>
      </c>
      <c r="AS952" s="8">
        <f t="shared" si="267"/>
        <v>74.881830827005587</v>
      </c>
    </row>
    <row r="953" spans="1:45">
      <c r="A953" s="19">
        <v>40.407033329999997</v>
      </c>
      <c r="B953" s="19">
        <v>973.91027559999998</v>
      </c>
      <c r="C953" s="19">
        <v>-673.76584879999996</v>
      </c>
      <c r="E953" s="9">
        <f t="shared" si="257"/>
        <v>-13.910275599999977</v>
      </c>
      <c r="F953" s="9">
        <f t="shared" si="258"/>
        <v>-133.76584879999996</v>
      </c>
      <c r="I953">
        <v>1</v>
      </c>
      <c r="J953">
        <f t="shared" si="253"/>
        <v>8.8060838313871515E-2</v>
      </c>
      <c r="K953">
        <f t="shared" si="259"/>
        <v>-1.6744136348086105</v>
      </c>
      <c r="O953">
        <f t="shared" si="260"/>
        <v>-9.0965404540414591E-3</v>
      </c>
      <c r="P953">
        <f t="shared" si="261"/>
        <v>-8.7475366410310187E-2</v>
      </c>
      <c r="Q953">
        <f t="shared" si="262"/>
        <v>0.9961251493779032</v>
      </c>
      <c r="R953">
        <f t="shared" si="252"/>
        <v>1</v>
      </c>
      <c r="AG953" s="8">
        <f t="shared" si="254"/>
        <v>0.19378778008818737</v>
      </c>
      <c r="AH953" s="8">
        <f t="shared" si="255"/>
        <v>-0.17495938643296083</v>
      </c>
      <c r="AI953" s="8">
        <f t="shared" si="256"/>
        <v>0.96531627427879518</v>
      </c>
      <c r="AJ953" s="8"/>
      <c r="AK953" s="8"/>
      <c r="AL953" s="8"/>
      <c r="AN953" s="8">
        <f t="shared" si="263"/>
        <v>1</v>
      </c>
      <c r="AO953" s="8">
        <f t="shared" si="264"/>
        <v>5.5488032816090014</v>
      </c>
      <c r="AP953" s="8">
        <f t="shared" si="265"/>
        <v>0.2641442578860298</v>
      </c>
      <c r="AQ953" s="8"/>
      <c r="AR953" s="8">
        <f t="shared" si="266"/>
        <v>317.92300938453701</v>
      </c>
      <c r="AS953" s="8">
        <f t="shared" si="267"/>
        <v>74.865648840515277</v>
      </c>
    </row>
    <row r="954" spans="1:45">
      <c r="A954" s="19">
        <v>40.440399999999997</v>
      </c>
      <c r="B954" s="19">
        <v>974.90817530000004</v>
      </c>
      <c r="C954" s="19">
        <v>-674.31812379999997</v>
      </c>
      <c r="E954" s="9">
        <f t="shared" si="257"/>
        <v>-14.908175300000039</v>
      </c>
      <c r="F954" s="9">
        <f t="shared" si="258"/>
        <v>-134.31812379999997</v>
      </c>
      <c r="I954">
        <v>1</v>
      </c>
      <c r="J954">
        <f t="shared" si="253"/>
        <v>8.8493132402755081E-2</v>
      </c>
      <c r="K954">
        <f t="shared" si="259"/>
        <v>-1.681335432679957</v>
      </c>
      <c r="O954">
        <f t="shared" si="260"/>
        <v>-9.7493069664401806E-3</v>
      </c>
      <c r="P954">
        <f t="shared" si="261"/>
        <v>-8.7838289645179632E-2</v>
      </c>
      <c r="Q954">
        <f t="shared" si="262"/>
        <v>0.99608703730441328</v>
      </c>
      <c r="R954">
        <f t="shared" si="252"/>
        <v>1</v>
      </c>
      <c r="AG954" s="8">
        <f t="shared" si="254"/>
        <v>0.19431576946754991</v>
      </c>
      <c r="AH954" s="8">
        <f t="shared" si="255"/>
        <v>-0.17545160425053058</v>
      </c>
      <c r="AI954" s="8">
        <f t="shared" si="256"/>
        <v>0.96512077809057095</v>
      </c>
      <c r="AJ954" s="8"/>
      <c r="AK954" s="8"/>
      <c r="AL954" s="8"/>
      <c r="AN954" s="8">
        <f t="shared" si="263"/>
        <v>1</v>
      </c>
      <c r="AO954" s="8">
        <f t="shared" si="264"/>
        <v>5.5487592586172045</v>
      </c>
      <c r="AP954" s="8">
        <f t="shared" si="265"/>
        <v>0.26489201284637232</v>
      </c>
      <c r="AQ954" s="8"/>
      <c r="AR954" s="8">
        <f t="shared" si="266"/>
        <v>317.92048705290551</v>
      </c>
      <c r="AS954" s="8">
        <f t="shared" si="267"/>
        <v>74.82280563717768</v>
      </c>
    </row>
    <row r="955" spans="1:45">
      <c r="A955" s="19">
        <v>40.473766670000003</v>
      </c>
      <c r="B955" s="19">
        <v>974.97510880000004</v>
      </c>
      <c r="C955" s="19">
        <v>-675.33810659999995</v>
      </c>
      <c r="E955" s="9">
        <f t="shared" si="257"/>
        <v>-14.975108800000044</v>
      </c>
      <c r="F955" s="9">
        <f t="shared" si="258"/>
        <v>-135.33810659999995</v>
      </c>
      <c r="I955">
        <v>1</v>
      </c>
      <c r="J955">
        <f t="shared" si="253"/>
        <v>8.9166279295351702E-2</v>
      </c>
      <c r="K955">
        <f t="shared" si="259"/>
        <v>-1.6809976524912216</v>
      </c>
      <c r="O955">
        <f t="shared" si="260"/>
        <v>-9.7933761093824904E-3</v>
      </c>
      <c r="P955">
        <f t="shared" si="261"/>
        <v>-8.8508003351902009E-2</v>
      </c>
      <c r="Q955">
        <f t="shared" si="262"/>
        <v>0.99602732047220466</v>
      </c>
      <c r="R955">
        <f t="shared" si="252"/>
        <v>1</v>
      </c>
      <c r="AG955" s="8">
        <f t="shared" si="254"/>
        <v>0.19495956236392359</v>
      </c>
      <c r="AH955" s="8">
        <f t="shared" si="255"/>
        <v>-0.17527878893401205</v>
      </c>
      <c r="AI955" s="8">
        <f t="shared" si="256"/>
        <v>0.9650223392195092</v>
      </c>
      <c r="AJ955" s="8"/>
      <c r="AK955" s="8"/>
      <c r="AL955" s="8"/>
      <c r="AN955" s="8">
        <f t="shared" si="263"/>
        <v>1</v>
      </c>
      <c r="AO955" s="8">
        <f t="shared" si="264"/>
        <v>5.5508941965729965</v>
      </c>
      <c r="AP955" s="8">
        <f t="shared" si="265"/>
        <v>0.26526775328927399</v>
      </c>
      <c r="AQ955" s="8"/>
      <c r="AR955" s="8">
        <f t="shared" si="266"/>
        <v>318.04280998729467</v>
      </c>
      <c r="AS955" s="8">
        <f t="shared" si="267"/>
        <v>74.801277295607036</v>
      </c>
    </row>
    <row r="956" spans="1:45">
      <c r="A956" s="19">
        <v>40.507133330000002</v>
      </c>
      <c r="B956" s="19">
        <v>975.72634259999995</v>
      </c>
      <c r="C956" s="19">
        <v>-675.7967099</v>
      </c>
      <c r="E956" s="9">
        <f t="shared" si="257"/>
        <v>-15.726342599999953</v>
      </c>
      <c r="F956" s="9">
        <f t="shared" si="258"/>
        <v>-135.7967099</v>
      </c>
      <c r="I956">
        <v>1</v>
      </c>
      <c r="J956">
        <f t="shared" si="253"/>
        <v>8.95223829613261E-2</v>
      </c>
      <c r="K956">
        <f t="shared" si="259"/>
        <v>-1.6860907137414065</v>
      </c>
      <c r="O956">
        <f t="shared" si="260"/>
        <v>-1.0284826286390698E-2</v>
      </c>
      <c r="P956">
        <f t="shared" si="261"/>
        <v>-8.8809305959346094E-2</v>
      </c>
      <c r="Q956">
        <f t="shared" si="262"/>
        <v>0.99599554693948211</v>
      </c>
      <c r="R956">
        <f t="shared" si="252"/>
        <v>1</v>
      </c>
      <c r="AG956" s="8">
        <f t="shared" si="254"/>
        <v>0.19538346207029125</v>
      </c>
      <c r="AH956" s="8">
        <f t="shared" si="255"/>
        <v>-0.17564028805051818</v>
      </c>
      <c r="AI956" s="8">
        <f t="shared" si="256"/>
        <v>0.96487086802481403</v>
      </c>
      <c r="AJ956" s="8"/>
      <c r="AK956" s="8"/>
      <c r="AL956" s="8"/>
      <c r="AN956" s="8">
        <f t="shared" si="263"/>
        <v>1</v>
      </c>
      <c r="AO956" s="8">
        <f t="shared" si="264"/>
        <v>5.5509496993989416</v>
      </c>
      <c r="AP956" s="8">
        <f t="shared" si="265"/>
        <v>0.26584490484790591</v>
      </c>
      <c r="AQ956" s="8"/>
      <c r="AR956" s="8">
        <f t="shared" si="266"/>
        <v>318.04599006497233</v>
      </c>
      <c r="AS956" s="8">
        <f t="shared" si="267"/>
        <v>74.76820894715803</v>
      </c>
    </row>
    <row r="957" spans="1:45">
      <c r="A957" s="19">
        <v>40.540500000000002</v>
      </c>
      <c r="B957" s="19">
        <v>975.89858370000002</v>
      </c>
      <c r="C957" s="19">
        <v>-676.8625644</v>
      </c>
      <c r="E957" s="9">
        <f t="shared" si="257"/>
        <v>-15.898583700000017</v>
      </c>
      <c r="F957" s="9">
        <f t="shared" si="258"/>
        <v>-136.8625644</v>
      </c>
      <c r="I957">
        <v>1</v>
      </c>
      <c r="J957">
        <f t="shared" si="253"/>
        <v>9.0233368505033565E-2</v>
      </c>
      <c r="K957">
        <f t="shared" si="259"/>
        <v>-1.6864425906217078</v>
      </c>
      <c r="O957">
        <f t="shared" si="260"/>
        <v>-1.0397784121084603E-2</v>
      </c>
      <c r="P957">
        <f t="shared" si="261"/>
        <v>-8.9509067332157369E-2</v>
      </c>
      <c r="Q957">
        <f t="shared" si="262"/>
        <v>0.99593173106930311</v>
      </c>
      <c r="R957">
        <f t="shared" si="252"/>
        <v>1</v>
      </c>
      <c r="AG957" s="8">
        <f t="shared" si="254"/>
        <v>0.19607510921508386</v>
      </c>
      <c r="AH957" s="8">
        <f t="shared" si="255"/>
        <v>-0.17552189724100295</v>
      </c>
      <c r="AI957" s="8">
        <f t="shared" si="256"/>
        <v>0.96475210035283765</v>
      </c>
      <c r="AJ957" s="8"/>
      <c r="AK957" s="8"/>
      <c r="AL957" s="8"/>
      <c r="AN957" s="8">
        <f t="shared" si="263"/>
        <v>1</v>
      </c>
      <c r="AO957" s="8">
        <f t="shared" si="264"/>
        <v>5.553041332772187</v>
      </c>
      <c r="AP957" s="8">
        <f t="shared" si="265"/>
        <v>0.26629659172992137</v>
      </c>
      <c r="AQ957" s="8"/>
      <c r="AR957" s="8">
        <f t="shared" si="266"/>
        <v>318.16583182954804</v>
      </c>
      <c r="AS957" s="8">
        <f t="shared" si="267"/>
        <v>74.742329195157126</v>
      </c>
    </row>
    <row r="958" spans="1:45">
      <c r="A958" s="19">
        <v>40.573866670000001</v>
      </c>
      <c r="B958" s="19">
        <v>976.71223669999995</v>
      </c>
      <c r="C958" s="19">
        <v>-677.42220959999997</v>
      </c>
      <c r="E958" s="9">
        <f t="shared" si="257"/>
        <v>-16.712236699999949</v>
      </c>
      <c r="F958" s="9">
        <f t="shared" si="258"/>
        <v>-137.42220959999997</v>
      </c>
      <c r="I958">
        <v>1</v>
      </c>
      <c r="J958">
        <f t="shared" si="253"/>
        <v>9.0662999882218681E-2</v>
      </c>
      <c r="K958">
        <f t="shared" si="259"/>
        <v>-1.6918144018592014</v>
      </c>
      <c r="O958">
        <f t="shared" si="260"/>
        <v>-1.0930111935086344E-2</v>
      </c>
      <c r="P958">
        <f t="shared" si="261"/>
        <v>-8.987666703493398E-2</v>
      </c>
      <c r="Q958">
        <f t="shared" si="262"/>
        <v>0.99589292465393997</v>
      </c>
      <c r="R958">
        <f t="shared" si="252"/>
        <v>1</v>
      </c>
      <c r="AG958" s="8">
        <f t="shared" si="254"/>
        <v>0.19657305461128979</v>
      </c>
      <c r="AH958" s="8">
        <f t="shared" si="255"/>
        <v>-0.17590015370658296</v>
      </c>
      <c r="AI958" s="8">
        <f t="shared" si="256"/>
        <v>0.96458186284357805</v>
      </c>
      <c r="AJ958" s="8"/>
      <c r="AK958" s="8"/>
      <c r="AL958" s="8"/>
      <c r="AN958" s="8">
        <f t="shared" si="263"/>
        <v>0.99999999999999978</v>
      </c>
      <c r="AO958" s="8">
        <f t="shared" si="264"/>
        <v>5.5532319714369054</v>
      </c>
      <c r="AP958" s="8">
        <f t="shared" si="265"/>
        <v>0.26694272294834809</v>
      </c>
      <c r="AQ958" s="8"/>
      <c r="AR958" s="8">
        <f t="shared" si="266"/>
        <v>318.17675462044838</v>
      </c>
      <c r="AS958" s="8">
        <f t="shared" si="267"/>
        <v>74.705308603329627</v>
      </c>
    </row>
    <row r="959" spans="1:45">
      <c r="A959" s="19">
        <v>40.60723333</v>
      </c>
      <c r="B959" s="19">
        <v>977.10799640000005</v>
      </c>
      <c r="C959" s="19">
        <v>-678.0503162</v>
      </c>
      <c r="E959" s="9">
        <f t="shared" si="257"/>
        <v>-17.107996400000047</v>
      </c>
      <c r="F959" s="9">
        <f t="shared" si="258"/>
        <v>-138.0503162</v>
      </c>
      <c r="I959">
        <v>1</v>
      </c>
      <c r="J959">
        <f t="shared" si="253"/>
        <v>9.110571278519021E-2</v>
      </c>
      <c r="K959">
        <f t="shared" si="259"/>
        <v>-1.6940935117803517</v>
      </c>
      <c r="O959">
        <f t="shared" si="260"/>
        <v>-1.1189144519942322E-2</v>
      </c>
      <c r="P959">
        <f t="shared" si="261"/>
        <v>-9.0289061493228545E-2</v>
      </c>
      <c r="Q959">
        <f t="shared" si="262"/>
        <v>0.99585274434505822</v>
      </c>
      <c r="R959">
        <f t="shared" si="252"/>
        <v>1</v>
      </c>
      <c r="AG959" s="8">
        <f t="shared" si="254"/>
        <v>0.19703539445000542</v>
      </c>
      <c r="AH959" s="8">
        <f t="shared" si="255"/>
        <v>-0.17600952223248637</v>
      </c>
      <c r="AI959" s="8">
        <f t="shared" si="256"/>
        <v>0.96446757406219863</v>
      </c>
      <c r="AJ959" s="8"/>
      <c r="AK959" s="8"/>
      <c r="AL959" s="8"/>
      <c r="AN959" s="8">
        <f t="shared" si="263"/>
        <v>1</v>
      </c>
      <c r="AO959" s="8">
        <f t="shared" si="264"/>
        <v>5.5540904167467167</v>
      </c>
      <c r="AP959" s="8">
        <f t="shared" si="265"/>
        <v>0.26737564735156849</v>
      </c>
      <c r="AQ959" s="8"/>
      <c r="AR959" s="8">
        <f t="shared" si="266"/>
        <v>318.2259399136434</v>
      </c>
      <c r="AS959" s="8">
        <f t="shared" si="267"/>
        <v>74.680503862176877</v>
      </c>
    </row>
    <row r="960" spans="1:45">
      <c r="A960" s="19">
        <v>40.640599999999999</v>
      </c>
      <c r="B960" s="19">
        <v>977.79856510000002</v>
      </c>
      <c r="C960" s="19">
        <v>-678.88912319999997</v>
      </c>
      <c r="E960" s="9">
        <f t="shared" si="257"/>
        <v>-17.798565100000019</v>
      </c>
      <c r="F960" s="9">
        <f t="shared" si="258"/>
        <v>-138.88912319999997</v>
      </c>
      <c r="I960">
        <v>1</v>
      </c>
      <c r="J960">
        <f t="shared" si="253"/>
        <v>9.171116934942887E-2</v>
      </c>
      <c r="K960">
        <f t="shared" si="259"/>
        <v>-1.6982511092653618</v>
      </c>
      <c r="O960">
        <f t="shared" si="260"/>
        <v>-1.1641070587271349E-2</v>
      </c>
      <c r="P960">
        <f t="shared" si="261"/>
        <v>-9.083979960695969E-2</v>
      </c>
      <c r="Q960">
        <f t="shared" si="262"/>
        <v>0.99579747754397807</v>
      </c>
      <c r="R960">
        <f t="shared" si="252"/>
        <v>1</v>
      </c>
      <c r="AG960" s="8">
        <f t="shared" si="254"/>
        <v>0.19768295281927356</v>
      </c>
      <c r="AH960" s="8">
        <f t="shared" si="255"/>
        <v>-0.17625420323689717</v>
      </c>
      <c r="AI960" s="8">
        <f t="shared" si="256"/>
        <v>0.96429036394956236</v>
      </c>
      <c r="AJ960" s="8"/>
      <c r="AK960" s="8"/>
      <c r="AL960" s="8"/>
      <c r="AN960" s="8">
        <f t="shared" si="263"/>
        <v>1</v>
      </c>
      <c r="AO960" s="8">
        <f t="shared" si="264"/>
        <v>5.5550302884446134</v>
      </c>
      <c r="AP960" s="8">
        <f t="shared" si="265"/>
        <v>0.26804556736614882</v>
      </c>
      <c r="AQ960" s="8"/>
      <c r="AR960" s="8">
        <f t="shared" si="266"/>
        <v>318.2797905952167</v>
      </c>
      <c r="AS960" s="8">
        <f t="shared" si="267"/>
        <v>74.642120272730082</v>
      </c>
    </row>
    <row r="961" spans="1:45">
      <c r="A961" s="19">
        <v>40.673966669999999</v>
      </c>
      <c r="B961" s="19">
        <v>977.97904719999997</v>
      </c>
      <c r="C961" s="19">
        <v>-679.73776150000003</v>
      </c>
      <c r="E961" s="9">
        <f t="shared" si="257"/>
        <v>-17.979047199999968</v>
      </c>
      <c r="F961" s="9">
        <f t="shared" si="258"/>
        <v>-139.73776150000003</v>
      </c>
      <c r="I961">
        <v>1</v>
      </c>
      <c r="J961">
        <f t="shared" si="253"/>
        <v>9.2281104001496195E-2</v>
      </c>
      <c r="K961">
        <f t="shared" si="259"/>
        <v>-1.6987560984815884</v>
      </c>
      <c r="O961">
        <f t="shared" si="260"/>
        <v>-1.1759364521332269E-2</v>
      </c>
      <c r="P961">
        <f t="shared" si="261"/>
        <v>-9.1396794090039174E-2</v>
      </c>
      <c r="Q961">
        <f t="shared" si="262"/>
        <v>0.99574511968481039</v>
      </c>
      <c r="R961">
        <f t="shared" si="252"/>
        <v>1</v>
      </c>
      <c r="AG961" s="8">
        <f t="shared" si="254"/>
        <v>0.19824143097880204</v>
      </c>
      <c r="AH961" s="8">
        <f t="shared" si="255"/>
        <v>-0.17618615520423422</v>
      </c>
      <c r="AI961" s="8">
        <f t="shared" si="256"/>
        <v>0.96418814230306016</v>
      </c>
      <c r="AJ961" s="8"/>
      <c r="AK961" s="8"/>
      <c r="AL961" s="8"/>
      <c r="AN961" s="8">
        <f t="shared" si="263"/>
        <v>0.99999999999999989</v>
      </c>
      <c r="AO961" s="8">
        <f t="shared" si="264"/>
        <v>5.5566231412258382</v>
      </c>
      <c r="AP961" s="8">
        <f t="shared" si="265"/>
        <v>0.26843126102468773</v>
      </c>
      <c r="AQ961" s="8"/>
      <c r="AR961" s="8">
        <f t="shared" si="266"/>
        <v>318.37105433696655</v>
      </c>
      <c r="AS961" s="8">
        <f t="shared" si="267"/>
        <v>74.62002165391084</v>
      </c>
    </row>
    <row r="962" spans="1:45">
      <c r="A962" s="19">
        <v>40.707333329999997</v>
      </c>
      <c r="B962" s="19">
        <v>978.4598929</v>
      </c>
      <c r="C962" s="19">
        <v>-680.46424249999995</v>
      </c>
      <c r="E962" s="9">
        <f t="shared" si="257"/>
        <v>-18.4598929</v>
      </c>
      <c r="F962" s="9">
        <f t="shared" si="258"/>
        <v>-140.46424249999995</v>
      </c>
      <c r="I962">
        <v>1</v>
      </c>
      <c r="J962">
        <f t="shared" si="253"/>
        <v>9.279678546052042E-2</v>
      </c>
      <c r="K962">
        <f t="shared" si="259"/>
        <v>-1.7014680522377137</v>
      </c>
      <c r="O962">
        <f t="shared" si="260"/>
        <v>-1.2074090736144171E-2</v>
      </c>
      <c r="P962">
        <f t="shared" si="261"/>
        <v>-9.1873664615289313E-2</v>
      </c>
      <c r="Q962">
        <f t="shared" si="262"/>
        <v>0.99569746714705099</v>
      </c>
      <c r="R962">
        <f t="shared" si="252"/>
        <v>1</v>
      </c>
      <c r="AG962" s="8">
        <f t="shared" si="254"/>
        <v>0.19878026945104249</v>
      </c>
      <c r="AH962" s="8">
        <f t="shared" si="255"/>
        <v>-0.17632657508372496</v>
      </c>
      <c r="AI962" s="8">
        <f t="shared" si="256"/>
        <v>0.9640515252807883</v>
      </c>
      <c r="AJ962" s="8"/>
      <c r="AK962" s="8"/>
      <c r="AL962" s="8"/>
      <c r="AN962" s="8">
        <f t="shared" si="263"/>
        <v>1</v>
      </c>
      <c r="AO962" s="8">
        <f t="shared" si="264"/>
        <v>5.5575752650741022</v>
      </c>
      <c r="AP962" s="8">
        <f t="shared" si="265"/>
        <v>0.26894588947993481</v>
      </c>
      <c r="AQ962" s="8"/>
      <c r="AR962" s="8">
        <f t="shared" si="266"/>
        <v>318.42560701504578</v>
      </c>
      <c r="AS962" s="8">
        <f t="shared" si="267"/>
        <v>74.590535615407845</v>
      </c>
    </row>
    <row r="963" spans="1:45">
      <c r="A963" s="19">
        <v>40.740699999999997</v>
      </c>
      <c r="B963" s="19">
        <v>979.08265530000006</v>
      </c>
      <c r="C963" s="19">
        <v>-681.44312730000001</v>
      </c>
      <c r="E963" s="9">
        <f t="shared" si="257"/>
        <v>-19.082655300000056</v>
      </c>
      <c r="F963" s="9">
        <f t="shared" si="258"/>
        <v>-141.44312730000001</v>
      </c>
      <c r="I963">
        <v>1</v>
      </c>
      <c r="J963">
        <f t="shared" si="253"/>
        <v>9.3490462495500262E-2</v>
      </c>
      <c r="K963">
        <f t="shared" si="259"/>
        <v>-1.7049005738015441</v>
      </c>
      <c r="O963">
        <f t="shared" si="260"/>
        <v>-1.2481721750075388E-2</v>
      </c>
      <c r="P963">
        <f t="shared" si="261"/>
        <v>-9.2516147814035554E-2</v>
      </c>
      <c r="Q963">
        <f t="shared" si="262"/>
        <v>0.99563294894042409</v>
      </c>
      <c r="R963">
        <f t="shared" si="252"/>
        <v>1</v>
      </c>
      <c r="AG963" s="8">
        <f t="shared" si="254"/>
        <v>0.19950152103475183</v>
      </c>
      <c r="AH963" s="8">
        <f t="shared" si="255"/>
        <v>-0.17650039606720891</v>
      </c>
      <c r="AI963" s="8">
        <f t="shared" si="256"/>
        <v>0.96387071399277335</v>
      </c>
      <c r="AJ963" s="8"/>
      <c r="AK963" s="8"/>
      <c r="AL963" s="8"/>
      <c r="AN963" s="8">
        <f t="shared" si="263"/>
        <v>0.99999999999999989</v>
      </c>
      <c r="AO963" s="8">
        <f t="shared" si="264"/>
        <v>5.5588839019598488</v>
      </c>
      <c r="AP963" s="8">
        <f t="shared" si="265"/>
        <v>0.26962552143356078</v>
      </c>
      <c r="AQ963" s="8"/>
      <c r="AR963" s="8">
        <f t="shared" si="266"/>
        <v>318.50058638551423</v>
      </c>
      <c r="AS963" s="8">
        <f t="shared" si="267"/>
        <v>74.551595572842842</v>
      </c>
    </row>
    <row r="964" spans="1:45">
      <c r="A964" s="19">
        <v>40.774066670000003</v>
      </c>
      <c r="B964" s="19">
        <v>978.99303029999999</v>
      </c>
      <c r="C964" s="19">
        <v>-681.88612450000005</v>
      </c>
      <c r="E964" s="9">
        <f t="shared" si="257"/>
        <v>-18.993030299999987</v>
      </c>
      <c r="F964" s="9">
        <f t="shared" si="258"/>
        <v>-141.88612450000005</v>
      </c>
      <c r="I964">
        <v>1</v>
      </c>
      <c r="J964">
        <f t="shared" si="253"/>
        <v>9.3771947185607024E-2</v>
      </c>
      <c r="K964">
        <f t="shared" si="259"/>
        <v>-1.7038663546109019</v>
      </c>
      <c r="O964">
        <f t="shared" si="260"/>
        <v>-1.2423216257147656E-2</v>
      </c>
      <c r="P964">
        <f t="shared" si="261"/>
        <v>-9.2806781261865368E-2</v>
      </c>
      <c r="Q964">
        <f t="shared" si="262"/>
        <v>0.9956066316822324</v>
      </c>
      <c r="R964">
        <f t="shared" si="252"/>
        <v>1</v>
      </c>
      <c r="AG964" s="8">
        <f t="shared" si="254"/>
        <v>0.1997586754388796</v>
      </c>
      <c r="AH964" s="8">
        <f t="shared" si="255"/>
        <v>-0.17635286466976641</v>
      </c>
      <c r="AI964" s="8">
        <f t="shared" si="256"/>
        <v>0.9638444577366575</v>
      </c>
      <c r="AJ964" s="8"/>
      <c r="AK964" s="8"/>
      <c r="AL964" s="8"/>
      <c r="AN964" s="8">
        <f t="shared" si="263"/>
        <v>0.99999999999999989</v>
      </c>
      <c r="AO964" s="8">
        <f t="shared" si="264"/>
        <v>5.5599380317887404</v>
      </c>
      <c r="AP964" s="8">
        <f t="shared" si="265"/>
        <v>0.269724074293751</v>
      </c>
      <c r="AQ964" s="8"/>
      <c r="AR964" s="8">
        <f t="shared" si="266"/>
        <v>318.56098357576855</v>
      </c>
      <c r="AS964" s="8">
        <f t="shared" si="267"/>
        <v>74.545948909895003</v>
      </c>
    </row>
    <row r="965" spans="1:45">
      <c r="A965" s="19">
        <v>40.807433330000002</v>
      </c>
      <c r="B965" s="19">
        <v>979.9150793</v>
      </c>
      <c r="C965" s="19">
        <v>-682.81210969999995</v>
      </c>
      <c r="E965" s="9">
        <f t="shared" si="257"/>
        <v>-19.915079300000002</v>
      </c>
      <c r="F965" s="9">
        <f t="shared" si="258"/>
        <v>-142.81210969999995</v>
      </c>
      <c r="I965">
        <v>1</v>
      </c>
      <c r="J965">
        <f t="shared" si="253"/>
        <v>9.4458846750357622E-2</v>
      </c>
      <c r="K965">
        <f t="shared" si="259"/>
        <v>-1.7093523236949675</v>
      </c>
      <c r="O965">
        <f t="shared" si="260"/>
        <v>-1.3026611861157748E-2</v>
      </c>
      <c r="P965">
        <f t="shared" si="261"/>
        <v>-9.341453750249358E-2</v>
      </c>
      <c r="Q965">
        <f t="shared" si="262"/>
        <v>0.9955420792546209</v>
      </c>
      <c r="R965">
        <f t="shared" si="252"/>
        <v>1</v>
      </c>
      <c r="AG965" s="8">
        <f t="shared" si="254"/>
        <v>0.20050280777627399</v>
      </c>
      <c r="AH965" s="8">
        <f t="shared" si="255"/>
        <v>-0.17671989381824399</v>
      </c>
      <c r="AI965" s="8">
        <f t="shared" si="256"/>
        <v>0.96362269753399798</v>
      </c>
      <c r="AJ965" s="8"/>
      <c r="AK965" s="8"/>
      <c r="AL965" s="8"/>
      <c r="AN965" s="8">
        <f t="shared" si="263"/>
        <v>0.99999999999999989</v>
      </c>
      <c r="AO965" s="8">
        <f t="shared" si="264"/>
        <v>5.5607512141627122</v>
      </c>
      <c r="AP965" s="8">
        <f t="shared" si="265"/>
        <v>0.27055505410097624</v>
      </c>
      <c r="AQ965" s="8"/>
      <c r="AR965" s="8">
        <f t="shared" si="266"/>
        <v>318.60757549377161</v>
      </c>
      <c r="AS965" s="8">
        <f t="shared" si="267"/>
        <v>74.498337274080399</v>
      </c>
    </row>
    <row r="966" spans="1:45">
      <c r="A966" s="19">
        <v>40.840800000000002</v>
      </c>
      <c r="B966" s="19">
        <v>980.21309299999996</v>
      </c>
      <c r="C966" s="19">
        <v>-683.80003910000005</v>
      </c>
      <c r="E966" s="9">
        <f t="shared" si="257"/>
        <v>-20.213092999999958</v>
      </c>
      <c r="F966" s="9">
        <f t="shared" si="258"/>
        <v>-143.80003910000005</v>
      </c>
      <c r="I966">
        <v>1</v>
      </c>
      <c r="J966">
        <f t="shared" si="253"/>
        <v>9.5130826224046824E-2</v>
      </c>
      <c r="K966">
        <f t="shared" si="259"/>
        <v>-1.7104452764502791</v>
      </c>
      <c r="O966">
        <f t="shared" si="260"/>
        <v>-1.3221818299367546E-2</v>
      </c>
      <c r="P966">
        <f t="shared" si="261"/>
        <v>-9.4062694334912239E-2</v>
      </c>
      <c r="Q966">
        <f t="shared" si="262"/>
        <v>0.99547847443092174</v>
      </c>
      <c r="R966">
        <f t="shared" si="252"/>
        <v>1</v>
      </c>
      <c r="AG966" s="8">
        <f t="shared" si="254"/>
        <v>0.20116884934604448</v>
      </c>
      <c r="AH966" s="8">
        <f t="shared" si="255"/>
        <v>-0.17669390673319613</v>
      </c>
      <c r="AI966" s="8">
        <f t="shared" si="256"/>
        <v>0.96348863894503134</v>
      </c>
      <c r="AJ966" s="8"/>
      <c r="AK966" s="8"/>
      <c r="AL966" s="8"/>
      <c r="AN966" s="8">
        <f t="shared" si="263"/>
        <v>0.99999999999999989</v>
      </c>
      <c r="AO966" s="8">
        <f t="shared" si="264"/>
        <v>5.5624688320065792</v>
      </c>
      <c r="AP966" s="8">
        <f t="shared" si="265"/>
        <v>0.27105619312221685</v>
      </c>
      <c r="AQ966" s="8"/>
      <c r="AR966" s="8">
        <f t="shared" si="266"/>
        <v>318.70598774704149</v>
      </c>
      <c r="AS966" s="8">
        <f t="shared" si="267"/>
        <v>74.469624123214004</v>
      </c>
    </row>
    <row r="967" spans="1:45">
      <c r="A967" s="19">
        <v>40.874166670000001</v>
      </c>
      <c r="B967" s="19">
        <v>981.60861539999996</v>
      </c>
      <c r="C967" s="19">
        <v>-683.94691060000002</v>
      </c>
      <c r="E967" s="9">
        <f t="shared" si="257"/>
        <v>-21.608615399999962</v>
      </c>
      <c r="F967" s="9">
        <f t="shared" si="258"/>
        <v>-143.94691060000002</v>
      </c>
      <c r="I967">
        <v>1</v>
      </c>
      <c r="J967">
        <f t="shared" si="253"/>
        <v>9.5358870129547704E-2</v>
      </c>
      <c r="K967">
        <f t="shared" si="259"/>
        <v>-1.7197989112163261</v>
      </c>
      <c r="O967">
        <f t="shared" si="260"/>
        <v>-1.4134755271878177E-2</v>
      </c>
      <c r="P967">
        <f t="shared" si="261"/>
        <v>-9.4159404284363979E-2</v>
      </c>
      <c r="Q967">
        <f t="shared" si="262"/>
        <v>0.9954567872480542</v>
      </c>
      <c r="R967">
        <f t="shared" si="252"/>
        <v>1</v>
      </c>
      <c r="AG967" s="8">
        <f t="shared" si="254"/>
        <v>0.20151950038109157</v>
      </c>
      <c r="AH967" s="8">
        <f t="shared" si="255"/>
        <v>-0.17751258834776271</v>
      </c>
      <c r="AI967" s="8">
        <f t="shared" si="256"/>
        <v>0.96326485036267828</v>
      </c>
      <c r="AJ967" s="8"/>
      <c r="AK967" s="8"/>
      <c r="AL967" s="8"/>
      <c r="AN967" s="8">
        <f t="shared" si="263"/>
        <v>1</v>
      </c>
      <c r="AO967" s="8">
        <f t="shared" si="264"/>
        <v>5.5610400649167566</v>
      </c>
      <c r="AP967" s="8">
        <f t="shared" si="265"/>
        <v>0.27189075421096032</v>
      </c>
      <c r="AQ967" s="8"/>
      <c r="AR967" s="8">
        <f t="shared" si="266"/>
        <v>318.62412542288752</v>
      </c>
      <c r="AS967" s="8">
        <f t="shared" si="267"/>
        <v>74.421807295083156</v>
      </c>
    </row>
    <row r="968" spans="1:45">
      <c r="A968" s="19">
        <v>40.90753333</v>
      </c>
      <c r="B968" s="19">
        <v>980.92562999999996</v>
      </c>
      <c r="C968" s="19">
        <v>-685.17074560000003</v>
      </c>
      <c r="E968" s="9">
        <f t="shared" si="257"/>
        <v>-20.925629999999956</v>
      </c>
      <c r="F968" s="9">
        <f t="shared" si="258"/>
        <v>-145.17074560000003</v>
      </c>
      <c r="I968">
        <v>1</v>
      </c>
      <c r="J968">
        <f t="shared" si="253"/>
        <v>9.6091221438091248E-2</v>
      </c>
      <c r="K968">
        <f t="shared" si="259"/>
        <v>-1.713955205135858</v>
      </c>
      <c r="O968">
        <f t="shared" si="260"/>
        <v>-1.3688283671870046E-2</v>
      </c>
      <c r="P968">
        <f t="shared" si="261"/>
        <v>-9.4961936468803382E-2</v>
      </c>
      <c r="Q968">
        <f t="shared" si="262"/>
        <v>0.99538678990240437</v>
      </c>
      <c r="R968">
        <f t="shared" si="252"/>
        <v>1</v>
      </c>
      <c r="AG968" s="8">
        <f t="shared" si="254"/>
        <v>0.20214844563601433</v>
      </c>
      <c r="AH968" s="8">
        <f t="shared" si="255"/>
        <v>-0.17683978990151422</v>
      </c>
      <c r="AI968" s="8">
        <f t="shared" si="256"/>
        <v>0.9632568165523312</v>
      </c>
      <c r="AJ968" s="8"/>
      <c r="AK968" s="8"/>
      <c r="AL968" s="8"/>
      <c r="AN968" s="8">
        <f t="shared" si="263"/>
        <v>0.99999999999999978</v>
      </c>
      <c r="AO968" s="8">
        <f t="shared" si="264"/>
        <v>5.5644676693135322</v>
      </c>
      <c r="AP968" s="8">
        <f t="shared" si="265"/>
        <v>0.27192066775879153</v>
      </c>
      <c r="AQ968" s="8"/>
      <c r="AR968" s="8">
        <f t="shared" si="266"/>
        <v>318.8205126886632</v>
      </c>
      <c r="AS968" s="8">
        <f t="shared" si="267"/>
        <v>74.420093375042171</v>
      </c>
    </row>
    <row r="969" spans="1:45">
      <c r="A969" s="19">
        <v>40.940899999999999</v>
      </c>
      <c r="B969" s="19">
        <v>981.57732590000001</v>
      </c>
      <c r="C969" s="19">
        <v>-685.88685550000002</v>
      </c>
      <c r="E969" s="9">
        <f t="shared" si="257"/>
        <v>-21.577325900000005</v>
      </c>
      <c r="F969" s="9">
        <f t="shared" si="258"/>
        <v>-145.88685550000002</v>
      </c>
      <c r="I969">
        <v>1</v>
      </c>
      <c r="J969">
        <f t="shared" si="253"/>
        <v>9.6620179493367361E-2</v>
      </c>
      <c r="K969">
        <f t="shared" si="259"/>
        <v>-1.717636281678397</v>
      </c>
      <c r="O969">
        <f t="shared" si="260"/>
        <v>-1.4114786649909452E-2</v>
      </c>
      <c r="P969">
        <f t="shared" si="261"/>
        <v>-9.5431743949729642E-2</v>
      </c>
      <c r="Q969">
        <f t="shared" si="262"/>
        <v>0.99533590061071386</v>
      </c>
      <c r="R969">
        <f t="shared" si="252"/>
        <v>1</v>
      </c>
      <c r="AG969" s="8">
        <f t="shared" si="254"/>
        <v>0.20271215432203005</v>
      </c>
      <c r="AH969" s="8">
        <f t="shared" si="255"/>
        <v>-0.1770860462932782</v>
      </c>
      <c r="AI969" s="8">
        <f t="shared" si="256"/>
        <v>0.96309309762781314</v>
      </c>
      <c r="AJ969" s="8"/>
      <c r="AK969" s="8"/>
      <c r="AL969" s="8"/>
      <c r="AN969" s="8">
        <f t="shared" si="263"/>
        <v>1</v>
      </c>
      <c r="AO969" s="8">
        <f t="shared" si="264"/>
        <v>5.5651579880769599</v>
      </c>
      <c r="AP969" s="8">
        <f t="shared" si="265"/>
        <v>0.27252957061969285</v>
      </c>
      <c r="AQ969" s="8"/>
      <c r="AR969" s="8">
        <f t="shared" si="266"/>
        <v>318.86006504032633</v>
      </c>
      <c r="AS969" s="8">
        <f t="shared" si="267"/>
        <v>74.385205810979073</v>
      </c>
    </row>
    <row r="970" spans="1:45">
      <c r="A970" s="19">
        <v>40.974266669999999</v>
      </c>
      <c r="B970" s="19">
        <v>981.90964710000003</v>
      </c>
      <c r="C970" s="19">
        <v>-686.79912019999995</v>
      </c>
      <c r="E970" s="9">
        <f t="shared" si="257"/>
        <v>-21.909647100000029</v>
      </c>
      <c r="F970" s="9">
        <f t="shared" si="258"/>
        <v>-146.79912019999995</v>
      </c>
      <c r="I970">
        <v>1</v>
      </c>
      <c r="J970">
        <f t="shared" si="253"/>
        <v>9.7246920903004311E-2</v>
      </c>
      <c r="K970">
        <f t="shared" si="259"/>
        <v>-1.718951887266486</v>
      </c>
      <c r="O970">
        <f t="shared" si="260"/>
        <v>-1.4332406529021307E-2</v>
      </c>
      <c r="P970">
        <f t="shared" si="261"/>
        <v>-9.6030057408321365E-2</v>
      </c>
      <c r="Q970">
        <f t="shared" si="262"/>
        <v>0.99527524343632767</v>
      </c>
      <c r="R970">
        <f t="shared" si="252"/>
        <v>1</v>
      </c>
      <c r="AG970" s="8">
        <f t="shared" si="254"/>
        <v>0.20333746270156552</v>
      </c>
      <c r="AH970" s="8">
        <f t="shared" si="255"/>
        <v>-0.17709661241565683</v>
      </c>
      <c r="AI970" s="8">
        <f t="shared" si="256"/>
        <v>0.96295932735136225</v>
      </c>
      <c r="AJ970" s="8"/>
      <c r="AK970" s="8"/>
      <c r="AL970" s="8"/>
      <c r="AN970" s="8">
        <f t="shared" si="263"/>
        <v>1</v>
      </c>
      <c r="AO970" s="8">
        <f t="shared" si="264"/>
        <v>5.5666541434415455</v>
      </c>
      <c r="AP970" s="8">
        <f t="shared" si="265"/>
        <v>0.27302610552079276</v>
      </c>
      <c r="AQ970" s="8"/>
      <c r="AR970" s="8">
        <f t="shared" si="266"/>
        <v>318.94578842821295</v>
      </c>
      <c r="AS970" s="8">
        <f t="shared" si="267"/>
        <v>74.356756456765112</v>
      </c>
    </row>
    <row r="971" spans="1:45">
      <c r="A971" s="19">
        <v>41.007633329999997</v>
      </c>
      <c r="B971" s="19">
        <v>982.62051610000003</v>
      </c>
      <c r="C971" s="19">
        <v>-687.62164610000002</v>
      </c>
      <c r="E971" s="9">
        <f t="shared" si="257"/>
        <v>-22.620516100000032</v>
      </c>
      <c r="F971" s="9">
        <f t="shared" si="258"/>
        <v>-147.62164610000002</v>
      </c>
      <c r="I971">
        <v>1</v>
      </c>
      <c r="J971">
        <f t="shared" si="253"/>
        <v>9.7852803386314302E-2</v>
      </c>
      <c r="K971">
        <f t="shared" si="259"/>
        <v>-1.7228466787999197</v>
      </c>
      <c r="O971">
        <f t="shared" si="260"/>
        <v>-1.479764771354041E-2</v>
      </c>
      <c r="P971">
        <f t="shared" si="261"/>
        <v>-9.6569552357858746E-2</v>
      </c>
      <c r="Q971">
        <f t="shared" si="262"/>
        <v>0.99521623337822862</v>
      </c>
      <c r="R971">
        <f t="shared" si="252"/>
        <v>1</v>
      </c>
      <c r="AG971" s="8">
        <f t="shared" si="254"/>
        <v>0.20397771592501351</v>
      </c>
      <c r="AH971" s="8">
        <f t="shared" si="255"/>
        <v>-0.17735639405499604</v>
      </c>
      <c r="AI971" s="8">
        <f t="shared" si="256"/>
        <v>0.96277609073648251</v>
      </c>
      <c r="AJ971" s="8"/>
      <c r="AK971" s="8"/>
      <c r="AL971" s="8"/>
      <c r="AN971" s="8">
        <f t="shared" si="263"/>
        <v>1.0000000000000002</v>
      </c>
      <c r="AO971" s="8">
        <f t="shared" si="264"/>
        <v>5.5674850810153815</v>
      </c>
      <c r="AP971" s="8">
        <f t="shared" si="265"/>
        <v>0.27370482638338545</v>
      </c>
      <c r="AQ971" s="8"/>
      <c r="AR971" s="8">
        <f t="shared" si="266"/>
        <v>318.99339764423257</v>
      </c>
      <c r="AS971" s="8">
        <f t="shared" si="267"/>
        <v>74.317868615871078</v>
      </c>
    </row>
    <row r="972" spans="1:45">
      <c r="A972" s="19">
        <v>41.040999999999997</v>
      </c>
      <c r="B972" s="19">
        <v>983.19871760000001</v>
      </c>
      <c r="C972" s="19">
        <v>-688.15890690000003</v>
      </c>
      <c r="E972" s="9">
        <f t="shared" si="257"/>
        <v>-23.198717600000009</v>
      </c>
      <c r="F972" s="9">
        <f t="shared" si="258"/>
        <v>-148.15890690000003</v>
      </c>
      <c r="I972">
        <v>1</v>
      </c>
      <c r="J972">
        <f t="shared" si="253"/>
        <v>9.8260917095222486E-2</v>
      </c>
      <c r="K972">
        <f t="shared" si="259"/>
        <v>-1.726115161229975</v>
      </c>
      <c r="O972">
        <f t="shared" si="260"/>
        <v>-1.5176033912962681E-2</v>
      </c>
      <c r="P972">
        <f t="shared" si="261"/>
        <v>-9.6921934840996607E-2</v>
      </c>
      <c r="Q972">
        <f t="shared" si="262"/>
        <v>0.99517627912915518</v>
      </c>
      <c r="R972">
        <f t="shared" si="252"/>
        <v>1</v>
      </c>
      <c r="AG972" s="8">
        <f t="shared" si="254"/>
        <v>0.20441705133289123</v>
      </c>
      <c r="AH972" s="8">
        <f t="shared" si="255"/>
        <v>-0.17759534254040862</v>
      </c>
      <c r="AI972" s="8">
        <f t="shared" si="256"/>
        <v>0.9626388541048615</v>
      </c>
      <c r="AJ972" s="8"/>
      <c r="AK972" s="8"/>
      <c r="AL972" s="8"/>
      <c r="AN972" s="8">
        <f t="shared" si="263"/>
        <v>0.99999999999999978</v>
      </c>
      <c r="AO972" s="8">
        <f t="shared" si="264"/>
        <v>5.5678837297986981</v>
      </c>
      <c r="AP972" s="8">
        <f t="shared" si="265"/>
        <v>0.27421208745383208</v>
      </c>
      <c r="AQ972" s="8"/>
      <c r="AR972" s="8">
        <f t="shared" si="266"/>
        <v>319.01623853702466</v>
      </c>
      <c r="AS972" s="8">
        <f t="shared" si="267"/>
        <v>74.288804697423188</v>
      </c>
    </row>
    <row r="973" spans="1:45">
      <c r="A973" s="19">
        <v>41.074366670000003</v>
      </c>
      <c r="B973" s="19">
        <v>983.83150130000001</v>
      </c>
      <c r="C973" s="19">
        <v>-689.17074739999998</v>
      </c>
      <c r="E973" s="9">
        <f t="shared" si="257"/>
        <v>-23.831501300000014</v>
      </c>
      <c r="F973" s="9">
        <f t="shared" si="258"/>
        <v>-149.17074739999998</v>
      </c>
      <c r="I973">
        <v>1</v>
      </c>
      <c r="J973">
        <f t="shared" si="253"/>
        <v>9.8984476503328839E-2</v>
      </c>
      <c r="K973">
        <f t="shared" si="259"/>
        <v>-1.7292174577448738</v>
      </c>
      <c r="O973">
        <f t="shared" si="260"/>
        <v>-1.559023453218172E-2</v>
      </c>
      <c r="P973">
        <f t="shared" si="261"/>
        <v>-9.7585414700954554E-2</v>
      </c>
      <c r="Q973">
        <f t="shared" si="262"/>
        <v>0.99510503537308781</v>
      </c>
      <c r="R973">
        <f t="shared" si="252"/>
        <v>1</v>
      </c>
      <c r="AG973" s="8">
        <f t="shared" si="254"/>
        <v>0.20515944393605906</v>
      </c>
      <c r="AH973" s="8">
        <f t="shared" si="255"/>
        <v>-0.17776764788621421</v>
      </c>
      <c r="AI973" s="8">
        <f t="shared" si="256"/>
        <v>0.9624490978378285</v>
      </c>
      <c r="AJ973" s="8"/>
      <c r="AK973" s="8"/>
      <c r="AL973" s="8"/>
      <c r="AN973" s="8">
        <f t="shared" si="263"/>
        <v>1</v>
      </c>
      <c r="AO973" s="8">
        <f t="shared" si="264"/>
        <v>5.5691981747222297</v>
      </c>
      <c r="AP973" s="8">
        <f t="shared" si="265"/>
        <v>0.27491197124579836</v>
      </c>
      <c r="AQ973" s="8"/>
      <c r="AR973" s="8">
        <f t="shared" si="266"/>
        <v>319.09155068354539</v>
      </c>
      <c r="AS973" s="8">
        <f t="shared" si="267"/>
        <v>74.248704309993911</v>
      </c>
    </row>
    <row r="974" spans="1:45">
      <c r="A974" s="19">
        <v>41.107733330000002</v>
      </c>
      <c r="B974" s="19">
        <v>983.89444630000003</v>
      </c>
      <c r="C974" s="19">
        <v>-689.78944090000005</v>
      </c>
      <c r="E974" s="9">
        <f t="shared" si="257"/>
        <v>-23.894446300000027</v>
      </c>
      <c r="F974" s="9">
        <f t="shared" si="258"/>
        <v>-149.78944090000005</v>
      </c>
      <c r="I974">
        <v>1</v>
      </c>
      <c r="J974">
        <f t="shared" si="253"/>
        <v>9.939350312249591E-2</v>
      </c>
      <c r="K974">
        <f t="shared" si="259"/>
        <v>-1.7289837610748058</v>
      </c>
      <c r="O974">
        <f t="shared" si="260"/>
        <v>-1.5631545379829505E-2</v>
      </c>
      <c r="P974">
        <f t="shared" si="261"/>
        <v>-9.7990989766004261E-2</v>
      </c>
      <c r="Q974">
        <f t="shared" si="262"/>
        <v>0.99506453092938507</v>
      </c>
      <c r="R974">
        <f t="shared" si="252"/>
        <v>1</v>
      </c>
      <c r="AG974" s="8">
        <f t="shared" si="254"/>
        <v>0.20555303057663721</v>
      </c>
      <c r="AH974" s="8">
        <f t="shared" si="255"/>
        <v>-0.17767579981135034</v>
      </c>
      <c r="AI974" s="8">
        <f t="shared" si="256"/>
        <v>0.96238207681884691</v>
      </c>
      <c r="AJ974" s="8"/>
      <c r="AK974" s="8"/>
      <c r="AL974" s="8"/>
      <c r="AN974" s="8">
        <f t="shared" si="263"/>
        <v>0.99999999999999989</v>
      </c>
      <c r="AO974" s="8">
        <f t="shared" si="264"/>
        <v>5.5704022834371685</v>
      </c>
      <c r="AP974" s="8">
        <f t="shared" si="265"/>
        <v>0.27515875223048014</v>
      </c>
      <c r="AQ974" s="8"/>
      <c r="AR974" s="8">
        <f t="shared" si="266"/>
        <v>319.16054103098628</v>
      </c>
      <c r="AS974" s="8">
        <f t="shared" si="267"/>
        <v>74.234564801107567</v>
      </c>
    </row>
    <row r="975" spans="1:45">
      <c r="A975" s="19">
        <v>41.141100000000002</v>
      </c>
      <c r="B975" s="19">
        <v>983.90287109999997</v>
      </c>
      <c r="C975" s="19">
        <v>-690.77240200000006</v>
      </c>
      <c r="E975" s="9">
        <f t="shared" si="257"/>
        <v>-23.90287109999997</v>
      </c>
      <c r="F975" s="9">
        <f t="shared" si="258"/>
        <v>-150.77240200000006</v>
      </c>
      <c r="I975">
        <v>1</v>
      </c>
      <c r="J975">
        <f t="shared" si="253"/>
        <v>0.10003387189732316</v>
      </c>
      <c r="K975">
        <f t="shared" si="259"/>
        <v>-1.7280239204757395</v>
      </c>
      <c r="O975">
        <f t="shared" si="260"/>
        <v>-1.5637253723295687E-2</v>
      </c>
      <c r="P975">
        <f t="shared" si="261"/>
        <v>-9.8635276686269646E-2</v>
      </c>
      <c r="Q975">
        <f t="shared" si="262"/>
        <v>0.99500078316000151</v>
      </c>
      <c r="R975">
        <f t="shared" si="252"/>
        <v>1</v>
      </c>
      <c r="AG975" s="8">
        <f t="shared" si="254"/>
        <v>0.20616121325186462</v>
      </c>
      <c r="AH975" s="8">
        <f t="shared" si="255"/>
        <v>-0.17747408295612935</v>
      </c>
      <c r="AI975" s="8">
        <f t="shared" si="256"/>
        <v>0.96228919978840044</v>
      </c>
      <c r="AJ975" s="8"/>
      <c r="AK975" s="8"/>
      <c r="AL975" s="8"/>
      <c r="AN975" s="8">
        <f t="shared" si="263"/>
        <v>0.99999999999999989</v>
      </c>
      <c r="AO975" s="8">
        <f t="shared" si="264"/>
        <v>5.5724253226550999</v>
      </c>
      <c r="AP975" s="8">
        <f t="shared" si="265"/>
        <v>0.27550038258471443</v>
      </c>
      <c r="AQ975" s="8"/>
      <c r="AR975" s="8">
        <f t="shared" si="266"/>
        <v>319.27645263996322</v>
      </c>
      <c r="AS975" s="8">
        <f t="shared" si="267"/>
        <v>74.214990823656379</v>
      </c>
    </row>
    <row r="976" spans="1:45">
      <c r="A976" s="19">
        <v>41.174466670000001</v>
      </c>
      <c r="B976" s="19">
        <v>984.76089939999997</v>
      </c>
      <c r="C976" s="19">
        <v>-691.60974169999997</v>
      </c>
      <c r="E976" s="9">
        <f t="shared" si="257"/>
        <v>-24.760899399999971</v>
      </c>
      <c r="F976" s="9">
        <f t="shared" si="258"/>
        <v>-151.60974169999997</v>
      </c>
      <c r="I976">
        <v>1</v>
      </c>
      <c r="J976">
        <f t="shared" si="253"/>
        <v>0.10066824355310733</v>
      </c>
      <c r="K976">
        <f t="shared" si="259"/>
        <v>-1.732687008182519</v>
      </c>
      <c r="O976">
        <f t="shared" si="260"/>
        <v>-1.6198763420063298E-2</v>
      </c>
      <c r="P976">
        <f t="shared" si="261"/>
        <v>-9.9184213719442263E-2</v>
      </c>
      <c r="Q976">
        <f t="shared" si="262"/>
        <v>0.99493723008666068</v>
      </c>
      <c r="R976">
        <f t="shared" si="252"/>
        <v>1</v>
      </c>
      <c r="AG976" s="8">
        <f t="shared" si="254"/>
        <v>0.20683747824727472</v>
      </c>
      <c r="AH976" s="8">
        <f t="shared" si="255"/>
        <v>-0.1778199854763978</v>
      </c>
      <c r="AI976" s="8">
        <f t="shared" si="256"/>
        <v>0.96208019954548574</v>
      </c>
      <c r="AJ976" s="8"/>
      <c r="AK976" s="8"/>
      <c r="AL976" s="8"/>
      <c r="AN976" s="8">
        <f t="shared" si="263"/>
        <v>0.99999999999999978</v>
      </c>
      <c r="AO976" s="8">
        <f t="shared" si="264"/>
        <v>5.5730817595808473</v>
      </c>
      <c r="AP976" s="8">
        <f t="shared" si="265"/>
        <v>0.27626764421599059</v>
      </c>
      <c r="AQ976" s="8"/>
      <c r="AR976" s="8">
        <f t="shared" si="266"/>
        <v>319.31406370532511</v>
      </c>
      <c r="AS976" s="8">
        <f t="shared" si="267"/>
        <v>74.171029970401932</v>
      </c>
    </row>
    <row r="977" spans="1:45">
      <c r="A977" s="19">
        <v>41.20783333</v>
      </c>
      <c r="B977" s="19">
        <v>984.88150050000002</v>
      </c>
      <c r="C977" s="19">
        <v>-691.92039850000003</v>
      </c>
      <c r="E977" s="9">
        <f t="shared" si="257"/>
        <v>-24.881500500000016</v>
      </c>
      <c r="F977" s="9">
        <f t="shared" si="258"/>
        <v>-151.92039850000003</v>
      </c>
      <c r="I977">
        <v>1</v>
      </c>
      <c r="J977">
        <f t="shared" si="253"/>
        <v>0.10088301220466306</v>
      </c>
      <c r="K977">
        <f t="shared" si="259"/>
        <v>-1.7331349042115753</v>
      </c>
      <c r="O977">
        <f t="shared" si="260"/>
        <v>-1.6277722194323847E-2</v>
      </c>
      <c r="P977">
        <f t="shared" si="261"/>
        <v>-9.9387817966765046E-2</v>
      </c>
      <c r="Q977">
        <f t="shared" si="262"/>
        <v>0.99491562325655014</v>
      </c>
      <c r="R977">
        <f t="shared" si="252"/>
        <v>1</v>
      </c>
      <c r="AG977" s="8">
        <f t="shared" si="254"/>
        <v>0.20705156560870314</v>
      </c>
      <c r="AH977" s="8">
        <f t="shared" si="255"/>
        <v>-0.17782797081833077</v>
      </c>
      <c r="AI977" s="8">
        <f t="shared" si="256"/>
        <v>0.96203267198864917</v>
      </c>
      <c r="AJ977" s="8"/>
      <c r="AK977" s="8"/>
      <c r="AL977" s="8"/>
      <c r="AN977" s="8">
        <f t="shared" si="263"/>
        <v>1</v>
      </c>
      <c r="AO977" s="8">
        <f t="shared" si="264"/>
        <v>5.5735709283774089</v>
      </c>
      <c r="AP977" s="8">
        <f t="shared" si="265"/>
        <v>0.27644183320614268</v>
      </c>
      <c r="AQ977" s="8"/>
      <c r="AR977" s="8">
        <f t="shared" si="266"/>
        <v>319.34209101283756</v>
      </c>
      <c r="AS977" s="8">
        <f t="shared" si="267"/>
        <v>74.161049676428576</v>
      </c>
    </row>
    <row r="978" spans="1:45">
      <c r="A978" s="19">
        <v>41.241199999999999</v>
      </c>
      <c r="B978" s="19">
        <v>985.88821629999995</v>
      </c>
      <c r="C978" s="19">
        <v>-692.92934079999998</v>
      </c>
      <c r="E978" s="9">
        <f t="shared" si="257"/>
        <v>-25.888216299999954</v>
      </c>
      <c r="F978" s="9">
        <f t="shared" si="258"/>
        <v>-152.92934079999998</v>
      </c>
      <c r="I978">
        <v>1</v>
      </c>
      <c r="J978">
        <f t="shared" si="253"/>
        <v>0.1016474755069271</v>
      </c>
      <c r="K978">
        <f t="shared" si="259"/>
        <v>-1.7384887696942888</v>
      </c>
      <c r="O978">
        <f t="shared" si="260"/>
        <v>-1.6936536446472358E-2</v>
      </c>
      <c r="P978">
        <f t="shared" si="261"/>
        <v>-0.10004912366999187</v>
      </c>
      <c r="Q978">
        <f t="shared" si="262"/>
        <v>0.99483834193604737</v>
      </c>
      <c r="R978">
        <f t="shared" si="252"/>
        <v>1</v>
      </c>
      <c r="AG978" s="8">
        <f t="shared" si="254"/>
        <v>0.20786114485647439</v>
      </c>
      <c r="AH978" s="8">
        <f t="shared" si="255"/>
        <v>-0.17822807864516865</v>
      </c>
      <c r="AI978" s="8">
        <f t="shared" si="256"/>
        <v>0.9617840175639264</v>
      </c>
      <c r="AJ978" s="8"/>
      <c r="AK978" s="8"/>
      <c r="AL978" s="8"/>
      <c r="AN978" s="8">
        <f t="shared" si="263"/>
        <v>0.99999999999999967</v>
      </c>
      <c r="AO978" s="8">
        <f t="shared" si="264"/>
        <v>5.5743888235278582</v>
      </c>
      <c r="AP978" s="8">
        <f t="shared" si="265"/>
        <v>0.27735141651690087</v>
      </c>
      <c r="AQ978" s="8"/>
      <c r="AR978" s="8">
        <f t="shared" si="266"/>
        <v>319.38895295304252</v>
      </c>
      <c r="AS978" s="8">
        <f t="shared" si="267"/>
        <v>74.108934391606596</v>
      </c>
    </row>
    <row r="979" spans="1:45">
      <c r="A979" s="19">
        <v>41.274566669999999</v>
      </c>
      <c r="B979" s="19">
        <v>986.04362260000005</v>
      </c>
      <c r="C979" s="19">
        <v>-693.71513919999995</v>
      </c>
      <c r="E979" s="9">
        <f t="shared" si="257"/>
        <v>-26.043622600000049</v>
      </c>
      <c r="F979" s="9">
        <f t="shared" si="258"/>
        <v>-153.71513919999995</v>
      </c>
      <c r="I979">
        <v>1</v>
      </c>
      <c r="J979">
        <f t="shared" si="253"/>
        <v>0.10217485576791607</v>
      </c>
      <c r="K979">
        <f t="shared" si="259"/>
        <v>-1.7386303334811624</v>
      </c>
      <c r="O979">
        <f t="shared" si="260"/>
        <v>-1.7038339907058345E-2</v>
      </c>
      <c r="P979">
        <f t="shared" si="261"/>
        <v>-0.10056399721252234</v>
      </c>
      <c r="Q979">
        <f t="shared" si="262"/>
        <v>0.99478468898443106</v>
      </c>
      <c r="R979">
        <f t="shared" si="252"/>
        <v>1</v>
      </c>
      <c r="AG979" s="8">
        <f t="shared" si="254"/>
        <v>0.208374664391165</v>
      </c>
      <c r="AH979" s="8">
        <f t="shared" si="255"/>
        <v>-0.17815711683263105</v>
      </c>
      <c r="AI979" s="8">
        <f t="shared" si="256"/>
        <v>0.96168604074393915</v>
      </c>
      <c r="AJ979" s="8"/>
      <c r="AK979" s="8"/>
      <c r="AL979" s="8"/>
      <c r="AN979" s="8">
        <f t="shared" si="263"/>
        <v>0.99999999999999978</v>
      </c>
      <c r="AO979" s="8">
        <f t="shared" si="264"/>
        <v>5.5758045683824147</v>
      </c>
      <c r="AP979" s="8">
        <f t="shared" si="265"/>
        <v>0.27770902067543402</v>
      </c>
      <c r="AQ979" s="8"/>
      <c r="AR979" s="8">
        <f t="shared" si="266"/>
        <v>319.470069158076</v>
      </c>
      <c r="AS979" s="8">
        <f t="shared" si="267"/>
        <v>74.088445182586312</v>
      </c>
    </row>
    <row r="980" spans="1:45">
      <c r="A980" s="19">
        <v>41.307933329999997</v>
      </c>
      <c r="B980" s="19">
        <v>986.22304310000004</v>
      </c>
      <c r="C980" s="19">
        <v>-694.17091600000003</v>
      </c>
      <c r="E980" s="9">
        <f t="shared" si="257"/>
        <v>-26.223043100000041</v>
      </c>
      <c r="F980" s="9">
        <f t="shared" si="258"/>
        <v>-154.17091600000003</v>
      </c>
      <c r="I980">
        <v>1</v>
      </c>
      <c r="J980">
        <f t="shared" si="253"/>
        <v>0.10249057891300618</v>
      </c>
      <c r="K980">
        <f t="shared" si="259"/>
        <v>-1.7392746607238501</v>
      </c>
      <c r="O980">
        <f t="shared" si="260"/>
        <v>-1.715579675249939E-2</v>
      </c>
      <c r="P980">
        <f t="shared" si="261"/>
        <v>-0.10086262261616223</v>
      </c>
      <c r="Q980">
        <f t="shared" si="262"/>
        <v>0.99475243653724044</v>
      </c>
      <c r="R980">
        <f t="shared" si="252"/>
        <v>1</v>
      </c>
      <c r="AG980" s="8">
        <f t="shared" si="254"/>
        <v>0.20868907558287011</v>
      </c>
      <c r="AH980" s="8">
        <f t="shared" si="255"/>
        <v>-0.17817025864404612</v>
      </c>
      <c r="AI980" s="8">
        <f t="shared" si="256"/>
        <v>0.96161542659583032</v>
      </c>
      <c r="AJ980" s="8"/>
      <c r="AK980" s="8"/>
      <c r="AL980" s="8"/>
      <c r="AN980" s="8">
        <f t="shared" si="263"/>
        <v>0.99999999999999989</v>
      </c>
      <c r="AO980" s="8">
        <f t="shared" si="264"/>
        <v>5.5765127660283023</v>
      </c>
      <c r="AP980" s="8">
        <f t="shared" si="265"/>
        <v>0.27796647630770166</v>
      </c>
      <c r="AQ980" s="8"/>
      <c r="AR980" s="8">
        <f t="shared" si="266"/>
        <v>319.51064589424647</v>
      </c>
      <c r="AS980" s="8">
        <f t="shared" si="267"/>
        <v>74.073694061445508</v>
      </c>
    </row>
    <row r="981" spans="1:45">
      <c r="A981" s="19">
        <v>41.341299999999997</v>
      </c>
      <c r="B981" s="19">
        <v>986.70921369999996</v>
      </c>
      <c r="C981" s="19">
        <v>-695.13320980000003</v>
      </c>
      <c r="E981" s="9">
        <f t="shared" si="257"/>
        <v>-26.709213699999964</v>
      </c>
      <c r="F981" s="9">
        <f t="shared" si="258"/>
        <v>-155.13320980000003</v>
      </c>
      <c r="I981">
        <v>1</v>
      </c>
      <c r="J981">
        <f t="shared" si="253"/>
        <v>0.10316925595487332</v>
      </c>
      <c r="K981">
        <f t="shared" si="259"/>
        <v>-1.7412943287225835</v>
      </c>
      <c r="O981">
        <f t="shared" si="260"/>
        <v>-1.7474015626957391E-2</v>
      </c>
      <c r="P981">
        <f t="shared" si="261"/>
        <v>-0.10149307137054597</v>
      </c>
      <c r="Q981">
        <f t="shared" si="262"/>
        <v>0.99468277115955017</v>
      </c>
      <c r="R981">
        <f t="shared" si="252"/>
        <v>1</v>
      </c>
      <c r="AG981" s="8">
        <f t="shared" si="254"/>
        <v>0.20937275701653585</v>
      </c>
      <c r="AH981" s="8">
        <f t="shared" si="255"/>
        <v>-0.17826326512330121</v>
      </c>
      <c r="AI981" s="8">
        <f t="shared" si="256"/>
        <v>0.96144956026141803</v>
      </c>
      <c r="AJ981" s="8"/>
      <c r="AK981" s="8"/>
      <c r="AL981" s="8"/>
      <c r="AN981" s="8">
        <f t="shared" si="263"/>
        <v>0.99999999999999989</v>
      </c>
      <c r="AO981" s="8">
        <f t="shared" si="264"/>
        <v>5.5778698950827872</v>
      </c>
      <c r="AP981" s="8">
        <f t="shared" si="265"/>
        <v>0.27857030497047086</v>
      </c>
      <c r="AQ981" s="8"/>
      <c r="AR981" s="8">
        <f t="shared" si="266"/>
        <v>319.58840366132301</v>
      </c>
      <c r="AS981" s="8">
        <f t="shared" si="267"/>
        <v>74.039097227519804</v>
      </c>
    </row>
    <row r="982" spans="1:45">
      <c r="A982" s="19">
        <v>41.374666670000003</v>
      </c>
      <c r="B982" s="19">
        <v>987.74265330000003</v>
      </c>
      <c r="C982" s="19">
        <v>-695.8994275</v>
      </c>
      <c r="E982" s="9">
        <f t="shared" si="257"/>
        <v>-27.742653300000029</v>
      </c>
      <c r="F982" s="9">
        <f t="shared" si="258"/>
        <v>-155.8994275</v>
      </c>
      <c r="I982">
        <v>1</v>
      </c>
      <c r="J982">
        <f t="shared" si="253"/>
        <v>0.10378364227406237</v>
      </c>
      <c r="K982">
        <f t="shared" si="259"/>
        <v>-1.746905070421507</v>
      </c>
      <c r="O982">
        <f t="shared" si="260"/>
        <v>-1.8150253626827557E-2</v>
      </c>
      <c r="P982">
        <f t="shared" si="261"/>
        <v>-0.10199508023993559</v>
      </c>
      <c r="Q982">
        <f t="shared" si="262"/>
        <v>0.99461931003783099</v>
      </c>
      <c r="R982">
        <f t="shared" si="252"/>
        <v>1</v>
      </c>
      <c r="AG982" s="8">
        <f t="shared" si="254"/>
        <v>0.21003713885777708</v>
      </c>
      <c r="AH982" s="8">
        <f t="shared" si="255"/>
        <v>-0.178730450659149</v>
      </c>
      <c r="AI982" s="8">
        <f t="shared" si="256"/>
        <v>0.96121788700981647</v>
      </c>
      <c r="AJ982" s="8"/>
      <c r="AK982" s="8"/>
      <c r="AL982" s="8"/>
      <c r="AN982" s="8">
        <f t="shared" si="263"/>
        <v>0.99999999999999989</v>
      </c>
      <c r="AO982" s="8">
        <f t="shared" si="264"/>
        <v>5.578141779745561</v>
      </c>
      <c r="AP982" s="8">
        <f t="shared" si="265"/>
        <v>0.27941157312992249</v>
      </c>
      <c r="AQ982" s="8"/>
      <c r="AR982" s="8">
        <f t="shared" si="266"/>
        <v>319.6039815050143</v>
      </c>
      <c r="AS982" s="8">
        <f t="shared" si="267"/>
        <v>73.990896112544476</v>
      </c>
    </row>
    <row r="983" spans="1:45">
      <c r="A983" s="19">
        <v>41.408033330000002</v>
      </c>
      <c r="B983" s="19">
        <v>987.93939109999997</v>
      </c>
      <c r="C983" s="19">
        <v>-696.7365082</v>
      </c>
      <c r="E983" s="9">
        <f t="shared" si="257"/>
        <v>-27.939391099999966</v>
      </c>
      <c r="F983" s="9">
        <f t="shared" si="258"/>
        <v>-156.7365082</v>
      </c>
      <c r="I983">
        <v>1</v>
      </c>
      <c r="J983">
        <f t="shared" si="253"/>
        <v>0.104349042464482</v>
      </c>
      <c r="K983">
        <f t="shared" si="259"/>
        <v>-1.7472005245356665</v>
      </c>
      <c r="O983">
        <f t="shared" si="260"/>
        <v>-1.8279073388056441E-2</v>
      </c>
      <c r="P983">
        <f t="shared" si="261"/>
        <v>-0.10254332765238815</v>
      </c>
      <c r="Q983">
        <f t="shared" si="262"/>
        <v>0.994560577054032</v>
      </c>
      <c r="R983">
        <f t="shared" si="252"/>
        <v>1</v>
      </c>
      <c r="AG983" s="8">
        <f t="shared" si="254"/>
        <v>0.21058960626086809</v>
      </c>
      <c r="AH983" s="8">
        <f t="shared" si="255"/>
        <v>-0.17867363584926221</v>
      </c>
      <c r="AI983" s="8">
        <f t="shared" si="256"/>
        <v>0.96110756400482977</v>
      </c>
      <c r="AJ983" s="8"/>
      <c r="AK983" s="8"/>
      <c r="AL983" s="8"/>
      <c r="AN983" s="8">
        <f t="shared" si="263"/>
        <v>1.0000000000000002</v>
      </c>
      <c r="AO983" s="8">
        <f t="shared" si="264"/>
        <v>5.5795948665049613</v>
      </c>
      <c r="AP983" s="8">
        <f t="shared" si="265"/>
        <v>0.27981131993680775</v>
      </c>
      <c r="AQ983" s="8"/>
      <c r="AR983" s="8">
        <f t="shared" si="266"/>
        <v>319.68723724359427</v>
      </c>
      <c r="AS983" s="8">
        <f t="shared" si="267"/>
        <v>73.967992307636123</v>
      </c>
    </row>
    <row r="984" spans="1:45">
      <c r="A984" s="19">
        <v>41.441400000000002</v>
      </c>
      <c r="B984" s="19">
        <v>988.37628189999998</v>
      </c>
      <c r="C984" s="19">
        <v>-697.35550620000004</v>
      </c>
      <c r="E984" s="9">
        <f t="shared" si="257"/>
        <v>-28.376281899999981</v>
      </c>
      <c r="F984" s="9">
        <f t="shared" si="258"/>
        <v>-157.35550620000004</v>
      </c>
      <c r="I984">
        <v>1</v>
      </c>
      <c r="J984">
        <f t="shared" si="253"/>
        <v>0.10480101036383652</v>
      </c>
      <c r="K984">
        <f t="shared" si="259"/>
        <v>-1.7492111272712305</v>
      </c>
      <c r="O984">
        <f t="shared" si="260"/>
        <v>-1.8564982642034593E-2</v>
      </c>
      <c r="P984">
        <f t="shared" si="261"/>
        <v>-0.1029487320265017</v>
      </c>
      <c r="Q984">
        <f t="shared" si="262"/>
        <v>0.9945133985993535</v>
      </c>
      <c r="R984">
        <f t="shared" si="252"/>
        <v>1</v>
      </c>
      <c r="AG984" s="8">
        <f t="shared" si="254"/>
        <v>0.21105221385074607</v>
      </c>
      <c r="AH984" s="8">
        <f t="shared" si="255"/>
        <v>-0.17880884735709143</v>
      </c>
      <c r="AI984" s="8">
        <f t="shared" si="256"/>
        <v>0.9609809358855812</v>
      </c>
      <c r="AJ984" s="8"/>
      <c r="AK984" s="8"/>
      <c r="AL984" s="8"/>
      <c r="AN984" s="8">
        <f t="shared" si="263"/>
        <v>1.0000000000000002</v>
      </c>
      <c r="AO984" s="8">
        <f t="shared" si="264"/>
        <v>5.5803041074624158</v>
      </c>
      <c r="AP984" s="8">
        <f t="shared" si="265"/>
        <v>0.28026946268438557</v>
      </c>
      <c r="AQ984" s="8"/>
      <c r="AR984" s="8">
        <f t="shared" si="266"/>
        <v>319.7278737571142</v>
      </c>
      <c r="AS984" s="8">
        <f t="shared" si="267"/>
        <v>73.941742661785383</v>
      </c>
    </row>
    <row r="985" spans="1:45">
      <c r="A985" s="19">
        <v>41.474766670000001</v>
      </c>
      <c r="B985" s="19">
        <v>988.95496279999998</v>
      </c>
      <c r="C985" s="19">
        <v>-698.1476073</v>
      </c>
      <c r="E985" s="9">
        <f t="shared" si="257"/>
        <v>-28.954962799999976</v>
      </c>
      <c r="F985" s="9">
        <f t="shared" si="258"/>
        <v>-158.1476073</v>
      </c>
      <c r="I985">
        <v>1</v>
      </c>
      <c r="J985">
        <f t="shared" si="253"/>
        <v>0.10538228222772411</v>
      </c>
      <c r="K985">
        <f t="shared" si="259"/>
        <v>-1.7518789413478235</v>
      </c>
      <c r="O985">
        <f t="shared" si="260"/>
        <v>-1.8943670698634108E-2</v>
      </c>
      <c r="P985">
        <f t="shared" si="261"/>
        <v>-0.10346745099144485</v>
      </c>
      <c r="Q985">
        <f t="shared" si="262"/>
        <v>0.99445242416406965</v>
      </c>
      <c r="R985">
        <f t="shared" si="252"/>
        <v>1</v>
      </c>
      <c r="AG985" s="8">
        <f t="shared" si="254"/>
        <v>0.21164773554926652</v>
      </c>
      <c r="AH985" s="8">
        <f t="shared" si="255"/>
        <v>-0.17899374100767959</v>
      </c>
      <c r="AI985" s="8">
        <f t="shared" si="256"/>
        <v>0.96081552689209981</v>
      </c>
      <c r="AJ985" s="8"/>
      <c r="AK985" s="8"/>
      <c r="AL985" s="8"/>
      <c r="AN985" s="8">
        <f t="shared" si="263"/>
        <v>1</v>
      </c>
      <c r="AO985" s="8">
        <f t="shared" si="264"/>
        <v>5.5811839621160653</v>
      </c>
      <c r="AP985" s="8">
        <f t="shared" si="265"/>
        <v>0.28086681923507051</v>
      </c>
      <c r="AQ985" s="8"/>
      <c r="AR985" s="8">
        <f t="shared" si="266"/>
        <v>319.77828571535326</v>
      </c>
      <c r="AS985" s="8">
        <f t="shared" si="267"/>
        <v>73.907516652566656</v>
      </c>
    </row>
    <row r="986" spans="1:45">
      <c r="A986" s="19">
        <v>41.50813333</v>
      </c>
      <c r="B986" s="19">
        <v>989.30855840000004</v>
      </c>
      <c r="C986" s="19">
        <v>-698.94338100000004</v>
      </c>
      <c r="E986" s="9">
        <f t="shared" si="257"/>
        <v>-29.308558400000038</v>
      </c>
      <c r="F986" s="9">
        <f t="shared" si="258"/>
        <v>-158.94338100000004</v>
      </c>
      <c r="I986">
        <v>1</v>
      </c>
      <c r="J986">
        <f t="shared" si="253"/>
        <v>0.10593967037972905</v>
      </c>
      <c r="K986">
        <f t="shared" si="259"/>
        <v>-1.7531442290501649</v>
      </c>
      <c r="O986">
        <f t="shared" si="260"/>
        <v>-1.9175084132832396E-2</v>
      </c>
      <c r="P986">
        <f t="shared" si="261"/>
        <v>-0.10398848900844719</v>
      </c>
      <c r="Q986">
        <f t="shared" si="262"/>
        <v>0.99439363951215964</v>
      </c>
      <c r="R986">
        <f t="shared" si="252"/>
        <v>1</v>
      </c>
      <c r="AG986" s="8">
        <f t="shared" si="254"/>
        <v>0.21220361133487942</v>
      </c>
      <c r="AH986" s="8">
        <f t="shared" si="255"/>
        <v>-0.17904089641972859</v>
      </c>
      <c r="AI986" s="8">
        <f t="shared" si="256"/>
        <v>0.96068412329217523</v>
      </c>
      <c r="AJ986" s="8"/>
      <c r="AK986" s="8"/>
      <c r="AL986" s="8"/>
      <c r="AN986" s="8">
        <f t="shared" si="263"/>
        <v>0.99999999999999989</v>
      </c>
      <c r="AO986" s="8">
        <f t="shared" si="264"/>
        <v>5.5823471424595761</v>
      </c>
      <c r="AP986" s="8">
        <f t="shared" si="265"/>
        <v>0.28134048884603646</v>
      </c>
      <c r="AQ986" s="8"/>
      <c r="AR986" s="8">
        <f t="shared" si="266"/>
        <v>319.84493103984903</v>
      </c>
      <c r="AS986" s="8">
        <f t="shared" si="267"/>
        <v>73.8803773829747</v>
      </c>
    </row>
    <row r="987" spans="1:45">
      <c r="A987" s="19">
        <v>41.541499999999999</v>
      </c>
      <c r="B987" s="19">
        <v>989.56316930000003</v>
      </c>
      <c r="C987" s="19">
        <v>-699.58916309999995</v>
      </c>
      <c r="E987" s="9">
        <f t="shared" si="257"/>
        <v>-29.563169300000027</v>
      </c>
      <c r="F987" s="9">
        <f t="shared" si="258"/>
        <v>-159.58916309999995</v>
      </c>
      <c r="I987">
        <v>1</v>
      </c>
      <c r="J987">
        <f t="shared" si="253"/>
        <v>0.10638822048779681</v>
      </c>
      <c r="K987">
        <f t="shared" si="259"/>
        <v>-1.75396542804432</v>
      </c>
      <c r="O987">
        <f t="shared" si="260"/>
        <v>-1.934171477330222E-2</v>
      </c>
      <c r="P987">
        <f t="shared" si="261"/>
        <v>-0.10441127073578696</v>
      </c>
      <c r="Q987">
        <f t="shared" si="262"/>
        <v>0.99434610906513154</v>
      </c>
      <c r="R987">
        <f t="shared" ref="R987:R1050" si="268">SQRT(O987^2+P987^2+Q987^2)</f>
        <v>1</v>
      </c>
      <c r="AG987" s="8">
        <f t="shared" si="254"/>
        <v>0.21264863669536421</v>
      </c>
      <c r="AH987" s="8">
        <f t="shared" si="255"/>
        <v>-0.17905945752435615</v>
      </c>
      <c r="AI987" s="8">
        <f t="shared" si="256"/>
        <v>0.96058225466780633</v>
      </c>
      <c r="AJ987" s="8"/>
      <c r="AK987" s="8"/>
      <c r="AL987" s="8"/>
      <c r="AN987" s="8">
        <f t="shared" si="263"/>
        <v>1</v>
      </c>
      <c r="AO987" s="8">
        <f t="shared" si="264"/>
        <v>5.583328423593831</v>
      </c>
      <c r="AP987" s="8">
        <f t="shared" si="265"/>
        <v>0.281707160416383</v>
      </c>
      <c r="AQ987" s="8"/>
      <c r="AR987" s="8">
        <f t="shared" si="266"/>
        <v>319.90115430735761</v>
      </c>
      <c r="AS987" s="8">
        <f t="shared" si="267"/>
        <v>73.859368649526402</v>
      </c>
    </row>
    <row r="988" spans="1:45">
      <c r="A988" s="19">
        <v>41.574866669999999</v>
      </c>
      <c r="B988" s="19">
        <v>989.73295280000002</v>
      </c>
      <c r="C988" s="19">
        <v>-699.95645109999998</v>
      </c>
      <c r="E988" s="9">
        <f t="shared" si="257"/>
        <v>-29.732952800000021</v>
      </c>
      <c r="F988" s="9">
        <f t="shared" si="258"/>
        <v>-159.95645109999998</v>
      </c>
      <c r="I988">
        <v>1</v>
      </c>
      <c r="J988">
        <f t="shared" si="253"/>
        <v>0.1066463592665865</v>
      </c>
      <c r="K988">
        <f t="shared" si="259"/>
        <v>-1.7545803342283217</v>
      </c>
      <c r="O988">
        <f t="shared" si="260"/>
        <v>-1.9452822038259283E-2</v>
      </c>
      <c r="P988">
        <f t="shared" si="261"/>
        <v>-0.10465171078197871</v>
      </c>
      <c r="Q988">
        <f t="shared" si="262"/>
        <v>0.99431866478767905</v>
      </c>
      <c r="R988">
        <f t="shared" si="268"/>
        <v>1</v>
      </c>
      <c r="AG988" s="8">
        <f t="shared" si="254"/>
        <v>0.21290635293418325</v>
      </c>
      <c r="AH988" s="8">
        <f t="shared" si="255"/>
        <v>-0.17908518724188666</v>
      </c>
      <c r="AI988" s="8">
        <f t="shared" si="256"/>
        <v>0.96052036969072307</v>
      </c>
      <c r="AJ988" s="8"/>
      <c r="AK988" s="8"/>
      <c r="AL988" s="8"/>
      <c r="AN988" s="8">
        <f t="shared" si="263"/>
        <v>1</v>
      </c>
      <c r="AO988" s="8">
        <f t="shared" si="264"/>
        <v>5.5838543420852007</v>
      </c>
      <c r="AP988" s="8">
        <f t="shared" si="265"/>
        <v>0.28192968596470092</v>
      </c>
      <c r="AQ988" s="8"/>
      <c r="AR988" s="8">
        <f t="shared" si="266"/>
        <v>319.93128721728101</v>
      </c>
      <c r="AS988" s="8">
        <f t="shared" si="267"/>
        <v>73.846618874773952</v>
      </c>
    </row>
    <row r="989" spans="1:45">
      <c r="A989" s="19">
        <v>41.608233329999997</v>
      </c>
      <c r="B989" s="19">
        <v>990.52069930000005</v>
      </c>
      <c r="C989" s="19">
        <v>-700.99051729999996</v>
      </c>
      <c r="E989" s="9">
        <f t="shared" si="257"/>
        <v>-30.520699300000047</v>
      </c>
      <c r="F989" s="9">
        <f t="shared" si="258"/>
        <v>-160.99051729999996</v>
      </c>
      <c r="I989">
        <v>1</v>
      </c>
      <c r="J989">
        <f t="shared" si="253"/>
        <v>0.10741109677546126</v>
      </c>
      <c r="K989">
        <f t="shared" si="259"/>
        <v>-1.7581535775483721</v>
      </c>
      <c r="O989">
        <f t="shared" si="260"/>
        <v>-1.996827034658457E-2</v>
      </c>
      <c r="P989">
        <f t="shared" si="261"/>
        <v>-0.1053285883486587</v>
      </c>
      <c r="Q989">
        <f t="shared" si="262"/>
        <v>0.99423697208253348</v>
      </c>
      <c r="R989">
        <f t="shared" si="268"/>
        <v>1</v>
      </c>
      <c r="AG989" s="8">
        <f t="shared" si="254"/>
        <v>0.21368930697828106</v>
      </c>
      <c r="AH989" s="8">
        <f t="shared" si="255"/>
        <v>-0.17934592180159251</v>
      </c>
      <c r="AI989" s="8">
        <f t="shared" si="256"/>
        <v>0.96029782901778915</v>
      </c>
      <c r="AJ989" s="8"/>
      <c r="AK989" s="8"/>
      <c r="AL989" s="8"/>
      <c r="AN989" s="8">
        <f t="shared" si="263"/>
        <v>1</v>
      </c>
      <c r="AO989" s="8">
        <f t="shared" si="264"/>
        <v>5.5849456836466675</v>
      </c>
      <c r="AP989" s="8">
        <f t="shared" si="265"/>
        <v>0.28272848728601918</v>
      </c>
      <c r="AQ989" s="8"/>
      <c r="AR989" s="8">
        <f t="shared" si="266"/>
        <v>319.99381648276028</v>
      </c>
      <c r="AS989" s="8">
        <f t="shared" si="267"/>
        <v>73.800850930392954</v>
      </c>
    </row>
    <row r="990" spans="1:45">
      <c r="A990" s="19">
        <v>41.641599999999997</v>
      </c>
      <c r="B990" s="19">
        <v>991.07564100000002</v>
      </c>
      <c r="C990" s="19">
        <v>-701.7822754</v>
      </c>
      <c r="E990" s="9">
        <f t="shared" si="257"/>
        <v>-31.075641000000019</v>
      </c>
      <c r="F990" s="9">
        <f t="shared" si="258"/>
        <v>-161.7822754</v>
      </c>
      <c r="I990">
        <v>1</v>
      </c>
      <c r="J990">
        <f t="shared" si="253"/>
        <v>0.1079915235397466</v>
      </c>
      <c r="K990">
        <f t="shared" si="259"/>
        <v>-1.7605680231956196</v>
      </c>
      <c r="O990">
        <f t="shared" si="260"/>
        <v>-2.0331376275274343E-2</v>
      </c>
      <c r="P990">
        <f t="shared" si="261"/>
        <v>-0.10584677290574508</v>
      </c>
      <c r="Q990">
        <f t="shared" si="262"/>
        <v>0.99417458014384619</v>
      </c>
      <c r="R990">
        <f t="shared" si="268"/>
        <v>1</v>
      </c>
      <c r="AG990" s="8">
        <f t="shared" si="254"/>
        <v>0.21427971291749487</v>
      </c>
      <c r="AH990" s="8">
        <f t="shared" si="255"/>
        <v>-0.17951615857468117</v>
      </c>
      <c r="AI990" s="8">
        <f t="shared" si="256"/>
        <v>0.96013444550364191</v>
      </c>
      <c r="AJ990" s="8"/>
      <c r="AK990" s="8"/>
      <c r="AL990" s="8"/>
      <c r="AN990" s="8">
        <f t="shared" si="263"/>
        <v>1</v>
      </c>
      <c r="AO990" s="8">
        <f t="shared" si="264"/>
        <v>5.5858369999525372</v>
      </c>
      <c r="AP990" s="8">
        <f t="shared" si="265"/>
        <v>0.28331355078586529</v>
      </c>
      <c r="AQ990" s="8"/>
      <c r="AR990" s="8">
        <f t="shared" si="266"/>
        <v>320.04488514529783</v>
      </c>
      <c r="AS990" s="8">
        <f t="shared" si="267"/>
        <v>73.767329261104607</v>
      </c>
    </row>
    <row r="991" spans="1:45">
      <c r="A991" s="19">
        <v>41.674966670000003</v>
      </c>
      <c r="B991" s="19">
        <v>991.58794030000001</v>
      </c>
      <c r="C991" s="19">
        <v>-702.62896880000005</v>
      </c>
      <c r="E991" s="9">
        <f t="shared" si="257"/>
        <v>-31.587940300000014</v>
      </c>
      <c r="F991" s="9">
        <f t="shared" si="258"/>
        <v>-162.62896880000005</v>
      </c>
      <c r="I991">
        <v>1</v>
      </c>
      <c r="J991">
        <f t="shared" si="253"/>
        <v>0.10860267826230084</v>
      </c>
      <c r="K991">
        <f t="shared" si="259"/>
        <v>-1.7626407594475824</v>
      </c>
      <c r="O991">
        <f t="shared" si="260"/>
        <v>-2.0666570970160683E-2</v>
      </c>
      <c r="P991">
        <f t="shared" si="261"/>
        <v>-0.10640083188675808</v>
      </c>
      <c r="Q991">
        <f t="shared" si="262"/>
        <v>0.9941085231593888</v>
      </c>
      <c r="R991">
        <f t="shared" si="268"/>
        <v>1</v>
      </c>
      <c r="AG991" s="8">
        <f t="shared" si="254"/>
        <v>0.21489590256418217</v>
      </c>
      <c r="AH991" s="8">
        <f t="shared" si="255"/>
        <v>-0.179648793084103</v>
      </c>
      <c r="AI991" s="8">
        <f t="shared" si="256"/>
        <v>0.95997190698715262</v>
      </c>
      <c r="AJ991" s="8"/>
      <c r="AK991" s="8"/>
      <c r="AL991" s="8"/>
      <c r="AN991" s="8">
        <f t="shared" si="263"/>
        <v>0.99999999999999967</v>
      </c>
      <c r="AO991" s="8">
        <f t="shared" si="264"/>
        <v>5.58688677651452</v>
      </c>
      <c r="AP991" s="8">
        <f t="shared" si="265"/>
        <v>0.28389442414622956</v>
      </c>
      <c r="AQ991" s="8"/>
      <c r="AR991" s="8">
        <f t="shared" si="266"/>
        <v>320.1050329117312</v>
      </c>
      <c r="AS991" s="8">
        <f t="shared" si="267"/>
        <v>73.734047669124152</v>
      </c>
    </row>
    <row r="992" spans="1:45">
      <c r="A992" s="19">
        <v>41.708333330000002</v>
      </c>
      <c r="B992" s="19">
        <v>991.77741419999995</v>
      </c>
      <c r="C992" s="19">
        <v>-703.18619820000004</v>
      </c>
      <c r="E992" s="9">
        <f t="shared" si="257"/>
        <v>-31.777414199999953</v>
      </c>
      <c r="F992" s="9">
        <f t="shared" si="258"/>
        <v>-163.18619820000004</v>
      </c>
      <c r="I992">
        <v>1</v>
      </c>
      <c r="J992">
        <f t="shared" ref="J992:J1055" si="269">ATAN((SQRT(E992^2+F992^2)^$B$16)/($F$24))</f>
        <v>0.10898650450453938</v>
      </c>
      <c r="K992">
        <f t="shared" si="259"/>
        <v>-1.7631204607669262</v>
      </c>
      <c r="O992">
        <f t="shared" si="260"/>
        <v>-2.0790540268481764E-2</v>
      </c>
      <c r="P992">
        <f t="shared" si="261"/>
        <v>-0.10676542791003921</v>
      </c>
      <c r="Q992">
        <f t="shared" si="262"/>
        <v>0.9940668472685984</v>
      </c>
      <c r="R992">
        <f t="shared" si="268"/>
        <v>1</v>
      </c>
      <c r="AG992" s="8">
        <f t="shared" ref="AG992:AG1055" si="270">$O992*$Z$27+$P992*$Z$31+$Q992*$Z$35</f>
        <v>0.21527396805854138</v>
      </c>
      <c r="AH992" s="8">
        <f t="shared" ref="AH992:AH1055" si="271">$O992*$AA$27+$P992*$AA$31+$Q992*$AA$35</f>
        <v>-0.17964625258167632</v>
      </c>
      <c r="AI992" s="8">
        <f t="shared" ref="AI992:AI1055" si="272">$AB$27*$O992+$P992*$AB$31+$AB$35*$Q992</f>
        <v>0.95988767187087609</v>
      </c>
      <c r="AJ992" s="8"/>
      <c r="AK992" s="8"/>
      <c r="AL992" s="8"/>
      <c r="AN992" s="8">
        <f t="shared" si="263"/>
        <v>1</v>
      </c>
      <c r="AO992" s="8">
        <f t="shared" si="264"/>
        <v>5.5877585556543465</v>
      </c>
      <c r="AP992" s="8">
        <f t="shared" si="265"/>
        <v>0.28419500559237987</v>
      </c>
      <c r="AQ992" s="8"/>
      <c r="AR992" s="8">
        <f t="shared" si="266"/>
        <v>320.15498217711075</v>
      </c>
      <c r="AS992" s="8">
        <f t="shared" si="267"/>
        <v>73.716825620859808</v>
      </c>
    </row>
    <row r="993" spans="1:45">
      <c r="A993" s="19">
        <v>41.741700000000002</v>
      </c>
      <c r="B993" s="19">
        <v>992.28807270000004</v>
      </c>
      <c r="C993" s="19">
        <v>-704.00741479999999</v>
      </c>
      <c r="E993" s="9">
        <f t="shared" ref="E993:E1056" si="273">-(B993-($B$15/2))</f>
        <v>-32.288072700000043</v>
      </c>
      <c r="F993" s="9">
        <f t="shared" ref="F993:F1056" si="274">(($C$15/2)+C993)</f>
        <v>-164.00741479999999</v>
      </c>
      <c r="I993">
        <v>1</v>
      </c>
      <c r="J993">
        <f t="shared" si="269"/>
        <v>0.1095815027446379</v>
      </c>
      <c r="K993">
        <f t="shared" ref="K993:K1056" si="275">ATAN2(E993,F993)</f>
        <v>-1.7651800741363535</v>
      </c>
      <c r="O993">
        <f t="shared" ref="O993:O1056" si="276">COS(K993)*SIN(J993)</f>
        <v>-2.1124636895319439E-2</v>
      </c>
      <c r="P993">
        <f t="shared" ref="P993:P1056" si="277">SIN(K993)*SIN(J993)</f>
        <v>-0.10730269093422964</v>
      </c>
      <c r="Q993">
        <f t="shared" ref="Q993:Q1056" si="278">COS(J993)</f>
        <v>0.99400195283224368</v>
      </c>
      <c r="R993">
        <f t="shared" si="268"/>
        <v>1</v>
      </c>
      <c r="AG993" s="8">
        <f t="shared" si="270"/>
        <v>0.21587397757109456</v>
      </c>
      <c r="AH993" s="8">
        <f t="shared" si="271"/>
        <v>-0.17978316296346269</v>
      </c>
      <c r="AI993" s="8">
        <f t="shared" si="272"/>
        <v>0.95972727382443779</v>
      </c>
      <c r="AJ993" s="8"/>
      <c r="AK993" s="8"/>
      <c r="AL993" s="8"/>
      <c r="AN993" s="8">
        <f t="shared" ref="AN993:AN1056" si="279">AG993^2+AH993^2+AI993^2</f>
        <v>0.99999999999999978</v>
      </c>
      <c r="AO993" s="8">
        <f t="shared" ref="AO993:AO1056" si="280">IF(ATAN2(AG993,AH993)&gt;=0,ATAN2(AG993,AH993),ATAN2(AG993,AH993)+2*PI())</f>
        <v>5.588752801825283</v>
      </c>
      <c r="AP993" s="8">
        <f t="shared" ref="AP993:AP1056" si="281">ACOS(AI993/AN993)</f>
        <v>0.28476651045012136</v>
      </c>
      <c r="AQ993" s="8"/>
      <c r="AR993" s="8">
        <f t="shared" ref="AR993:AR1056" si="282">DEGREES(AO993)</f>
        <v>320.21194828650249</v>
      </c>
      <c r="AS993" s="8">
        <f t="shared" ref="AS993:AS1056" si="283">90-DEGREES(AP993)</f>
        <v>73.684080804539988</v>
      </c>
    </row>
    <row r="994" spans="1:45">
      <c r="A994" s="19">
        <v>41.775066670000001</v>
      </c>
      <c r="B994" s="19">
        <v>992.70474200000001</v>
      </c>
      <c r="C994" s="19">
        <v>-704.87906759999998</v>
      </c>
      <c r="E994" s="9">
        <f t="shared" si="273"/>
        <v>-32.70474200000001</v>
      </c>
      <c r="F994" s="9">
        <f t="shared" si="274"/>
        <v>-164.87906759999998</v>
      </c>
      <c r="I994">
        <v>1</v>
      </c>
      <c r="J994">
        <f t="shared" si="269"/>
        <v>0.11019742569277584</v>
      </c>
      <c r="K994">
        <f t="shared" si="275"/>
        <v>-1.7666105585106524</v>
      </c>
      <c r="O994">
        <f t="shared" si="276"/>
        <v>-2.1397224434490478E-2</v>
      </c>
      <c r="P994">
        <f t="shared" si="277"/>
        <v>-0.10787287097347317</v>
      </c>
      <c r="Q994">
        <f t="shared" si="278"/>
        <v>0.99393440552907741</v>
      </c>
      <c r="R994">
        <f t="shared" si="268"/>
        <v>1</v>
      </c>
      <c r="AG994" s="8">
        <f t="shared" si="270"/>
        <v>0.21648746224939508</v>
      </c>
      <c r="AH994" s="8">
        <f t="shared" si="271"/>
        <v>-0.17985220162743926</v>
      </c>
      <c r="AI994" s="8">
        <f t="shared" si="272"/>
        <v>0.95957613781220075</v>
      </c>
      <c r="AJ994" s="8"/>
      <c r="AK994" s="8"/>
      <c r="AL994" s="8"/>
      <c r="AN994" s="8">
        <f t="shared" si="279"/>
        <v>1</v>
      </c>
      <c r="AO994" s="8">
        <f t="shared" si="280"/>
        <v>5.589959232079039</v>
      </c>
      <c r="AP994" s="8">
        <f t="shared" si="281"/>
        <v>0.28530399515819416</v>
      </c>
      <c r="AQ994" s="8"/>
      <c r="AR994" s="8">
        <f t="shared" si="282"/>
        <v>320.2810716483196</v>
      </c>
      <c r="AS994" s="8">
        <f t="shared" si="283"/>
        <v>73.653285199214594</v>
      </c>
    </row>
    <row r="995" spans="1:45">
      <c r="A995" s="19">
        <v>41.80843333</v>
      </c>
      <c r="B995" s="19">
        <v>993.34076040000002</v>
      </c>
      <c r="C995" s="19">
        <v>-705.71672860000001</v>
      </c>
      <c r="E995" s="9">
        <f t="shared" si="273"/>
        <v>-33.340760400000022</v>
      </c>
      <c r="F995" s="9">
        <f t="shared" si="274"/>
        <v>-165.71672860000001</v>
      </c>
      <c r="I995">
        <v>1</v>
      </c>
      <c r="J995">
        <f t="shared" si="269"/>
        <v>0.11081997501323444</v>
      </c>
      <c r="K995">
        <f t="shared" si="275"/>
        <v>-1.7693370833286151</v>
      </c>
      <c r="O995">
        <f t="shared" si="276"/>
        <v>-2.1813304568627123E-2</v>
      </c>
      <c r="P995">
        <f t="shared" si="277"/>
        <v>-0.10842072675308032</v>
      </c>
      <c r="Q995">
        <f t="shared" si="278"/>
        <v>0.99386574835544572</v>
      </c>
      <c r="R995">
        <f t="shared" si="268"/>
        <v>1</v>
      </c>
      <c r="AG995" s="8">
        <f t="shared" si="270"/>
        <v>0.21712058099762632</v>
      </c>
      <c r="AH995" s="8">
        <f t="shared" si="271"/>
        <v>-0.18006170309383485</v>
      </c>
      <c r="AI995" s="8">
        <f t="shared" si="272"/>
        <v>0.95939378588054269</v>
      </c>
      <c r="AJ995" s="8"/>
      <c r="AK995" s="8"/>
      <c r="AL995" s="8"/>
      <c r="AN995" s="8">
        <f t="shared" si="279"/>
        <v>0.99999999999999978</v>
      </c>
      <c r="AO995" s="8">
        <f t="shared" si="280"/>
        <v>5.5908222468587008</v>
      </c>
      <c r="AP995" s="8">
        <f t="shared" si="281"/>
        <v>0.28595118478223047</v>
      </c>
      <c r="AQ995" s="8"/>
      <c r="AR995" s="8">
        <f t="shared" si="282"/>
        <v>320.33051875285162</v>
      </c>
      <c r="AS995" s="8">
        <f t="shared" si="283"/>
        <v>73.616203965212662</v>
      </c>
    </row>
    <row r="996" spans="1:45">
      <c r="A996" s="19">
        <v>41.841799999999999</v>
      </c>
      <c r="B996" s="19">
        <v>993.79645900000003</v>
      </c>
      <c r="C996" s="19">
        <v>-706.66962090000004</v>
      </c>
      <c r="E996" s="9">
        <f t="shared" si="273"/>
        <v>-33.796459000000027</v>
      </c>
      <c r="F996" s="9">
        <f t="shared" si="274"/>
        <v>-166.66962090000004</v>
      </c>
      <c r="I996">
        <v>1</v>
      </c>
      <c r="J996">
        <f t="shared" si="269"/>
        <v>0.11149395029000103</v>
      </c>
      <c r="K996">
        <f t="shared" si="275"/>
        <v>-1.7708588798015197</v>
      </c>
      <c r="O996">
        <f t="shared" si="276"/>
        <v>-2.2111386441300417E-2</v>
      </c>
      <c r="P996">
        <f t="shared" si="277"/>
        <v>-0.10904386154019689</v>
      </c>
      <c r="Q996">
        <f t="shared" si="278"/>
        <v>0.99379098549445788</v>
      </c>
      <c r="R996">
        <f t="shared" si="268"/>
        <v>1</v>
      </c>
      <c r="AG996" s="8">
        <f t="shared" si="270"/>
        <v>0.2177909911355177</v>
      </c>
      <c r="AH996" s="8">
        <f t="shared" si="271"/>
        <v>-0.18013713742156373</v>
      </c>
      <c r="AI996" s="8">
        <f t="shared" si="272"/>
        <v>0.9592276559304227</v>
      </c>
      <c r="AJ996" s="8"/>
      <c r="AK996" s="8"/>
      <c r="AL996" s="8"/>
      <c r="AN996" s="8">
        <f t="shared" si="279"/>
        <v>0.99999999999999989</v>
      </c>
      <c r="AO996" s="8">
        <f t="shared" si="280"/>
        <v>5.592130993029361</v>
      </c>
      <c r="AP996" s="8">
        <f t="shared" si="281"/>
        <v>0.28653956288665938</v>
      </c>
      <c r="AQ996" s="8"/>
      <c r="AR996" s="8">
        <f t="shared" si="282"/>
        <v>320.40550438488435</v>
      </c>
      <c r="AS996" s="8">
        <f t="shared" si="283"/>
        <v>73.582492383070985</v>
      </c>
    </row>
    <row r="997" spans="1:45">
      <c r="A997" s="19">
        <v>41.875166669999999</v>
      </c>
      <c r="B997" s="19">
        <v>994.18173939999997</v>
      </c>
      <c r="C997" s="19">
        <v>-707.19519290000005</v>
      </c>
      <c r="E997" s="9">
        <f t="shared" si="273"/>
        <v>-34.181739399999969</v>
      </c>
      <c r="F997" s="9">
        <f t="shared" si="274"/>
        <v>-167.19519290000005</v>
      </c>
      <c r="I997">
        <v>1</v>
      </c>
      <c r="J997">
        <f t="shared" si="269"/>
        <v>0.11188338994576552</v>
      </c>
      <c r="K997">
        <f t="shared" si="275"/>
        <v>-1.7724594826672202</v>
      </c>
      <c r="O997">
        <f t="shared" si="276"/>
        <v>-2.2363412334271953E-2</v>
      </c>
      <c r="P997">
        <f t="shared" si="277"/>
        <v>-0.10938750060012582</v>
      </c>
      <c r="Q997">
        <f t="shared" si="278"/>
        <v>0.99374757987188311</v>
      </c>
      <c r="R997">
        <f t="shared" si="268"/>
        <v>1</v>
      </c>
      <c r="AG997" s="8">
        <f t="shared" si="270"/>
        <v>0.21818551380616535</v>
      </c>
      <c r="AH997" s="8">
        <f t="shared" si="271"/>
        <v>-0.18026011901728725</v>
      </c>
      <c r="AI997" s="8">
        <f t="shared" si="272"/>
        <v>0.95911488939386869</v>
      </c>
      <c r="AJ997" s="8"/>
      <c r="AK997" s="8"/>
      <c r="AL997" s="8"/>
      <c r="AN997" s="8">
        <f t="shared" si="279"/>
        <v>0.99999999999999989</v>
      </c>
      <c r="AO997" s="8">
        <f t="shared" si="280"/>
        <v>5.5926846082986241</v>
      </c>
      <c r="AP997" s="8">
        <f t="shared" si="281"/>
        <v>0.28693827664370719</v>
      </c>
      <c r="AQ997" s="8"/>
      <c r="AR997" s="8">
        <f t="shared" si="282"/>
        <v>320.43722420328714</v>
      </c>
      <c r="AS997" s="8">
        <f t="shared" si="283"/>
        <v>73.559647767558332</v>
      </c>
    </row>
    <row r="998" spans="1:45">
      <c r="A998" s="19">
        <v>41.908533329999997</v>
      </c>
      <c r="B998" s="19">
        <v>994.77835210000001</v>
      </c>
      <c r="C998" s="19">
        <v>-707.92932529999996</v>
      </c>
      <c r="E998" s="9">
        <f t="shared" si="273"/>
        <v>-34.778352100000006</v>
      </c>
      <c r="F998" s="9">
        <f t="shared" si="274"/>
        <v>-167.92932529999996</v>
      </c>
      <c r="I998">
        <v>1</v>
      </c>
      <c r="J998">
        <f t="shared" si="269"/>
        <v>0.11243560824507882</v>
      </c>
      <c r="K998">
        <f t="shared" si="275"/>
        <v>-1.7750104736494288</v>
      </c>
      <c r="O998">
        <f t="shared" si="276"/>
        <v>-2.2753670736342775E-2</v>
      </c>
      <c r="P998">
        <f t="shared" si="277"/>
        <v>-0.10986744178866356</v>
      </c>
      <c r="Q998">
        <f t="shared" si="278"/>
        <v>0.9936857731208778</v>
      </c>
      <c r="R998">
        <f t="shared" si="268"/>
        <v>1</v>
      </c>
      <c r="AG998" s="8">
        <f t="shared" si="270"/>
        <v>0.21874732999383226</v>
      </c>
      <c r="AH998" s="8">
        <f t="shared" si="271"/>
        <v>-0.18046736930600893</v>
      </c>
      <c r="AI998" s="8">
        <f t="shared" si="272"/>
        <v>0.95894793093073505</v>
      </c>
      <c r="AJ998" s="8"/>
      <c r="AK998" s="8"/>
      <c r="AL998" s="8"/>
      <c r="AN998" s="8">
        <f t="shared" si="279"/>
        <v>0.99999999999999978</v>
      </c>
      <c r="AO998" s="8">
        <f t="shared" si="280"/>
        <v>5.5933830263537363</v>
      </c>
      <c r="AP998" s="8">
        <f t="shared" si="281"/>
        <v>0.2875276119410477</v>
      </c>
      <c r="AQ998" s="8"/>
      <c r="AR998" s="8">
        <f t="shared" si="282"/>
        <v>320.47724061018079</v>
      </c>
      <c r="AS998" s="8">
        <f t="shared" si="283"/>
        <v>73.52588134230264</v>
      </c>
    </row>
    <row r="999" spans="1:45">
      <c r="A999" s="19">
        <v>41.941899999999997</v>
      </c>
      <c r="B999" s="19">
        <v>995.19532330000004</v>
      </c>
      <c r="C999" s="19">
        <v>-708.62784850000003</v>
      </c>
      <c r="E999" s="9">
        <f t="shared" si="273"/>
        <v>-35.195323300000041</v>
      </c>
      <c r="F999" s="9">
        <f t="shared" si="274"/>
        <v>-168.62784850000003</v>
      </c>
      <c r="I999">
        <v>1</v>
      </c>
      <c r="J999">
        <f t="shared" si="269"/>
        <v>0.11294138448642012</v>
      </c>
      <c r="K999">
        <f t="shared" si="275"/>
        <v>-1.7765583984703464</v>
      </c>
      <c r="O999">
        <f t="shared" si="276"/>
        <v>-2.3026391290762501E-2</v>
      </c>
      <c r="P999">
        <f t="shared" si="277"/>
        <v>-0.11032405609640801</v>
      </c>
      <c r="Q999">
        <f t="shared" si="278"/>
        <v>0.99362889850817104</v>
      </c>
      <c r="R999">
        <f t="shared" si="268"/>
        <v>1</v>
      </c>
      <c r="AG999" s="8">
        <f t="shared" si="270"/>
        <v>0.21925387739137694</v>
      </c>
      <c r="AH999" s="8">
        <f t="shared" si="271"/>
        <v>-0.18057291784783677</v>
      </c>
      <c r="AI999" s="8">
        <f t="shared" si="272"/>
        <v>0.95881236881298393</v>
      </c>
      <c r="AJ999" s="8"/>
      <c r="AK999" s="8"/>
      <c r="AL999" s="8"/>
      <c r="AN999" s="8">
        <f t="shared" si="279"/>
        <v>1</v>
      </c>
      <c r="AO999" s="8">
        <f t="shared" si="280"/>
        <v>5.5942312930723324</v>
      </c>
      <c r="AP999" s="8">
        <f t="shared" si="281"/>
        <v>0.2880052608565693</v>
      </c>
      <c r="AQ999" s="8"/>
      <c r="AR999" s="8">
        <f t="shared" si="282"/>
        <v>320.52584271305778</v>
      </c>
      <c r="AS999" s="8">
        <f t="shared" si="283"/>
        <v>73.498514075354251</v>
      </c>
    </row>
    <row r="1000" spans="1:45">
      <c r="A1000" s="19">
        <v>41.975266670000003</v>
      </c>
      <c r="B1000" s="19">
        <v>995.16138309999997</v>
      </c>
      <c r="C1000" s="19">
        <v>-709.64903330000004</v>
      </c>
      <c r="E1000" s="9">
        <f t="shared" si="273"/>
        <v>-35.161383099999966</v>
      </c>
      <c r="F1000" s="9">
        <f t="shared" si="274"/>
        <v>-169.64903330000004</v>
      </c>
      <c r="I1000">
        <v>1</v>
      </c>
      <c r="J1000">
        <f t="shared" si="269"/>
        <v>0.11359455148764645</v>
      </c>
      <c r="K1000">
        <f t="shared" si="275"/>
        <v>-1.7751623833767345</v>
      </c>
      <c r="O1000">
        <f t="shared" si="276"/>
        <v>-2.3004063351379465E-2</v>
      </c>
      <c r="P1000">
        <f t="shared" si="277"/>
        <v>-0.11099156988319646</v>
      </c>
      <c r="Q1000">
        <f t="shared" si="278"/>
        <v>0.99355507370461815</v>
      </c>
      <c r="R1000">
        <f t="shared" si="268"/>
        <v>1</v>
      </c>
      <c r="AG1000" s="8">
        <f t="shared" si="270"/>
        <v>0.21987507115773053</v>
      </c>
      <c r="AH1000" s="8">
        <f t="shared" si="271"/>
        <v>-0.1803360623253889</v>
      </c>
      <c r="AI1000" s="8">
        <f t="shared" si="272"/>
        <v>0.95871469046236923</v>
      </c>
      <c r="AJ1000" s="8"/>
      <c r="AK1000" s="8"/>
      <c r="AL1000" s="8"/>
      <c r="AN1000" s="8">
        <f t="shared" si="279"/>
        <v>1</v>
      </c>
      <c r="AO1000" s="8">
        <f t="shared" si="280"/>
        <v>5.5962629561057451</v>
      </c>
      <c r="AP1000" s="8">
        <f t="shared" si="281"/>
        <v>0.28834895065838539</v>
      </c>
      <c r="AQ1000" s="8"/>
      <c r="AR1000" s="8">
        <f t="shared" si="282"/>
        <v>320.64224843026506</v>
      </c>
      <c r="AS1000" s="8">
        <f t="shared" si="283"/>
        <v>73.478822100248493</v>
      </c>
    </row>
    <row r="1001" spans="1:45">
      <c r="A1001" s="19">
        <v>42.008633330000002</v>
      </c>
      <c r="B1001" s="19">
        <v>996.15639190000002</v>
      </c>
      <c r="C1001" s="19">
        <v>-710.2466574</v>
      </c>
      <c r="E1001" s="9">
        <f t="shared" si="273"/>
        <v>-36.156391900000017</v>
      </c>
      <c r="F1001" s="9">
        <f t="shared" si="274"/>
        <v>-170.2466574</v>
      </c>
      <c r="I1001">
        <v>1</v>
      </c>
      <c r="J1001">
        <f t="shared" si="269"/>
        <v>0.11411369863868019</v>
      </c>
      <c r="K1001">
        <f t="shared" si="275"/>
        <v>-1.7800635676081193</v>
      </c>
      <c r="O1001">
        <f t="shared" si="276"/>
        <v>-2.3654926031653797E-2</v>
      </c>
      <c r="P1001">
        <f t="shared" si="277"/>
        <v>-0.11138202337975288</v>
      </c>
      <c r="Q1001">
        <f t="shared" si="278"/>
        <v>0.99349609427630325</v>
      </c>
      <c r="R1001">
        <f t="shared" si="268"/>
        <v>1</v>
      </c>
      <c r="AG1001" s="8">
        <f t="shared" si="270"/>
        <v>0.22042646897931459</v>
      </c>
      <c r="AH1001" s="8">
        <f t="shared" si="271"/>
        <v>-0.18081414263303483</v>
      </c>
      <c r="AI1001" s="8">
        <f t="shared" si="272"/>
        <v>0.95849800083108772</v>
      </c>
      <c r="AJ1001" s="8"/>
      <c r="AK1001" s="8"/>
      <c r="AL1001" s="8"/>
      <c r="AN1001" s="8">
        <f t="shared" si="279"/>
        <v>1</v>
      </c>
      <c r="AO1001" s="8">
        <f t="shared" si="280"/>
        <v>5.5961928836035844</v>
      </c>
      <c r="AP1001" s="8">
        <f t="shared" si="281"/>
        <v>0.28910997409987327</v>
      </c>
      <c r="AQ1001" s="8"/>
      <c r="AR1001" s="8">
        <f t="shared" si="282"/>
        <v>320.63823357163136</v>
      </c>
      <c r="AS1001" s="8">
        <f t="shared" si="283"/>
        <v>73.43521866894072</v>
      </c>
    </row>
    <row r="1002" spans="1:45">
      <c r="A1002" s="19">
        <v>42.042000000000002</v>
      </c>
      <c r="B1002" s="19">
        <v>996.45206510000003</v>
      </c>
      <c r="C1002" s="19">
        <v>-710.95484680000004</v>
      </c>
      <c r="E1002" s="9">
        <f t="shared" si="273"/>
        <v>-36.452065100000027</v>
      </c>
      <c r="F1002" s="9">
        <f t="shared" si="274"/>
        <v>-170.95484680000004</v>
      </c>
      <c r="I1002">
        <v>1</v>
      </c>
      <c r="J1002">
        <f t="shared" si="269"/>
        <v>0.1146097976193533</v>
      </c>
      <c r="K1002">
        <f t="shared" si="275"/>
        <v>-1.7808765127104467</v>
      </c>
      <c r="O1002">
        <f t="shared" si="276"/>
        <v>-2.3848245533197313E-2</v>
      </c>
      <c r="P1002">
        <f t="shared" si="277"/>
        <v>-0.11184477890051099</v>
      </c>
      <c r="Q1002">
        <f t="shared" si="278"/>
        <v>0.99343948311796237</v>
      </c>
      <c r="R1002">
        <f t="shared" si="268"/>
        <v>1</v>
      </c>
      <c r="AG1002" s="8">
        <f t="shared" si="270"/>
        <v>0.22091619938084808</v>
      </c>
      <c r="AH1002" s="8">
        <f t="shared" si="271"/>
        <v>-0.18084377591211243</v>
      </c>
      <c r="AI1002" s="8">
        <f t="shared" si="272"/>
        <v>0.95837965418980553</v>
      </c>
      <c r="AJ1002" s="8"/>
      <c r="AK1002" s="8"/>
      <c r="AL1002" s="8"/>
      <c r="AN1002" s="8">
        <f t="shared" si="279"/>
        <v>1.0000000000000002</v>
      </c>
      <c r="AO1002" s="8">
        <f t="shared" si="280"/>
        <v>5.5972005414034918</v>
      </c>
      <c r="AP1002" s="8">
        <f t="shared" si="281"/>
        <v>0.28952479167139633</v>
      </c>
      <c r="AQ1002" s="8"/>
      <c r="AR1002" s="8">
        <f t="shared" si="282"/>
        <v>320.69596811075945</v>
      </c>
      <c r="AS1002" s="8">
        <f t="shared" si="283"/>
        <v>73.411451372824587</v>
      </c>
    </row>
    <row r="1003" spans="1:45">
      <c r="A1003" s="19">
        <v>42.075366670000001</v>
      </c>
      <c r="B1003" s="19">
        <v>997.02256260000001</v>
      </c>
      <c r="C1003" s="19">
        <v>-711.92139250000002</v>
      </c>
      <c r="E1003" s="9">
        <f t="shared" si="273"/>
        <v>-37.022562600000015</v>
      </c>
      <c r="F1003" s="9">
        <f t="shared" si="274"/>
        <v>-171.92139250000002</v>
      </c>
      <c r="I1003">
        <v>1</v>
      </c>
      <c r="J1003">
        <f t="shared" si="269"/>
        <v>0.11531001762651415</v>
      </c>
      <c r="K1003">
        <f t="shared" si="275"/>
        <v>-1.7829030560793244</v>
      </c>
      <c r="O1003">
        <f t="shared" si="276"/>
        <v>-2.4221291934181082E-2</v>
      </c>
      <c r="P1003">
        <f t="shared" si="277"/>
        <v>-0.11247622922443064</v>
      </c>
      <c r="Q1003">
        <f t="shared" si="278"/>
        <v>0.99335916308075223</v>
      </c>
      <c r="R1003">
        <f t="shared" si="268"/>
        <v>1</v>
      </c>
      <c r="AG1003" s="8">
        <f t="shared" si="270"/>
        <v>0.22161535010669564</v>
      </c>
      <c r="AH1003" s="8">
        <f t="shared" si="271"/>
        <v>-0.18098559069291792</v>
      </c>
      <c r="AI1003" s="8">
        <f t="shared" si="272"/>
        <v>0.95819144880270268</v>
      </c>
      <c r="AJ1003" s="8"/>
      <c r="AK1003" s="8"/>
      <c r="AL1003" s="8"/>
      <c r="AN1003" s="8">
        <f t="shared" si="279"/>
        <v>1</v>
      </c>
      <c r="AO1003" s="8">
        <f t="shared" si="280"/>
        <v>5.5983648152857537</v>
      </c>
      <c r="AP1003" s="8">
        <f t="shared" si="281"/>
        <v>0.29018328451552744</v>
      </c>
      <c r="AQ1003" s="8"/>
      <c r="AR1003" s="8">
        <f t="shared" si="282"/>
        <v>320.76267609041037</v>
      </c>
      <c r="AS1003" s="8">
        <f t="shared" si="283"/>
        <v>73.3737225120163</v>
      </c>
    </row>
    <row r="1004" spans="1:45">
      <c r="A1004" s="19">
        <v>42.10873333</v>
      </c>
      <c r="B1004" s="19">
        <v>997.4903382</v>
      </c>
      <c r="C1004" s="19">
        <v>-712.60278659999994</v>
      </c>
      <c r="E1004" s="9">
        <f t="shared" si="273"/>
        <v>-37.490338199999997</v>
      </c>
      <c r="F1004" s="9">
        <f t="shared" si="274"/>
        <v>-172.60278659999994</v>
      </c>
      <c r="I1004">
        <v>1</v>
      </c>
      <c r="J1004">
        <f t="shared" si="269"/>
        <v>0.11581305026785377</v>
      </c>
      <c r="K1004">
        <f t="shared" si="275"/>
        <v>-1.7846799359119436</v>
      </c>
      <c r="O1004">
        <f t="shared" si="276"/>
        <v>-2.4527170187889625E-2</v>
      </c>
      <c r="P1004">
        <f t="shared" si="277"/>
        <v>-0.11292130519756678</v>
      </c>
      <c r="Q1004">
        <f t="shared" si="278"/>
        <v>0.99330116115660128</v>
      </c>
      <c r="R1004">
        <f t="shared" si="268"/>
        <v>1</v>
      </c>
      <c r="AG1004" s="8">
        <f t="shared" si="270"/>
        <v>0.22212026569055093</v>
      </c>
      <c r="AH1004" s="8">
        <f t="shared" si="271"/>
        <v>-0.18112535609776587</v>
      </c>
      <c r="AI1004" s="8">
        <f t="shared" si="272"/>
        <v>0.95804811619668484</v>
      </c>
      <c r="AJ1004" s="8"/>
      <c r="AK1004" s="8"/>
      <c r="AL1004" s="8"/>
      <c r="AN1004" s="8">
        <f t="shared" si="279"/>
        <v>1</v>
      </c>
      <c r="AO1004" s="8">
        <f t="shared" si="280"/>
        <v>5.5991014446138339</v>
      </c>
      <c r="AP1004" s="8">
        <f t="shared" si="281"/>
        <v>0.29068380408477834</v>
      </c>
      <c r="AQ1004" s="8"/>
      <c r="AR1004" s="8">
        <f t="shared" si="282"/>
        <v>320.80488184197492</v>
      </c>
      <c r="AS1004" s="8">
        <f t="shared" si="283"/>
        <v>73.345044853134524</v>
      </c>
    </row>
    <row r="1005" spans="1:45">
      <c r="A1005" s="19">
        <v>42.142099999999999</v>
      </c>
      <c r="B1005" s="19">
        <v>997.7377937</v>
      </c>
      <c r="C1005" s="19">
        <v>-713.64429270000005</v>
      </c>
      <c r="E1005" s="9">
        <f t="shared" si="273"/>
        <v>-37.737793699999997</v>
      </c>
      <c r="F1005" s="9">
        <f t="shared" si="274"/>
        <v>-173.64429270000005</v>
      </c>
      <c r="I1005">
        <v>1</v>
      </c>
      <c r="J1005">
        <f t="shared" si="269"/>
        <v>0.11651689201482322</v>
      </c>
      <c r="K1005">
        <f t="shared" si="275"/>
        <v>-1.7847967095971298</v>
      </c>
      <c r="O1005">
        <f t="shared" si="276"/>
        <v>-2.4688824233479227E-2</v>
      </c>
      <c r="P1005">
        <f t="shared" si="277"/>
        <v>-0.11360159143636224</v>
      </c>
      <c r="Q1005">
        <f t="shared" si="278"/>
        <v>0.99321958316431425</v>
      </c>
      <c r="R1005">
        <f t="shared" si="268"/>
        <v>1</v>
      </c>
      <c r="AG1005" s="8">
        <f t="shared" si="270"/>
        <v>0.22280536308054949</v>
      </c>
      <c r="AH1005" s="8">
        <f t="shared" si="271"/>
        <v>-0.18105486236827426</v>
      </c>
      <c r="AI1005" s="8">
        <f t="shared" si="272"/>
        <v>0.957902347316964</v>
      </c>
      <c r="AJ1005" s="8"/>
      <c r="AK1005" s="8"/>
      <c r="AL1005" s="8"/>
      <c r="AN1005" s="8">
        <f t="shared" si="279"/>
        <v>0.99999999999999978</v>
      </c>
      <c r="AO1005" s="8">
        <f t="shared" si="280"/>
        <v>5.6007998039197195</v>
      </c>
      <c r="AP1005" s="8">
        <f t="shared" si="281"/>
        <v>0.29119197372672323</v>
      </c>
      <c r="AQ1005" s="8"/>
      <c r="AR1005" s="8">
        <f t="shared" si="282"/>
        <v>320.90219066229895</v>
      </c>
      <c r="AS1005" s="8">
        <f t="shared" si="283"/>
        <v>73.315928877374404</v>
      </c>
    </row>
    <row r="1006" spans="1:45">
      <c r="A1006" s="19">
        <v>42.175466669999999</v>
      </c>
      <c r="B1006" s="19">
        <v>997.98196489999998</v>
      </c>
      <c r="C1006" s="19">
        <v>-714.15709939999999</v>
      </c>
      <c r="E1006" s="9">
        <f t="shared" si="273"/>
        <v>-37.98196489999998</v>
      </c>
      <c r="F1006" s="9">
        <f t="shared" si="274"/>
        <v>-174.15709939999999</v>
      </c>
      <c r="I1006">
        <v>1</v>
      </c>
      <c r="J1006">
        <f t="shared" si="269"/>
        <v>0.11688053329161531</v>
      </c>
      <c r="K1006">
        <f t="shared" si="275"/>
        <v>-1.7855243157722658</v>
      </c>
      <c r="O1006">
        <f t="shared" si="276"/>
        <v>-2.484843317954883E-2</v>
      </c>
      <c r="P1006">
        <f t="shared" si="277"/>
        <v>-0.11393647112724667</v>
      </c>
      <c r="Q1006">
        <f t="shared" si="278"/>
        <v>0.99317724295092036</v>
      </c>
      <c r="R1006">
        <f t="shared" si="268"/>
        <v>1</v>
      </c>
      <c r="AG1006" s="8">
        <f t="shared" si="270"/>
        <v>0.22316524811614236</v>
      </c>
      <c r="AH1006" s="8">
        <f t="shared" si="271"/>
        <v>-0.18109443824842469</v>
      </c>
      <c r="AI1006" s="8">
        <f t="shared" si="272"/>
        <v>0.95781108600221787</v>
      </c>
      <c r="AJ1006" s="8"/>
      <c r="AK1006" s="8"/>
      <c r="AL1006" s="8"/>
      <c r="AN1006" s="8">
        <f t="shared" si="279"/>
        <v>1</v>
      </c>
      <c r="AO1006" s="8">
        <f t="shared" si="280"/>
        <v>5.6014826412264078</v>
      </c>
      <c r="AP1006" s="8">
        <f t="shared" si="281"/>
        <v>0.29150968465039506</v>
      </c>
      <c r="AQ1006" s="8"/>
      <c r="AR1006" s="8">
        <f t="shared" si="282"/>
        <v>320.94131435806628</v>
      </c>
      <c r="AS1006" s="8">
        <f t="shared" si="283"/>
        <v>73.297725382342804</v>
      </c>
    </row>
    <row r="1007" spans="1:45">
      <c r="A1007" s="19">
        <v>42.208833329999997</v>
      </c>
      <c r="B1007" s="19">
        <v>998.63783279999996</v>
      </c>
      <c r="C1007" s="19">
        <v>-714.55170910000004</v>
      </c>
      <c r="E1007" s="9">
        <f t="shared" si="273"/>
        <v>-38.637832799999956</v>
      </c>
      <c r="F1007" s="9">
        <f t="shared" si="274"/>
        <v>-174.55170910000004</v>
      </c>
      <c r="I1007">
        <v>1</v>
      </c>
      <c r="J1007">
        <f t="shared" si="269"/>
        <v>0.11722650684766701</v>
      </c>
      <c r="K1007">
        <f t="shared" si="275"/>
        <v>-1.7886383774210637</v>
      </c>
      <c r="O1007">
        <f t="shared" si="276"/>
        <v>-2.5277378556654167E-2</v>
      </c>
      <c r="P1007">
        <f t="shared" si="277"/>
        <v>-0.11419402458389658</v>
      </c>
      <c r="Q1007">
        <f t="shared" si="278"/>
        <v>0.99313683794461882</v>
      </c>
      <c r="R1007">
        <f t="shared" si="268"/>
        <v>1</v>
      </c>
      <c r="AG1007" s="8">
        <f t="shared" si="270"/>
        <v>0.22352869331176128</v>
      </c>
      <c r="AH1007" s="8">
        <f t="shared" si="271"/>
        <v>-0.18140914657898852</v>
      </c>
      <c r="AI1007" s="8">
        <f t="shared" si="272"/>
        <v>0.95766677127475797</v>
      </c>
      <c r="AJ1007" s="8"/>
      <c r="AK1007" s="8"/>
      <c r="AL1007" s="8"/>
      <c r="AN1007" s="8">
        <f t="shared" si="279"/>
        <v>1</v>
      </c>
      <c r="AO1007" s="8">
        <f t="shared" si="280"/>
        <v>5.6014292901112226</v>
      </c>
      <c r="AP1007" s="8">
        <f t="shared" si="281"/>
        <v>0.29201140667942038</v>
      </c>
      <c r="AQ1007" s="8"/>
      <c r="AR1007" s="8">
        <f t="shared" si="282"/>
        <v>320.93825756433387</v>
      </c>
      <c r="AS1007" s="8">
        <f t="shared" si="283"/>
        <v>73.268978827590914</v>
      </c>
    </row>
    <row r="1008" spans="1:45">
      <c r="A1008" s="19">
        <v>42.242199999999997</v>
      </c>
      <c r="B1008" s="19">
        <v>998.99995160000003</v>
      </c>
      <c r="C1008" s="19">
        <v>-715.73840919999998</v>
      </c>
      <c r="E1008" s="9">
        <f t="shared" si="273"/>
        <v>-38.999951600000031</v>
      </c>
      <c r="F1008" s="9">
        <f t="shared" si="274"/>
        <v>-175.73840919999998</v>
      </c>
      <c r="I1008">
        <v>1</v>
      </c>
      <c r="J1008">
        <f t="shared" si="269"/>
        <v>0.11803977652434923</v>
      </c>
      <c r="K1008">
        <f t="shared" si="275"/>
        <v>-1.7891777088715612</v>
      </c>
      <c r="O1008">
        <f t="shared" si="276"/>
        <v>-2.5513940312935166E-2</v>
      </c>
      <c r="P1008">
        <f t="shared" si="277"/>
        <v>-0.11496884224387025</v>
      </c>
      <c r="Q1008">
        <f t="shared" si="278"/>
        <v>0.99304139096153088</v>
      </c>
      <c r="R1008">
        <f t="shared" si="268"/>
        <v>1</v>
      </c>
      <c r="AG1008" s="8">
        <f t="shared" si="270"/>
        <v>0.22432370498123277</v>
      </c>
      <c r="AH1008" s="8">
        <f t="shared" si="271"/>
        <v>-0.18137731670609719</v>
      </c>
      <c r="AI1008" s="8">
        <f t="shared" si="272"/>
        <v>0.95748688991964215</v>
      </c>
      <c r="AJ1008" s="8"/>
      <c r="AK1008" s="8"/>
      <c r="AL1008" s="8"/>
      <c r="AN1008" s="8">
        <f t="shared" si="279"/>
        <v>1</v>
      </c>
      <c r="AO1008" s="8">
        <f t="shared" si="280"/>
        <v>5.6032516124916931</v>
      </c>
      <c r="AP1008" s="8">
        <f t="shared" si="281"/>
        <v>0.2926356090698925</v>
      </c>
      <c r="AQ1008" s="8"/>
      <c r="AR1008" s="8">
        <f t="shared" si="282"/>
        <v>321.04266894564705</v>
      </c>
      <c r="AS1008" s="8">
        <f t="shared" si="283"/>
        <v>73.233214665054888</v>
      </c>
    </row>
    <row r="1009" spans="1:45">
      <c r="A1009" s="19">
        <v>42.275566670000003</v>
      </c>
      <c r="B1009" s="19">
        <v>999.87475119999999</v>
      </c>
      <c r="C1009" s="19">
        <v>-716.52280429999996</v>
      </c>
      <c r="E1009" s="9">
        <f t="shared" si="273"/>
        <v>-39.874751199999992</v>
      </c>
      <c r="F1009" s="9">
        <f t="shared" si="274"/>
        <v>-176.52280429999996</v>
      </c>
      <c r="I1009">
        <v>1</v>
      </c>
      <c r="J1009">
        <f t="shared" si="269"/>
        <v>0.11866865321639182</v>
      </c>
      <c r="K1009">
        <f t="shared" si="275"/>
        <v>-1.7929578028308437</v>
      </c>
      <c r="O1009">
        <f t="shared" si="276"/>
        <v>-2.6085946394590297E-2</v>
      </c>
      <c r="P1009">
        <f t="shared" si="277"/>
        <v>-0.11548070575528904</v>
      </c>
      <c r="Q1009">
        <f t="shared" si="278"/>
        <v>0.99296713440020712</v>
      </c>
      <c r="R1009">
        <f t="shared" si="268"/>
        <v>1</v>
      </c>
      <c r="AG1009" s="8">
        <f t="shared" si="270"/>
        <v>0.22496651100121709</v>
      </c>
      <c r="AH1009" s="8">
        <f t="shared" si="271"/>
        <v>-0.18174214685645787</v>
      </c>
      <c r="AI1009" s="8">
        <f t="shared" si="272"/>
        <v>0.95726687030521695</v>
      </c>
      <c r="AJ1009" s="8"/>
      <c r="AK1009" s="8"/>
      <c r="AL1009" s="8"/>
      <c r="AN1009" s="8">
        <f t="shared" si="279"/>
        <v>1</v>
      </c>
      <c r="AO1009" s="8">
        <f t="shared" si="280"/>
        <v>5.6036681377367019</v>
      </c>
      <c r="AP1009" s="8">
        <f t="shared" si="281"/>
        <v>0.29339734056192501</v>
      </c>
      <c r="AQ1009" s="8"/>
      <c r="AR1009" s="8">
        <f t="shared" si="282"/>
        <v>321.06653408424671</v>
      </c>
      <c r="AS1009" s="8">
        <f t="shared" si="283"/>
        <v>73.18957066543922</v>
      </c>
    </row>
    <row r="1010" spans="1:45">
      <c r="A1010" s="19">
        <v>42.308933330000002</v>
      </c>
      <c r="B1010" s="19">
        <v>1000.616578</v>
      </c>
      <c r="C1010" s="19">
        <v>-717.13634549999995</v>
      </c>
      <c r="E1010" s="9">
        <f t="shared" si="273"/>
        <v>-40.616578000000004</v>
      </c>
      <c r="F1010" s="9">
        <f t="shared" si="274"/>
        <v>-177.13634549999995</v>
      </c>
      <c r="I1010">
        <v>1</v>
      </c>
      <c r="J1010">
        <f t="shared" si="269"/>
        <v>0.11917013872644058</v>
      </c>
      <c r="K1010">
        <f t="shared" si="275"/>
        <v>-1.7961955670053624</v>
      </c>
      <c r="O1010">
        <f t="shared" si="276"/>
        <v>-2.6570996494146494E-2</v>
      </c>
      <c r="P1010">
        <f t="shared" si="277"/>
        <v>-0.1158809886757674</v>
      </c>
      <c r="Q1010">
        <f t="shared" si="278"/>
        <v>0.99290763850865538</v>
      </c>
      <c r="R1010">
        <f t="shared" si="268"/>
        <v>1</v>
      </c>
      <c r="AG1010" s="8">
        <f t="shared" si="270"/>
        <v>0.22547982259592469</v>
      </c>
      <c r="AH1010" s="8">
        <f t="shared" si="271"/>
        <v>-0.1820623925122771</v>
      </c>
      <c r="AI1010" s="8">
        <f t="shared" si="272"/>
        <v>0.95708522861593459</v>
      </c>
      <c r="AJ1010" s="8"/>
      <c r="AK1010" s="8"/>
      <c r="AL1010" s="8"/>
      <c r="AN1010" s="8">
        <f t="shared" si="279"/>
        <v>0.99999999999999989</v>
      </c>
      <c r="AO1010" s="8">
        <f t="shared" si="280"/>
        <v>5.6039216258029523</v>
      </c>
      <c r="AP1010" s="8">
        <f t="shared" si="281"/>
        <v>0.2940247592673273</v>
      </c>
      <c r="AQ1010" s="8"/>
      <c r="AR1010" s="8">
        <f t="shared" si="282"/>
        <v>321.08105788059976</v>
      </c>
      <c r="AS1010" s="8">
        <f t="shared" si="283"/>
        <v>73.153622221632105</v>
      </c>
    </row>
    <row r="1011" spans="1:45">
      <c r="A1011" s="19">
        <v>42.342300000000002</v>
      </c>
      <c r="B1011" s="19">
        <v>1000.764436</v>
      </c>
      <c r="C1011" s="19">
        <v>-717.85921180000003</v>
      </c>
      <c r="E1011" s="9">
        <f t="shared" si="273"/>
        <v>-40.764436000000046</v>
      </c>
      <c r="F1011" s="9">
        <f t="shared" si="274"/>
        <v>-177.85921180000003</v>
      </c>
      <c r="I1011">
        <v>1</v>
      </c>
      <c r="J1011">
        <f t="shared" si="269"/>
        <v>0.11965499884754587</v>
      </c>
      <c r="K1011">
        <f t="shared" si="275"/>
        <v>-1.7960999931205206</v>
      </c>
      <c r="O1011">
        <f t="shared" si="276"/>
        <v>-2.6667468710832011E-2</v>
      </c>
      <c r="P1011">
        <f t="shared" si="277"/>
        <v>-0.11635276802577961</v>
      </c>
      <c r="Q1011">
        <f t="shared" si="278"/>
        <v>0.99284987761760635</v>
      </c>
      <c r="R1011">
        <f t="shared" si="268"/>
        <v>1</v>
      </c>
      <c r="AG1011" s="8">
        <f t="shared" si="270"/>
        <v>0.22595034145891865</v>
      </c>
      <c r="AH1011" s="8">
        <f t="shared" si="271"/>
        <v>-0.18199868198571845</v>
      </c>
      <c r="AI1011" s="8">
        <f t="shared" si="272"/>
        <v>0.95698637553000687</v>
      </c>
      <c r="AJ1011" s="8"/>
      <c r="AK1011" s="8"/>
      <c r="AL1011" s="8"/>
      <c r="AN1011" s="8">
        <f t="shared" si="279"/>
        <v>0.99999999999999989</v>
      </c>
      <c r="AO1011" s="8">
        <f t="shared" si="280"/>
        <v>5.6051112829780987</v>
      </c>
      <c r="AP1011" s="8">
        <f t="shared" si="281"/>
        <v>0.29436566755752969</v>
      </c>
      <c r="AQ1011" s="8"/>
      <c r="AR1011" s="8">
        <f t="shared" si="282"/>
        <v>321.1492202158031</v>
      </c>
      <c r="AS1011" s="8">
        <f t="shared" si="283"/>
        <v>73.134089615402488</v>
      </c>
    </row>
    <row r="1012" spans="1:45">
      <c r="A1012" s="19">
        <v>42.375666670000001</v>
      </c>
      <c r="B1012" s="19">
        <v>1000.831</v>
      </c>
      <c r="C1012" s="19">
        <v>-718.62339450000002</v>
      </c>
      <c r="E1012" s="9">
        <f t="shared" si="273"/>
        <v>-40.831000000000017</v>
      </c>
      <c r="F1012" s="9">
        <f t="shared" si="274"/>
        <v>-178.62339450000002</v>
      </c>
      <c r="I1012">
        <v>1</v>
      </c>
      <c r="J1012">
        <f t="shared" si="269"/>
        <v>0.12015437911867904</v>
      </c>
      <c r="K1012">
        <f t="shared" si="275"/>
        <v>-1.7955223685839676</v>
      </c>
      <c r="O1012">
        <f t="shared" si="276"/>
        <v>-2.6710738604477365E-2</v>
      </c>
      <c r="P1012">
        <f t="shared" si="277"/>
        <v>-0.11685148047155204</v>
      </c>
      <c r="Q1012">
        <f t="shared" si="278"/>
        <v>0.99279014295812273</v>
      </c>
      <c r="R1012">
        <f t="shared" si="268"/>
        <v>1</v>
      </c>
      <c r="AG1012" s="8">
        <f t="shared" si="270"/>
        <v>0.22643108555067404</v>
      </c>
      <c r="AH1012" s="8">
        <f t="shared" si="271"/>
        <v>-0.18187679283023039</v>
      </c>
      <c r="AI1012" s="8">
        <f t="shared" si="272"/>
        <v>0.95689591687190967</v>
      </c>
      <c r="AJ1012" s="8"/>
      <c r="AK1012" s="8"/>
      <c r="AL1012" s="8"/>
      <c r="AN1012" s="8">
        <f t="shared" si="279"/>
        <v>0.99999999999999989</v>
      </c>
      <c r="AO1012" s="8">
        <f t="shared" si="280"/>
        <v>5.6064764718413427</v>
      </c>
      <c r="AP1012" s="8">
        <f t="shared" si="281"/>
        <v>0.29467729097437068</v>
      </c>
      <c r="AQ1012" s="8"/>
      <c r="AR1012" s="8">
        <f t="shared" si="282"/>
        <v>321.22743977590528</v>
      </c>
      <c r="AS1012" s="8">
        <f t="shared" si="283"/>
        <v>73.116234908820047</v>
      </c>
    </row>
    <row r="1013" spans="1:45">
      <c r="A1013" s="19">
        <v>42.40903333</v>
      </c>
      <c r="B1013" s="19">
        <v>1001.490199</v>
      </c>
      <c r="C1013" s="19">
        <v>-719.61715649999996</v>
      </c>
      <c r="E1013" s="9">
        <f t="shared" si="273"/>
        <v>-41.490198999999961</v>
      </c>
      <c r="F1013" s="9">
        <f t="shared" si="274"/>
        <v>-179.61715649999996</v>
      </c>
      <c r="I1013">
        <v>1</v>
      </c>
      <c r="J1013">
        <f t="shared" si="269"/>
        <v>0.12088793626178623</v>
      </c>
      <c r="K1013">
        <f t="shared" si="275"/>
        <v>-1.7978070548412846</v>
      </c>
      <c r="O1013">
        <f t="shared" si="276"/>
        <v>-2.7141538759606499E-2</v>
      </c>
      <c r="P1013">
        <f t="shared" si="277"/>
        <v>-0.11749970191839916</v>
      </c>
      <c r="Q1013">
        <f t="shared" si="278"/>
        <v>0.99270194767757358</v>
      </c>
      <c r="R1013">
        <f t="shared" si="268"/>
        <v>1</v>
      </c>
      <c r="AG1013" s="8">
        <f t="shared" si="270"/>
        <v>0.22716185789108345</v>
      </c>
      <c r="AH1013" s="8">
        <f t="shared" si="271"/>
        <v>-0.18206591993681845</v>
      </c>
      <c r="AI1013" s="8">
        <f t="shared" si="272"/>
        <v>0.95668672569291513</v>
      </c>
      <c r="AJ1013" s="8"/>
      <c r="AK1013" s="8"/>
      <c r="AL1013" s="8"/>
      <c r="AN1013" s="8">
        <f t="shared" si="279"/>
        <v>0.99999999999999978</v>
      </c>
      <c r="AO1013" s="8">
        <f t="shared" si="280"/>
        <v>5.607541949819435</v>
      </c>
      <c r="AP1013" s="8">
        <f t="shared" si="281"/>
        <v>0.29539671664670331</v>
      </c>
      <c r="AQ1013" s="8"/>
      <c r="AR1013" s="8">
        <f t="shared" si="282"/>
        <v>321.2884871672141</v>
      </c>
      <c r="AS1013" s="8">
        <f t="shared" si="283"/>
        <v>73.075014854122031</v>
      </c>
    </row>
    <row r="1014" spans="1:45">
      <c r="A1014" s="19">
        <v>42.442399999999999</v>
      </c>
      <c r="B1014" s="19">
        <v>1001.799201</v>
      </c>
      <c r="C1014" s="19">
        <v>-720.32568930000002</v>
      </c>
      <c r="E1014" s="9">
        <f t="shared" si="273"/>
        <v>-41.799201000000039</v>
      </c>
      <c r="F1014" s="9">
        <f t="shared" si="274"/>
        <v>-180.32568930000002</v>
      </c>
      <c r="I1014">
        <v>1</v>
      </c>
      <c r="J1014">
        <f t="shared" si="269"/>
        <v>0.12138734964860473</v>
      </c>
      <c r="K1014">
        <f t="shared" si="275"/>
        <v>-1.7985720591613386</v>
      </c>
      <c r="O1014">
        <f t="shared" si="276"/>
        <v>-2.7343365332777529E-2</v>
      </c>
      <c r="P1014">
        <f t="shared" si="277"/>
        <v>-0.1179618529410366</v>
      </c>
      <c r="Q1014">
        <f t="shared" si="278"/>
        <v>0.99264159776980709</v>
      </c>
      <c r="R1014">
        <f t="shared" si="268"/>
        <v>1</v>
      </c>
      <c r="AG1014" s="8">
        <f t="shared" si="270"/>
        <v>0.2276530390732186</v>
      </c>
      <c r="AH1014" s="8">
        <f t="shared" si="271"/>
        <v>-0.18210295210111666</v>
      </c>
      <c r="AI1014" s="8">
        <f t="shared" si="272"/>
        <v>0.95656291410277139</v>
      </c>
      <c r="AJ1014" s="8"/>
      <c r="AK1014" s="8"/>
      <c r="AL1014" s="8"/>
      <c r="AN1014" s="8">
        <f t="shared" si="279"/>
        <v>1</v>
      </c>
      <c r="AO1014" s="8">
        <f t="shared" si="280"/>
        <v>5.6084965409816698</v>
      </c>
      <c r="AP1014" s="8">
        <f t="shared" si="281"/>
        <v>0.29582171474398011</v>
      </c>
      <c r="AQ1014" s="8"/>
      <c r="AR1014" s="8">
        <f t="shared" si="282"/>
        <v>321.3431812119706</v>
      </c>
      <c r="AS1014" s="8">
        <f t="shared" si="283"/>
        <v>73.050664256846986</v>
      </c>
    </row>
    <row r="1015" spans="1:45">
      <c r="A1015" s="19">
        <v>42.475766669999999</v>
      </c>
      <c r="B1015" s="19">
        <v>1002.0410460000001</v>
      </c>
      <c r="C1015" s="19">
        <v>-720.89827539999999</v>
      </c>
      <c r="E1015" s="9">
        <f t="shared" si="273"/>
        <v>-42.041046000000051</v>
      </c>
      <c r="F1015" s="9">
        <f t="shared" si="274"/>
        <v>-180.89827539999999</v>
      </c>
      <c r="I1015">
        <v>1</v>
      </c>
      <c r="J1015">
        <f t="shared" si="269"/>
        <v>0.12178979485893589</v>
      </c>
      <c r="K1015">
        <f t="shared" si="275"/>
        <v>-1.7991444393640859</v>
      </c>
      <c r="O1015">
        <f t="shared" si="276"/>
        <v>-2.7501308348686849E-2</v>
      </c>
      <c r="P1015">
        <f t="shared" si="277"/>
        <v>-0.11833528717437401</v>
      </c>
      <c r="Q1015">
        <f t="shared" si="278"/>
        <v>0.99259278551099139</v>
      </c>
      <c r="R1015">
        <f t="shared" si="268"/>
        <v>1</v>
      </c>
      <c r="AG1015" s="8">
        <f t="shared" si="270"/>
        <v>0.22804845656104183</v>
      </c>
      <c r="AH1015" s="8">
        <f t="shared" si="271"/>
        <v>-0.18212806875446577</v>
      </c>
      <c r="AI1015" s="8">
        <f t="shared" si="272"/>
        <v>0.9564639397446697</v>
      </c>
      <c r="AJ1015" s="8"/>
      <c r="AK1015" s="8"/>
      <c r="AL1015" s="8"/>
      <c r="AN1015" s="8">
        <f t="shared" si="279"/>
        <v>1</v>
      </c>
      <c r="AO1015" s="8">
        <f t="shared" si="280"/>
        <v>5.6092756577052558</v>
      </c>
      <c r="AP1015" s="8">
        <f t="shared" si="281"/>
        <v>0.29616103028743801</v>
      </c>
      <c r="AQ1015" s="8"/>
      <c r="AR1015" s="8">
        <f t="shared" si="282"/>
        <v>321.38782131198019</v>
      </c>
      <c r="AS1015" s="8">
        <f t="shared" si="283"/>
        <v>73.031222908283652</v>
      </c>
    </row>
    <row r="1016" spans="1:45">
      <c r="A1016" s="19">
        <v>42.509133329999997</v>
      </c>
      <c r="B1016" s="19">
        <v>1002.960147</v>
      </c>
      <c r="C1016" s="19">
        <v>-721.78196130000003</v>
      </c>
      <c r="E1016" s="9">
        <f t="shared" si="273"/>
        <v>-42.960147000000006</v>
      </c>
      <c r="F1016" s="9">
        <f t="shared" si="274"/>
        <v>-181.78196130000003</v>
      </c>
      <c r="I1016">
        <v>1</v>
      </c>
      <c r="J1016">
        <f t="shared" si="269"/>
        <v>0.12249291885494876</v>
      </c>
      <c r="K1016">
        <f t="shared" si="275"/>
        <v>-1.802866307791873</v>
      </c>
      <c r="O1016">
        <f t="shared" si="276"/>
        <v>-2.8102053707090908E-2</v>
      </c>
      <c r="P1016">
        <f t="shared" si="277"/>
        <v>-0.11891128862834026</v>
      </c>
      <c r="Q1016">
        <f t="shared" si="278"/>
        <v>0.99250711836953154</v>
      </c>
      <c r="R1016">
        <f t="shared" si="268"/>
        <v>1</v>
      </c>
      <c r="AG1016" s="8">
        <f t="shared" si="270"/>
        <v>0.22875930910262138</v>
      </c>
      <c r="AH1016" s="8">
        <f t="shared" si="271"/>
        <v>-0.18249813141621909</v>
      </c>
      <c r="AI1016" s="8">
        <f t="shared" si="272"/>
        <v>0.95622361952028756</v>
      </c>
      <c r="AJ1016" s="8"/>
      <c r="AK1016" s="8"/>
      <c r="AL1016" s="8"/>
      <c r="AN1016" s="8">
        <f t="shared" si="279"/>
        <v>1</v>
      </c>
      <c r="AO1016" s="8">
        <f t="shared" si="280"/>
        <v>5.6098034174773108</v>
      </c>
      <c r="AP1016" s="8">
        <f t="shared" si="281"/>
        <v>0.29698335827733957</v>
      </c>
      <c r="AQ1016" s="8"/>
      <c r="AR1016" s="8">
        <f t="shared" si="282"/>
        <v>321.41805971951572</v>
      </c>
      <c r="AS1016" s="8">
        <f t="shared" si="283"/>
        <v>72.984106985086825</v>
      </c>
    </row>
    <row r="1017" spans="1:45">
      <c r="A1017" s="19">
        <v>42.542499999999997</v>
      </c>
      <c r="B1017" s="19">
        <v>1002.980221</v>
      </c>
      <c r="C1017" s="19">
        <v>-722.64479419999998</v>
      </c>
      <c r="E1017" s="9">
        <f t="shared" si="273"/>
        <v>-42.980221000000029</v>
      </c>
      <c r="F1017" s="9">
        <f t="shared" si="274"/>
        <v>-182.64479419999998</v>
      </c>
      <c r="I1017">
        <v>1</v>
      </c>
      <c r="J1017">
        <f t="shared" si="269"/>
        <v>0.12304769666451423</v>
      </c>
      <c r="K1017">
        <f t="shared" si="275"/>
        <v>-1.8019128051704558</v>
      </c>
      <c r="O1017">
        <f t="shared" si="276"/>
        <v>-2.8114782094649099E-2</v>
      </c>
      <c r="P1017">
        <f t="shared" si="277"/>
        <v>-0.11947399222668097</v>
      </c>
      <c r="Q1017">
        <f t="shared" si="278"/>
        <v>0.99243917909824042</v>
      </c>
      <c r="R1017">
        <f t="shared" si="268"/>
        <v>1</v>
      </c>
      <c r="AG1017" s="8">
        <f t="shared" si="270"/>
        <v>0.22929136472738793</v>
      </c>
      <c r="AH1017" s="8">
        <f t="shared" si="271"/>
        <v>-0.18232680916377134</v>
      </c>
      <c r="AI1017" s="8">
        <f t="shared" si="272"/>
        <v>0.95612886407722752</v>
      </c>
      <c r="AJ1017" s="8"/>
      <c r="AK1017" s="8"/>
      <c r="AL1017" s="8"/>
      <c r="AN1017" s="8">
        <f t="shared" si="279"/>
        <v>0.99999999999999967</v>
      </c>
      <c r="AO1017" s="8">
        <f t="shared" si="280"/>
        <v>5.6113932417227277</v>
      </c>
      <c r="AP1017" s="8">
        <f t="shared" si="281"/>
        <v>0.29730698578589432</v>
      </c>
      <c r="AQ1017" s="8"/>
      <c r="AR1017" s="8">
        <f t="shared" si="282"/>
        <v>321.50914993894565</v>
      </c>
      <c r="AS1017" s="8">
        <f t="shared" si="283"/>
        <v>72.965564494712297</v>
      </c>
    </row>
    <row r="1018" spans="1:45">
      <c r="A1018" s="19">
        <v>42.575866670000003</v>
      </c>
      <c r="B1018" s="19">
        <v>1002.932005</v>
      </c>
      <c r="C1018" s="19">
        <v>-723.26665409999998</v>
      </c>
      <c r="E1018" s="9">
        <f t="shared" si="273"/>
        <v>-42.932005000000004</v>
      </c>
      <c r="F1018" s="9">
        <f t="shared" si="274"/>
        <v>-183.26665409999998</v>
      </c>
      <c r="I1018">
        <v>1</v>
      </c>
      <c r="J1018">
        <f t="shared" si="269"/>
        <v>0.12343817693620363</v>
      </c>
      <c r="K1018">
        <f t="shared" si="275"/>
        <v>-1.8009066853901801</v>
      </c>
      <c r="O1018">
        <f t="shared" si="276"/>
        <v>-2.8082949897526348E-2</v>
      </c>
      <c r="P1018">
        <f t="shared" si="277"/>
        <v>-0.11987952263067135</v>
      </c>
      <c r="Q1018">
        <f t="shared" si="278"/>
        <v>0.99239117689492551</v>
      </c>
      <c r="R1018">
        <f t="shared" si="268"/>
        <v>1</v>
      </c>
      <c r="AG1018" s="8">
        <f t="shared" si="270"/>
        <v>0.22966319236846355</v>
      </c>
      <c r="AH1018" s="8">
        <f t="shared" si="271"/>
        <v>-0.18216525320040691</v>
      </c>
      <c r="AI1018" s="8">
        <f t="shared" si="272"/>
        <v>0.95607041508330215</v>
      </c>
      <c r="AJ1018" s="8"/>
      <c r="AK1018" s="8"/>
      <c r="AL1018" s="8"/>
      <c r="AN1018" s="8">
        <f t="shared" si="279"/>
        <v>0.99999999999999989</v>
      </c>
      <c r="AO1018" s="8">
        <f t="shared" si="280"/>
        <v>5.6126140794591652</v>
      </c>
      <c r="AP1018" s="8">
        <f t="shared" si="281"/>
        <v>0.29750644198300336</v>
      </c>
      <c r="AQ1018" s="8"/>
      <c r="AR1018" s="8">
        <f t="shared" si="282"/>
        <v>321.57909878871385</v>
      </c>
      <c r="AS1018" s="8">
        <f t="shared" si="283"/>
        <v>72.954136496420219</v>
      </c>
    </row>
    <row r="1019" spans="1:45">
      <c r="A1019" s="19">
        <v>42.609233330000002</v>
      </c>
      <c r="B1019" s="19">
        <v>1003.9510770000001</v>
      </c>
      <c r="C1019" s="19">
        <v>-724.03642509999997</v>
      </c>
      <c r="E1019" s="9">
        <f t="shared" si="273"/>
        <v>-43.951077000000055</v>
      </c>
      <c r="F1019" s="9">
        <f t="shared" si="274"/>
        <v>-184.03642509999997</v>
      </c>
      <c r="I1019">
        <v>1</v>
      </c>
      <c r="J1019">
        <f t="shared" si="269"/>
        <v>0.12408436164914106</v>
      </c>
      <c r="K1019">
        <f t="shared" si="275"/>
        <v>-1.805222694636228</v>
      </c>
      <c r="O1019">
        <f t="shared" si="276"/>
        <v>-2.87490388661529E-2</v>
      </c>
      <c r="P1019">
        <f t="shared" si="277"/>
        <v>-0.12038090302059565</v>
      </c>
      <c r="Q1019">
        <f t="shared" si="278"/>
        <v>0.99231140825459541</v>
      </c>
      <c r="R1019">
        <f t="shared" si="268"/>
        <v>1</v>
      </c>
      <c r="AG1019" s="8">
        <f t="shared" si="270"/>
        <v>0.23032230880284937</v>
      </c>
      <c r="AH1019" s="8">
        <f t="shared" si="271"/>
        <v>-0.1826199978584673</v>
      </c>
      <c r="AI1019" s="8">
        <f t="shared" si="272"/>
        <v>0.95582507314356335</v>
      </c>
      <c r="AJ1019" s="8"/>
      <c r="AK1019" s="8"/>
      <c r="AL1019" s="8"/>
      <c r="AN1019" s="8">
        <f t="shared" si="279"/>
        <v>0.99999999999999989</v>
      </c>
      <c r="AO1019" s="8">
        <f t="shared" si="280"/>
        <v>5.6127954786423961</v>
      </c>
      <c r="AP1019" s="8">
        <f t="shared" si="281"/>
        <v>0.29834225572811679</v>
      </c>
      <c r="AQ1019" s="8"/>
      <c r="AR1019" s="8">
        <f t="shared" si="282"/>
        <v>321.58949219632007</v>
      </c>
      <c r="AS1019" s="8">
        <f t="shared" si="283"/>
        <v>72.906247896366196</v>
      </c>
    </row>
    <row r="1020" spans="1:45">
      <c r="A1020" s="19">
        <v>42.642600000000002</v>
      </c>
      <c r="B1020" s="19">
        <v>1004.358501</v>
      </c>
      <c r="C1020" s="19">
        <v>-724.91233</v>
      </c>
      <c r="E1020" s="9">
        <f t="shared" si="273"/>
        <v>-44.358501000000047</v>
      </c>
      <c r="F1020" s="9">
        <f t="shared" si="274"/>
        <v>-184.91233</v>
      </c>
      <c r="I1020">
        <v>1</v>
      </c>
      <c r="J1020">
        <f t="shared" si="269"/>
        <v>0.12470618389288987</v>
      </c>
      <c r="K1020">
        <f t="shared" si="275"/>
        <v>-1.8062366932264291</v>
      </c>
      <c r="O1020">
        <f t="shared" si="276"/>
        <v>-2.9015022522218235E-2</v>
      </c>
      <c r="P1020">
        <f t="shared" si="277"/>
        <v>-0.12095168453924647</v>
      </c>
      <c r="Q1020">
        <f t="shared" si="278"/>
        <v>0.99223425584644764</v>
      </c>
      <c r="R1020">
        <f t="shared" si="268"/>
        <v>1</v>
      </c>
      <c r="AG1020" s="8">
        <f t="shared" si="270"/>
        <v>0.23093343837608263</v>
      </c>
      <c r="AH1020" s="8">
        <f t="shared" si="271"/>
        <v>-0.18268083083624601</v>
      </c>
      <c r="AI1020" s="8">
        <f t="shared" si="272"/>
        <v>0.95566597777925466</v>
      </c>
      <c r="AJ1020" s="8"/>
      <c r="AK1020" s="8"/>
      <c r="AL1020" s="8"/>
      <c r="AN1020" s="8">
        <f t="shared" si="279"/>
        <v>0.99999999999999989</v>
      </c>
      <c r="AO1020" s="8">
        <f t="shared" si="280"/>
        <v>5.613923068645124</v>
      </c>
      <c r="AP1020" s="8">
        <f t="shared" si="281"/>
        <v>0.29888303860446097</v>
      </c>
      <c r="AQ1020" s="8"/>
      <c r="AR1020" s="8">
        <f t="shared" si="282"/>
        <v>321.65409834449753</v>
      </c>
      <c r="AS1020" s="8">
        <f t="shared" si="283"/>
        <v>72.87526331991873</v>
      </c>
    </row>
    <row r="1021" spans="1:45">
      <c r="A1021" s="19">
        <v>42.675966670000001</v>
      </c>
      <c r="B1021" s="19">
        <v>1004.985733</v>
      </c>
      <c r="C1021" s="19">
        <v>-725.73962080000001</v>
      </c>
      <c r="E1021" s="9">
        <f t="shared" si="273"/>
        <v>-44.985732999999982</v>
      </c>
      <c r="F1021" s="9">
        <f t="shared" si="274"/>
        <v>-185.73962080000001</v>
      </c>
      <c r="I1021">
        <v>1</v>
      </c>
      <c r="J1021">
        <f t="shared" si="269"/>
        <v>0.12533093721995434</v>
      </c>
      <c r="K1021">
        <f t="shared" si="275"/>
        <v>-1.8084183977807857</v>
      </c>
      <c r="O1021">
        <f t="shared" si="276"/>
        <v>-2.9424748380805606E-2</v>
      </c>
      <c r="P1021">
        <f t="shared" si="277"/>
        <v>-0.12149055360254445</v>
      </c>
      <c r="Q1021">
        <f t="shared" si="278"/>
        <v>0.99215635338794939</v>
      </c>
      <c r="R1021">
        <f t="shared" si="268"/>
        <v>1</v>
      </c>
      <c r="AG1021" s="8">
        <f t="shared" si="270"/>
        <v>0.23155518295437974</v>
      </c>
      <c r="AH1021" s="8">
        <f t="shared" si="271"/>
        <v>-0.18288532677099986</v>
      </c>
      <c r="AI1021" s="8">
        <f t="shared" si="272"/>
        <v>0.95547640185345661</v>
      </c>
      <c r="AJ1021" s="8"/>
      <c r="AK1021" s="8"/>
      <c r="AL1021" s="8"/>
      <c r="AN1021" s="8">
        <f t="shared" si="279"/>
        <v>0.99999999999999978</v>
      </c>
      <c r="AO1021" s="8">
        <f t="shared" si="280"/>
        <v>5.6146868025033729</v>
      </c>
      <c r="AP1021" s="8">
        <f t="shared" si="281"/>
        <v>0.29952619156391402</v>
      </c>
      <c r="AQ1021" s="8"/>
      <c r="AR1021" s="8">
        <f t="shared" si="282"/>
        <v>321.69785707124646</v>
      </c>
      <c r="AS1021" s="8">
        <f t="shared" si="283"/>
        <v>72.83841336976073</v>
      </c>
    </row>
    <row r="1022" spans="1:45">
      <c r="A1022" s="19">
        <v>42.70933333</v>
      </c>
      <c r="B1022" s="19">
        <v>1005.03176</v>
      </c>
      <c r="C1022" s="19">
        <v>-726.45707689999995</v>
      </c>
      <c r="E1022" s="9">
        <f t="shared" si="273"/>
        <v>-45.031759999999963</v>
      </c>
      <c r="F1022" s="9">
        <f t="shared" si="274"/>
        <v>-186.45707689999995</v>
      </c>
      <c r="I1022">
        <v>1</v>
      </c>
      <c r="J1022">
        <f t="shared" si="269"/>
        <v>0.12579600963178328</v>
      </c>
      <c r="K1022">
        <f t="shared" si="275"/>
        <v>-1.8077711697910444</v>
      </c>
      <c r="O1022">
        <f t="shared" si="276"/>
        <v>-2.9454432413148289E-2</v>
      </c>
      <c r="P1022">
        <f t="shared" si="277"/>
        <v>-0.12195808845810714</v>
      </c>
      <c r="Q1022">
        <f t="shared" si="278"/>
        <v>0.99209811060744579</v>
      </c>
      <c r="R1022">
        <f t="shared" si="268"/>
        <v>1</v>
      </c>
      <c r="AG1022" s="8">
        <f t="shared" si="270"/>
        <v>0.23200252012647676</v>
      </c>
      <c r="AH1022" s="8">
        <f t="shared" si="271"/>
        <v>-0.18276046759887943</v>
      </c>
      <c r="AI1022" s="8">
        <f t="shared" si="272"/>
        <v>0.95539177416283139</v>
      </c>
      <c r="AJ1022" s="8"/>
      <c r="AK1022" s="8"/>
      <c r="AL1022" s="8"/>
      <c r="AN1022" s="8">
        <f t="shared" si="279"/>
        <v>0.99999999999999989</v>
      </c>
      <c r="AO1022" s="8">
        <f t="shared" si="280"/>
        <v>5.6159573559403428</v>
      </c>
      <c r="AP1022" s="8">
        <f t="shared" si="281"/>
        <v>0.29981286638354554</v>
      </c>
      <c r="AQ1022" s="8"/>
      <c r="AR1022" s="8">
        <f t="shared" si="282"/>
        <v>321.77065442083068</v>
      </c>
      <c r="AS1022" s="8">
        <f t="shared" si="283"/>
        <v>72.821988112503163</v>
      </c>
    </row>
    <row r="1023" spans="1:45">
      <c r="A1023" s="19">
        <v>42.742699999999999</v>
      </c>
      <c r="B1023" s="19">
        <v>1005.957032</v>
      </c>
      <c r="C1023" s="19">
        <v>-727.75938659999997</v>
      </c>
      <c r="E1023" s="9">
        <f t="shared" si="273"/>
        <v>-45.957032000000027</v>
      </c>
      <c r="F1023" s="9">
        <f t="shared" si="274"/>
        <v>-187.75938659999997</v>
      </c>
      <c r="I1023">
        <v>1</v>
      </c>
      <c r="J1023">
        <f t="shared" si="269"/>
        <v>0.12677050632666212</v>
      </c>
      <c r="K1023">
        <f t="shared" si="275"/>
        <v>-1.8108424259825078</v>
      </c>
      <c r="O1023">
        <f t="shared" si="276"/>
        <v>-3.0058696560418277E-2</v>
      </c>
      <c r="P1023">
        <f t="shared" si="277"/>
        <v>-0.12280606868127746</v>
      </c>
      <c r="Q1023">
        <f t="shared" si="278"/>
        <v>0.99197537482345699</v>
      </c>
      <c r="R1023">
        <f t="shared" si="268"/>
        <v>1</v>
      </c>
      <c r="AG1023" s="8">
        <f t="shared" si="270"/>
        <v>0.23296932707444701</v>
      </c>
      <c r="AH1023" s="8">
        <f t="shared" si="271"/>
        <v>-0.18304444566459871</v>
      </c>
      <c r="AI1023" s="8">
        <f t="shared" si="272"/>
        <v>0.95510210111475469</v>
      </c>
      <c r="AJ1023" s="8"/>
      <c r="AK1023" s="8"/>
      <c r="AL1023" s="8"/>
      <c r="AN1023" s="8">
        <f t="shared" si="279"/>
        <v>0.99999999999999989</v>
      </c>
      <c r="AO1023" s="8">
        <f t="shared" si="280"/>
        <v>5.6172237206174342</v>
      </c>
      <c r="AP1023" s="8">
        <f t="shared" si="281"/>
        <v>0.30079212288362167</v>
      </c>
      <c r="AQ1023" s="8"/>
      <c r="AR1023" s="8">
        <f t="shared" si="282"/>
        <v>321.84321177215247</v>
      </c>
      <c r="AS1023" s="8">
        <f t="shared" si="283"/>
        <v>72.765880847988058</v>
      </c>
    </row>
    <row r="1024" spans="1:45">
      <c r="A1024" s="19">
        <v>42.776066669999999</v>
      </c>
      <c r="B1024" s="19">
        <v>1005.926479</v>
      </c>
      <c r="C1024" s="19">
        <v>-727.88843580000002</v>
      </c>
      <c r="E1024" s="9">
        <f t="shared" si="273"/>
        <v>-45.926478999999972</v>
      </c>
      <c r="F1024" s="9">
        <f t="shared" si="274"/>
        <v>-187.88843580000002</v>
      </c>
      <c r="I1024">
        <v>1</v>
      </c>
      <c r="J1024">
        <f t="shared" si="269"/>
        <v>0.12684804645732894</v>
      </c>
      <c r="K1024">
        <f t="shared" si="275"/>
        <v>-1.8105303690079102</v>
      </c>
      <c r="O1024">
        <f t="shared" si="276"/>
        <v>-3.003863623263571E-2</v>
      </c>
      <c r="P1024">
        <f t="shared" si="277"/>
        <v>-0.12289016049575963</v>
      </c>
      <c r="Q1024">
        <f t="shared" si="278"/>
        <v>0.99196556834731409</v>
      </c>
      <c r="R1024">
        <f t="shared" si="268"/>
        <v>1</v>
      </c>
      <c r="AG1024" s="8">
        <f t="shared" si="270"/>
        <v>0.23304259942203209</v>
      </c>
      <c r="AH1024" s="8">
        <f t="shared" si="271"/>
        <v>-0.1829984108565117</v>
      </c>
      <c r="AI1024" s="8">
        <f t="shared" si="272"/>
        <v>0.95509304702663067</v>
      </c>
      <c r="AJ1024" s="8"/>
      <c r="AK1024" s="8"/>
      <c r="AL1024" s="8"/>
      <c r="AN1024" s="8">
        <f t="shared" si="279"/>
        <v>1</v>
      </c>
      <c r="AO1024" s="8">
        <f t="shared" si="280"/>
        <v>5.6174986627891439</v>
      </c>
      <c r="AP1024" s="8">
        <f t="shared" si="281"/>
        <v>0.3008226809307788</v>
      </c>
      <c r="AQ1024" s="8"/>
      <c r="AR1024" s="8">
        <f t="shared" si="282"/>
        <v>321.85896479820155</v>
      </c>
      <c r="AS1024" s="8">
        <f t="shared" si="283"/>
        <v>72.764130000855786</v>
      </c>
    </row>
    <row r="1025" spans="1:45">
      <c r="A1025" s="19">
        <v>42.809433329999997</v>
      </c>
      <c r="B1025" s="19">
        <v>1006.8190509999999</v>
      </c>
      <c r="C1025" s="19">
        <v>-728.78607160000001</v>
      </c>
      <c r="E1025" s="9">
        <f t="shared" si="273"/>
        <v>-46.819050999999945</v>
      </c>
      <c r="F1025" s="9">
        <f t="shared" si="274"/>
        <v>-188.78607160000001</v>
      </c>
      <c r="I1025">
        <v>1</v>
      </c>
      <c r="J1025">
        <f t="shared" si="269"/>
        <v>0.12756040538954105</v>
      </c>
      <c r="K1025">
        <f t="shared" si="275"/>
        <v>-1.813892278149756</v>
      </c>
      <c r="O1025">
        <f t="shared" si="276"/>
        <v>-3.0621696831727795E-2</v>
      </c>
      <c r="P1025">
        <f t="shared" si="277"/>
        <v>-0.12347430644393173</v>
      </c>
      <c r="Q1025">
        <f t="shared" si="278"/>
        <v>0.99187519745749053</v>
      </c>
      <c r="R1025">
        <f t="shared" si="268"/>
        <v>1</v>
      </c>
      <c r="AG1025" s="8">
        <f t="shared" si="270"/>
        <v>0.23375564290672221</v>
      </c>
      <c r="AH1025" s="8">
        <f t="shared" si="271"/>
        <v>-0.18334859500189227</v>
      </c>
      <c r="AI1025" s="8">
        <f t="shared" si="272"/>
        <v>0.95485160738205654</v>
      </c>
      <c r="AJ1025" s="8"/>
      <c r="AK1025" s="8"/>
      <c r="AL1025" s="8"/>
      <c r="AN1025" s="8">
        <f t="shared" si="279"/>
        <v>1</v>
      </c>
      <c r="AO1025" s="8">
        <f t="shared" si="280"/>
        <v>5.618053920891553</v>
      </c>
      <c r="AP1025" s="8">
        <f t="shared" si="281"/>
        <v>0.30163644574842507</v>
      </c>
      <c r="AQ1025" s="8"/>
      <c r="AR1025" s="8">
        <f t="shared" si="282"/>
        <v>321.89077874401005</v>
      </c>
      <c r="AS1025" s="8">
        <f t="shared" si="283"/>
        <v>72.717504711288427</v>
      </c>
    </row>
    <row r="1026" spans="1:45">
      <c r="A1026" s="19">
        <v>42.842799999999997</v>
      </c>
      <c r="B1026" s="19">
        <v>1006.765822</v>
      </c>
      <c r="C1026" s="19">
        <v>-729.59341719999998</v>
      </c>
      <c r="E1026" s="9">
        <f t="shared" si="273"/>
        <v>-46.765821999999957</v>
      </c>
      <c r="F1026" s="9">
        <f t="shared" si="274"/>
        <v>-189.59341719999998</v>
      </c>
      <c r="I1026">
        <v>1</v>
      </c>
      <c r="J1026">
        <f t="shared" si="269"/>
        <v>0.1280665240851431</v>
      </c>
      <c r="K1026">
        <f t="shared" si="275"/>
        <v>-1.8126325271553674</v>
      </c>
      <c r="O1026">
        <f t="shared" si="276"/>
        <v>-3.0586345233078179E-2</v>
      </c>
      <c r="P1026">
        <f t="shared" si="277"/>
        <v>-0.12400016645485738</v>
      </c>
      <c r="Q1026">
        <f t="shared" si="278"/>
        <v>0.99181068465935096</v>
      </c>
      <c r="R1026">
        <f t="shared" si="268"/>
        <v>1</v>
      </c>
      <c r="AG1026" s="8">
        <f t="shared" si="270"/>
        <v>0.23423924785362818</v>
      </c>
      <c r="AH1026" s="8">
        <f t="shared" si="271"/>
        <v>-0.18314419387678157</v>
      </c>
      <c r="AI1026" s="8">
        <f t="shared" si="272"/>
        <v>0.95477231789269534</v>
      </c>
      <c r="AJ1026" s="8"/>
      <c r="AK1026" s="8"/>
      <c r="AL1026" s="8"/>
      <c r="AN1026" s="8">
        <f t="shared" si="279"/>
        <v>0.99999999999999967</v>
      </c>
      <c r="AO1026" s="8">
        <f t="shared" si="280"/>
        <v>5.6195986050627038</v>
      </c>
      <c r="AP1026" s="8">
        <f t="shared" si="281"/>
        <v>0.30190322461830066</v>
      </c>
      <c r="AQ1026" s="8"/>
      <c r="AR1026" s="8">
        <f t="shared" si="282"/>
        <v>321.97928262769767</v>
      </c>
      <c r="AS1026" s="8">
        <f t="shared" si="283"/>
        <v>72.702219407981275</v>
      </c>
    </row>
    <row r="1027" spans="1:45">
      <c r="A1027" s="19">
        <v>42.876166670000003</v>
      </c>
      <c r="B1027" s="19">
        <v>1007.802981</v>
      </c>
      <c r="C1027" s="19">
        <v>-730.07739609999999</v>
      </c>
      <c r="E1027" s="9">
        <f t="shared" si="273"/>
        <v>-47.802981000000045</v>
      </c>
      <c r="F1027" s="9">
        <f t="shared" si="274"/>
        <v>-190.07739609999999</v>
      </c>
      <c r="I1027">
        <v>1</v>
      </c>
      <c r="J1027">
        <f t="shared" si="269"/>
        <v>0.12853935748990913</v>
      </c>
      <c r="K1027">
        <f t="shared" si="275"/>
        <v>-1.8171789121019022</v>
      </c>
      <c r="O1027">
        <f t="shared" si="276"/>
        <v>-3.1264154609649458E-2</v>
      </c>
      <c r="P1027">
        <f t="shared" si="277"/>
        <v>-0.12431461333907147</v>
      </c>
      <c r="Q1027">
        <f t="shared" si="278"/>
        <v>0.99175018505009671</v>
      </c>
      <c r="R1027">
        <f t="shared" si="268"/>
        <v>1</v>
      </c>
      <c r="AG1027" s="8">
        <f t="shared" si="270"/>
        <v>0.23472581287904071</v>
      </c>
      <c r="AH1027" s="8">
        <f t="shared" si="271"/>
        <v>-0.18367009975863891</v>
      </c>
      <c r="AI1027" s="8">
        <f t="shared" si="272"/>
        <v>0.95455177294001459</v>
      </c>
      <c r="AJ1027" s="8"/>
      <c r="AK1027" s="8"/>
      <c r="AL1027" s="8"/>
      <c r="AN1027" s="8">
        <f t="shared" si="279"/>
        <v>0.99999999999999989</v>
      </c>
      <c r="AO1027" s="8">
        <f t="shared" si="280"/>
        <v>5.619214084697111</v>
      </c>
      <c r="AP1027" s="8">
        <f t="shared" si="281"/>
        <v>0.30264407521983783</v>
      </c>
      <c r="AQ1027" s="8"/>
      <c r="AR1027" s="8">
        <f t="shared" si="282"/>
        <v>321.9572512336124</v>
      </c>
      <c r="AS1027" s="8">
        <f t="shared" si="283"/>
        <v>72.659771795263467</v>
      </c>
    </row>
    <row r="1028" spans="1:45">
      <c r="A1028" s="19">
        <v>42.909533330000002</v>
      </c>
      <c r="B1028" s="19">
        <v>1007.872978</v>
      </c>
      <c r="C1028" s="19">
        <v>-731.05614990000004</v>
      </c>
      <c r="E1028" s="9">
        <f t="shared" si="273"/>
        <v>-47.872977999999989</v>
      </c>
      <c r="F1028" s="9">
        <f t="shared" si="274"/>
        <v>-191.05614990000004</v>
      </c>
      <c r="I1028">
        <v>1</v>
      </c>
      <c r="J1028">
        <f t="shared" si="269"/>
        <v>0.1291736401102398</v>
      </c>
      <c r="K1028">
        <f t="shared" si="275"/>
        <v>-1.816311578221242</v>
      </c>
      <c r="O1028">
        <f t="shared" si="276"/>
        <v>-3.1309208762941999E-2</v>
      </c>
      <c r="P1028">
        <f t="shared" si="277"/>
        <v>-0.12495184407920158</v>
      </c>
      <c r="Q1028">
        <f t="shared" si="278"/>
        <v>0.99166867960415361</v>
      </c>
      <c r="R1028">
        <f t="shared" si="268"/>
        <v>1</v>
      </c>
      <c r="AG1028" s="8">
        <f t="shared" si="270"/>
        <v>0.23533659860775047</v>
      </c>
      <c r="AH1028" s="8">
        <f t="shared" si="271"/>
        <v>-0.1835038005373055</v>
      </c>
      <c r="AI1028" s="8">
        <f t="shared" si="272"/>
        <v>0.95443336097608167</v>
      </c>
      <c r="AJ1028" s="8"/>
      <c r="AK1028" s="8"/>
      <c r="AL1028" s="8"/>
      <c r="AN1028" s="8">
        <f t="shared" si="279"/>
        <v>1</v>
      </c>
      <c r="AO1028" s="8">
        <f t="shared" si="280"/>
        <v>5.6209142342202041</v>
      </c>
      <c r="AP1028" s="8">
        <f t="shared" si="281"/>
        <v>0.30304111817422807</v>
      </c>
      <c r="AQ1028" s="8"/>
      <c r="AR1028" s="8">
        <f t="shared" si="282"/>
        <v>322.05466262582678</v>
      </c>
      <c r="AS1028" s="8">
        <f t="shared" si="283"/>
        <v>72.637022909691495</v>
      </c>
    </row>
    <row r="1029" spans="1:45">
      <c r="A1029" s="19">
        <v>42.942900000000002</v>
      </c>
      <c r="B1029" s="19">
        <v>1008.709651</v>
      </c>
      <c r="C1029" s="19">
        <v>-731.90775680000002</v>
      </c>
      <c r="E1029" s="9">
        <f t="shared" si="273"/>
        <v>-48.709651000000008</v>
      </c>
      <c r="F1029" s="9">
        <f t="shared" si="274"/>
        <v>-191.90775680000002</v>
      </c>
      <c r="I1029">
        <v>1</v>
      </c>
      <c r="J1029">
        <f t="shared" si="269"/>
        <v>0.12984986200846524</v>
      </c>
      <c r="K1029">
        <f t="shared" si="275"/>
        <v>-1.8193652000947487</v>
      </c>
      <c r="O1029">
        <f t="shared" si="276"/>
        <v>-3.185558673683471E-2</v>
      </c>
      <c r="P1029">
        <f t="shared" si="277"/>
        <v>-0.12550560446868703</v>
      </c>
      <c r="Q1029">
        <f t="shared" si="278"/>
        <v>0.99158134554891741</v>
      </c>
      <c r="R1029">
        <f t="shared" si="268"/>
        <v>1</v>
      </c>
      <c r="AG1029" s="8">
        <f t="shared" si="270"/>
        <v>0.23601055557990919</v>
      </c>
      <c r="AH1029" s="8">
        <f t="shared" si="271"/>
        <v>-0.18382951671330053</v>
      </c>
      <c r="AI1029" s="8">
        <f t="shared" si="272"/>
        <v>0.9542042372782763</v>
      </c>
      <c r="AJ1029" s="8"/>
      <c r="AK1029" s="8"/>
      <c r="AL1029" s="8"/>
      <c r="AN1029" s="8">
        <f t="shared" si="279"/>
        <v>1</v>
      </c>
      <c r="AO1029" s="8">
        <f t="shared" si="280"/>
        <v>5.6214409275533486</v>
      </c>
      <c r="AP1029" s="8">
        <f t="shared" si="281"/>
        <v>0.30380795663203841</v>
      </c>
      <c r="AQ1029" s="8"/>
      <c r="AR1029" s="8">
        <f t="shared" si="282"/>
        <v>322.08483993091363</v>
      </c>
      <c r="AS1029" s="8">
        <f t="shared" si="283"/>
        <v>72.593086302490647</v>
      </c>
    </row>
    <row r="1030" spans="1:45">
      <c r="A1030" s="19">
        <v>42.976266670000001</v>
      </c>
      <c r="B1030" s="19">
        <v>1008.7763629999999</v>
      </c>
      <c r="C1030" s="19">
        <v>-732.82417180000004</v>
      </c>
      <c r="E1030" s="9">
        <f t="shared" si="273"/>
        <v>-48.776362999999947</v>
      </c>
      <c r="F1030" s="9">
        <f t="shared" si="274"/>
        <v>-192.82417180000004</v>
      </c>
      <c r="I1030">
        <v>1</v>
      </c>
      <c r="J1030">
        <f t="shared" si="269"/>
        <v>0.13044357292676639</v>
      </c>
      <c r="K1030">
        <f t="shared" si="275"/>
        <v>-1.818556783952147</v>
      </c>
      <c r="O1030">
        <f t="shared" si="276"/>
        <v>-3.18984819984433E-2</v>
      </c>
      <c r="P1030">
        <f t="shared" si="277"/>
        <v>-0.12610202964552833</v>
      </c>
      <c r="Q1030">
        <f t="shared" si="278"/>
        <v>0.9915042939722819</v>
      </c>
      <c r="R1030">
        <f t="shared" si="268"/>
        <v>1</v>
      </c>
      <c r="AG1030" s="8">
        <f t="shared" si="270"/>
        <v>0.23658235381026801</v>
      </c>
      <c r="AH1030" s="8">
        <f t="shared" si="271"/>
        <v>-0.18367439616852324</v>
      </c>
      <c r="AI1030" s="8">
        <f t="shared" si="272"/>
        <v>0.95409250393120759</v>
      </c>
      <c r="AJ1030" s="8"/>
      <c r="AK1030" s="8"/>
      <c r="AL1030" s="8"/>
      <c r="AN1030" s="8">
        <f t="shared" si="279"/>
        <v>0.99999999999999978</v>
      </c>
      <c r="AO1030" s="8">
        <f t="shared" si="280"/>
        <v>5.6230226489804167</v>
      </c>
      <c r="AP1030" s="8">
        <f t="shared" si="281"/>
        <v>0.30418122976667017</v>
      </c>
      <c r="AQ1030" s="8"/>
      <c r="AR1030" s="8">
        <f t="shared" si="282"/>
        <v>322.17546589305005</v>
      </c>
      <c r="AS1030" s="8">
        <f t="shared" si="283"/>
        <v>72.571699327270636</v>
      </c>
    </row>
    <row r="1031" spans="1:45">
      <c r="A1031" s="19">
        <v>43.00963333</v>
      </c>
      <c r="B1031" s="19">
        <v>1009.446148</v>
      </c>
      <c r="C1031" s="19">
        <v>-733.54911860000004</v>
      </c>
      <c r="E1031" s="9">
        <f t="shared" si="273"/>
        <v>-49.446147999999994</v>
      </c>
      <c r="F1031" s="9">
        <f t="shared" si="274"/>
        <v>-193.54911860000004</v>
      </c>
      <c r="I1031">
        <v>1</v>
      </c>
      <c r="J1031">
        <f t="shared" si="269"/>
        <v>0.13101287685547894</v>
      </c>
      <c r="K1031">
        <f t="shared" si="275"/>
        <v>-1.8209173125155553</v>
      </c>
      <c r="O1031">
        <f t="shared" si="276"/>
        <v>-3.233577268001088E-2</v>
      </c>
      <c r="P1031">
        <f t="shared" si="277"/>
        <v>-0.12657326312791986</v>
      </c>
      <c r="Q1031">
        <f t="shared" si="278"/>
        <v>0.99143008168319013</v>
      </c>
      <c r="R1031">
        <f t="shared" si="268"/>
        <v>1</v>
      </c>
      <c r="AG1031" s="8">
        <f t="shared" si="270"/>
        <v>0.2371479770872266</v>
      </c>
      <c r="AH1031" s="8">
        <f t="shared" si="271"/>
        <v>-0.18392577394409071</v>
      </c>
      <c r="AI1031" s="8">
        <f t="shared" si="272"/>
        <v>0.95390363593106386</v>
      </c>
      <c r="AJ1031" s="8"/>
      <c r="AK1031" s="8"/>
      <c r="AL1031" s="8"/>
      <c r="AN1031" s="8">
        <f t="shared" si="279"/>
        <v>1.0000000000000002</v>
      </c>
      <c r="AO1031" s="8">
        <f t="shared" si="280"/>
        <v>5.6235168108299494</v>
      </c>
      <c r="AP1031" s="8">
        <f t="shared" si="281"/>
        <v>0.30481118329849166</v>
      </c>
      <c r="AQ1031" s="8"/>
      <c r="AR1031" s="8">
        <f t="shared" si="282"/>
        <v>322.20377928142466</v>
      </c>
      <c r="AS1031" s="8">
        <f t="shared" si="283"/>
        <v>72.535605648607898</v>
      </c>
    </row>
    <row r="1032" spans="1:45">
      <c r="A1032" s="19">
        <v>43.042999999999999</v>
      </c>
      <c r="B1032" s="19">
        <v>1009.834951</v>
      </c>
      <c r="C1032" s="19">
        <v>-733.95322120000003</v>
      </c>
      <c r="E1032" s="9">
        <f t="shared" si="273"/>
        <v>-49.834951000000046</v>
      </c>
      <c r="F1032" s="9">
        <f t="shared" si="274"/>
        <v>-193.95322120000003</v>
      </c>
      <c r="I1032">
        <v>1</v>
      </c>
      <c r="J1032">
        <f t="shared" si="269"/>
        <v>0.13133303319839779</v>
      </c>
      <c r="K1032">
        <f t="shared" si="275"/>
        <v>-1.8222989655739885</v>
      </c>
      <c r="O1032">
        <f t="shared" si="276"/>
        <v>-3.2589611610496463E-2</v>
      </c>
      <c r="P1032">
        <f t="shared" si="277"/>
        <v>-0.12683588571227261</v>
      </c>
      <c r="Q1032">
        <f t="shared" si="278"/>
        <v>0.99138820615874801</v>
      </c>
      <c r="R1032">
        <f t="shared" si="268"/>
        <v>1</v>
      </c>
      <c r="AG1032" s="8">
        <f t="shared" si="270"/>
        <v>0.23746604401646093</v>
      </c>
      <c r="AH1032" s="8">
        <f t="shared" si="271"/>
        <v>-0.18407522679905747</v>
      </c>
      <c r="AI1032" s="8">
        <f t="shared" si="272"/>
        <v>0.9537956745645515</v>
      </c>
      <c r="AJ1032" s="8"/>
      <c r="AK1032" s="8"/>
      <c r="AL1032" s="8"/>
      <c r="AN1032" s="8">
        <f t="shared" si="279"/>
        <v>1</v>
      </c>
      <c r="AO1032" s="8">
        <f t="shared" si="280"/>
        <v>5.6237725285449587</v>
      </c>
      <c r="AP1032" s="8">
        <f t="shared" si="281"/>
        <v>0.30517071351807368</v>
      </c>
      <c r="AQ1032" s="8"/>
      <c r="AR1032" s="8">
        <f t="shared" si="282"/>
        <v>322.21843082724143</v>
      </c>
      <c r="AS1032" s="8">
        <f t="shared" si="283"/>
        <v>72.515006084418445</v>
      </c>
    </row>
    <row r="1033" spans="1:45">
      <c r="A1033" s="19">
        <v>43.076366669999999</v>
      </c>
      <c r="B1033" s="19">
        <v>1010.680977</v>
      </c>
      <c r="C1033" s="19">
        <v>-734.93510739999999</v>
      </c>
      <c r="E1033" s="9">
        <f t="shared" si="273"/>
        <v>-50.680976999999984</v>
      </c>
      <c r="F1033" s="9">
        <f t="shared" si="274"/>
        <v>-194.93510739999999</v>
      </c>
      <c r="I1033">
        <v>1</v>
      </c>
      <c r="J1033">
        <f t="shared" si="269"/>
        <v>0.13209560488450009</v>
      </c>
      <c r="K1033">
        <f t="shared" si="275"/>
        <v>-1.8251540499406338</v>
      </c>
      <c r="O1033">
        <f t="shared" si="276"/>
        <v>-3.3141824627637484E-2</v>
      </c>
      <c r="P1033">
        <f t="shared" si="277"/>
        <v>-0.12747396608436504</v>
      </c>
      <c r="Q1033">
        <f t="shared" si="278"/>
        <v>0.99128805472025794</v>
      </c>
      <c r="R1033">
        <f t="shared" si="268"/>
        <v>1</v>
      </c>
      <c r="AG1033" s="8">
        <f t="shared" si="270"/>
        <v>0.23822056536429265</v>
      </c>
      <c r="AH1033" s="8">
        <f t="shared" si="271"/>
        <v>-0.18437842606572813</v>
      </c>
      <c r="AI1033" s="8">
        <f t="shared" si="272"/>
        <v>0.9535489280781777</v>
      </c>
      <c r="AJ1033" s="8"/>
      <c r="AK1033" s="8"/>
      <c r="AL1033" s="8"/>
      <c r="AN1033" s="8">
        <f t="shared" si="279"/>
        <v>1</v>
      </c>
      <c r="AO1033" s="8">
        <f t="shared" si="280"/>
        <v>5.6245115632985661</v>
      </c>
      <c r="AP1033" s="8">
        <f t="shared" si="281"/>
        <v>0.30599088588493917</v>
      </c>
      <c r="AQ1033" s="8"/>
      <c r="AR1033" s="8">
        <f t="shared" si="282"/>
        <v>322.26077439953661</v>
      </c>
      <c r="AS1033" s="8">
        <f t="shared" si="283"/>
        <v>72.468013669323796</v>
      </c>
    </row>
    <row r="1034" spans="1:45">
      <c r="A1034" s="19">
        <v>43.109733329999997</v>
      </c>
      <c r="B1034" s="19">
        <v>1010.845639</v>
      </c>
      <c r="C1034" s="19">
        <v>-735.82423440000002</v>
      </c>
      <c r="E1034" s="9">
        <f t="shared" si="273"/>
        <v>-50.845639000000006</v>
      </c>
      <c r="F1034" s="9">
        <f t="shared" si="274"/>
        <v>-195.82423440000002</v>
      </c>
      <c r="I1034">
        <v>1</v>
      </c>
      <c r="J1034">
        <f t="shared" si="269"/>
        <v>0.13268727248643428</v>
      </c>
      <c r="K1034">
        <f t="shared" si="275"/>
        <v>-1.8248359286189197</v>
      </c>
      <c r="O1034">
        <f t="shared" si="276"/>
        <v>-3.324866504084225E-2</v>
      </c>
      <c r="P1034">
        <f t="shared" si="277"/>
        <v>-0.12805216935999139</v>
      </c>
      <c r="Q1034">
        <f t="shared" si="278"/>
        <v>0.99120995162236036</v>
      </c>
      <c r="R1034">
        <f t="shared" si="268"/>
        <v>1</v>
      </c>
      <c r="AG1034" s="8">
        <f t="shared" si="270"/>
        <v>0.23879317532284511</v>
      </c>
      <c r="AH1034" s="8">
        <f t="shared" si="271"/>
        <v>-0.18428829283517872</v>
      </c>
      <c r="AI1034" s="8">
        <f t="shared" si="272"/>
        <v>0.95342311936680468</v>
      </c>
      <c r="AJ1034" s="8"/>
      <c r="AK1034" s="8"/>
      <c r="AL1034" s="8"/>
      <c r="AN1034" s="8">
        <f t="shared" si="279"/>
        <v>1</v>
      </c>
      <c r="AO1034" s="8">
        <f t="shared" si="280"/>
        <v>5.6259097859919791</v>
      </c>
      <c r="AP1034" s="8">
        <f t="shared" si="281"/>
        <v>0.30640824886439355</v>
      </c>
      <c r="AQ1034" s="8"/>
      <c r="AR1034" s="8">
        <f t="shared" si="282"/>
        <v>322.34088665868859</v>
      </c>
      <c r="AS1034" s="8">
        <f t="shared" si="283"/>
        <v>72.44410053207605</v>
      </c>
    </row>
    <row r="1035" spans="1:45">
      <c r="A1035" s="19">
        <v>43.143099999999997</v>
      </c>
      <c r="B1035" s="19">
        <v>1011.124543</v>
      </c>
      <c r="C1035" s="19">
        <v>-736.29746409999996</v>
      </c>
      <c r="E1035" s="9">
        <f t="shared" si="273"/>
        <v>-51.124543000000017</v>
      </c>
      <c r="F1035" s="9">
        <f t="shared" si="274"/>
        <v>-196.29746409999996</v>
      </c>
      <c r="I1035">
        <v>1</v>
      </c>
      <c r="J1035">
        <f t="shared" si="269"/>
        <v>0.13303372530953494</v>
      </c>
      <c r="K1035">
        <f t="shared" si="275"/>
        <v>-1.8255804471514037</v>
      </c>
      <c r="O1035">
        <f t="shared" si="276"/>
        <v>-3.3430542249594825E-2</v>
      </c>
      <c r="P1035">
        <f t="shared" si="277"/>
        <v>-0.12835969344671444</v>
      </c>
      <c r="Q1035">
        <f t="shared" si="278"/>
        <v>0.9911640570274749</v>
      </c>
      <c r="R1035">
        <f t="shared" si="268"/>
        <v>1</v>
      </c>
      <c r="AG1035" s="8">
        <f t="shared" si="270"/>
        <v>0.23913299306455452</v>
      </c>
      <c r="AH1035" s="8">
        <f t="shared" si="271"/>
        <v>-0.18435623159839681</v>
      </c>
      <c r="AI1035" s="8">
        <f t="shared" si="272"/>
        <v>0.95332480902304528</v>
      </c>
      <c r="AJ1035" s="8"/>
      <c r="AK1035" s="8"/>
      <c r="AL1035" s="8"/>
      <c r="AN1035" s="8">
        <f t="shared" si="279"/>
        <v>0.99999999999999978</v>
      </c>
      <c r="AO1035" s="8">
        <f t="shared" si="280"/>
        <v>5.6264192515413942</v>
      </c>
      <c r="AP1035" s="8">
        <f t="shared" si="281"/>
        <v>0.30673400479437141</v>
      </c>
      <c r="AQ1035" s="8"/>
      <c r="AR1035" s="8">
        <f t="shared" si="282"/>
        <v>322.37007688447738</v>
      </c>
      <c r="AS1035" s="8">
        <f t="shared" si="283"/>
        <v>72.425436092136962</v>
      </c>
    </row>
    <row r="1036" spans="1:45">
      <c r="A1036" s="19">
        <v>43.176466670000003</v>
      </c>
      <c r="B1036" s="19">
        <v>1011.858921</v>
      </c>
      <c r="C1036" s="19">
        <v>-737.11119729999996</v>
      </c>
      <c r="E1036" s="9">
        <f t="shared" si="273"/>
        <v>-51.858921000000009</v>
      </c>
      <c r="F1036" s="9">
        <f t="shared" si="274"/>
        <v>-197.11119729999996</v>
      </c>
      <c r="I1036">
        <v>1</v>
      </c>
      <c r="J1036">
        <f t="shared" si="269"/>
        <v>0.13367200210833585</v>
      </c>
      <c r="K1036">
        <f t="shared" si="275"/>
        <v>-1.8280609849621097</v>
      </c>
      <c r="O1036">
        <f t="shared" si="276"/>
        <v>-3.3909799011538136E-2</v>
      </c>
      <c r="P1036">
        <f t="shared" si="277"/>
        <v>-0.12888816339558321</v>
      </c>
      <c r="Q1036">
        <f t="shared" si="278"/>
        <v>0.99107919303530456</v>
      </c>
      <c r="R1036">
        <f t="shared" si="268"/>
        <v>1</v>
      </c>
      <c r="AG1036" s="8">
        <f t="shared" si="270"/>
        <v>0.23976395406854711</v>
      </c>
      <c r="AH1036" s="8">
        <f t="shared" si="271"/>
        <v>-0.18462741991357562</v>
      </c>
      <c r="AI1036" s="8">
        <f t="shared" si="272"/>
        <v>0.95311382433866298</v>
      </c>
      <c r="AJ1036" s="8"/>
      <c r="AK1036" s="8"/>
      <c r="AL1036" s="8"/>
      <c r="AN1036" s="8">
        <f t="shared" si="279"/>
        <v>0.99999999999999978</v>
      </c>
      <c r="AO1036" s="8">
        <f t="shared" si="280"/>
        <v>5.6269825655418577</v>
      </c>
      <c r="AP1036" s="8">
        <f t="shared" si="281"/>
        <v>0.30743198389101467</v>
      </c>
      <c r="AQ1036" s="8"/>
      <c r="AR1036" s="8">
        <f t="shared" si="282"/>
        <v>322.40235239924459</v>
      </c>
      <c r="AS1036" s="8">
        <f t="shared" si="283"/>
        <v>72.385444835710942</v>
      </c>
    </row>
    <row r="1037" spans="1:45">
      <c r="A1037" s="19">
        <v>43.209833330000002</v>
      </c>
      <c r="B1037" s="19">
        <v>1011.850469</v>
      </c>
      <c r="C1037" s="19">
        <v>-737.83039540000004</v>
      </c>
      <c r="E1037" s="9">
        <f t="shared" si="273"/>
        <v>-51.850468999999975</v>
      </c>
      <c r="F1037" s="9">
        <f t="shared" si="274"/>
        <v>-197.83039540000004</v>
      </c>
      <c r="I1037">
        <v>1</v>
      </c>
      <c r="J1037">
        <f t="shared" si="269"/>
        <v>0.13412677984132232</v>
      </c>
      <c r="K1037">
        <f t="shared" si="275"/>
        <v>-1.8271262550528489</v>
      </c>
      <c r="O1037">
        <f t="shared" si="276"/>
        <v>-3.3903577277324431E-2</v>
      </c>
      <c r="P1037">
        <f t="shared" si="277"/>
        <v>-0.12935578457829491</v>
      </c>
      <c r="Q1037">
        <f t="shared" si="278"/>
        <v>0.99101848037457618</v>
      </c>
      <c r="R1037">
        <f t="shared" si="268"/>
        <v>1</v>
      </c>
      <c r="AG1037" s="8">
        <f t="shared" si="270"/>
        <v>0.24020084401148822</v>
      </c>
      <c r="AH1037" s="8">
        <f t="shared" si="271"/>
        <v>-0.18446854304025312</v>
      </c>
      <c r="AI1037" s="8">
        <f t="shared" si="272"/>
        <v>0.95303458025654819</v>
      </c>
      <c r="AJ1037" s="8"/>
      <c r="AK1037" s="8"/>
      <c r="AL1037" s="8"/>
      <c r="AN1037" s="8">
        <f t="shared" si="279"/>
        <v>1</v>
      </c>
      <c r="AO1037" s="8">
        <f t="shared" si="280"/>
        <v>5.6282783151289646</v>
      </c>
      <c r="AP1037" s="8">
        <f t="shared" si="281"/>
        <v>0.30769374292162643</v>
      </c>
      <c r="AQ1037" s="8"/>
      <c r="AR1037" s="8">
        <f t="shared" si="282"/>
        <v>322.47659338189163</v>
      </c>
      <c r="AS1037" s="8">
        <f t="shared" si="283"/>
        <v>72.370447148007457</v>
      </c>
    </row>
    <row r="1038" spans="1:45">
      <c r="A1038" s="19">
        <v>43.243200000000002</v>
      </c>
      <c r="B1038" s="19">
        <v>1012.741531</v>
      </c>
      <c r="C1038" s="19">
        <v>-738.80967220000002</v>
      </c>
      <c r="E1038" s="9">
        <f t="shared" si="273"/>
        <v>-52.741531000000009</v>
      </c>
      <c r="F1038" s="9">
        <f t="shared" si="274"/>
        <v>-198.80967220000002</v>
      </c>
      <c r="I1038">
        <v>1</v>
      </c>
      <c r="J1038">
        <f t="shared" si="269"/>
        <v>0.13489667802523286</v>
      </c>
      <c r="K1038">
        <f t="shared" si="275"/>
        <v>-1.8301097808091127</v>
      </c>
      <c r="O1038">
        <f t="shared" si="276"/>
        <v>-3.4484993854565396E-2</v>
      </c>
      <c r="P1038">
        <f t="shared" si="277"/>
        <v>-0.12999149236007509</v>
      </c>
      <c r="Q1038">
        <f t="shared" si="278"/>
        <v>0.99091523205209187</v>
      </c>
      <c r="R1038">
        <f t="shared" si="268"/>
        <v>1</v>
      </c>
      <c r="AG1038" s="8">
        <f t="shared" si="270"/>
        <v>0.24096111725119235</v>
      </c>
      <c r="AH1038" s="8">
        <f t="shared" si="271"/>
        <v>-0.18479911724980949</v>
      </c>
      <c r="AI1038" s="8">
        <f t="shared" si="272"/>
        <v>0.95277858195739706</v>
      </c>
      <c r="AJ1038" s="8"/>
      <c r="AK1038" s="8"/>
      <c r="AL1038" s="8"/>
      <c r="AN1038" s="8">
        <f t="shared" si="279"/>
        <v>1</v>
      </c>
      <c r="AO1038" s="8">
        <f t="shared" si="280"/>
        <v>5.6289398694620134</v>
      </c>
      <c r="AP1038" s="8">
        <f t="shared" si="281"/>
        <v>0.30853788710047381</v>
      </c>
      <c r="AQ1038" s="8"/>
      <c r="AR1038" s="8">
        <f t="shared" si="282"/>
        <v>322.51449765309394</v>
      </c>
      <c r="AS1038" s="8">
        <f t="shared" si="283"/>
        <v>72.322081249258957</v>
      </c>
    </row>
    <row r="1039" spans="1:45">
      <c r="A1039" s="19">
        <v>43.276566670000001</v>
      </c>
      <c r="B1039" s="19">
        <v>1012.924323</v>
      </c>
      <c r="C1039" s="19">
        <v>-739.62249529999997</v>
      </c>
      <c r="E1039" s="9">
        <f t="shared" si="273"/>
        <v>-52.924322999999958</v>
      </c>
      <c r="F1039" s="9">
        <f t="shared" si="274"/>
        <v>-199.62249529999997</v>
      </c>
      <c r="I1039">
        <v>1</v>
      </c>
      <c r="J1039">
        <f t="shared" si="269"/>
        <v>0.13544252114622973</v>
      </c>
      <c r="K1039">
        <f t="shared" si="275"/>
        <v>-1.8299560850734278</v>
      </c>
      <c r="O1039">
        <f t="shared" si="276"/>
        <v>-3.4603620745191868E-2</v>
      </c>
      <c r="P1039">
        <f t="shared" si="277"/>
        <v>-0.13051959341208863</v>
      </c>
      <c r="Q1039">
        <f t="shared" si="278"/>
        <v>0.99084167512618582</v>
      </c>
      <c r="R1039">
        <f t="shared" si="268"/>
        <v>1</v>
      </c>
      <c r="AG1039" s="8">
        <f t="shared" si="270"/>
        <v>0.24148988351212819</v>
      </c>
      <c r="AH1039" s="8">
        <f t="shared" si="271"/>
        <v>-0.18473600613674035</v>
      </c>
      <c r="AI1039" s="8">
        <f t="shared" si="272"/>
        <v>0.95265693940575735</v>
      </c>
      <c r="AJ1039" s="8"/>
      <c r="AK1039" s="8"/>
      <c r="AL1039" s="8"/>
      <c r="AN1039" s="8">
        <f t="shared" si="279"/>
        <v>0.99999999999999989</v>
      </c>
      <c r="AO1039" s="8">
        <f t="shared" si="280"/>
        <v>5.6301629212123352</v>
      </c>
      <c r="AP1039" s="8">
        <f t="shared" si="281"/>
        <v>0.30893821591766635</v>
      </c>
      <c r="AQ1039" s="8"/>
      <c r="AR1039" s="8">
        <f t="shared" si="282"/>
        <v>322.58457335651343</v>
      </c>
      <c r="AS1039" s="8">
        <f t="shared" si="283"/>
        <v>72.299144097616363</v>
      </c>
    </row>
    <row r="1040" spans="1:45">
      <c r="A1040" s="19">
        <v>43.30993333</v>
      </c>
      <c r="B1040" s="19">
        <v>1013.9148269999999</v>
      </c>
      <c r="C1040" s="19">
        <v>-740.64657009999996</v>
      </c>
      <c r="E1040" s="9">
        <f t="shared" si="273"/>
        <v>-53.914826999999946</v>
      </c>
      <c r="F1040" s="9">
        <f t="shared" si="274"/>
        <v>-200.64657009999996</v>
      </c>
      <c r="I1040">
        <v>1</v>
      </c>
      <c r="J1040">
        <f t="shared" si="269"/>
        <v>0.13625862160187452</v>
      </c>
      <c r="K1040">
        <f t="shared" si="275"/>
        <v>-1.8333011794362997</v>
      </c>
      <c r="O1040">
        <f t="shared" si="276"/>
        <v>-3.5249853859308636E-2</v>
      </c>
      <c r="P1040">
        <f t="shared" si="277"/>
        <v>-0.13118399273351158</v>
      </c>
      <c r="Q1040">
        <f t="shared" si="278"/>
        <v>0.99073114811910068</v>
      </c>
      <c r="R1040">
        <f t="shared" si="268"/>
        <v>1</v>
      </c>
      <c r="AG1040" s="8">
        <f t="shared" si="270"/>
        <v>0.24229521152933062</v>
      </c>
      <c r="AH1040" s="8">
        <f t="shared" si="271"/>
        <v>-0.18511699809490828</v>
      </c>
      <c r="AI1040" s="8">
        <f t="shared" si="272"/>
        <v>0.95237845811751043</v>
      </c>
      <c r="AJ1040" s="8"/>
      <c r="AK1040" s="8"/>
      <c r="AL1040" s="8"/>
      <c r="AN1040" s="8">
        <f t="shared" si="279"/>
        <v>1</v>
      </c>
      <c r="AO1040" s="8">
        <f t="shared" si="280"/>
        <v>5.6307752349343341</v>
      </c>
      <c r="AP1040" s="8">
        <f t="shared" si="281"/>
        <v>0.30985281994572444</v>
      </c>
      <c r="AQ1040" s="8"/>
      <c r="AR1040" s="8">
        <f t="shared" si="282"/>
        <v>322.61965634852191</v>
      </c>
      <c r="AS1040" s="8">
        <f t="shared" si="283"/>
        <v>72.246741146882982</v>
      </c>
    </row>
    <row r="1041" spans="1:45">
      <c r="A1041" s="19">
        <v>43.343299999999999</v>
      </c>
      <c r="B1041" s="19">
        <v>1013.878334</v>
      </c>
      <c r="C1041" s="19">
        <v>-740.94729949999999</v>
      </c>
      <c r="E1041" s="9">
        <f t="shared" si="273"/>
        <v>-53.878333999999995</v>
      </c>
      <c r="F1041" s="9">
        <f t="shared" si="274"/>
        <v>-200.94729949999999</v>
      </c>
      <c r="I1041">
        <v>1</v>
      </c>
      <c r="J1041">
        <f t="shared" si="269"/>
        <v>0.13644281161351343</v>
      </c>
      <c r="K1041">
        <f t="shared" si="275"/>
        <v>-1.8327566707681795</v>
      </c>
      <c r="O1041">
        <f t="shared" si="276"/>
        <v>-3.5225675608678446E-2</v>
      </c>
      <c r="P1041">
        <f t="shared" si="277"/>
        <v>-0.13137942213704967</v>
      </c>
      <c r="Q1041">
        <f t="shared" si="278"/>
        <v>0.99070611142601062</v>
      </c>
      <c r="R1041">
        <f t="shared" si="268"/>
        <v>1</v>
      </c>
      <c r="AG1041" s="8">
        <f t="shared" si="270"/>
        <v>0.24247166708458984</v>
      </c>
      <c r="AH1041" s="8">
        <f t="shared" si="271"/>
        <v>-0.18503052477090071</v>
      </c>
      <c r="AI1041" s="8">
        <f t="shared" si="272"/>
        <v>0.95235035337013696</v>
      </c>
      <c r="AJ1041" s="8"/>
      <c r="AK1041" s="8"/>
      <c r="AL1041" s="8"/>
      <c r="AN1041" s="8">
        <f t="shared" si="279"/>
        <v>0.99999999999999989</v>
      </c>
      <c r="AO1041" s="8">
        <f t="shared" si="280"/>
        <v>5.6313517491816425</v>
      </c>
      <c r="AP1041" s="8">
        <f t="shared" si="281"/>
        <v>0.30994497803378662</v>
      </c>
      <c r="AQ1041" s="8"/>
      <c r="AR1041" s="8">
        <f t="shared" si="282"/>
        <v>322.65268818172183</v>
      </c>
      <c r="AS1041" s="8">
        <f t="shared" si="283"/>
        <v>72.241460877389017</v>
      </c>
    </row>
    <row r="1042" spans="1:45">
      <c r="A1042" s="19">
        <v>43.376666669999999</v>
      </c>
      <c r="B1042" s="19">
        <v>1014.50041</v>
      </c>
      <c r="C1042" s="19">
        <v>-741.973298</v>
      </c>
      <c r="E1042" s="9">
        <f t="shared" si="273"/>
        <v>-54.500409999999988</v>
      </c>
      <c r="F1042" s="9">
        <f t="shared" si="274"/>
        <v>-201.973298</v>
      </c>
      <c r="I1042">
        <v>1</v>
      </c>
      <c r="J1042">
        <f t="shared" si="269"/>
        <v>0.13719813032413647</v>
      </c>
      <c r="K1042">
        <f t="shared" si="275"/>
        <v>-1.8343587279766598</v>
      </c>
      <c r="O1042">
        <f t="shared" si="276"/>
        <v>-3.5631045540875587E-2</v>
      </c>
      <c r="P1042">
        <f t="shared" si="277"/>
        <v>-0.13204524111064192</v>
      </c>
      <c r="Q1042">
        <f t="shared" si="278"/>
        <v>0.99060309049270412</v>
      </c>
      <c r="R1042">
        <f t="shared" si="268"/>
        <v>1</v>
      </c>
      <c r="AG1042" s="8">
        <f t="shared" si="270"/>
        <v>0.24321032100521572</v>
      </c>
      <c r="AH1042" s="8">
        <f t="shared" si="271"/>
        <v>-0.18518772719043658</v>
      </c>
      <c r="AI1042" s="8">
        <f t="shared" si="272"/>
        <v>0.95213142236488568</v>
      </c>
      <c r="AJ1042" s="8"/>
      <c r="AK1042" s="8"/>
      <c r="AL1042" s="8"/>
      <c r="AN1042" s="8">
        <f t="shared" si="279"/>
        <v>1</v>
      </c>
      <c r="AO1042" s="8">
        <f t="shared" si="280"/>
        <v>5.63240880120079</v>
      </c>
      <c r="AP1042" s="8">
        <f t="shared" si="281"/>
        <v>0.31066196742121477</v>
      </c>
      <c r="AQ1042" s="8"/>
      <c r="AR1042" s="8">
        <f t="shared" si="282"/>
        <v>322.71325280114479</v>
      </c>
      <c r="AS1042" s="8">
        <f t="shared" si="283"/>
        <v>72.200380411533715</v>
      </c>
    </row>
    <row r="1043" spans="1:45">
      <c r="A1043" s="19">
        <v>43.410033329999997</v>
      </c>
      <c r="B1043" s="19">
        <v>1014.5483410000001</v>
      </c>
      <c r="C1043" s="19">
        <v>-742.64060329999995</v>
      </c>
      <c r="E1043" s="9">
        <f t="shared" si="273"/>
        <v>-54.54834100000005</v>
      </c>
      <c r="F1043" s="9">
        <f t="shared" si="274"/>
        <v>-202.64060329999995</v>
      </c>
      <c r="I1043">
        <v>1</v>
      </c>
      <c r="J1043">
        <f t="shared" si="269"/>
        <v>0.1376285740449647</v>
      </c>
      <c r="K1043">
        <f t="shared" si="275"/>
        <v>-1.8337508217997047</v>
      </c>
      <c r="O1043">
        <f t="shared" si="276"/>
        <v>-3.5661600378414329E-2</v>
      </c>
      <c r="P1043">
        <f t="shared" si="277"/>
        <v>-0.13247860673389469</v>
      </c>
      <c r="Q1043">
        <f t="shared" si="278"/>
        <v>0.99054412774812628</v>
      </c>
      <c r="R1043">
        <f t="shared" si="268"/>
        <v>1</v>
      </c>
      <c r="AG1043" s="8">
        <f t="shared" si="270"/>
        <v>0.2436252949147697</v>
      </c>
      <c r="AH1043" s="8">
        <f t="shared" si="271"/>
        <v>-0.1850738671240742</v>
      </c>
      <c r="AI1043" s="8">
        <f t="shared" si="272"/>
        <v>0.9520474669812593</v>
      </c>
      <c r="AJ1043" s="8"/>
      <c r="AK1043" s="8"/>
      <c r="AL1043" s="8"/>
      <c r="AN1043" s="8">
        <f t="shared" si="279"/>
        <v>1</v>
      </c>
      <c r="AO1043" s="8">
        <f t="shared" si="280"/>
        <v>5.6335265698170689</v>
      </c>
      <c r="AP1043" s="8">
        <f t="shared" si="281"/>
        <v>0.31093649320016503</v>
      </c>
      <c r="AQ1043" s="8"/>
      <c r="AR1043" s="8">
        <f t="shared" si="282"/>
        <v>322.77729622532974</v>
      </c>
      <c r="AS1043" s="8">
        <f t="shared" si="283"/>
        <v>72.18465124303232</v>
      </c>
    </row>
    <row r="1044" spans="1:45">
      <c r="A1044" s="19">
        <v>43.443399999999997</v>
      </c>
      <c r="B1044" s="19">
        <v>1015.777033</v>
      </c>
      <c r="C1044" s="19">
        <v>-743.83565810000005</v>
      </c>
      <c r="E1044" s="9">
        <f t="shared" si="273"/>
        <v>-55.77703299999996</v>
      </c>
      <c r="F1044" s="9">
        <f t="shared" si="274"/>
        <v>-203.83565810000005</v>
      </c>
      <c r="I1044">
        <v>1</v>
      </c>
      <c r="J1044">
        <f t="shared" si="269"/>
        <v>0.13859523880761934</v>
      </c>
      <c r="K1044">
        <f t="shared" si="275"/>
        <v>-1.8378951775434798</v>
      </c>
      <c r="O1044">
        <f t="shared" si="276"/>
        <v>-3.6463037498282259E-2</v>
      </c>
      <c r="P1044">
        <f t="shared" si="277"/>
        <v>-0.1332531840621094</v>
      </c>
      <c r="Q1044">
        <f t="shared" si="278"/>
        <v>0.99041104387709067</v>
      </c>
      <c r="R1044">
        <f t="shared" si="268"/>
        <v>1</v>
      </c>
      <c r="AG1044" s="8">
        <f t="shared" si="270"/>
        <v>0.24457744275121129</v>
      </c>
      <c r="AH1044" s="8">
        <f t="shared" si="271"/>
        <v>-0.18556205822220442</v>
      </c>
      <c r="AI1044" s="8">
        <f t="shared" si="272"/>
        <v>0.95170825206342369</v>
      </c>
      <c r="AJ1044" s="8"/>
      <c r="AK1044" s="8"/>
      <c r="AL1044" s="8"/>
      <c r="AN1044" s="8">
        <f t="shared" si="279"/>
        <v>1</v>
      </c>
      <c r="AO1044" s="8">
        <f t="shared" si="280"/>
        <v>5.6341364200407273</v>
      </c>
      <c r="AP1044" s="8">
        <f t="shared" si="281"/>
        <v>0.31204331274540165</v>
      </c>
      <c r="AQ1044" s="8"/>
      <c r="AR1044" s="8">
        <f t="shared" si="282"/>
        <v>322.81223806928051</v>
      </c>
      <c r="AS1044" s="8">
        <f t="shared" si="283"/>
        <v>72.121235154407671</v>
      </c>
    </row>
    <row r="1045" spans="1:45">
      <c r="A1045" s="19">
        <v>43.476766670000004</v>
      </c>
      <c r="B1045" s="19">
        <v>1015.929602</v>
      </c>
      <c r="C1045" s="19">
        <v>-743.96323270000005</v>
      </c>
      <c r="E1045" s="9">
        <f t="shared" si="273"/>
        <v>-55.929602000000045</v>
      </c>
      <c r="F1045" s="9">
        <f t="shared" si="274"/>
        <v>-203.96323270000005</v>
      </c>
      <c r="I1045">
        <v>1</v>
      </c>
      <c r="J1045">
        <f t="shared" si="269"/>
        <v>0.13870226912962064</v>
      </c>
      <c r="K1045">
        <f t="shared" si="275"/>
        <v>-1.8384317811877826</v>
      </c>
      <c r="O1045">
        <f t="shared" si="276"/>
        <v>-3.6562569133470987E-2</v>
      </c>
      <c r="P1045">
        <f t="shared" si="277"/>
        <v>-0.13333582806972205</v>
      </c>
      <c r="Q1045">
        <f t="shared" si="278"/>
        <v>0.99039625175548884</v>
      </c>
      <c r="R1045">
        <f t="shared" si="268"/>
        <v>1</v>
      </c>
      <c r="AG1045" s="8">
        <f t="shared" si="270"/>
        <v>0.24468297600018901</v>
      </c>
      <c r="AH1045" s="8">
        <f t="shared" si="271"/>
        <v>-0.18562711881524735</v>
      </c>
      <c r="AI1045" s="8">
        <f t="shared" si="272"/>
        <v>0.95166843701787274</v>
      </c>
      <c r="AJ1045" s="8"/>
      <c r="AK1045" s="8"/>
      <c r="AL1045" s="8"/>
      <c r="AN1045" s="8">
        <f t="shared" si="279"/>
        <v>0.99999999999999989</v>
      </c>
      <c r="AO1045" s="8">
        <f t="shared" si="280"/>
        <v>5.6341753493140754</v>
      </c>
      <c r="AP1045" s="8">
        <f t="shared" si="281"/>
        <v>0.31217297573537728</v>
      </c>
      <c r="AQ1045" s="8"/>
      <c r="AR1045" s="8">
        <f t="shared" si="282"/>
        <v>322.81446855234282</v>
      </c>
      <c r="AS1045" s="8">
        <f t="shared" si="283"/>
        <v>72.113806012323025</v>
      </c>
    </row>
    <row r="1046" spans="1:45">
      <c r="A1046" s="19">
        <v>43.510133330000002</v>
      </c>
      <c r="B1046" s="19">
        <v>1016.725506</v>
      </c>
      <c r="C1046" s="19">
        <v>-744.96973830000002</v>
      </c>
      <c r="E1046" s="9">
        <f t="shared" si="273"/>
        <v>-56.725505999999996</v>
      </c>
      <c r="F1046" s="9">
        <f t="shared" si="274"/>
        <v>-204.96973830000002</v>
      </c>
      <c r="I1046">
        <v>1</v>
      </c>
      <c r="J1046">
        <f t="shared" si="269"/>
        <v>0.13947650755537908</v>
      </c>
      <c r="K1046">
        <f t="shared" si="275"/>
        <v>-1.8407893630491277</v>
      </c>
      <c r="O1046">
        <f t="shared" si="276"/>
        <v>-3.7081331563323112E-2</v>
      </c>
      <c r="P1046">
        <f t="shared" si="277"/>
        <v>-0.13398824201497422</v>
      </c>
      <c r="Q1046">
        <f t="shared" si="278"/>
        <v>0.99028891029397459</v>
      </c>
      <c r="R1046">
        <f t="shared" si="268"/>
        <v>1</v>
      </c>
      <c r="AG1046" s="8">
        <f t="shared" si="270"/>
        <v>0.24544080601492607</v>
      </c>
      <c r="AH1046" s="8">
        <f t="shared" si="271"/>
        <v>-0.1858933724570323</v>
      </c>
      <c r="AI1046" s="8">
        <f t="shared" si="272"/>
        <v>0.95142128671755843</v>
      </c>
      <c r="AJ1046" s="8"/>
      <c r="AK1046" s="8"/>
      <c r="AL1046" s="8"/>
      <c r="AN1046" s="8">
        <f t="shared" si="279"/>
        <v>1</v>
      </c>
      <c r="AO1046" s="8">
        <f t="shared" si="280"/>
        <v>5.6349740424714492</v>
      </c>
      <c r="AP1046" s="8">
        <f t="shared" si="281"/>
        <v>0.31297669115839799</v>
      </c>
      <c r="AQ1046" s="8"/>
      <c r="AR1046" s="8">
        <f t="shared" si="282"/>
        <v>322.86023029938633</v>
      </c>
      <c r="AS1046" s="8">
        <f t="shared" si="283"/>
        <v>72.067756510654363</v>
      </c>
    </row>
    <row r="1047" spans="1:45">
      <c r="A1047" s="19">
        <v>43.543500000000002</v>
      </c>
      <c r="B1047" s="19">
        <v>1016.7744719999999</v>
      </c>
      <c r="C1047" s="19">
        <v>-745.83240439999997</v>
      </c>
      <c r="E1047" s="9">
        <f t="shared" si="273"/>
        <v>-56.774471999999946</v>
      </c>
      <c r="F1047" s="9">
        <f t="shared" si="274"/>
        <v>-205.83240439999997</v>
      </c>
      <c r="I1047">
        <v>1</v>
      </c>
      <c r="J1047">
        <f t="shared" si="269"/>
        <v>0.14002975926710462</v>
      </c>
      <c r="K1047">
        <f t="shared" si="275"/>
        <v>-1.8399327536025198</v>
      </c>
      <c r="O1047">
        <f t="shared" si="276"/>
        <v>-3.7112217229011667E-2</v>
      </c>
      <c r="P1047">
        <f t="shared" si="277"/>
        <v>-0.13454809240432189</v>
      </c>
      <c r="Q1047">
        <f t="shared" si="278"/>
        <v>0.99021184307334187</v>
      </c>
      <c r="R1047">
        <f t="shared" si="268"/>
        <v>1</v>
      </c>
      <c r="AG1047" s="8">
        <f t="shared" si="270"/>
        <v>0.24597434560243181</v>
      </c>
      <c r="AH1047" s="8">
        <f t="shared" si="271"/>
        <v>-0.18573809219667531</v>
      </c>
      <c r="AI1047" s="8">
        <f t="shared" si="272"/>
        <v>0.95131381910103385</v>
      </c>
      <c r="AJ1047" s="8"/>
      <c r="AK1047" s="8"/>
      <c r="AL1047" s="8"/>
      <c r="AN1047" s="8">
        <f t="shared" si="279"/>
        <v>0.99999999999999978</v>
      </c>
      <c r="AO1047" s="8">
        <f t="shared" si="280"/>
        <v>5.6364207657233232</v>
      </c>
      <c r="AP1047" s="8">
        <f t="shared" si="281"/>
        <v>0.31332554626209808</v>
      </c>
      <c r="AQ1047" s="8"/>
      <c r="AR1047" s="8">
        <f t="shared" si="282"/>
        <v>322.94312143584216</v>
      </c>
      <c r="AS1047" s="8">
        <f t="shared" si="283"/>
        <v>72.047768585550756</v>
      </c>
    </row>
    <row r="1048" spans="1:45">
      <c r="A1048" s="19">
        <v>43.576866670000001</v>
      </c>
      <c r="B1048" s="19">
        <v>1017.608294</v>
      </c>
      <c r="C1048" s="19">
        <v>-746.6670838</v>
      </c>
      <c r="E1048" s="9">
        <f t="shared" si="273"/>
        <v>-57.608294000000001</v>
      </c>
      <c r="F1048" s="9">
        <f t="shared" si="274"/>
        <v>-206.6670838</v>
      </c>
      <c r="I1048">
        <v>1</v>
      </c>
      <c r="J1048">
        <f t="shared" si="269"/>
        <v>0.14070253520580145</v>
      </c>
      <c r="K1048">
        <f t="shared" si="275"/>
        <v>-1.8426448307907801</v>
      </c>
      <c r="O1048">
        <f t="shared" si="276"/>
        <v>-3.7655857152409343E-2</v>
      </c>
      <c r="P1048">
        <f t="shared" si="277"/>
        <v>-0.13508864167506526</v>
      </c>
      <c r="Q1048">
        <f t="shared" si="278"/>
        <v>0.99011771790656444</v>
      </c>
      <c r="R1048">
        <f t="shared" si="268"/>
        <v>1</v>
      </c>
      <c r="AG1048" s="8">
        <f t="shared" si="270"/>
        <v>0.24663420550111786</v>
      </c>
      <c r="AH1048" s="8">
        <f t="shared" si="271"/>
        <v>-0.18606392996220411</v>
      </c>
      <c r="AI1048" s="8">
        <f t="shared" si="272"/>
        <v>0.95107927253402613</v>
      </c>
      <c r="AJ1048" s="8"/>
      <c r="AK1048" s="8"/>
      <c r="AL1048" s="8"/>
      <c r="AN1048" s="8">
        <f t="shared" si="279"/>
        <v>1</v>
      </c>
      <c r="AO1048" s="8">
        <f t="shared" si="280"/>
        <v>5.6368661682230385</v>
      </c>
      <c r="AP1048" s="8">
        <f t="shared" si="281"/>
        <v>0.31408561627604259</v>
      </c>
      <c r="AQ1048" s="8"/>
      <c r="AR1048" s="8">
        <f t="shared" si="282"/>
        <v>322.96864111926044</v>
      </c>
      <c r="AS1048" s="8">
        <f t="shared" si="283"/>
        <v>72.00421978161728</v>
      </c>
    </row>
    <row r="1049" spans="1:45">
      <c r="A1049" s="19">
        <v>43.61023333</v>
      </c>
      <c r="B1049" s="19">
        <v>1017.721126</v>
      </c>
      <c r="C1049" s="19">
        <v>-747.70920490000003</v>
      </c>
      <c r="E1049" s="9">
        <f t="shared" si="273"/>
        <v>-57.721126000000027</v>
      </c>
      <c r="F1049" s="9">
        <f t="shared" si="274"/>
        <v>-207.70920490000003</v>
      </c>
      <c r="I1049">
        <v>1</v>
      </c>
      <c r="J1049">
        <f t="shared" si="269"/>
        <v>0.14137985939227707</v>
      </c>
      <c r="K1049">
        <f t="shared" si="275"/>
        <v>-1.841851000193077</v>
      </c>
      <c r="O1049">
        <f t="shared" si="276"/>
        <v>-3.7728159031176607E-2</v>
      </c>
      <c r="P1049">
        <f t="shared" si="277"/>
        <v>-0.13576460574775423</v>
      </c>
      <c r="Q1049">
        <f t="shared" si="278"/>
        <v>0.99002250370497902</v>
      </c>
      <c r="R1049">
        <f t="shared" si="268"/>
        <v>1</v>
      </c>
      <c r="AG1049" s="8">
        <f t="shared" si="270"/>
        <v>0.24728817359121824</v>
      </c>
      <c r="AH1049" s="8">
        <f t="shared" si="271"/>
        <v>-0.18590870316312877</v>
      </c>
      <c r="AI1049" s="8">
        <f t="shared" si="272"/>
        <v>0.95093980529270261</v>
      </c>
      <c r="AJ1049" s="8"/>
      <c r="AK1049" s="8"/>
      <c r="AL1049" s="8"/>
      <c r="AN1049" s="8">
        <f t="shared" si="279"/>
        <v>0.99999999999999989</v>
      </c>
      <c r="AO1049" s="8">
        <f t="shared" si="280"/>
        <v>5.6385397705865348</v>
      </c>
      <c r="AP1049" s="8">
        <f t="shared" si="281"/>
        <v>0.31453673085111911</v>
      </c>
      <c r="AQ1049" s="8"/>
      <c r="AR1049" s="8">
        <f t="shared" si="282"/>
        <v>323.06453147127189</v>
      </c>
      <c r="AS1049" s="8">
        <f t="shared" si="283"/>
        <v>71.978372820388557</v>
      </c>
    </row>
    <row r="1050" spans="1:45">
      <c r="A1050" s="19">
        <v>43.643599999999999</v>
      </c>
      <c r="B1050" s="19">
        <v>1017.8866400000001</v>
      </c>
      <c r="C1050" s="19">
        <v>-747.95274900000004</v>
      </c>
      <c r="E1050" s="9">
        <f t="shared" si="273"/>
        <v>-57.886640000000057</v>
      </c>
      <c r="F1050" s="9">
        <f t="shared" si="274"/>
        <v>-207.95274900000004</v>
      </c>
      <c r="I1050">
        <v>1</v>
      </c>
      <c r="J1050">
        <f t="shared" si="269"/>
        <v>0.14156255790625824</v>
      </c>
      <c r="K1050">
        <f t="shared" si="275"/>
        <v>-1.8422876854437837</v>
      </c>
      <c r="O1050">
        <f t="shared" si="276"/>
        <v>-3.7835946345271543E-2</v>
      </c>
      <c r="P1050">
        <f t="shared" si="277"/>
        <v>-0.13592236573958544</v>
      </c>
      <c r="Q1050">
        <f t="shared" si="278"/>
        <v>0.98999674325520493</v>
      </c>
      <c r="R1050">
        <f t="shared" si="268"/>
        <v>1</v>
      </c>
      <c r="AG1050" s="8">
        <f t="shared" si="270"/>
        <v>0.24746639975618112</v>
      </c>
      <c r="AH1050" s="8">
        <f t="shared" si="271"/>
        <v>-0.18595664566457309</v>
      </c>
      <c r="AI1050" s="8">
        <f t="shared" si="272"/>
        <v>0.95088406597486652</v>
      </c>
      <c r="AJ1050" s="8"/>
      <c r="AK1050" s="8"/>
      <c r="AL1050" s="8"/>
      <c r="AN1050" s="8">
        <f t="shared" si="279"/>
        <v>0.99999999999999989</v>
      </c>
      <c r="AO1050" s="8">
        <f t="shared" si="280"/>
        <v>5.6387619587970077</v>
      </c>
      <c r="AP1050" s="8">
        <f t="shared" si="281"/>
        <v>0.31471684792375831</v>
      </c>
      <c r="AQ1050" s="8"/>
      <c r="AR1050" s="8">
        <f t="shared" si="282"/>
        <v>323.07726191798952</v>
      </c>
      <c r="AS1050" s="8">
        <f t="shared" si="283"/>
        <v>71.968052872308078</v>
      </c>
    </row>
    <row r="1051" spans="1:45">
      <c r="A1051" s="19">
        <v>43.676966669999999</v>
      </c>
      <c r="B1051" s="19">
        <v>1018.770245</v>
      </c>
      <c r="C1051" s="19">
        <v>-748.91739770000004</v>
      </c>
      <c r="E1051" s="9">
        <f t="shared" si="273"/>
        <v>-58.770245000000045</v>
      </c>
      <c r="F1051" s="9">
        <f t="shared" si="274"/>
        <v>-208.91739770000004</v>
      </c>
      <c r="I1051">
        <v>1</v>
      </c>
      <c r="J1051">
        <f t="shared" si="269"/>
        <v>0.14232675900539915</v>
      </c>
      <c r="K1051">
        <f t="shared" si="275"/>
        <v>-1.845018012046753</v>
      </c>
      <c r="O1051">
        <f t="shared" si="276"/>
        <v>-3.8411779982838325E-2</v>
      </c>
      <c r="P1051">
        <f t="shared" si="277"/>
        <v>-0.13654680382971912</v>
      </c>
      <c r="Q1051">
        <f t="shared" si="278"/>
        <v>0.98988863288879025</v>
      </c>
      <c r="R1051">
        <f t="shared" ref="R1051:R1114" si="284">SQRT(O1051^2+P1051^2+Q1051^2)</f>
        <v>1</v>
      </c>
      <c r="AG1051" s="8">
        <f t="shared" si="270"/>
        <v>0.24821382032960176</v>
      </c>
      <c r="AH1051" s="8">
        <f t="shared" si="271"/>
        <v>-0.18628447301695072</v>
      </c>
      <c r="AI1051" s="8">
        <f t="shared" si="272"/>
        <v>0.95062505464046176</v>
      </c>
      <c r="AJ1051" s="8"/>
      <c r="AK1051" s="8"/>
      <c r="AL1051" s="8"/>
      <c r="AN1051" s="8">
        <f t="shared" si="279"/>
        <v>0.99999999999999978</v>
      </c>
      <c r="AO1051" s="8">
        <f t="shared" si="280"/>
        <v>5.6393642729634808</v>
      </c>
      <c r="AP1051" s="8">
        <f t="shared" si="281"/>
        <v>0.31555251792759687</v>
      </c>
      <c r="AQ1051" s="8"/>
      <c r="AR1051" s="8">
        <f t="shared" si="282"/>
        <v>323.11177197766938</v>
      </c>
      <c r="AS1051" s="8">
        <f t="shared" si="283"/>
        <v>71.920172508022461</v>
      </c>
    </row>
    <row r="1052" spans="1:45">
      <c r="A1052" s="19">
        <v>43.710333329999997</v>
      </c>
      <c r="B1052" s="19">
        <v>1018.775472</v>
      </c>
      <c r="C1052" s="19">
        <v>-749.81104370000003</v>
      </c>
      <c r="E1052" s="9">
        <f t="shared" si="273"/>
        <v>-58.775472000000036</v>
      </c>
      <c r="F1052" s="9">
        <f t="shared" si="274"/>
        <v>-209.81104370000003</v>
      </c>
      <c r="I1052">
        <v>1</v>
      </c>
      <c r="J1052">
        <f t="shared" si="269"/>
        <v>0.1428909882897198</v>
      </c>
      <c r="K1052">
        <f t="shared" si="275"/>
        <v>-1.8439304552258622</v>
      </c>
      <c r="O1052">
        <f t="shared" si="276"/>
        <v>-3.8413911072962111E-2</v>
      </c>
      <c r="P1052">
        <f t="shared" si="277"/>
        <v>-0.13712629606474563</v>
      </c>
      <c r="Q1052">
        <f t="shared" si="278"/>
        <v>0.98980844124691236</v>
      </c>
      <c r="R1052">
        <f t="shared" si="284"/>
        <v>1</v>
      </c>
      <c r="AG1052" s="8">
        <f t="shared" si="270"/>
        <v>0.24875750534530905</v>
      </c>
      <c r="AH1052" s="8">
        <f t="shared" si="271"/>
        <v>-0.1860958134310618</v>
      </c>
      <c r="AI1052" s="8">
        <f t="shared" si="272"/>
        <v>0.95051988498811013</v>
      </c>
      <c r="AJ1052" s="8"/>
      <c r="AK1052" s="8"/>
      <c r="AL1052" s="8"/>
      <c r="AN1052" s="8">
        <f t="shared" si="279"/>
        <v>1.0000000000000002</v>
      </c>
      <c r="AO1052" s="8">
        <f t="shared" si="280"/>
        <v>5.6409004735049963</v>
      </c>
      <c r="AP1052" s="8">
        <f t="shared" si="281"/>
        <v>0.31589122557208427</v>
      </c>
      <c r="AQ1052" s="8"/>
      <c r="AR1052" s="8">
        <f t="shared" si="282"/>
        <v>323.19978978518395</v>
      </c>
      <c r="AS1052" s="8">
        <f t="shared" si="283"/>
        <v>71.900765989504507</v>
      </c>
    </row>
    <row r="1053" spans="1:45">
      <c r="A1053" s="19">
        <v>43.743699999999997</v>
      </c>
      <c r="B1053" s="19">
        <v>1019.898855</v>
      </c>
      <c r="C1053" s="19">
        <v>-750.33977149999998</v>
      </c>
      <c r="E1053" s="9">
        <f t="shared" si="273"/>
        <v>-59.898855000000026</v>
      </c>
      <c r="F1053" s="9">
        <f t="shared" si="274"/>
        <v>-210.33977149999998</v>
      </c>
      <c r="I1053">
        <v>1</v>
      </c>
      <c r="J1053">
        <f t="shared" si="269"/>
        <v>0.14342397896093922</v>
      </c>
      <c r="K1053">
        <f t="shared" si="275"/>
        <v>-1.8482245007679363</v>
      </c>
      <c r="O1053">
        <f t="shared" si="276"/>
        <v>-3.914686551070827E-2</v>
      </c>
      <c r="P1053">
        <f t="shared" si="277"/>
        <v>-0.1374674481918495</v>
      </c>
      <c r="Q1053">
        <f t="shared" si="278"/>
        <v>0.98973239999926632</v>
      </c>
      <c r="R1053">
        <f t="shared" si="284"/>
        <v>1</v>
      </c>
      <c r="AG1053" s="8">
        <f t="shared" si="270"/>
        <v>0.2492835747575983</v>
      </c>
      <c r="AH1053" s="8">
        <f t="shared" si="271"/>
        <v>-0.1866621101050491</v>
      </c>
      <c r="AI1053" s="8">
        <f t="shared" si="272"/>
        <v>0.95027099082693434</v>
      </c>
      <c r="AJ1053" s="8"/>
      <c r="AK1053" s="8"/>
      <c r="AL1053" s="8"/>
      <c r="AN1053" s="8">
        <f t="shared" si="279"/>
        <v>1</v>
      </c>
      <c r="AO1053" s="8">
        <f t="shared" si="280"/>
        <v>5.6404563181508331</v>
      </c>
      <c r="AP1053" s="8">
        <f t="shared" si="281"/>
        <v>0.31669141516446397</v>
      </c>
      <c r="AQ1053" s="8"/>
      <c r="AR1053" s="8">
        <f t="shared" si="282"/>
        <v>323.17434155794223</v>
      </c>
      <c r="AS1053" s="8">
        <f t="shared" si="283"/>
        <v>71.854918503050854</v>
      </c>
    </row>
    <row r="1054" spans="1:45">
      <c r="A1054" s="19">
        <v>43.777066670000004</v>
      </c>
      <c r="B1054" s="19">
        <v>1019.897888</v>
      </c>
      <c r="C1054" s="19">
        <v>-751.65110119999997</v>
      </c>
      <c r="E1054" s="9">
        <f t="shared" si="273"/>
        <v>-59.897887999999966</v>
      </c>
      <c r="F1054" s="9">
        <f t="shared" si="274"/>
        <v>-211.65110119999997</v>
      </c>
      <c r="I1054">
        <v>1</v>
      </c>
      <c r="J1054">
        <f t="shared" si="269"/>
        <v>0.14424950380076371</v>
      </c>
      <c r="K1054">
        <f t="shared" si="275"/>
        <v>-1.8465874965666964</v>
      </c>
      <c r="O1054">
        <f t="shared" si="276"/>
        <v>-3.9144254212876393E-2</v>
      </c>
      <c r="P1054">
        <f t="shared" si="277"/>
        <v>-0.13831747306028608</v>
      </c>
      <c r="Q1054">
        <f t="shared" si="278"/>
        <v>0.98961406821464237</v>
      </c>
      <c r="R1054">
        <f t="shared" si="284"/>
        <v>1</v>
      </c>
      <c r="AG1054" s="8">
        <f t="shared" si="270"/>
        <v>0.25007936013199217</v>
      </c>
      <c r="AH1054" s="8">
        <f t="shared" si="271"/>
        <v>-0.18637988471466527</v>
      </c>
      <c r="AI1054" s="8">
        <f t="shared" si="272"/>
        <v>0.95011728339701385</v>
      </c>
      <c r="AJ1054" s="8"/>
      <c r="AK1054" s="8"/>
      <c r="AL1054" s="8"/>
      <c r="AN1054" s="8">
        <f t="shared" si="279"/>
        <v>1</v>
      </c>
      <c r="AO1054" s="8">
        <f t="shared" si="280"/>
        <v>5.6427099482794905</v>
      </c>
      <c r="AP1054" s="8">
        <f t="shared" si="281"/>
        <v>0.31718460694550088</v>
      </c>
      <c r="AQ1054" s="8"/>
      <c r="AR1054" s="8">
        <f t="shared" si="282"/>
        <v>323.30346505289782</v>
      </c>
      <c r="AS1054" s="8">
        <f t="shared" si="283"/>
        <v>71.826660695506902</v>
      </c>
    </row>
    <row r="1055" spans="1:45">
      <c r="A1055" s="19">
        <v>43.810433330000002</v>
      </c>
      <c r="B1055" s="19">
        <v>1020.146882</v>
      </c>
      <c r="C1055" s="19">
        <v>-751.74402999999995</v>
      </c>
      <c r="E1055" s="9">
        <f t="shared" si="273"/>
        <v>-60.146882000000005</v>
      </c>
      <c r="F1055" s="9">
        <f t="shared" si="274"/>
        <v>-211.74402999999995</v>
      </c>
      <c r="I1055">
        <v>1</v>
      </c>
      <c r="J1055">
        <f t="shared" si="269"/>
        <v>0.14435246995323717</v>
      </c>
      <c r="K1055">
        <f t="shared" si="275"/>
        <v>-1.8475609586313511</v>
      </c>
      <c r="O1055">
        <f t="shared" si="276"/>
        <v>-3.9306725011066884E-2</v>
      </c>
      <c r="P1055">
        <f t="shared" si="277"/>
        <v>-0.1383773203729014</v>
      </c>
      <c r="Q1055">
        <f t="shared" si="278"/>
        <v>0.98959926160811162</v>
      </c>
      <c r="R1055">
        <f t="shared" si="284"/>
        <v>1</v>
      </c>
      <c r="AG1055" s="8">
        <f t="shared" si="270"/>
        <v>0.25018117404777285</v>
      </c>
      <c r="AH1055" s="8">
        <f t="shared" si="271"/>
        <v>-0.18651057696662926</v>
      </c>
      <c r="AI1055" s="8">
        <f t="shared" si="272"/>
        <v>0.95006483190972446</v>
      </c>
      <c r="AJ1055" s="8"/>
      <c r="AK1055" s="8"/>
      <c r="AL1055" s="8"/>
      <c r="AN1055" s="8">
        <f t="shared" si="279"/>
        <v>1</v>
      </c>
      <c r="AO1055" s="8">
        <f t="shared" si="280"/>
        <v>5.6425691099375053</v>
      </c>
      <c r="AP1055" s="8">
        <f t="shared" si="281"/>
        <v>0.31735273538940367</v>
      </c>
      <c r="AQ1055" s="8"/>
      <c r="AR1055" s="8">
        <f t="shared" si="282"/>
        <v>323.29539561030845</v>
      </c>
      <c r="AS1055" s="8">
        <f t="shared" si="283"/>
        <v>71.817027645255166</v>
      </c>
    </row>
    <row r="1056" spans="1:45">
      <c r="A1056" s="19">
        <v>43.843800000000002</v>
      </c>
      <c r="B1056" s="19">
        <v>1020.5512670000001</v>
      </c>
      <c r="C1056" s="19">
        <v>-752.79319210000006</v>
      </c>
      <c r="E1056" s="9">
        <f t="shared" si="273"/>
        <v>-60.551267000000053</v>
      </c>
      <c r="F1056" s="9">
        <f t="shared" si="274"/>
        <v>-212.79319210000006</v>
      </c>
      <c r="I1056">
        <v>1</v>
      </c>
      <c r="J1056">
        <f t="shared" ref="J1056:J1119" si="285">ATAN((SQRT(E1056^2+F1056^2)^$B$16)/($F$24))</f>
        <v>0.14508526700695246</v>
      </c>
      <c r="K1056">
        <f t="shared" si="275"/>
        <v>-1.8480234316728534</v>
      </c>
      <c r="O1056">
        <f t="shared" si="276"/>
        <v>-3.9569179029042056E-2</v>
      </c>
      <c r="P1056">
        <f t="shared" si="277"/>
        <v>-0.13905657687338294</v>
      </c>
      <c r="Q1056">
        <f t="shared" si="278"/>
        <v>0.98949358183831826</v>
      </c>
      <c r="R1056">
        <f t="shared" si="284"/>
        <v>1</v>
      </c>
      <c r="AG1056" s="8">
        <f t="shared" ref="AG1056:AG1119" si="286">$O1056*$Z$27+$P1056*$Z$31+$Q1056*$Z$35</f>
        <v>0.25089148901288361</v>
      </c>
      <c r="AH1056" s="8">
        <f t="shared" ref="AH1056:AH1119" si="287">$O1056*$AA$27+$P1056*$AA$31+$Q1056*$AA$35</f>
        <v>-0.18652981053463247</v>
      </c>
      <c r="AI1056" s="8">
        <f t="shared" ref="AI1056:AI1119" si="288">$AB$27*$O1056+$P1056*$AB$31+$AB$35*$Q1056</f>
        <v>0.94987372346160426</v>
      </c>
      <c r="AJ1056" s="8"/>
      <c r="AK1056" s="8"/>
      <c r="AL1056" s="8"/>
      <c r="AN1056" s="8">
        <f t="shared" si="279"/>
        <v>1</v>
      </c>
      <c r="AO1056" s="8">
        <f t="shared" si="280"/>
        <v>5.6438777587483919</v>
      </c>
      <c r="AP1056" s="8">
        <f t="shared" si="281"/>
        <v>0.31796458939790995</v>
      </c>
      <c r="AQ1056" s="8"/>
      <c r="AR1056" s="8">
        <f t="shared" si="282"/>
        <v>323.37037566403711</v>
      </c>
      <c r="AS1056" s="8">
        <f t="shared" si="283"/>
        <v>71.781970992889597</v>
      </c>
    </row>
    <row r="1057" spans="1:45">
      <c r="A1057" s="19">
        <v>43.877166670000001</v>
      </c>
      <c r="B1057" s="19">
        <v>1021.154105</v>
      </c>
      <c r="C1057" s="19">
        <v>-753.70073549999995</v>
      </c>
      <c r="E1057" s="9">
        <f t="shared" ref="E1057:E1120" si="289">-(B1057-($B$15/2))</f>
        <v>-61.154104999999959</v>
      </c>
      <c r="F1057" s="9">
        <f t="shared" ref="F1057:F1120" si="290">(($C$15/2)+C1057)</f>
        <v>-213.70073549999995</v>
      </c>
      <c r="I1057">
        <v>1</v>
      </c>
      <c r="J1057">
        <f t="shared" si="285"/>
        <v>0.14576454534659475</v>
      </c>
      <c r="K1057">
        <f t="shared" ref="K1057:K1120" si="291">ATAN2(E1057,F1057)</f>
        <v>-1.8495145115505822</v>
      </c>
      <c r="O1057">
        <f t="shared" ref="O1057:O1120" si="292">COS(K1057)*SIN(J1057)</f>
        <v>-3.9961392192839687E-2</v>
      </c>
      <c r="P1057">
        <f t="shared" ref="P1057:P1120" si="293">SIN(K1057)*SIN(J1057)</f>
        <v>-0.1396435922529454</v>
      </c>
      <c r="Q1057">
        <f t="shared" ref="Q1057:Q1120" si="294">COS(J1057)</f>
        <v>0.98939514567067854</v>
      </c>
      <c r="R1057">
        <f t="shared" si="284"/>
        <v>1</v>
      </c>
      <c r="AG1057" s="8">
        <f t="shared" si="286"/>
        <v>0.25155184667762498</v>
      </c>
      <c r="AH1057" s="8">
        <f t="shared" si="287"/>
        <v>-0.18669943469610492</v>
      </c>
      <c r="AI1057" s="8">
        <f t="shared" si="288"/>
        <v>0.94966572514608072</v>
      </c>
      <c r="AJ1057" s="8"/>
      <c r="AK1057" s="8"/>
      <c r="AL1057" s="8"/>
      <c r="AN1057" s="8">
        <f t="shared" ref="AN1057:AN1120" si="295">AG1057^2+AH1057^2+AI1057^2</f>
        <v>0.99999999999999989</v>
      </c>
      <c r="AO1057" s="8">
        <f t="shared" ref="AO1057:AO1120" si="296">IF(ATAN2(AG1057,AH1057)&gt;=0,ATAN2(AG1057,AH1057),ATAN2(AG1057,AH1057)+2*PI())</f>
        <v>5.6447009300331619</v>
      </c>
      <c r="AP1057" s="8">
        <f t="shared" ref="AP1057:AP1120" si="297">ACOS(AI1057/AN1057)</f>
        <v>0.31862922806601413</v>
      </c>
      <c r="AQ1057" s="8"/>
      <c r="AR1057" s="8">
        <f t="shared" ref="AR1057:AR1120" si="298">DEGREES(AO1057)</f>
        <v>323.41753990447074</v>
      </c>
      <c r="AS1057" s="8">
        <f t="shared" ref="AS1057:AS1120" si="299">90-DEGREES(AP1057)</f>
        <v>71.743890002306031</v>
      </c>
    </row>
    <row r="1058" spans="1:45">
      <c r="A1058" s="19">
        <v>43.91053333</v>
      </c>
      <c r="B1058" s="19">
        <v>1021.7866749999999</v>
      </c>
      <c r="C1058" s="19">
        <v>-754.28150879999998</v>
      </c>
      <c r="E1058" s="9">
        <f t="shared" si="289"/>
        <v>-61.786674999999946</v>
      </c>
      <c r="F1058" s="9">
        <f t="shared" si="290"/>
        <v>-214.28150879999998</v>
      </c>
      <c r="I1058">
        <v>1</v>
      </c>
      <c r="J1058">
        <f t="shared" si="285"/>
        <v>0.14624400947890112</v>
      </c>
      <c r="K1058">
        <f t="shared" si="291"/>
        <v>-1.85152505446601</v>
      </c>
      <c r="O1058">
        <f t="shared" si="292"/>
        <v>-4.0373495686591765E-2</v>
      </c>
      <c r="P1058">
        <f t="shared" si="293"/>
        <v>-0.14001875924304374</v>
      </c>
      <c r="Q1058">
        <f t="shared" si="294"/>
        <v>0.98932539030699262</v>
      </c>
      <c r="R1058">
        <f t="shared" si="284"/>
        <v>1</v>
      </c>
      <c r="AG1058" s="8">
        <f t="shared" si="286"/>
        <v>0.2520192847213934</v>
      </c>
      <c r="AH1058" s="8">
        <f t="shared" si="287"/>
        <v>-0.18695719739181554</v>
      </c>
      <c r="AI1058" s="8">
        <f t="shared" si="288"/>
        <v>0.94949106708379039</v>
      </c>
      <c r="AJ1058" s="8"/>
      <c r="AK1058" s="8"/>
      <c r="AL1058" s="8"/>
      <c r="AN1058" s="8">
        <f t="shared" si="295"/>
        <v>0.99999999999999989</v>
      </c>
      <c r="AO1058" s="8">
        <f t="shared" si="296"/>
        <v>5.644929104721335</v>
      </c>
      <c r="AP1058" s="8">
        <f t="shared" si="297"/>
        <v>0.31918629851099878</v>
      </c>
      <c r="AQ1058" s="8"/>
      <c r="AR1058" s="8">
        <f t="shared" si="298"/>
        <v>323.43061335109479</v>
      </c>
      <c r="AS1058" s="8">
        <f t="shared" si="299"/>
        <v>71.711972216916934</v>
      </c>
    </row>
    <row r="1059" spans="1:45">
      <c r="A1059" s="19">
        <v>43.943899999999999</v>
      </c>
      <c r="B1059" s="19">
        <v>1022.5635590000001</v>
      </c>
      <c r="C1059" s="19">
        <v>-755.14200849999997</v>
      </c>
      <c r="E1059" s="9">
        <f t="shared" si="289"/>
        <v>-62.563559000000055</v>
      </c>
      <c r="F1059" s="9">
        <f t="shared" si="290"/>
        <v>-215.14200849999997</v>
      </c>
      <c r="I1059">
        <v>1</v>
      </c>
      <c r="J1059">
        <f t="shared" si="285"/>
        <v>0.14692606573071357</v>
      </c>
      <c r="K1059">
        <f t="shared" si="291"/>
        <v>-1.8537926568847447</v>
      </c>
      <c r="O1059">
        <f t="shared" si="292"/>
        <v>-4.0879309321514352E-2</v>
      </c>
      <c r="P1059">
        <f t="shared" si="293"/>
        <v>-0.14057475076702983</v>
      </c>
      <c r="Q1059">
        <f t="shared" si="294"/>
        <v>0.98922576872834411</v>
      </c>
      <c r="R1059">
        <f t="shared" si="284"/>
        <v>1</v>
      </c>
      <c r="AG1059" s="8">
        <f t="shared" si="286"/>
        <v>0.2526824417847372</v>
      </c>
      <c r="AH1059" s="8">
        <f t="shared" si="287"/>
        <v>-0.18724199832837471</v>
      </c>
      <c r="AI1059" s="8">
        <f t="shared" si="288"/>
        <v>0.94925866742195186</v>
      </c>
      <c r="AJ1059" s="8"/>
      <c r="AK1059" s="8"/>
      <c r="AL1059" s="8"/>
      <c r="AN1059" s="8">
        <f t="shared" si="295"/>
        <v>1</v>
      </c>
      <c r="AO1059" s="8">
        <f t="shared" si="296"/>
        <v>5.6454581167140461</v>
      </c>
      <c r="AP1059" s="8">
        <f t="shared" si="297"/>
        <v>0.31992608263035893</v>
      </c>
      <c r="AQ1059" s="8"/>
      <c r="AR1059" s="8">
        <f t="shared" si="298"/>
        <v>323.46092350558894</v>
      </c>
      <c r="AS1059" s="8">
        <f t="shared" si="299"/>
        <v>71.669585709126807</v>
      </c>
    </row>
    <row r="1060" spans="1:45">
      <c r="A1060" s="19">
        <v>43.977266669999999</v>
      </c>
      <c r="B1060" s="19">
        <v>1022.58847</v>
      </c>
      <c r="C1060" s="19">
        <v>-755.70587120000005</v>
      </c>
      <c r="E1060" s="9">
        <f t="shared" si="289"/>
        <v>-62.588470000000029</v>
      </c>
      <c r="F1060" s="9">
        <f t="shared" si="290"/>
        <v>-215.70587120000005</v>
      </c>
      <c r="I1060">
        <v>1</v>
      </c>
      <c r="J1060">
        <f t="shared" si="285"/>
        <v>0.14728479125060615</v>
      </c>
      <c r="K1060">
        <f t="shared" si="291"/>
        <v>-1.8531981422304695</v>
      </c>
      <c r="O1060">
        <f t="shared" si="292"/>
        <v>-4.0894612270176704E-2</v>
      </c>
      <c r="P1060">
        <f t="shared" si="293"/>
        <v>-0.14093982433385382</v>
      </c>
      <c r="Q1060">
        <f t="shared" si="294"/>
        <v>0.98917318837704771</v>
      </c>
      <c r="R1060">
        <f t="shared" si="284"/>
        <v>1</v>
      </c>
      <c r="AG1060" s="8">
        <f t="shared" si="286"/>
        <v>0.25302872390316822</v>
      </c>
      <c r="AH1060" s="8">
        <f t="shared" si="287"/>
        <v>-0.18713577607526077</v>
      </c>
      <c r="AI1060" s="8">
        <f t="shared" si="288"/>
        <v>0.949187371488182</v>
      </c>
      <c r="AJ1060" s="8"/>
      <c r="AK1060" s="8"/>
      <c r="AL1060" s="8"/>
      <c r="AN1060" s="8">
        <f t="shared" si="295"/>
        <v>0.99999999999999989</v>
      </c>
      <c r="AO1060" s="8">
        <f t="shared" si="296"/>
        <v>5.6463843958665372</v>
      </c>
      <c r="AP1060" s="8">
        <f t="shared" si="297"/>
        <v>0.32015270385699468</v>
      </c>
      <c r="AQ1060" s="8"/>
      <c r="AR1060" s="8">
        <f t="shared" si="298"/>
        <v>323.51399539167767</v>
      </c>
      <c r="AS1060" s="8">
        <f t="shared" si="299"/>
        <v>71.656601269292494</v>
      </c>
    </row>
    <row r="1061" spans="1:45">
      <c r="A1061" s="19">
        <v>44.010633329999997</v>
      </c>
      <c r="B1061" s="19">
        <v>1022.866599</v>
      </c>
      <c r="C1061" s="19">
        <v>-756.73547440000004</v>
      </c>
      <c r="E1061" s="9">
        <f t="shared" si="289"/>
        <v>-62.866598999999951</v>
      </c>
      <c r="F1061" s="9">
        <f t="shared" si="290"/>
        <v>-216.73547440000004</v>
      </c>
      <c r="I1061">
        <v>1</v>
      </c>
      <c r="J1061">
        <f t="shared" si="285"/>
        <v>0.14798219038936611</v>
      </c>
      <c r="K1061">
        <f t="shared" si="291"/>
        <v>-1.853110401140293</v>
      </c>
      <c r="O1061">
        <f t="shared" si="292"/>
        <v>-4.1074413158733884E-2</v>
      </c>
      <c r="P1061">
        <f t="shared" si="293"/>
        <v>-0.14160591734348163</v>
      </c>
      <c r="Q1061">
        <f t="shared" si="294"/>
        <v>0.98907060251378243</v>
      </c>
      <c r="R1061">
        <f t="shared" si="284"/>
        <v>1</v>
      </c>
      <c r="AG1061" s="8">
        <f t="shared" si="286"/>
        <v>0.25370321808789342</v>
      </c>
      <c r="AH1061" s="8">
        <f t="shared" si="287"/>
        <v>-0.1870824408943878</v>
      </c>
      <c r="AI1061" s="8">
        <f t="shared" si="288"/>
        <v>0.94901782777819532</v>
      </c>
      <c r="AJ1061" s="8"/>
      <c r="AK1061" s="8"/>
      <c r="AL1061" s="8"/>
      <c r="AN1061" s="8">
        <f t="shared" si="295"/>
        <v>0.99999999999999967</v>
      </c>
      <c r="AO1061" s="8">
        <f t="shared" si="296"/>
        <v>5.6477927786527813</v>
      </c>
      <c r="AP1061" s="8">
        <f t="shared" si="297"/>
        <v>0.32069099431267634</v>
      </c>
      <c r="AQ1061" s="8"/>
      <c r="AR1061" s="8">
        <f t="shared" si="298"/>
        <v>323.5946897812683</v>
      </c>
      <c r="AS1061" s="8">
        <f t="shared" si="299"/>
        <v>71.625759498029765</v>
      </c>
    </row>
    <row r="1062" spans="1:45">
      <c r="A1062" s="19">
        <v>44.043999999999997</v>
      </c>
      <c r="B1062" s="19">
        <v>1023.73028</v>
      </c>
      <c r="C1062" s="19">
        <v>-757.52467669999999</v>
      </c>
      <c r="E1062" s="9">
        <f t="shared" si="289"/>
        <v>-63.730279999999993</v>
      </c>
      <c r="F1062" s="9">
        <f t="shared" si="290"/>
        <v>-217.52467669999999</v>
      </c>
      <c r="I1062">
        <v>1</v>
      </c>
      <c r="J1062">
        <f t="shared" si="285"/>
        <v>0.14863571288546401</v>
      </c>
      <c r="K1062">
        <f t="shared" si="291"/>
        <v>-1.8557999538313694</v>
      </c>
      <c r="O1062">
        <f t="shared" si="292"/>
        <v>-4.1636848622378118E-2</v>
      </c>
      <c r="P1062">
        <f t="shared" si="293"/>
        <v>-0.14211520858514429</v>
      </c>
      <c r="Q1062">
        <f t="shared" si="294"/>
        <v>0.98897403420190866</v>
      </c>
      <c r="R1062">
        <f t="shared" si="284"/>
        <v>1</v>
      </c>
      <c r="AG1062" s="8">
        <f t="shared" si="286"/>
        <v>0.25433842286875918</v>
      </c>
      <c r="AH1062" s="8">
        <f t="shared" si="287"/>
        <v>-0.18743479469908542</v>
      </c>
      <c r="AI1062" s="8">
        <f t="shared" si="288"/>
        <v>0.94877824826918522</v>
      </c>
      <c r="AJ1062" s="8"/>
      <c r="AK1062" s="8"/>
      <c r="AL1062" s="8"/>
      <c r="AN1062" s="8">
        <f t="shared" si="295"/>
        <v>0.99999999999999978</v>
      </c>
      <c r="AO1062" s="8">
        <f t="shared" si="296"/>
        <v>5.6480884077826872</v>
      </c>
      <c r="AP1062" s="8">
        <f t="shared" si="297"/>
        <v>0.32145016008167526</v>
      </c>
      <c r="AQ1062" s="8"/>
      <c r="AR1062" s="8">
        <f t="shared" si="298"/>
        <v>323.61162808271303</v>
      </c>
      <c r="AS1062" s="8">
        <f t="shared" si="299"/>
        <v>71.582262503515324</v>
      </c>
    </row>
    <row r="1063" spans="1:45">
      <c r="A1063" s="19">
        <v>44.077366670000004</v>
      </c>
      <c r="B1063" s="19">
        <v>1023.80132</v>
      </c>
      <c r="C1063" s="19">
        <v>-757.98026890000006</v>
      </c>
      <c r="E1063" s="9">
        <f t="shared" si="289"/>
        <v>-63.801320000000032</v>
      </c>
      <c r="F1063" s="9">
        <f t="shared" si="290"/>
        <v>-217.98026890000006</v>
      </c>
      <c r="I1063">
        <v>1</v>
      </c>
      <c r="J1063">
        <f t="shared" si="285"/>
        <v>0.14893465365578573</v>
      </c>
      <c r="K1063">
        <f t="shared" si="291"/>
        <v>-1.8555361330398836</v>
      </c>
      <c r="O1063">
        <f t="shared" si="292"/>
        <v>-4.1682401241299814E-2</v>
      </c>
      <c r="P1063">
        <f t="shared" si="293"/>
        <v>-0.14240992241189099</v>
      </c>
      <c r="Q1063">
        <f t="shared" si="294"/>
        <v>0.98892972016488534</v>
      </c>
      <c r="R1063">
        <f t="shared" si="284"/>
        <v>1</v>
      </c>
      <c r="AG1063" s="8">
        <f t="shared" si="286"/>
        <v>0.25462725289521726</v>
      </c>
      <c r="AH1063" s="8">
        <f t="shared" si="287"/>
        <v>-0.18737966965236968</v>
      </c>
      <c r="AI1063" s="8">
        <f t="shared" si="288"/>
        <v>0.94871166403918727</v>
      </c>
      <c r="AJ1063" s="8"/>
      <c r="AK1063" s="8"/>
      <c r="AL1063" s="8"/>
      <c r="AN1063" s="8">
        <f t="shared" si="295"/>
        <v>0.99999999999999978</v>
      </c>
      <c r="AO1063" s="8">
        <f t="shared" si="296"/>
        <v>5.6487707784389061</v>
      </c>
      <c r="AP1063" s="8">
        <f t="shared" si="297"/>
        <v>0.32166084119154159</v>
      </c>
      <c r="AQ1063" s="8"/>
      <c r="AR1063" s="8">
        <f t="shared" si="298"/>
        <v>323.65072504137794</v>
      </c>
      <c r="AS1063" s="8">
        <f t="shared" si="299"/>
        <v>71.570191365096846</v>
      </c>
    </row>
    <row r="1064" spans="1:45">
      <c r="A1064" s="19">
        <v>44.110733330000002</v>
      </c>
      <c r="B1064" s="19">
        <v>1024.41488</v>
      </c>
      <c r="C1064" s="19">
        <v>-758.89169809999999</v>
      </c>
      <c r="E1064" s="9">
        <f t="shared" si="289"/>
        <v>-64.414880000000039</v>
      </c>
      <c r="F1064" s="9">
        <f t="shared" si="290"/>
        <v>-218.89169809999999</v>
      </c>
      <c r="I1064">
        <v>1</v>
      </c>
      <c r="J1064">
        <f t="shared" si="285"/>
        <v>0.14961938235316422</v>
      </c>
      <c r="K1064">
        <f t="shared" si="291"/>
        <v>-1.8569947967582638</v>
      </c>
      <c r="O1064">
        <f t="shared" si="292"/>
        <v>-4.2081239207736362E-2</v>
      </c>
      <c r="P1064">
        <f t="shared" si="293"/>
        <v>-0.14299854177068572</v>
      </c>
      <c r="Q1064">
        <f t="shared" si="294"/>
        <v>0.98882788510346875</v>
      </c>
      <c r="R1064">
        <f t="shared" si="284"/>
        <v>1</v>
      </c>
      <c r="AG1064" s="8">
        <f t="shared" si="286"/>
        <v>0.25529066299588599</v>
      </c>
      <c r="AH1064" s="8">
        <f t="shared" si="287"/>
        <v>-0.18755433427355825</v>
      </c>
      <c r="AI1064" s="8">
        <f t="shared" si="288"/>
        <v>0.94849883978965588</v>
      </c>
      <c r="AJ1064" s="8"/>
      <c r="AK1064" s="8"/>
      <c r="AL1064" s="8"/>
      <c r="AN1064" s="8">
        <f t="shared" si="295"/>
        <v>0.99999999999999989</v>
      </c>
      <c r="AO1064" s="8">
        <f t="shared" si="296"/>
        <v>5.6495679517415915</v>
      </c>
      <c r="AP1064" s="8">
        <f t="shared" si="297"/>
        <v>0.3223333531855499</v>
      </c>
      <c r="AQ1064" s="8"/>
      <c r="AR1064" s="8">
        <f t="shared" si="298"/>
        <v>323.69639970716236</v>
      </c>
      <c r="AS1064" s="8">
        <f t="shared" si="299"/>
        <v>71.531659266168248</v>
      </c>
    </row>
    <row r="1065" spans="1:45">
      <c r="A1065" s="19">
        <v>44.144100000000002</v>
      </c>
      <c r="B1065" s="19">
        <v>1024.6350440000001</v>
      </c>
      <c r="C1065" s="19">
        <v>-759.68459919999998</v>
      </c>
      <c r="E1065" s="9">
        <f t="shared" si="289"/>
        <v>-64.635044000000107</v>
      </c>
      <c r="F1065" s="9">
        <f t="shared" si="290"/>
        <v>-219.68459919999998</v>
      </c>
      <c r="I1065">
        <v>1</v>
      </c>
      <c r="J1065">
        <f t="shared" si="285"/>
        <v>0.15015724787301371</v>
      </c>
      <c r="K1065">
        <f t="shared" si="291"/>
        <v>-1.8569396288225892</v>
      </c>
      <c r="O1065">
        <f t="shared" si="292"/>
        <v>-4.2223462959001166E-2</v>
      </c>
      <c r="P1065">
        <f t="shared" si="293"/>
        <v>-0.14351107329615498</v>
      </c>
      <c r="Q1065">
        <f t="shared" si="294"/>
        <v>0.98874756688304188</v>
      </c>
      <c r="R1065">
        <f t="shared" si="284"/>
        <v>1</v>
      </c>
      <c r="AG1065" s="8">
        <f t="shared" si="286"/>
        <v>0.25581061639599473</v>
      </c>
      <c r="AH1065" s="8">
        <f t="shared" si="287"/>
        <v>-0.18751664339827889</v>
      </c>
      <c r="AI1065" s="8">
        <f t="shared" si="288"/>
        <v>0.94836619350741502</v>
      </c>
      <c r="AJ1065" s="8"/>
      <c r="AK1065" s="8"/>
      <c r="AL1065" s="8"/>
      <c r="AN1065" s="8">
        <f t="shared" si="295"/>
        <v>0.99999999999999989</v>
      </c>
      <c r="AO1065" s="8">
        <f t="shared" si="296"/>
        <v>5.6506342960009182</v>
      </c>
      <c r="AP1065" s="8">
        <f t="shared" si="297"/>
        <v>0.322751823367321</v>
      </c>
      <c r="AQ1065" s="8"/>
      <c r="AR1065" s="8">
        <f t="shared" si="298"/>
        <v>323.75749673272975</v>
      </c>
      <c r="AS1065" s="8">
        <f t="shared" si="299"/>
        <v>71.50768269090068</v>
      </c>
    </row>
    <row r="1066" spans="1:45">
      <c r="A1066" s="19">
        <v>44.177466670000001</v>
      </c>
      <c r="B1066" s="19">
        <v>1025.8734219999999</v>
      </c>
      <c r="C1066" s="19">
        <v>-760.07698310000001</v>
      </c>
      <c r="E1066" s="9">
        <f t="shared" si="289"/>
        <v>-65.873421999999891</v>
      </c>
      <c r="F1066" s="9">
        <f t="shared" si="290"/>
        <v>-220.07698310000001</v>
      </c>
      <c r="I1066">
        <v>1</v>
      </c>
      <c r="J1066">
        <f t="shared" si="285"/>
        <v>0.15063340916850537</v>
      </c>
      <c r="K1066">
        <f t="shared" si="291"/>
        <v>-1.8616290655332177</v>
      </c>
      <c r="O1066">
        <f t="shared" si="292"/>
        <v>-4.3030980352866156E-2</v>
      </c>
      <c r="P1066">
        <f t="shared" si="293"/>
        <v>-0.14376250767561727</v>
      </c>
      <c r="Q1066">
        <f t="shared" si="294"/>
        <v>0.98867622410811995</v>
      </c>
      <c r="R1066">
        <f t="shared" si="284"/>
        <v>1</v>
      </c>
      <c r="AG1066" s="8">
        <f t="shared" si="286"/>
        <v>0.25627308033968998</v>
      </c>
      <c r="AH1066" s="8">
        <f t="shared" si="287"/>
        <v>-0.18818055685733129</v>
      </c>
      <c r="AI1066" s="8">
        <f t="shared" si="288"/>
        <v>0.94810979654999428</v>
      </c>
      <c r="AJ1066" s="8"/>
      <c r="AK1066" s="8"/>
      <c r="AL1066" s="8"/>
      <c r="AN1066" s="8">
        <f t="shared" si="295"/>
        <v>1</v>
      </c>
      <c r="AO1066" s="8">
        <f t="shared" si="296"/>
        <v>5.6498100912053673</v>
      </c>
      <c r="AP1066" s="8">
        <f t="shared" si="297"/>
        <v>0.32355921946326571</v>
      </c>
      <c r="AQ1066" s="8"/>
      <c r="AR1066" s="8">
        <f t="shared" si="298"/>
        <v>323.71027327649023</v>
      </c>
      <c r="AS1066" s="8">
        <f t="shared" si="299"/>
        <v>71.461422302207708</v>
      </c>
    </row>
    <row r="1067" spans="1:45">
      <c r="A1067" s="19">
        <v>44.21083333</v>
      </c>
      <c r="B1067" s="19">
        <v>1025.8370170000001</v>
      </c>
      <c r="C1067" s="19">
        <v>-761.42112950000001</v>
      </c>
      <c r="E1067" s="9">
        <f t="shared" si="289"/>
        <v>-65.83701700000006</v>
      </c>
      <c r="F1067" s="9">
        <f t="shared" si="290"/>
        <v>-221.42112950000001</v>
      </c>
      <c r="I1067">
        <v>1</v>
      </c>
      <c r="J1067">
        <f t="shared" si="285"/>
        <v>0.15146838592089351</v>
      </c>
      <c r="K1067">
        <f t="shared" si="291"/>
        <v>-1.8598095535958066</v>
      </c>
      <c r="O1067">
        <f t="shared" si="292"/>
        <v>-4.3004595785762968E-2</v>
      </c>
      <c r="P1067">
        <f t="shared" si="293"/>
        <v>-0.14463179843908441</v>
      </c>
      <c r="Q1067">
        <f t="shared" si="294"/>
        <v>0.98855057919237455</v>
      </c>
      <c r="R1067">
        <f t="shared" si="284"/>
        <v>1</v>
      </c>
      <c r="AG1067" s="8">
        <f t="shared" si="286"/>
        <v>0.25707962312879357</v>
      </c>
      <c r="AH1067" s="8">
        <f t="shared" si="287"/>
        <v>-0.18786890398597239</v>
      </c>
      <c r="AI1067" s="8">
        <f t="shared" si="288"/>
        <v>0.9479532384495909</v>
      </c>
      <c r="AJ1067" s="8"/>
      <c r="AK1067" s="8"/>
      <c r="AL1067" s="8"/>
      <c r="AN1067" s="8">
        <f t="shared" si="295"/>
        <v>1</v>
      </c>
      <c r="AO1067" s="8">
        <f t="shared" si="296"/>
        <v>5.6520982478323871</v>
      </c>
      <c r="AP1067" s="8">
        <f t="shared" si="297"/>
        <v>0.32405126767407699</v>
      </c>
      <c r="AQ1067" s="8"/>
      <c r="AR1067" s="8">
        <f t="shared" si="298"/>
        <v>323.84137499408337</v>
      </c>
      <c r="AS1067" s="8">
        <f t="shared" si="299"/>
        <v>71.433230016411258</v>
      </c>
    </row>
    <row r="1068" spans="1:45">
      <c r="A1068" s="19">
        <v>44.244199999999999</v>
      </c>
      <c r="B1068" s="19">
        <v>1026.1125059999999</v>
      </c>
      <c r="C1068" s="19">
        <v>-761.90009339999995</v>
      </c>
      <c r="E1068" s="9">
        <f t="shared" si="289"/>
        <v>-66.112505999999939</v>
      </c>
      <c r="F1068" s="9">
        <f t="shared" si="290"/>
        <v>-221.90009339999995</v>
      </c>
      <c r="I1068">
        <v>1</v>
      </c>
      <c r="J1068">
        <f t="shared" si="285"/>
        <v>0.15181970917304069</v>
      </c>
      <c r="K1068">
        <f t="shared" si="291"/>
        <v>-1.8603604550914441</v>
      </c>
      <c r="O1068">
        <f t="shared" si="292"/>
        <v>-4.3183430839839512E-2</v>
      </c>
      <c r="P1068">
        <f t="shared" si="293"/>
        <v>-0.14494091838982537</v>
      </c>
      <c r="Q1068">
        <f t="shared" si="294"/>
        <v>0.98849750706676787</v>
      </c>
      <c r="R1068">
        <f t="shared" si="284"/>
        <v>1</v>
      </c>
      <c r="AG1068" s="8">
        <f t="shared" si="286"/>
        <v>0.25741931346134561</v>
      </c>
      <c r="AH1068" s="8">
        <f t="shared" si="287"/>
        <v>-0.18793213107999057</v>
      </c>
      <c r="AI1068" s="8">
        <f t="shared" si="288"/>
        <v>0.94784851699246897</v>
      </c>
      <c r="AJ1068" s="8"/>
      <c r="AK1068" s="8"/>
      <c r="AL1068" s="8"/>
      <c r="AN1068" s="8">
        <f t="shared" si="295"/>
        <v>1</v>
      </c>
      <c r="AO1068" s="8">
        <f t="shared" si="296"/>
        <v>5.6525669218442829</v>
      </c>
      <c r="AP1068" s="8">
        <f t="shared" si="297"/>
        <v>0.32437999597902745</v>
      </c>
      <c r="AQ1068" s="8"/>
      <c r="AR1068" s="8">
        <f t="shared" si="298"/>
        <v>323.86822803693246</v>
      </c>
      <c r="AS1068" s="8">
        <f t="shared" si="299"/>
        <v>71.414395271931113</v>
      </c>
    </row>
    <row r="1069" spans="1:45">
      <c r="A1069" s="19">
        <v>44.277566669999999</v>
      </c>
      <c r="B1069" s="19">
        <v>1026.7610500000001</v>
      </c>
      <c r="C1069" s="19">
        <v>-762.69498750000002</v>
      </c>
      <c r="E1069" s="9">
        <f t="shared" si="289"/>
        <v>-66.761050000000068</v>
      </c>
      <c r="F1069" s="9">
        <f t="shared" si="290"/>
        <v>-222.69498750000002</v>
      </c>
      <c r="I1069">
        <v>1</v>
      </c>
      <c r="J1069">
        <f t="shared" si="285"/>
        <v>0.1524386581377932</v>
      </c>
      <c r="K1069">
        <f t="shared" si="291"/>
        <v>-1.8620576466359777</v>
      </c>
      <c r="O1069">
        <f t="shared" si="292"/>
        <v>-4.3605046057776327E-2</v>
      </c>
      <c r="P1069">
        <f t="shared" si="293"/>
        <v>-0.14545345207682356</v>
      </c>
      <c r="Q1069">
        <f t="shared" si="294"/>
        <v>0.98840370964360225</v>
      </c>
      <c r="R1069">
        <f t="shared" si="284"/>
        <v>1</v>
      </c>
      <c r="AG1069" s="8">
        <f t="shared" si="286"/>
        <v>0.25801765914554897</v>
      </c>
      <c r="AH1069" s="8">
        <f t="shared" si="287"/>
        <v>-0.18815260444720494</v>
      </c>
      <c r="AI1069" s="8">
        <f t="shared" si="288"/>
        <v>0.94764206587127875</v>
      </c>
      <c r="AJ1069" s="8"/>
      <c r="AK1069" s="8"/>
      <c r="AL1069" s="8"/>
      <c r="AN1069" s="8">
        <f t="shared" si="295"/>
        <v>1</v>
      </c>
      <c r="AO1069" s="8">
        <f t="shared" si="296"/>
        <v>5.6531141316170306</v>
      </c>
      <c r="AP1069" s="8">
        <f t="shared" si="297"/>
        <v>0.32502712169342707</v>
      </c>
      <c r="AQ1069" s="8"/>
      <c r="AR1069" s="8">
        <f t="shared" si="298"/>
        <v>323.8995808474192</v>
      </c>
      <c r="AS1069" s="8">
        <f t="shared" si="299"/>
        <v>71.377317699681626</v>
      </c>
    </row>
    <row r="1070" spans="1:45">
      <c r="A1070" s="19">
        <v>44.310933329999997</v>
      </c>
      <c r="B1070" s="19">
        <v>1027.3070339999999</v>
      </c>
      <c r="C1070" s="19">
        <v>-763.57302890000005</v>
      </c>
      <c r="E1070" s="9">
        <f t="shared" si="289"/>
        <v>-67.307033999999931</v>
      </c>
      <c r="F1070" s="9">
        <f t="shared" si="290"/>
        <v>-223.57302890000005</v>
      </c>
      <c r="I1070">
        <v>1</v>
      </c>
      <c r="J1070">
        <f t="shared" si="285"/>
        <v>0.15309062837716614</v>
      </c>
      <c r="K1070">
        <f t="shared" si="291"/>
        <v>-1.8632176778043095</v>
      </c>
      <c r="O1070">
        <f t="shared" si="292"/>
        <v>-4.3959502966259459E-2</v>
      </c>
      <c r="P1070">
        <f t="shared" si="293"/>
        <v>-0.1460197938168718</v>
      </c>
      <c r="Q1070">
        <f t="shared" si="294"/>
        <v>0.98830449857958136</v>
      </c>
      <c r="R1070">
        <f t="shared" si="284"/>
        <v>1</v>
      </c>
      <c r="AG1070" s="8">
        <f t="shared" si="286"/>
        <v>0.25864745775452685</v>
      </c>
      <c r="AH1070" s="8">
        <f t="shared" si="287"/>
        <v>-0.1882930855035089</v>
      </c>
      <c r="AI1070" s="8">
        <f t="shared" si="288"/>
        <v>0.94744245553420747</v>
      </c>
      <c r="AJ1070" s="8"/>
      <c r="AK1070" s="8"/>
      <c r="AL1070" s="8"/>
      <c r="AN1070" s="8">
        <f t="shared" si="295"/>
        <v>1.0000000000000002</v>
      </c>
      <c r="AO1070" s="8">
        <f t="shared" si="296"/>
        <v>5.6539192301202519</v>
      </c>
      <c r="AP1070" s="8">
        <f t="shared" si="297"/>
        <v>0.32565162535737358</v>
      </c>
      <c r="AQ1070" s="8"/>
      <c r="AR1070" s="8">
        <f t="shared" si="298"/>
        <v>323.94570959374613</v>
      </c>
      <c r="AS1070" s="8">
        <f t="shared" si="299"/>
        <v>71.341536275447027</v>
      </c>
    </row>
    <row r="1071" spans="1:45">
      <c r="A1071" s="19">
        <v>44.344299999999997</v>
      </c>
      <c r="B1071" s="19">
        <v>1027.8466920000001</v>
      </c>
      <c r="C1071" s="19">
        <v>-764.58875660000001</v>
      </c>
      <c r="E1071" s="9">
        <f t="shared" si="289"/>
        <v>-67.846692000000075</v>
      </c>
      <c r="F1071" s="9">
        <f t="shared" si="290"/>
        <v>-224.58875660000001</v>
      </c>
      <c r="I1071">
        <v>1</v>
      </c>
      <c r="J1071">
        <f t="shared" si="285"/>
        <v>0.15382759024906822</v>
      </c>
      <c r="K1071">
        <f t="shared" si="291"/>
        <v>-1.8641721999786542</v>
      </c>
      <c r="O1071">
        <f t="shared" si="292"/>
        <v>-4.4309476212777067E-2</v>
      </c>
      <c r="P1071">
        <f t="shared" si="293"/>
        <v>-0.14667495016890247</v>
      </c>
      <c r="Q1071">
        <f t="shared" si="294"/>
        <v>0.98819184843364261</v>
      </c>
      <c r="R1071">
        <f t="shared" si="284"/>
        <v>1</v>
      </c>
      <c r="AG1071" s="8">
        <f t="shared" si="286"/>
        <v>0.25935908385573858</v>
      </c>
      <c r="AH1071" s="8">
        <f t="shared" si="287"/>
        <v>-0.18839993985023987</v>
      </c>
      <c r="AI1071" s="8">
        <f t="shared" si="288"/>
        <v>0.94722665095843761</v>
      </c>
      <c r="AJ1071" s="8"/>
      <c r="AK1071" s="8"/>
      <c r="AL1071" s="8"/>
      <c r="AN1071" s="8">
        <f t="shared" si="295"/>
        <v>0.99999999999999978</v>
      </c>
      <c r="AO1071" s="8">
        <f t="shared" si="296"/>
        <v>5.6549562793550168</v>
      </c>
      <c r="AP1071" s="8">
        <f t="shared" si="297"/>
        <v>0.32632549780759446</v>
      </c>
      <c r="AQ1071" s="8"/>
      <c r="AR1071" s="8">
        <f t="shared" si="298"/>
        <v>324.00512813804539</v>
      </c>
      <c r="AS1071" s="8">
        <f t="shared" si="299"/>
        <v>71.302926228119247</v>
      </c>
    </row>
    <row r="1072" spans="1:45">
      <c r="A1072" s="19">
        <v>44.377666670000004</v>
      </c>
      <c r="B1072" s="19">
        <v>1028.0742680000001</v>
      </c>
      <c r="C1072" s="19">
        <v>-765.13057430000003</v>
      </c>
      <c r="E1072" s="9">
        <f t="shared" si="289"/>
        <v>-68.074268000000075</v>
      </c>
      <c r="F1072" s="9">
        <f t="shared" si="290"/>
        <v>-225.13057430000003</v>
      </c>
      <c r="I1072">
        <v>1</v>
      </c>
      <c r="J1072">
        <f t="shared" si="285"/>
        <v>0.1542093107027577</v>
      </c>
      <c r="K1072">
        <f t="shared" si="291"/>
        <v>-1.8644322645926679</v>
      </c>
      <c r="O1072">
        <f t="shared" si="292"/>
        <v>-4.4456794890743168E-2</v>
      </c>
      <c r="P1072">
        <f t="shared" si="293"/>
        <v>-0.14702447869568441</v>
      </c>
      <c r="Q1072">
        <f t="shared" si="294"/>
        <v>0.98813328860650407</v>
      </c>
      <c r="R1072">
        <f t="shared" si="284"/>
        <v>1</v>
      </c>
      <c r="AG1072" s="8">
        <f t="shared" si="286"/>
        <v>0.2597276472990569</v>
      </c>
      <c r="AH1072" s="8">
        <f t="shared" si="287"/>
        <v>-0.18842047659495165</v>
      </c>
      <c r="AI1072" s="8">
        <f t="shared" si="288"/>
        <v>0.94712157257040031</v>
      </c>
      <c r="AJ1072" s="8"/>
      <c r="AK1072" s="8"/>
      <c r="AL1072" s="8"/>
      <c r="AN1072" s="8">
        <f t="shared" si="295"/>
        <v>1</v>
      </c>
      <c r="AO1072" s="8">
        <f t="shared" si="296"/>
        <v>5.6555795559052857</v>
      </c>
      <c r="AP1072" s="8">
        <f t="shared" si="297"/>
        <v>0.32665313082161762</v>
      </c>
      <c r="AQ1072" s="8"/>
      <c r="AR1072" s="8">
        <f t="shared" si="298"/>
        <v>324.04083925384526</v>
      </c>
      <c r="AS1072" s="8">
        <f t="shared" si="299"/>
        <v>71.284154239186563</v>
      </c>
    </row>
    <row r="1073" spans="1:45">
      <c r="A1073" s="19">
        <v>44.411033330000002</v>
      </c>
      <c r="B1073" s="19">
        <v>1028.0276610000001</v>
      </c>
      <c r="C1073" s="19">
        <v>-765.92872729999999</v>
      </c>
      <c r="E1073" s="9">
        <f t="shared" si="289"/>
        <v>-68.02766100000008</v>
      </c>
      <c r="F1073" s="9">
        <f t="shared" si="290"/>
        <v>-225.92872729999999</v>
      </c>
      <c r="I1073">
        <v>1</v>
      </c>
      <c r="J1073">
        <f t="shared" si="285"/>
        <v>0.15469950766566867</v>
      </c>
      <c r="K1073">
        <f t="shared" si="291"/>
        <v>-1.86326410500347</v>
      </c>
      <c r="O1073">
        <f t="shared" si="292"/>
        <v>-4.442466574335107E-2</v>
      </c>
      <c r="P1073">
        <f t="shared" si="293"/>
        <v>-0.14754010419560368</v>
      </c>
      <c r="Q1073">
        <f t="shared" si="294"/>
        <v>0.98805787620338414</v>
      </c>
      <c r="R1073">
        <f t="shared" si="284"/>
        <v>1</v>
      </c>
      <c r="AG1073" s="8">
        <f t="shared" si="286"/>
        <v>0.26020124783318765</v>
      </c>
      <c r="AH1073" s="8">
        <f t="shared" si="287"/>
        <v>-0.18822006526430435</v>
      </c>
      <c r="AI1073" s="8">
        <f t="shared" si="288"/>
        <v>0.94703142379646144</v>
      </c>
      <c r="AJ1073" s="8"/>
      <c r="AK1073" s="8"/>
      <c r="AL1073" s="8"/>
      <c r="AN1073" s="8">
        <f t="shared" si="295"/>
        <v>0.99999999999999989</v>
      </c>
      <c r="AO1073" s="8">
        <f t="shared" si="296"/>
        <v>5.6569506751254686</v>
      </c>
      <c r="AP1073" s="8">
        <f t="shared" si="297"/>
        <v>0.3269339611899067</v>
      </c>
      <c r="AQ1073" s="8"/>
      <c r="AR1073" s="8">
        <f t="shared" si="298"/>
        <v>324.11939859837105</v>
      </c>
      <c r="AS1073" s="8">
        <f t="shared" si="299"/>
        <v>71.268063844324487</v>
      </c>
    </row>
    <row r="1074" spans="1:45">
      <c r="A1074" s="19">
        <v>44.444400000000002</v>
      </c>
      <c r="B1074" s="19">
        <v>1029.064474</v>
      </c>
      <c r="C1074" s="19">
        <v>-766.72934329999998</v>
      </c>
      <c r="E1074" s="9">
        <f t="shared" si="289"/>
        <v>-69.064474000000018</v>
      </c>
      <c r="F1074" s="9">
        <f t="shared" si="290"/>
        <v>-226.72934329999998</v>
      </c>
      <c r="I1074">
        <v>1</v>
      </c>
      <c r="J1074">
        <f t="shared" si="285"/>
        <v>0.15539603464107668</v>
      </c>
      <c r="K1074">
        <f t="shared" si="291"/>
        <v>-1.8664789056353233</v>
      </c>
      <c r="O1074">
        <f t="shared" si="292"/>
        <v>-4.5099275664819458E-2</v>
      </c>
      <c r="P1074">
        <f t="shared" si="293"/>
        <v>-0.14805483286226415</v>
      </c>
      <c r="Q1074">
        <f t="shared" si="294"/>
        <v>0.98795031342706485</v>
      </c>
      <c r="R1074">
        <f t="shared" si="284"/>
        <v>1</v>
      </c>
      <c r="AG1074" s="8">
        <f t="shared" si="286"/>
        <v>0.26087249848010091</v>
      </c>
      <c r="AH1074" s="8">
        <f t="shared" si="287"/>
        <v>-0.18867334689533466</v>
      </c>
      <c r="AI1074" s="8">
        <f t="shared" si="288"/>
        <v>0.94675651975999742</v>
      </c>
      <c r="AJ1074" s="8"/>
      <c r="AK1074" s="8"/>
      <c r="AL1074" s="8"/>
      <c r="AN1074" s="8">
        <f t="shared" si="295"/>
        <v>0.99999999999999989</v>
      </c>
      <c r="AO1074" s="8">
        <f t="shared" si="296"/>
        <v>5.6570319042192008</v>
      </c>
      <c r="AP1074" s="8">
        <f t="shared" si="297"/>
        <v>0.32778890665472771</v>
      </c>
      <c r="AQ1074" s="8"/>
      <c r="AR1074" s="8">
        <f t="shared" si="298"/>
        <v>324.12405268261557</v>
      </c>
      <c r="AS1074" s="8">
        <f t="shared" si="299"/>
        <v>71.219079077476394</v>
      </c>
    </row>
    <row r="1075" spans="1:45">
      <c r="A1075" s="19">
        <v>44.477766670000001</v>
      </c>
      <c r="B1075" s="19">
        <v>1029.4448</v>
      </c>
      <c r="C1075" s="19">
        <v>-766.97144579999997</v>
      </c>
      <c r="E1075" s="9">
        <f t="shared" si="289"/>
        <v>-69.444799999999987</v>
      </c>
      <c r="F1075" s="9">
        <f t="shared" si="290"/>
        <v>-226.97144579999997</v>
      </c>
      <c r="I1075">
        <v>1</v>
      </c>
      <c r="J1075">
        <f t="shared" si="285"/>
        <v>0.15561970495589611</v>
      </c>
      <c r="K1075">
        <f t="shared" si="291"/>
        <v>-1.8677144857660837</v>
      </c>
      <c r="O1075">
        <f t="shared" si="292"/>
        <v>-4.5346825390368134E-2</v>
      </c>
      <c r="P1075">
        <f t="shared" si="293"/>
        <v>-0.1482102982698778</v>
      </c>
      <c r="Q1075">
        <f t="shared" si="294"/>
        <v>0.987915670952622</v>
      </c>
      <c r="R1075">
        <f t="shared" si="284"/>
        <v>1</v>
      </c>
      <c r="AG1075" s="8">
        <f t="shared" si="286"/>
        <v>0.2610875219682478</v>
      </c>
      <c r="AH1075" s="8">
        <f t="shared" si="287"/>
        <v>-0.1888507126015416</v>
      </c>
      <c r="AI1075" s="8">
        <f t="shared" si="288"/>
        <v>0.9466618795654389</v>
      </c>
      <c r="AJ1075" s="8"/>
      <c r="AK1075" s="8"/>
      <c r="AL1075" s="8"/>
      <c r="AN1075" s="8">
        <f t="shared" si="295"/>
        <v>0.99999999999999989</v>
      </c>
      <c r="AO1075" s="8">
        <f t="shared" si="296"/>
        <v>5.6569769539293508</v>
      </c>
      <c r="AP1075" s="8">
        <f t="shared" si="297"/>
        <v>0.32808273859608739</v>
      </c>
      <c r="AQ1075" s="8"/>
      <c r="AR1075" s="8">
        <f t="shared" si="298"/>
        <v>324.12090426292417</v>
      </c>
      <c r="AS1075" s="8">
        <f t="shared" si="299"/>
        <v>71.202243747350352</v>
      </c>
    </row>
    <row r="1076" spans="1:45">
      <c r="A1076" s="19">
        <v>44.51113333</v>
      </c>
      <c r="B1076" s="19">
        <v>1029.896712</v>
      </c>
      <c r="C1076" s="19">
        <v>-768.08902609999996</v>
      </c>
      <c r="E1076" s="9">
        <f t="shared" si="289"/>
        <v>-69.89671199999998</v>
      </c>
      <c r="F1076" s="9">
        <f t="shared" si="290"/>
        <v>-228.08902609999996</v>
      </c>
      <c r="I1076">
        <v>1</v>
      </c>
      <c r="J1076">
        <f t="shared" si="285"/>
        <v>0.15640364161313106</v>
      </c>
      <c r="K1076">
        <f t="shared" si="291"/>
        <v>-1.868155308177212</v>
      </c>
      <c r="O1076">
        <f t="shared" si="292"/>
        <v>-4.5639056168492863E-2</v>
      </c>
      <c r="P1076">
        <f t="shared" si="293"/>
        <v>-0.14893072328773829</v>
      </c>
      <c r="Q1076">
        <f t="shared" si="294"/>
        <v>0.98779386321896145</v>
      </c>
      <c r="R1076">
        <f t="shared" si="284"/>
        <v>1</v>
      </c>
      <c r="AG1076" s="8">
        <f t="shared" si="286"/>
        <v>0.26184379870568425</v>
      </c>
      <c r="AH1076" s="8">
        <f t="shared" si="287"/>
        <v>-0.18888217472502425</v>
      </c>
      <c r="AI1076" s="8">
        <f t="shared" si="288"/>
        <v>0.94644669641270474</v>
      </c>
      <c r="AJ1076" s="8"/>
      <c r="AK1076" s="8"/>
      <c r="AL1076" s="8"/>
      <c r="AN1076" s="8">
        <f t="shared" si="295"/>
        <v>1</v>
      </c>
      <c r="AO1076" s="8">
        <f t="shared" si="296"/>
        <v>5.6582708393474848</v>
      </c>
      <c r="AP1076" s="8">
        <f t="shared" si="297"/>
        <v>0.32874988137343797</v>
      </c>
      <c r="AQ1076" s="8"/>
      <c r="AR1076" s="8">
        <f t="shared" si="298"/>
        <v>324.19503843655673</v>
      </c>
      <c r="AS1076" s="8">
        <f t="shared" si="299"/>
        <v>71.164019281875525</v>
      </c>
    </row>
    <row r="1077" spans="1:45">
      <c r="A1077" s="19">
        <v>44.544499999999999</v>
      </c>
      <c r="B1077" s="19">
        <v>1030.6602049999999</v>
      </c>
      <c r="C1077" s="19">
        <v>-768.85236959999997</v>
      </c>
      <c r="E1077" s="9">
        <f t="shared" si="289"/>
        <v>-70.660204999999905</v>
      </c>
      <c r="F1077" s="9">
        <f t="shared" si="290"/>
        <v>-228.85236959999997</v>
      </c>
      <c r="I1077">
        <v>1</v>
      </c>
      <c r="J1077">
        <f t="shared" si="285"/>
        <v>0.15702634136709492</v>
      </c>
      <c r="K1077">
        <f t="shared" si="291"/>
        <v>-1.8702693089482869</v>
      </c>
      <c r="O1077">
        <f t="shared" si="292"/>
        <v>-4.6135249163712616E-2</v>
      </c>
      <c r="P1077">
        <f t="shared" si="293"/>
        <v>-0.1494216029121635</v>
      </c>
      <c r="Q1077">
        <f t="shared" si="294"/>
        <v>0.98769667579057985</v>
      </c>
      <c r="R1077">
        <f t="shared" si="284"/>
        <v>1</v>
      </c>
      <c r="AG1077" s="8">
        <f t="shared" si="286"/>
        <v>0.2624424737048634</v>
      </c>
      <c r="AH1077" s="8">
        <f t="shared" si="287"/>
        <v>-0.18917814388750445</v>
      </c>
      <c r="AI1077" s="8">
        <f t="shared" si="288"/>
        <v>0.94622173821517686</v>
      </c>
      <c r="AJ1077" s="8"/>
      <c r="AK1077" s="8"/>
      <c r="AL1077" s="8"/>
      <c r="AN1077" s="8">
        <f t="shared" si="295"/>
        <v>0.99999999999999989</v>
      </c>
      <c r="AO1077" s="8">
        <f t="shared" si="296"/>
        <v>5.6586114893922916</v>
      </c>
      <c r="AP1077" s="8">
        <f t="shared" si="297"/>
        <v>0.32944593806850841</v>
      </c>
      <c r="AQ1077" s="8"/>
      <c r="AR1077" s="8">
        <f t="shared" si="298"/>
        <v>324.2145562464151</v>
      </c>
      <c r="AS1077" s="8">
        <f t="shared" si="299"/>
        <v>71.124138170946168</v>
      </c>
    </row>
    <row r="1078" spans="1:45">
      <c r="A1078" s="19">
        <v>44.577866669999999</v>
      </c>
      <c r="B1078" s="19">
        <v>1030.882691</v>
      </c>
      <c r="C1078" s="19">
        <v>-769.68300539999996</v>
      </c>
      <c r="E1078" s="9">
        <f t="shared" si="289"/>
        <v>-70.882691000000023</v>
      </c>
      <c r="F1078" s="9">
        <f t="shared" si="290"/>
        <v>-229.68300539999996</v>
      </c>
      <c r="I1078">
        <v>1</v>
      </c>
      <c r="J1078">
        <f t="shared" si="285"/>
        <v>0.15758710554620514</v>
      </c>
      <c r="K1078">
        <f t="shared" si="291"/>
        <v>-1.870134235718127</v>
      </c>
      <c r="O1078">
        <f t="shared" si="292"/>
        <v>-4.6278386533166779E-2</v>
      </c>
      <c r="P1078">
        <f t="shared" si="293"/>
        <v>-0.14995704528205098</v>
      </c>
      <c r="Q1078">
        <f t="shared" si="294"/>
        <v>0.98760882717306842</v>
      </c>
      <c r="R1078">
        <f t="shared" si="284"/>
        <v>1</v>
      </c>
      <c r="AG1078" s="8">
        <f t="shared" si="286"/>
        <v>0.26298368704485831</v>
      </c>
      <c r="AH1078" s="8">
        <f t="shared" si="287"/>
        <v>-0.18913292393716635</v>
      </c>
      <c r="AI1078" s="8">
        <f t="shared" si="288"/>
        <v>0.94608050261659549</v>
      </c>
      <c r="AJ1078" s="8"/>
      <c r="AK1078" s="8"/>
      <c r="AL1078" s="8"/>
      <c r="AN1078" s="8">
        <f t="shared" si="295"/>
        <v>0.99999999999999989</v>
      </c>
      <c r="AO1078" s="8">
        <f t="shared" si="296"/>
        <v>5.6597017146750321</v>
      </c>
      <c r="AP1078" s="8">
        <f t="shared" si="297"/>
        <v>0.32988222042532755</v>
      </c>
      <c r="AQ1078" s="8"/>
      <c r="AR1078" s="8">
        <f t="shared" si="298"/>
        <v>324.27702155383457</v>
      </c>
      <c r="AS1078" s="8">
        <f t="shared" si="299"/>
        <v>71.099141033224413</v>
      </c>
    </row>
    <row r="1079" spans="1:45">
      <c r="A1079" s="19">
        <v>44.611233329999997</v>
      </c>
      <c r="B1079" s="19">
        <v>1031.145581</v>
      </c>
      <c r="C1079" s="19">
        <v>-770.2262733</v>
      </c>
      <c r="E1079" s="9">
        <f t="shared" si="289"/>
        <v>-71.145580999999993</v>
      </c>
      <c r="F1079" s="9">
        <f t="shared" si="290"/>
        <v>-230.2262733</v>
      </c>
      <c r="I1079">
        <v>1</v>
      </c>
      <c r="J1079">
        <f t="shared" si="285"/>
        <v>0.15797642196484424</v>
      </c>
      <c r="K1079">
        <f t="shared" si="291"/>
        <v>-1.8705118651801234</v>
      </c>
      <c r="O1079">
        <f t="shared" si="292"/>
        <v>-4.6448528676496459E-2</v>
      </c>
      <c r="P1079">
        <f t="shared" si="293"/>
        <v>-0.15030689899711364</v>
      </c>
      <c r="Q1079">
        <f t="shared" si="294"/>
        <v>0.98754765469705819</v>
      </c>
      <c r="R1079">
        <f t="shared" si="284"/>
        <v>1</v>
      </c>
      <c r="AG1079" s="8">
        <f t="shared" si="286"/>
        <v>0.26335880007969725</v>
      </c>
      <c r="AH1079" s="8">
        <f t="shared" si="287"/>
        <v>-0.18917415916595953</v>
      </c>
      <c r="AI1079" s="8">
        <f t="shared" si="288"/>
        <v>0.94596790639240724</v>
      </c>
      <c r="AJ1079" s="8"/>
      <c r="AK1079" s="8"/>
      <c r="AL1079" s="8"/>
      <c r="AN1079" s="8">
        <f t="shared" si="295"/>
        <v>0.99999999999999989</v>
      </c>
      <c r="AO1079" s="8">
        <f t="shared" si="296"/>
        <v>5.6602739071346244</v>
      </c>
      <c r="AP1079" s="8">
        <f t="shared" si="297"/>
        <v>0.33022963676508055</v>
      </c>
      <c r="AQ1079" s="8"/>
      <c r="AR1079" s="8">
        <f t="shared" si="298"/>
        <v>324.30980576683845</v>
      </c>
      <c r="AS1079" s="8">
        <f t="shared" si="299"/>
        <v>71.07923554322268</v>
      </c>
    </row>
    <row r="1080" spans="1:45">
      <c r="A1080" s="19">
        <v>44.644599999999997</v>
      </c>
      <c r="B1080" s="19">
        <v>1031.6994099999999</v>
      </c>
      <c r="C1080" s="19">
        <v>-770.98434980000002</v>
      </c>
      <c r="E1080" s="9">
        <f t="shared" si="289"/>
        <v>-71.699409999999943</v>
      </c>
      <c r="F1080" s="9">
        <f t="shared" si="290"/>
        <v>-230.98434980000002</v>
      </c>
      <c r="I1080">
        <v>1</v>
      </c>
      <c r="J1080">
        <f t="shared" si="285"/>
        <v>0.15855577191258707</v>
      </c>
      <c r="K1080">
        <f t="shared" si="291"/>
        <v>-1.8717742614526311</v>
      </c>
      <c r="O1080">
        <f t="shared" si="292"/>
        <v>-4.6807842743109652E-2</v>
      </c>
      <c r="P1080">
        <f t="shared" si="293"/>
        <v>-0.15079453403532678</v>
      </c>
      <c r="Q1080">
        <f t="shared" si="294"/>
        <v>0.98745634554789563</v>
      </c>
      <c r="R1080">
        <f t="shared" si="284"/>
        <v>1</v>
      </c>
      <c r="AG1080" s="8">
        <f t="shared" si="286"/>
        <v>0.26391590238855545</v>
      </c>
      <c r="AH1080" s="8">
        <f t="shared" si="287"/>
        <v>-0.18934448869450154</v>
      </c>
      <c r="AI1080" s="8">
        <f t="shared" si="288"/>
        <v>0.94577854758259994</v>
      </c>
      <c r="AJ1080" s="8"/>
      <c r="AK1080" s="8"/>
      <c r="AL1080" s="8"/>
      <c r="AN1080" s="8">
        <f t="shared" si="295"/>
        <v>1</v>
      </c>
      <c r="AO1080" s="8">
        <f t="shared" si="296"/>
        <v>5.660848626756346</v>
      </c>
      <c r="AP1080" s="8">
        <f t="shared" si="297"/>
        <v>0.33081311188132867</v>
      </c>
      <c r="AQ1080" s="8"/>
      <c r="AR1080" s="8">
        <f t="shared" si="298"/>
        <v>324.34273477556644</v>
      </c>
      <c r="AS1080" s="8">
        <f t="shared" si="299"/>
        <v>71.045804881610763</v>
      </c>
    </row>
    <row r="1081" spans="1:45">
      <c r="A1081" s="19">
        <v>44.677966670000004</v>
      </c>
      <c r="B1081" s="19">
        <v>1031.932575</v>
      </c>
      <c r="C1081" s="19">
        <v>-771.82871550000004</v>
      </c>
      <c r="E1081" s="9">
        <f t="shared" si="289"/>
        <v>-71.932575000000043</v>
      </c>
      <c r="F1081" s="9">
        <f t="shared" si="290"/>
        <v>-231.82871550000004</v>
      </c>
      <c r="I1081">
        <v>1</v>
      </c>
      <c r="J1081">
        <f t="shared" si="285"/>
        <v>0.15912691357570713</v>
      </c>
      <c r="K1081">
        <f t="shared" si="291"/>
        <v>-1.8716604226765141</v>
      </c>
      <c r="O1081">
        <f t="shared" si="292"/>
        <v>-4.695780077173338E-2</v>
      </c>
      <c r="P1081">
        <f t="shared" si="293"/>
        <v>-0.15133848100969358</v>
      </c>
      <c r="Q1081">
        <f t="shared" si="294"/>
        <v>0.9873660056495569</v>
      </c>
      <c r="R1081">
        <f t="shared" si="284"/>
        <v>1</v>
      </c>
      <c r="AG1081" s="8">
        <f t="shared" si="286"/>
        <v>0.26446689286550568</v>
      </c>
      <c r="AH1081" s="8">
        <f t="shared" si="287"/>
        <v>-0.18930258244332263</v>
      </c>
      <c r="AI1081" s="8">
        <f t="shared" si="288"/>
        <v>0.94563301277945777</v>
      </c>
      <c r="AJ1081" s="8"/>
      <c r="AK1081" s="8"/>
      <c r="AL1081" s="8"/>
      <c r="AN1081" s="8">
        <f t="shared" si="295"/>
        <v>1</v>
      </c>
      <c r="AO1081" s="8">
        <f t="shared" si="296"/>
        <v>5.6619408856761577</v>
      </c>
      <c r="AP1081" s="8">
        <f t="shared" si="297"/>
        <v>0.33126087835779705</v>
      </c>
      <c r="AQ1081" s="8"/>
      <c r="AR1081" s="8">
        <f t="shared" si="298"/>
        <v>324.40531660180716</v>
      </c>
      <c r="AS1081" s="8">
        <f t="shared" si="299"/>
        <v>71.020149752301677</v>
      </c>
    </row>
    <row r="1082" spans="1:45">
      <c r="A1082" s="19">
        <v>44.711333330000002</v>
      </c>
      <c r="B1082" s="19">
        <v>1032.5182580000001</v>
      </c>
      <c r="C1082" s="19">
        <v>-772.69691969999997</v>
      </c>
      <c r="E1082" s="9">
        <f t="shared" si="289"/>
        <v>-72.51825800000006</v>
      </c>
      <c r="F1082" s="9">
        <f t="shared" si="290"/>
        <v>-232.69691969999997</v>
      </c>
      <c r="I1082">
        <v>1</v>
      </c>
      <c r="J1082">
        <f t="shared" si="285"/>
        <v>0.15978107992406687</v>
      </c>
      <c r="K1082">
        <f t="shared" si="291"/>
        <v>-1.8728998267314718</v>
      </c>
      <c r="O1082">
        <f t="shared" si="292"/>
        <v>-4.7337498610118919E-2</v>
      </c>
      <c r="P1082">
        <f t="shared" si="293"/>
        <v>-0.15189678319186461</v>
      </c>
      <c r="Q1082">
        <f t="shared" si="294"/>
        <v>0.98726213767231075</v>
      </c>
      <c r="R1082">
        <f t="shared" si="284"/>
        <v>1</v>
      </c>
      <c r="AG1082" s="8">
        <f t="shared" si="286"/>
        <v>0.26509574607454955</v>
      </c>
      <c r="AH1082" s="8">
        <f t="shared" si="287"/>
        <v>-0.18946815026787386</v>
      </c>
      <c r="AI1082" s="8">
        <f t="shared" si="288"/>
        <v>0.94542374914492622</v>
      </c>
      <c r="AJ1082" s="8"/>
      <c r="AK1082" s="8"/>
      <c r="AL1082" s="8"/>
      <c r="AN1082" s="8">
        <f t="shared" si="295"/>
        <v>1</v>
      </c>
      <c r="AO1082" s="8">
        <f t="shared" si="296"/>
        <v>5.6626510126504446</v>
      </c>
      <c r="AP1082" s="8">
        <f t="shared" si="297"/>
        <v>0.33190369932434782</v>
      </c>
      <c r="AQ1082" s="8"/>
      <c r="AR1082" s="8">
        <f t="shared" si="298"/>
        <v>324.44600388035224</v>
      </c>
      <c r="AS1082" s="8">
        <f t="shared" si="299"/>
        <v>70.983318823935804</v>
      </c>
    </row>
    <row r="1083" spans="1:45">
      <c r="A1083" s="19">
        <v>44.744700000000002</v>
      </c>
      <c r="B1083" s="19">
        <v>1033.564556</v>
      </c>
      <c r="C1083" s="19">
        <v>-773.82012899999995</v>
      </c>
      <c r="E1083" s="9">
        <f t="shared" si="289"/>
        <v>-73.564556000000039</v>
      </c>
      <c r="F1083" s="9">
        <f t="shared" si="290"/>
        <v>-233.82012899999995</v>
      </c>
      <c r="I1083">
        <v>1</v>
      </c>
      <c r="J1083">
        <f t="shared" si="285"/>
        <v>0.1606839604951501</v>
      </c>
      <c r="K1083">
        <f t="shared" si="291"/>
        <v>-1.8756116764606356</v>
      </c>
      <c r="O1083">
        <f t="shared" si="292"/>
        <v>-4.8016744063501329E-2</v>
      </c>
      <c r="P1083">
        <f t="shared" si="293"/>
        <v>-0.15261807997710011</v>
      </c>
      <c r="Q1083">
        <f t="shared" si="294"/>
        <v>0.98711808511122101</v>
      </c>
      <c r="R1083">
        <f t="shared" si="284"/>
        <v>1</v>
      </c>
      <c r="AG1083" s="8">
        <f t="shared" si="286"/>
        <v>0.2659610523977784</v>
      </c>
      <c r="AH1083" s="8">
        <f t="shared" si="287"/>
        <v>-0.18985626845993159</v>
      </c>
      <c r="AI1083" s="8">
        <f t="shared" si="288"/>
        <v>0.9451028070712395</v>
      </c>
      <c r="AJ1083" s="8"/>
      <c r="AK1083" s="8"/>
      <c r="AL1083" s="8"/>
      <c r="AN1083" s="8">
        <f t="shared" si="295"/>
        <v>1</v>
      </c>
      <c r="AO1083" s="8">
        <f t="shared" si="296"/>
        <v>5.6632244658901145</v>
      </c>
      <c r="AP1083" s="8">
        <f t="shared" si="297"/>
        <v>0.33288725404256825</v>
      </c>
      <c r="AQ1083" s="8"/>
      <c r="AR1083" s="8">
        <f t="shared" si="298"/>
        <v>324.47886033073343</v>
      </c>
      <c r="AS1083" s="8">
        <f t="shared" si="299"/>
        <v>70.926965289661581</v>
      </c>
    </row>
    <row r="1084" spans="1:45">
      <c r="A1084" s="19">
        <v>44.778066670000001</v>
      </c>
      <c r="B1084" s="19">
        <v>1033.7108029999999</v>
      </c>
      <c r="C1084" s="19">
        <v>-774.17013139999995</v>
      </c>
      <c r="E1084" s="9">
        <f t="shared" si="289"/>
        <v>-73.710802999999942</v>
      </c>
      <c r="F1084" s="9">
        <f t="shared" si="290"/>
        <v>-234.17013139999995</v>
      </c>
      <c r="I1084">
        <v>1</v>
      </c>
      <c r="J1084">
        <f t="shared" si="285"/>
        <v>0.16093026841212379</v>
      </c>
      <c r="K1084">
        <f t="shared" si="291"/>
        <v>-1.8757520595722708</v>
      </c>
      <c r="O1084">
        <f t="shared" si="292"/>
        <v>-4.8111168648046834E-2</v>
      </c>
      <c r="P1084">
        <f t="shared" si="293"/>
        <v>-0.15284324991169476</v>
      </c>
      <c r="Q1084">
        <f t="shared" si="294"/>
        <v>0.98707864752903574</v>
      </c>
      <c r="R1084">
        <f t="shared" si="284"/>
        <v>1</v>
      </c>
      <c r="AG1084" s="8">
        <f t="shared" si="286"/>
        <v>0.26619816222091441</v>
      </c>
      <c r="AH1084" s="8">
        <f t="shared" si="287"/>
        <v>-0.18986871907952191</v>
      </c>
      <c r="AI1084" s="8">
        <f t="shared" si="288"/>
        <v>0.9450335485819058</v>
      </c>
      <c r="AJ1084" s="8"/>
      <c r="AK1084" s="8"/>
      <c r="AL1084" s="8"/>
      <c r="AN1084" s="8">
        <f t="shared" si="295"/>
        <v>1</v>
      </c>
      <c r="AO1084" s="8">
        <f t="shared" si="296"/>
        <v>5.6636147974078304</v>
      </c>
      <c r="AP1084" s="8">
        <f t="shared" si="297"/>
        <v>0.33309913582542294</v>
      </c>
      <c r="AQ1084" s="8"/>
      <c r="AR1084" s="8">
        <f t="shared" si="298"/>
        <v>324.50122467930947</v>
      </c>
      <c r="AS1084" s="8">
        <f t="shared" si="299"/>
        <v>70.914825357748299</v>
      </c>
    </row>
    <row r="1085" spans="1:45">
      <c r="A1085" s="19">
        <v>44.81143333</v>
      </c>
      <c r="B1085" s="19">
        <v>1033.802064</v>
      </c>
      <c r="C1085" s="19">
        <v>-774.99551489999999</v>
      </c>
      <c r="E1085" s="9">
        <f t="shared" si="289"/>
        <v>-73.802063999999973</v>
      </c>
      <c r="F1085" s="9">
        <f t="shared" si="290"/>
        <v>-234.99551489999999</v>
      </c>
      <c r="I1085">
        <v>1</v>
      </c>
      <c r="J1085">
        <f t="shared" si="285"/>
        <v>0.16146145215818636</v>
      </c>
      <c r="K1085">
        <f t="shared" si="291"/>
        <v>-1.8750993430768412</v>
      </c>
      <c r="O1085">
        <f t="shared" si="292"/>
        <v>-4.8168489458581147E-2</v>
      </c>
      <c r="P1085">
        <f t="shared" si="293"/>
        <v>-0.15337482949358305</v>
      </c>
      <c r="Q1085">
        <f t="shared" si="294"/>
        <v>0.98699339324085289</v>
      </c>
      <c r="R1085">
        <f t="shared" si="284"/>
        <v>1</v>
      </c>
      <c r="AG1085" s="8">
        <f t="shared" si="286"/>
        <v>0.26671145219922326</v>
      </c>
      <c r="AH1085" s="8">
        <f t="shared" si="287"/>
        <v>-0.18974507037031677</v>
      </c>
      <c r="AI1085" s="8">
        <f t="shared" si="288"/>
        <v>0.94491365189415322</v>
      </c>
      <c r="AJ1085" s="8"/>
      <c r="AK1085" s="8"/>
      <c r="AL1085" s="8"/>
      <c r="AN1085" s="8">
        <f t="shared" si="295"/>
        <v>1</v>
      </c>
      <c r="AO1085" s="8">
        <f t="shared" si="296"/>
        <v>5.6648329521156944</v>
      </c>
      <c r="AP1085" s="8">
        <f t="shared" si="297"/>
        <v>0.3334656281164059</v>
      </c>
      <c r="AQ1085" s="8"/>
      <c r="AR1085" s="8">
        <f t="shared" si="298"/>
        <v>324.57101980286404</v>
      </c>
      <c r="AS1085" s="8">
        <f t="shared" si="299"/>
        <v>70.8938268962509</v>
      </c>
    </row>
    <row r="1086" spans="1:45">
      <c r="A1086" s="19">
        <v>44.844799999999999</v>
      </c>
      <c r="B1086" s="19">
        <v>1033.86582</v>
      </c>
      <c r="C1086" s="19">
        <v>-775.90533870000002</v>
      </c>
      <c r="E1086" s="9">
        <f t="shared" si="289"/>
        <v>-73.865819999999985</v>
      </c>
      <c r="F1086" s="9">
        <f t="shared" si="290"/>
        <v>-235.90533870000002</v>
      </c>
      <c r="I1086">
        <v>1</v>
      </c>
      <c r="J1086">
        <f t="shared" si="285"/>
        <v>0.16203979770570354</v>
      </c>
      <c r="K1086">
        <f t="shared" si="291"/>
        <v>-1.8742426165956569</v>
      </c>
      <c r="O1086">
        <f t="shared" si="292"/>
        <v>-4.8207631629967954E-2</v>
      </c>
      <c r="P1086">
        <f t="shared" si="293"/>
        <v>-0.15396075840750742</v>
      </c>
      <c r="Q1086">
        <f t="shared" si="294"/>
        <v>0.98690025287422767</v>
      </c>
      <c r="R1086">
        <f t="shared" si="284"/>
        <v>1</v>
      </c>
      <c r="AG1086" s="8">
        <f t="shared" si="286"/>
        <v>0.26727044109252152</v>
      </c>
      <c r="AH1086" s="8">
        <f t="shared" si="287"/>
        <v>-0.18958650306329677</v>
      </c>
      <c r="AI1086" s="8">
        <f t="shared" si="288"/>
        <v>0.94478752594138304</v>
      </c>
      <c r="AJ1086" s="8"/>
      <c r="AK1086" s="8"/>
      <c r="AL1086" s="8"/>
      <c r="AN1086" s="8">
        <f t="shared" si="295"/>
        <v>1</v>
      </c>
      <c r="AO1086" s="8">
        <f t="shared" si="296"/>
        <v>5.6662161414987597</v>
      </c>
      <c r="AP1086" s="8">
        <f t="shared" si="297"/>
        <v>0.33385074359017031</v>
      </c>
      <c r="AQ1086" s="8"/>
      <c r="AR1086" s="8">
        <f t="shared" si="298"/>
        <v>324.65027071678099</v>
      </c>
      <c r="AS1086" s="8">
        <f t="shared" si="299"/>
        <v>70.871761404979026</v>
      </c>
    </row>
    <row r="1087" spans="1:45">
      <c r="A1087" s="19">
        <v>44.878166669999999</v>
      </c>
      <c r="B1087" s="19">
        <v>1035.4277709999999</v>
      </c>
      <c r="C1087" s="19">
        <v>-776.49456610000004</v>
      </c>
      <c r="E1087" s="9">
        <f t="shared" si="289"/>
        <v>-75.427770999999893</v>
      </c>
      <c r="F1087" s="9">
        <f t="shared" si="290"/>
        <v>-236.49456610000004</v>
      </c>
      <c r="I1087">
        <v>1</v>
      </c>
      <c r="J1087">
        <f t="shared" si="285"/>
        <v>0.16271275207099969</v>
      </c>
      <c r="K1087">
        <f t="shared" si="291"/>
        <v>-1.8795381821358592</v>
      </c>
      <c r="O1087">
        <f t="shared" si="292"/>
        <v>-4.9224055421784534E-2</v>
      </c>
      <c r="P1087">
        <f t="shared" si="293"/>
        <v>-0.15433601542669628</v>
      </c>
      <c r="Q1087">
        <f t="shared" si="294"/>
        <v>0.98679146059846079</v>
      </c>
      <c r="R1087">
        <f t="shared" si="284"/>
        <v>1</v>
      </c>
      <c r="AG1087" s="8">
        <f t="shared" si="286"/>
        <v>0.26790645159627618</v>
      </c>
      <c r="AH1087" s="8">
        <f t="shared" si="287"/>
        <v>-0.19040073243629541</v>
      </c>
      <c r="AI1087" s="8">
        <f t="shared" si="288"/>
        <v>0.94444358978226661</v>
      </c>
      <c r="AJ1087" s="8"/>
      <c r="AK1087" s="8"/>
      <c r="AL1087" s="8"/>
      <c r="AN1087" s="8">
        <f t="shared" si="295"/>
        <v>0.99999999999999989</v>
      </c>
      <c r="AO1087" s="8">
        <f t="shared" si="296"/>
        <v>5.6653151237354056</v>
      </c>
      <c r="AP1087" s="8">
        <f t="shared" si="297"/>
        <v>0.33489875878661657</v>
      </c>
      <c r="AQ1087" s="8"/>
      <c r="AR1087" s="8">
        <f t="shared" si="298"/>
        <v>324.59864620167451</v>
      </c>
      <c r="AS1087" s="8">
        <f t="shared" si="299"/>
        <v>70.811714557357078</v>
      </c>
    </row>
    <row r="1088" spans="1:45">
      <c r="A1088" s="19">
        <v>44.911533329999997</v>
      </c>
      <c r="B1088" s="19">
        <v>1035.457085</v>
      </c>
      <c r="C1088" s="19">
        <v>-777.52390890000004</v>
      </c>
      <c r="E1088" s="9">
        <f t="shared" si="289"/>
        <v>-75.457085000000006</v>
      </c>
      <c r="F1088" s="9">
        <f t="shared" si="290"/>
        <v>-237.52390890000004</v>
      </c>
      <c r="I1088">
        <v>1</v>
      </c>
      <c r="J1088">
        <f t="shared" si="285"/>
        <v>0.16335772042134933</v>
      </c>
      <c r="K1088">
        <f t="shared" si="291"/>
        <v>-1.8783952293568902</v>
      </c>
      <c r="O1088">
        <f t="shared" si="292"/>
        <v>-4.9240312767216778E-2</v>
      </c>
      <c r="P1088">
        <f t="shared" si="293"/>
        <v>-0.15499871965538964</v>
      </c>
      <c r="Q1088">
        <f t="shared" si="294"/>
        <v>0.98668677324862153</v>
      </c>
      <c r="R1088">
        <f t="shared" si="284"/>
        <v>1</v>
      </c>
      <c r="AG1088" s="8">
        <f t="shared" si="286"/>
        <v>0.26853075067706433</v>
      </c>
      <c r="AH1088" s="8">
        <f t="shared" si="287"/>
        <v>-0.19019536797212463</v>
      </c>
      <c r="AI1088" s="8">
        <f t="shared" si="288"/>
        <v>0.94430766063966698</v>
      </c>
      <c r="AJ1088" s="8"/>
      <c r="AK1088" s="8"/>
      <c r="AL1088" s="8"/>
      <c r="AN1088" s="8">
        <f t="shared" si="295"/>
        <v>1</v>
      </c>
      <c r="AO1088" s="8">
        <f t="shared" si="296"/>
        <v>5.6669228736204511</v>
      </c>
      <c r="AP1088" s="8">
        <f t="shared" si="297"/>
        <v>0.33531208219469089</v>
      </c>
      <c r="AQ1088" s="8"/>
      <c r="AR1088" s="8">
        <f t="shared" si="298"/>
        <v>324.69076348460027</v>
      </c>
      <c r="AS1088" s="8">
        <f t="shared" si="299"/>
        <v>70.788032870500459</v>
      </c>
    </row>
    <row r="1089" spans="1:45">
      <c r="A1089" s="19">
        <v>44.944899999999997</v>
      </c>
      <c r="B1089" s="19">
        <v>1035.7555809999999</v>
      </c>
      <c r="C1089" s="19">
        <v>-778.01428620000002</v>
      </c>
      <c r="E1089" s="9">
        <f t="shared" si="289"/>
        <v>-75.755580999999893</v>
      </c>
      <c r="F1089" s="9">
        <f t="shared" si="290"/>
        <v>-238.01428620000002</v>
      </c>
      <c r="I1089">
        <v>1</v>
      </c>
      <c r="J1089">
        <f t="shared" si="285"/>
        <v>0.1637211483924598</v>
      </c>
      <c r="K1089">
        <f t="shared" si="291"/>
        <v>-1.878939764062153</v>
      </c>
      <c r="O1089">
        <f t="shared" si="292"/>
        <v>-4.943346103241289E-2</v>
      </c>
      <c r="P1089">
        <f t="shared" si="293"/>
        <v>-0.1553135727653556</v>
      </c>
      <c r="Q1089">
        <f t="shared" si="294"/>
        <v>0.98662760302214203</v>
      </c>
      <c r="R1089">
        <f t="shared" si="284"/>
        <v>1</v>
      </c>
      <c r="AG1089" s="8">
        <f t="shared" si="286"/>
        <v>0.26887933001351716</v>
      </c>
      <c r="AH1089" s="8">
        <f t="shared" si="287"/>
        <v>-0.19026904111753218</v>
      </c>
      <c r="AI1089" s="8">
        <f t="shared" si="288"/>
        <v>0.94419362308993438</v>
      </c>
      <c r="AJ1089" s="8"/>
      <c r="AK1089" s="8"/>
      <c r="AL1089" s="8"/>
      <c r="AN1089" s="8">
        <f t="shared" si="295"/>
        <v>1</v>
      </c>
      <c r="AO1089" s="8">
        <f t="shared" si="296"/>
        <v>5.6673520126981192</v>
      </c>
      <c r="AP1089" s="8">
        <f t="shared" si="297"/>
        <v>0.33565846144805866</v>
      </c>
      <c r="AQ1089" s="8"/>
      <c r="AR1089" s="8">
        <f t="shared" si="298"/>
        <v>324.71535134257476</v>
      </c>
      <c r="AS1089" s="8">
        <f t="shared" si="299"/>
        <v>70.768186801171595</v>
      </c>
    </row>
    <row r="1090" spans="1:45">
      <c r="A1090" s="19">
        <v>44.978266669999996</v>
      </c>
      <c r="B1090" s="19">
        <v>1036.0615319999999</v>
      </c>
      <c r="C1090" s="19">
        <v>-778.73469379999995</v>
      </c>
      <c r="E1090" s="9">
        <f t="shared" si="289"/>
        <v>-76.061531999999943</v>
      </c>
      <c r="F1090" s="9">
        <f t="shared" si="290"/>
        <v>-238.73469379999995</v>
      </c>
      <c r="I1090">
        <v>1</v>
      </c>
      <c r="J1090">
        <f t="shared" si="285"/>
        <v>0.16422884477687164</v>
      </c>
      <c r="K1090">
        <f t="shared" si="291"/>
        <v>-1.8792313035781487</v>
      </c>
      <c r="O1090">
        <f t="shared" si="292"/>
        <v>-4.9630791928238105E-2</v>
      </c>
      <c r="P1090">
        <f t="shared" si="293"/>
        <v>-0.15577640368904808</v>
      </c>
      <c r="Q1090">
        <f t="shared" si="294"/>
        <v>0.98654472607494215</v>
      </c>
      <c r="R1090">
        <f t="shared" si="284"/>
        <v>1</v>
      </c>
      <c r="AG1090" s="8">
        <f t="shared" si="286"/>
        <v>0.26936743360505727</v>
      </c>
      <c r="AH1090" s="8">
        <f t="shared" si="287"/>
        <v>-0.19029730924691962</v>
      </c>
      <c r="AI1090" s="8">
        <f t="shared" si="288"/>
        <v>0.9440487910094516</v>
      </c>
      <c r="AJ1090" s="8"/>
      <c r="AK1090" s="8"/>
      <c r="AL1090" s="8"/>
      <c r="AN1090" s="8">
        <f t="shared" si="295"/>
        <v>1</v>
      </c>
      <c r="AO1090" s="8">
        <f t="shared" si="296"/>
        <v>5.6681369370056256</v>
      </c>
      <c r="AP1090" s="8">
        <f t="shared" si="297"/>
        <v>0.33609788130847829</v>
      </c>
      <c r="AQ1090" s="8"/>
      <c r="AR1090" s="8">
        <f t="shared" si="298"/>
        <v>324.76032419263214</v>
      </c>
      <c r="AS1090" s="8">
        <f t="shared" si="299"/>
        <v>70.74300989773532</v>
      </c>
    </row>
    <row r="1091" spans="1:45">
      <c r="A1091" s="19">
        <v>45.011633330000002</v>
      </c>
      <c r="B1091" s="19">
        <v>1036.4498430000001</v>
      </c>
      <c r="C1091" s="19">
        <v>-779.77085820000002</v>
      </c>
      <c r="E1091" s="9">
        <f t="shared" si="289"/>
        <v>-76.449843000000101</v>
      </c>
      <c r="F1091" s="9">
        <f t="shared" si="290"/>
        <v>-239.77085820000002</v>
      </c>
      <c r="I1091">
        <v>1</v>
      </c>
      <c r="J1091">
        <f t="shared" si="285"/>
        <v>0.1649487332339897</v>
      </c>
      <c r="K1091">
        <f t="shared" si="291"/>
        <v>-1.8794515989097416</v>
      </c>
      <c r="O1091">
        <f t="shared" si="292"/>
        <v>-4.9880838251628784E-2</v>
      </c>
      <c r="P1091">
        <f t="shared" si="293"/>
        <v>-0.15644206614431388</v>
      </c>
      <c r="Q1091">
        <f t="shared" si="294"/>
        <v>0.98642677473587104</v>
      </c>
      <c r="R1091">
        <f t="shared" si="284"/>
        <v>1</v>
      </c>
      <c r="AG1091" s="8">
        <f t="shared" si="286"/>
        <v>0.27005992966984577</v>
      </c>
      <c r="AH1091" s="8">
        <f t="shared" si="287"/>
        <v>-0.1903066934693855</v>
      </c>
      <c r="AI1091" s="8">
        <f t="shared" si="288"/>
        <v>0.94384903284766208</v>
      </c>
      <c r="AJ1091" s="8"/>
      <c r="AK1091" s="8"/>
      <c r="AL1091" s="8"/>
      <c r="AN1091" s="8">
        <f t="shared" si="295"/>
        <v>0.99999999999999989</v>
      </c>
      <c r="AO1091" s="8">
        <f t="shared" si="296"/>
        <v>5.6693231707957885</v>
      </c>
      <c r="AP1091" s="8">
        <f t="shared" si="297"/>
        <v>0.3367030413648946</v>
      </c>
      <c r="AQ1091" s="8"/>
      <c r="AR1091" s="8">
        <f t="shared" si="298"/>
        <v>324.82829038232427</v>
      </c>
      <c r="AS1091" s="8">
        <f t="shared" si="299"/>
        <v>70.708336780572765</v>
      </c>
    </row>
    <row r="1092" spans="1:45">
      <c r="A1092" s="19">
        <v>45.045000000000002</v>
      </c>
      <c r="B1092" s="19">
        <v>1037.1594339999999</v>
      </c>
      <c r="C1092" s="19">
        <v>-780.54221329999996</v>
      </c>
      <c r="E1092" s="9">
        <f t="shared" si="289"/>
        <v>-77.159433999999919</v>
      </c>
      <c r="F1092" s="9">
        <f t="shared" si="290"/>
        <v>-240.54221329999996</v>
      </c>
      <c r="I1092">
        <v>1</v>
      </c>
      <c r="J1092">
        <f t="shared" si="285"/>
        <v>0.16556800073295386</v>
      </c>
      <c r="K1092">
        <f t="shared" si="291"/>
        <v>-1.8812002608476714</v>
      </c>
      <c r="O1092">
        <f t="shared" si="292"/>
        <v>-5.0340900219360697E-2</v>
      </c>
      <c r="P1092">
        <f t="shared" si="293"/>
        <v>-0.15693624137107456</v>
      </c>
      <c r="Q1092">
        <f t="shared" si="294"/>
        <v>0.98632490078544821</v>
      </c>
      <c r="R1092">
        <f t="shared" si="284"/>
        <v>1</v>
      </c>
      <c r="AG1092" s="8">
        <f t="shared" si="286"/>
        <v>0.27065090866121766</v>
      </c>
      <c r="AH1092" s="8">
        <f t="shared" si="287"/>
        <v>-0.19056703559318305</v>
      </c>
      <c r="AI1092" s="8">
        <f t="shared" si="288"/>
        <v>0.94362719894356784</v>
      </c>
      <c r="AJ1092" s="8"/>
      <c r="AK1092" s="8"/>
      <c r="AL1092" s="8"/>
      <c r="AN1092" s="8">
        <f t="shared" si="295"/>
        <v>1</v>
      </c>
      <c r="AO1092" s="8">
        <f t="shared" si="296"/>
        <v>5.6697086864695621</v>
      </c>
      <c r="AP1092" s="8">
        <f t="shared" si="297"/>
        <v>0.33737385536541531</v>
      </c>
      <c r="AQ1092" s="8"/>
      <c r="AR1092" s="8">
        <f t="shared" si="298"/>
        <v>324.85037880336762</v>
      </c>
      <c r="AS1092" s="8">
        <f t="shared" si="299"/>
        <v>70.669901969504636</v>
      </c>
    </row>
    <row r="1093" spans="1:45">
      <c r="A1093" s="19">
        <v>45.078366670000001</v>
      </c>
      <c r="B1093" s="19">
        <v>1037.718969</v>
      </c>
      <c r="C1093" s="19">
        <v>-781.17373180000004</v>
      </c>
      <c r="E1093" s="9">
        <f t="shared" si="289"/>
        <v>-77.718969000000016</v>
      </c>
      <c r="F1093" s="9">
        <f t="shared" si="290"/>
        <v>-241.17373180000004</v>
      </c>
      <c r="I1093">
        <v>1</v>
      </c>
      <c r="J1093">
        <f t="shared" si="285"/>
        <v>0.16607102269929921</v>
      </c>
      <c r="K1093">
        <f t="shared" si="291"/>
        <v>-1.8825416946698965</v>
      </c>
      <c r="O1093">
        <f t="shared" si="292"/>
        <v>-5.070354522279949E-2</v>
      </c>
      <c r="P1093">
        <f t="shared" si="293"/>
        <v>-0.15734078017520559</v>
      </c>
      <c r="Q1093">
        <f t="shared" si="294"/>
        <v>0.9862418716500011</v>
      </c>
      <c r="R1093">
        <f t="shared" si="284"/>
        <v>1</v>
      </c>
      <c r="AG1093" s="8">
        <f t="shared" si="286"/>
        <v>0.27113073994709574</v>
      </c>
      <c r="AH1093" s="8">
        <f t="shared" si="287"/>
        <v>-0.19076718877903581</v>
      </c>
      <c r="AI1093" s="8">
        <f t="shared" si="288"/>
        <v>0.94344899254866132</v>
      </c>
      <c r="AJ1093" s="8"/>
      <c r="AK1093" s="8"/>
      <c r="AL1093" s="8"/>
      <c r="AN1093" s="8">
        <f t="shared" si="295"/>
        <v>1</v>
      </c>
      <c r="AO1093" s="8">
        <f t="shared" si="296"/>
        <v>5.6700483059033377</v>
      </c>
      <c r="AP1093" s="8">
        <f t="shared" si="297"/>
        <v>0.3379118143036699</v>
      </c>
      <c r="AQ1093" s="8"/>
      <c r="AR1093" s="8">
        <f t="shared" si="298"/>
        <v>324.86983756356358</v>
      </c>
      <c r="AS1093" s="8">
        <f t="shared" si="299"/>
        <v>70.639079192791314</v>
      </c>
    </row>
    <row r="1094" spans="1:45">
      <c r="A1094" s="19">
        <v>45.11173333</v>
      </c>
      <c r="B1094" s="19">
        <v>1038.2232389999999</v>
      </c>
      <c r="C1094" s="19">
        <v>-781.90111820000004</v>
      </c>
      <c r="E1094" s="9">
        <f t="shared" si="289"/>
        <v>-78.223238999999921</v>
      </c>
      <c r="F1094" s="9">
        <f t="shared" si="290"/>
        <v>-241.90111820000004</v>
      </c>
      <c r="I1094">
        <v>1</v>
      </c>
      <c r="J1094">
        <f t="shared" si="285"/>
        <v>0.16662258127659463</v>
      </c>
      <c r="K1094">
        <f t="shared" si="291"/>
        <v>-1.8835520224175051</v>
      </c>
      <c r="O1094">
        <f t="shared" si="292"/>
        <v>-5.102984705651082E-2</v>
      </c>
      <c r="P1094">
        <f t="shared" si="293"/>
        <v>-0.15780703052381875</v>
      </c>
      <c r="Q1094">
        <f t="shared" si="294"/>
        <v>0.98615054420034853</v>
      </c>
      <c r="R1094">
        <f t="shared" si="284"/>
        <v>1</v>
      </c>
      <c r="AG1094" s="8">
        <f t="shared" si="286"/>
        <v>0.2716580439734616</v>
      </c>
      <c r="AH1094" s="8">
        <f t="shared" si="287"/>
        <v>-0.19091316451655393</v>
      </c>
      <c r="AI1094" s="8">
        <f t="shared" si="288"/>
        <v>0.94326776196305351</v>
      </c>
      <c r="AJ1094" s="8"/>
      <c r="AK1094" s="8"/>
      <c r="AL1094" s="8"/>
      <c r="AN1094" s="8">
        <f t="shared" si="295"/>
        <v>0.99999999999999978</v>
      </c>
      <c r="AO1094" s="8">
        <f t="shared" si="296"/>
        <v>5.6706025997372631</v>
      </c>
      <c r="AP1094" s="8">
        <f t="shared" si="297"/>
        <v>0.33845805913193749</v>
      </c>
      <c r="AQ1094" s="8"/>
      <c r="AR1094" s="8">
        <f t="shared" si="298"/>
        <v>324.90159626085762</v>
      </c>
      <c r="AS1094" s="8">
        <f t="shared" si="299"/>
        <v>70.607781669550732</v>
      </c>
    </row>
    <row r="1095" spans="1:45">
      <c r="A1095" s="19">
        <v>45.145099999999999</v>
      </c>
      <c r="B1095" s="19">
        <v>1038.3421269999999</v>
      </c>
      <c r="C1095" s="19">
        <v>-782.76464499999997</v>
      </c>
      <c r="E1095" s="9">
        <f t="shared" si="289"/>
        <v>-78.342126999999891</v>
      </c>
      <c r="F1095" s="9">
        <f t="shared" si="290"/>
        <v>-242.76464499999997</v>
      </c>
      <c r="I1095">
        <v>1</v>
      </c>
      <c r="J1095">
        <f t="shared" si="285"/>
        <v>0.16718130861951475</v>
      </c>
      <c r="K1095">
        <f t="shared" si="291"/>
        <v>-1.8829539222448886</v>
      </c>
      <c r="O1095">
        <f t="shared" si="292"/>
        <v>-5.1104661353239884E-2</v>
      </c>
      <c r="P1095">
        <f t="shared" si="293"/>
        <v>-0.1583618602959877</v>
      </c>
      <c r="Q1095">
        <f t="shared" si="294"/>
        <v>0.98605772386385415</v>
      </c>
      <c r="R1095">
        <f t="shared" si="284"/>
        <v>1</v>
      </c>
      <c r="AG1095" s="8">
        <f t="shared" si="286"/>
        <v>0.2721976516747911</v>
      </c>
      <c r="AH1095" s="8">
        <f t="shared" si="287"/>
        <v>-0.19079735240653517</v>
      </c>
      <c r="AI1095" s="8">
        <f t="shared" si="288"/>
        <v>0.94313562584465316</v>
      </c>
      <c r="AJ1095" s="8"/>
      <c r="AK1095" s="8"/>
      <c r="AL1095" s="8"/>
      <c r="AN1095" s="8">
        <f t="shared" si="295"/>
        <v>1</v>
      </c>
      <c r="AO1095" s="8">
        <f t="shared" si="296"/>
        <v>5.6718210371886979</v>
      </c>
      <c r="AP1095" s="8">
        <f t="shared" si="297"/>
        <v>0.33885579520806708</v>
      </c>
      <c r="AQ1095" s="8"/>
      <c r="AR1095" s="8">
        <f t="shared" si="298"/>
        <v>324.97140758442555</v>
      </c>
      <c r="AS1095" s="8">
        <f t="shared" si="299"/>
        <v>70.584993071028407</v>
      </c>
    </row>
    <row r="1096" spans="1:45">
      <c r="A1096" s="19">
        <v>45.178466669999999</v>
      </c>
      <c r="B1096" s="19">
        <v>1039.4219949999999</v>
      </c>
      <c r="C1096" s="19">
        <v>-783.39348749999999</v>
      </c>
      <c r="E1096" s="9">
        <f t="shared" si="289"/>
        <v>-79.421994999999924</v>
      </c>
      <c r="F1096" s="9">
        <f t="shared" si="290"/>
        <v>-243.39348749999999</v>
      </c>
      <c r="I1096">
        <v>1</v>
      </c>
      <c r="J1096">
        <f t="shared" si="285"/>
        <v>0.16778759020223849</v>
      </c>
      <c r="K1096">
        <f t="shared" si="291"/>
        <v>-1.8862136075002336</v>
      </c>
      <c r="O1096">
        <f t="shared" si="292"/>
        <v>-5.1806043584805242E-2</v>
      </c>
      <c r="P1096">
        <f t="shared" si="293"/>
        <v>-0.15876274099741225</v>
      </c>
      <c r="Q1096">
        <f t="shared" si="294"/>
        <v>0.98595665519285269</v>
      </c>
      <c r="R1096">
        <f t="shared" si="284"/>
        <v>1</v>
      </c>
      <c r="AG1096" s="8">
        <f t="shared" si="286"/>
        <v>0.2727688572242109</v>
      </c>
      <c r="AH1096" s="8">
        <f t="shared" si="287"/>
        <v>-0.19131128428437388</v>
      </c>
      <c r="AI1096" s="8">
        <f t="shared" si="288"/>
        <v>0.94286645026433169</v>
      </c>
      <c r="AJ1096" s="8"/>
      <c r="AK1096" s="8"/>
      <c r="AL1096" s="8"/>
      <c r="AN1096" s="8">
        <f t="shared" si="295"/>
        <v>0.99999999999999989</v>
      </c>
      <c r="AO1096" s="8">
        <f t="shared" si="296"/>
        <v>5.6715419681351733</v>
      </c>
      <c r="AP1096" s="8">
        <f t="shared" si="297"/>
        <v>0.33966464143788189</v>
      </c>
      <c r="AQ1096" s="8"/>
      <c r="AR1096" s="8">
        <f t="shared" si="298"/>
        <v>324.95541810546587</v>
      </c>
      <c r="AS1096" s="8">
        <f t="shared" si="299"/>
        <v>70.53864959578496</v>
      </c>
    </row>
    <row r="1097" spans="1:45">
      <c r="A1097" s="19">
        <v>45.211833329999997</v>
      </c>
      <c r="B1097" s="19">
        <v>1039.3857089999999</v>
      </c>
      <c r="C1097" s="19">
        <v>-784.35924639999996</v>
      </c>
      <c r="E1097" s="9">
        <f t="shared" si="289"/>
        <v>-79.385708999999906</v>
      </c>
      <c r="F1097" s="9">
        <f t="shared" si="290"/>
        <v>-244.35924639999996</v>
      </c>
      <c r="I1097">
        <v>1</v>
      </c>
      <c r="J1097">
        <f t="shared" si="285"/>
        <v>0.16837791001919808</v>
      </c>
      <c r="K1097">
        <f t="shared" si="291"/>
        <v>-1.8849133083280774</v>
      </c>
      <c r="O1097">
        <f t="shared" si="292"/>
        <v>-5.1779385463536588E-2</v>
      </c>
      <c r="P1097">
        <f t="shared" si="293"/>
        <v>-0.15938349320436165</v>
      </c>
      <c r="Q1097">
        <f t="shared" si="294"/>
        <v>0.98585789915940403</v>
      </c>
      <c r="R1097">
        <f t="shared" si="284"/>
        <v>1</v>
      </c>
      <c r="AG1097" s="8">
        <f t="shared" si="286"/>
        <v>0.27334158898678729</v>
      </c>
      <c r="AH1097" s="8">
        <f t="shared" si="287"/>
        <v>-0.19107969015982817</v>
      </c>
      <c r="AI1097" s="8">
        <f t="shared" si="288"/>
        <v>0.94274754188945109</v>
      </c>
      <c r="AJ1097" s="8"/>
      <c r="AK1097" s="8"/>
      <c r="AL1097" s="8"/>
      <c r="AN1097" s="8">
        <f t="shared" si="295"/>
        <v>1</v>
      </c>
      <c r="AO1097" s="8">
        <f t="shared" si="296"/>
        <v>5.6730965910596787</v>
      </c>
      <c r="AP1097" s="8">
        <f t="shared" si="297"/>
        <v>0.34002136041840725</v>
      </c>
      <c r="AQ1097" s="8"/>
      <c r="AR1097" s="8">
        <f t="shared" si="298"/>
        <v>325.0444914377743</v>
      </c>
      <c r="AS1097" s="8">
        <f t="shared" si="299"/>
        <v>70.518211103728646</v>
      </c>
    </row>
    <row r="1098" spans="1:45">
      <c r="A1098" s="19">
        <v>45.245199999999997</v>
      </c>
      <c r="B1098" s="19">
        <v>1039.800215</v>
      </c>
      <c r="C1098" s="19">
        <v>-784.91761039999994</v>
      </c>
      <c r="E1098" s="9">
        <f t="shared" si="289"/>
        <v>-79.80021499999998</v>
      </c>
      <c r="F1098" s="9">
        <f t="shared" si="290"/>
        <v>-244.91761039999994</v>
      </c>
      <c r="I1098">
        <v>1</v>
      </c>
      <c r="J1098">
        <f t="shared" si="285"/>
        <v>0.1688068622473182</v>
      </c>
      <c r="K1098">
        <f t="shared" si="291"/>
        <v>-1.8857739876798871</v>
      </c>
      <c r="O1098">
        <f t="shared" si="292"/>
        <v>-5.2047547617915614E-2</v>
      </c>
      <c r="P1098">
        <f t="shared" si="293"/>
        <v>-0.15974093540675438</v>
      </c>
      <c r="Q1098">
        <f t="shared" si="294"/>
        <v>0.98578592318126346</v>
      </c>
      <c r="R1098">
        <f t="shared" si="284"/>
        <v>1</v>
      </c>
      <c r="AG1098" s="8">
        <f t="shared" si="286"/>
        <v>0.27375077135087789</v>
      </c>
      <c r="AH1098" s="8">
        <f t="shared" si="287"/>
        <v>-0.19120802884192001</v>
      </c>
      <c r="AI1098" s="8">
        <f t="shared" si="288"/>
        <v>0.94260278213634963</v>
      </c>
      <c r="AJ1098" s="8"/>
      <c r="AK1098" s="8"/>
      <c r="AL1098" s="8"/>
      <c r="AN1098" s="8">
        <f t="shared" si="295"/>
        <v>0.99999999999999978</v>
      </c>
      <c r="AO1098" s="8">
        <f t="shared" si="296"/>
        <v>5.6734836672602134</v>
      </c>
      <c r="AP1098" s="8">
        <f t="shared" si="297"/>
        <v>0.34045514729274839</v>
      </c>
      <c r="AQ1098" s="8"/>
      <c r="AR1098" s="8">
        <f t="shared" si="298"/>
        <v>325.06666927041488</v>
      </c>
      <c r="AS1098" s="8">
        <f t="shared" si="299"/>
        <v>70.493356946620722</v>
      </c>
    </row>
    <row r="1099" spans="1:45">
      <c r="A1099" s="19">
        <v>45.278566669999996</v>
      </c>
      <c r="B1099" s="19">
        <v>1039.82808</v>
      </c>
      <c r="C1099" s="19">
        <v>-785.8164352</v>
      </c>
      <c r="E1099" s="9">
        <f t="shared" si="289"/>
        <v>-79.82808</v>
      </c>
      <c r="F1099" s="9">
        <f t="shared" si="290"/>
        <v>-245.8164352</v>
      </c>
      <c r="I1099">
        <v>1</v>
      </c>
      <c r="J1099">
        <f t="shared" si="285"/>
        <v>0.16936858081761275</v>
      </c>
      <c r="K1099">
        <f t="shared" si="291"/>
        <v>-1.8847991218523821</v>
      </c>
      <c r="O1099">
        <f t="shared" si="292"/>
        <v>-5.2062819627780851E-2</v>
      </c>
      <c r="P1099">
        <f t="shared" si="293"/>
        <v>-0.1603182329746837</v>
      </c>
      <c r="Q1099">
        <f t="shared" si="294"/>
        <v>0.98569139541150519</v>
      </c>
      <c r="R1099">
        <f t="shared" si="284"/>
        <v>1</v>
      </c>
      <c r="AG1099" s="8">
        <f t="shared" si="286"/>
        <v>0.27429456953911985</v>
      </c>
      <c r="AH1099" s="8">
        <f t="shared" si="287"/>
        <v>-0.19102952154549036</v>
      </c>
      <c r="AI1099" s="8">
        <f t="shared" si="288"/>
        <v>0.94248088098350835</v>
      </c>
      <c r="AJ1099" s="8"/>
      <c r="AK1099" s="8"/>
      <c r="AL1099" s="8"/>
      <c r="AN1099" s="8">
        <f t="shared" si="295"/>
        <v>1</v>
      </c>
      <c r="AO1099" s="8">
        <f t="shared" si="296"/>
        <v>5.67485306533698</v>
      </c>
      <c r="AP1099" s="8">
        <f t="shared" si="297"/>
        <v>0.34082002454923122</v>
      </c>
      <c r="AQ1099" s="8"/>
      <c r="AR1099" s="8">
        <f t="shared" si="298"/>
        <v>325.14513000068695</v>
      </c>
      <c r="AS1099" s="8">
        <f t="shared" si="299"/>
        <v>70.472451019783946</v>
      </c>
    </row>
    <row r="1100" spans="1:45">
      <c r="A1100" s="19">
        <v>45.311933330000002</v>
      </c>
      <c r="B1100" s="19">
        <v>1040.9034690000001</v>
      </c>
      <c r="C1100" s="19">
        <v>-786.60988870000006</v>
      </c>
      <c r="E1100" s="9">
        <f t="shared" si="289"/>
        <v>-80.903469000000086</v>
      </c>
      <c r="F1100" s="9">
        <f t="shared" si="290"/>
        <v>-246.60988870000006</v>
      </c>
      <c r="I1100">
        <v>1</v>
      </c>
      <c r="J1100">
        <f t="shared" si="285"/>
        <v>0.17007631665476472</v>
      </c>
      <c r="K1100">
        <f t="shared" si="291"/>
        <v>-1.8877956993624621</v>
      </c>
      <c r="O1100">
        <f t="shared" si="292"/>
        <v>-5.2760434511449399E-2</v>
      </c>
      <c r="P1100">
        <f t="shared" si="293"/>
        <v>-0.16082431375881015</v>
      </c>
      <c r="Q1100">
        <f t="shared" si="294"/>
        <v>0.9855718526085101</v>
      </c>
      <c r="R1100">
        <f t="shared" si="284"/>
        <v>1</v>
      </c>
      <c r="AG1100" s="8">
        <f t="shared" si="286"/>
        <v>0.2749628633034058</v>
      </c>
      <c r="AH1100" s="8">
        <f t="shared" si="287"/>
        <v>-0.19150456864570425</v>
      </c>
      <c r="AI1100" s="8">
        <f t="shared" si="288"/>
        <v>0.94218969639442307</v>
      </c>
      <c r="AJ1100" s="8"/>
      <c r="AK1100" s="8"/>
      <c r="AL1100" s="8"/>
      <c r="AN1100" s="8">
        <f t="shared" si="295"/>
        <v>0.99999999999999978</v>
      </c>
      <c r="AO1100" s="8">
        <f t="shared" si="296"/>
        <v>5.674829503629895</v>
      </c>
      <c r="AP1100" s="8">
        <f t="shared" si="297"/>
        <v>0.34169008928020994</v>
      </c>
      <c r="AQ1100" s="8"/>
      <c r="AR1100" s="8">
        <f t="shared" si="298"/>
        <v>325.14378001431288</v>
      </c>
      <c r="AS1100" s="8">
        <f t="shared" si="299"/>
        <v>70.422599982795674</v>
      </c>
    </row>
    <row r="1101" spans="1:45">
      <c r="A1101" s="19">
        <v>45.345300000000002</v>
      </c>
      <c r="B1101" s="19">
        <v>1041.2969210000001</v>
      </c>
      <c r="C1101" s="19">
        <v>-787.7062707</v>
      </c>
      <c r="E1101" s="9">
        <f t="shared" si="289"/>
        <v>-81.296921000000111</v>
      </c>
      <c r="F1101" s="9">
        <f t="shared" si="290"/>
        <v>-247.7062707</v>
      </c>
      <c r="I1101">
        <v>1</v>
      </c>
      <c r="J1101">
        <f t="shared" si="285"/>
        <v>0.1708336171154072</v>
      </c>
      <c r="K1101">
        <f t="shared" si="291"/>
        <v>-1.8879187787610596</v>
      </c>
      <c r="O1101">
        <f t="shared" si="292"/>
        <v>-5.3012957754435229E-2</v>
      </c>
      <c r="P1101">
        <f t="shared" si="293"/>
        <v>-0.16152692995750464</v>
      </c>
      <c r="Q1101">
        <f t="shared" si="294"/>
        <v>0.98544339117405921</v>
      </c>
      <c r="R1101">
        <f t="shared" si="284"/>
        <v>1</v>
      </c>
      <c r="AG1101" s="8">
        <f t="shared" si="286"/>
        <v>0.27569011425821122</v>
      </c>
      <c r="AH1101" s="8">
        <f t="shared" si="287"/>
        <v>-0.19150306221508576</v>
      </c>
      <c r="AI1101" s="8">
        <f t="shared" si="288"/>
        <v>0.94197746154700512</v>
      </c>
      <c r="AJ1101" s="8"/>
      <c r="AK1101" s="8"/>
      <c r="AL1101" s="8"/>
      <c r="AN1101" s="8">
        <f t="shared" si="295"/>
        <v>1</v>
      </c>
      <c r="AO1101" s="8">
        <f t="shared" si="296"/>
        <v>5.6760713971999106</v>
      </c>
      <c r="AP1101" s="8">
        <f t="shared" si="297"/>
        <v>0.34232291198963649</v>
      </c>
      <c r="AQ1101" s="8"/>
      <c r="AR1101" s="8">
        <f t="shared" si="298"/>
        <v>325.21493527447922</v>
      </c>
      <c r="AS1101" s="8">
        <f t="shared" si="299"/>
        <v>70.386341912365509</v>
      </c>
    </row>
    <row r="1102" spans="1:45">
      <c r="A1102" s="19">
        <v>45.378666670000001</v>
      </c>
      <c r="B1102" s="19">
        <v>1041.933403</v>
      </c>
      <c r="C1102" s="19">
        <v>-788.15995869999995</v>
      </c>
      <c r="E1102" s="9">
        <f t="shared" si="289"/>
        <v>-81.933402999999998</v>
      </c>
      <c r="F1102" s="9">
        <f t="shared" si="290"/>
        <v>-248.15995869999995</v>
      </c>
      <c r="I1102">
        <v>1</v>
      </c>
      <c r="J1102">
        <f t="shared" si="285"/>
        <v>0.17124325840974683</v>
      </c>
      <c r="K1102">
        <f t="shared" si="291"/>
        <v>-1.8896914777918077</v>
      </c>
      <c r="O1102">
        <f t="shared" si="292"/>
        <v>-5.3425768722150692E-2</v>
      </c>
      <c r="P1102">
        <f t="shared" si="293"/>
        <v>-0.16181601244616528</v>
      </c>
      <c r="Q1102">
        <f t="shared" si="294"/>
        <v>0.98537366788060143</v>
      </c>
      <c r="R1102">
        <f t="shared" si="284"/>
        <v>1</v>
      </c>
      <c r="AG1102" s="8">
        <f t="shared" si="286"/>
        <v>0.27607579281713868</v>
      </c>
      <c r="AH1102" s="8">
        <f t="shared" si="287"/>
        <v>-0.19178750570145522</v>
      </c>
      <c r="AI1102" s="8">
        <f t="shared" si="288"/>
        <v>0.94180661989455283</v>
      </c>
      <c r="AJ1102" s="8"/>
      <c r="AK1102" s="8"/>
      <c r="AL1102" s="8"/>
      <c r="AN1102" s="8">
        <f t="shared" si="295"/>
        <v>1.0000000000000002</v>
      </c>
      <c r="AO1102" s="8">
        <f t="shared" si="296"/>
        <v>5.676030988993328</v>
      </c>
      <c r="AP1102" s="8">
        <f t="shared" si="297"/>
        <v>0.34283149696482096</v>
      </c>
      <c r="AQ1102" s="8"/>
      <c r="AR1102" s="8">
        <f t="shared" si="298"/>
        <v>325.21262005478434</v>
      </c>
      <c r="AS1102" s="8">
        <f t="shared" si="299"/>
        <v>70.357202139763672</v>
      </c>
    </row>
    <row r="1103" spans="1:45">
      <c r="A1103" s="19">
        <v>45.41203333</v>
      </c>
      <c r="B1103" s="19">
        <v>1042.069853</v>
      </c>
      <c r="C1103" s="19">
        <v>-788.78046089999998</v>
      </c>
      <c r="E1103" s="9">
        <f t="shared" si="289"/>
        <v>-82.069852999999966</v>
      </c>
      <c r="F1103" s="9">
        <f t="shared" si="290"/>
        <v>-248.78046089999998</v>
      </c>
      <c r="I1103">
        <v>1</v>
      </c>
      <c r="J1103">
        <f t="shared" si="285"/>
        <v>0.17165418809270264</v>
      </c>
      <c r="K1103">
        <f t="shared" si="291"/>
        <v>-1.8894434785146332</v>
      </c>
      <c r="O1103">
        <f t="shared" si="292"/>
        <v>-5.3512486280329896E-2</v>
      </c>
      <c r="P1103">
        <f t="shared" si="293"/>
        <v>-0.16221377904411993</v>
      </c>
      <c r="Q1103">
        <f t="shared" si="294"/>
        <v>0.98530355916353152</v>
      </c>
      <c r="R1103">
        <f t="shared" si="284"/>
        <v>1</v>
      </c>
      <c r="AG1103" s="8">
        <f t="shared" si="286"/>
        <v>0.27647171522998404</v>
      </c>
      <c r="AH1103" s="8">
        <f t="shared" si="287"/>
        <v>-0.19173466551148205</v>
      </c>
      <c r="AI1103" s="8">
        <f t="shared" si="288"/>
        <v>0.9417012311338403</v>
      </c>
      <c r="AJ1103" s="8"/>
      <c r="AK1103" s="8"/>
      <c r="AL1103" s="8"/>
      <c r="AN1103" s="8">
        <f t="shared" si="295"/>
        <v>0.99999999999999978</v>
      </c>
      <c r="AO1103" s="8">
        <f t="shared" si="296"/>
        <v>5.6768313539909885</v>
      </c>
      <c r="AP1103" s="8">
        <f t="shared" si="297"/>
        <v>0.34314487165286067</v>
      </c>
      <c r="AQ1103" s="8"/>
      <c r="AR1103" s="8">
        <f t="shared" si="298"/>
        <v>325.25847759122024</v>
      </c>
      <c r="AS1103" s="8">
        <f t="shared" si="299"/>
        <v>70.339247092732762</v>
      </c>
    </row>
    <row r="1104" spans="1:45">
      <c r="A1104" s="19">
        <v>45.445399999999999</v>
      </c>
      <c r="B1104" s="19">
        <v>1042.7334330000001</v>
      </c>
      <c r="C1104" s="19">
        <v>-789.63250579999999</v>
      </c>
      <c r="E1104" s="9">
        <f t="shared" si="289"/>
        <v>-82.733433000000105</v>
      </c>
      <c r="F1104" s="9">
        <f t="shared" si="290"/>
        <v>-249.63250579999999</v>
      </c>
      <c r="I1104">
        <v>1</v>
      </c>
      <c r="J1104">
        <f t="shared" si="285"/>
        <v>0.17231553262483179</v>
      </c>
      <c r="K1104">
        <f t="shared" si="291"/>
        <v>-1.8908247165902734</v>
      </c>
      <c r="O1104">
        <f t="shared" si="292"/>
        <v>-5.3941476278093398E-2</v>
      </c>
      <c r="P1104">
        <f t="shared" si="293"/>
        <v>-0.16275821516860908</v>
      </c>
      <c r="Q1104">
        <f t="shared" si="294"/>
        <v>0.98519037781134899</v>
      </c>
      <c r="R1104">
        <f t="shared" si="284"/>
        <v>1</v>
      </c>
      <c r="AG1104" s="8">
        <f t="shared" si="286"/>
        <v>0.27710044482891161</v>
      </c>
      <c r="AH1104" s="8">
        <f t="shared" si="287"/>
        <v>-0.19194862775750562</v>
      </c>
      <c r="AI1104" s="8">
        <f t="shared" si="288"/>
        <v>0.94147281839553376</v>
      </c>
      <c r="AJ1104" s="8"/>
      <c r="AK1104" s="8"/>
      <c r="AL1104" s="8"/>
      <c r="AN1104" s="8">
        <f t="shared" si="295"/>
        <v>0.99999999999999978</v>
      </c>
      <c r="AO1104" s="8">
        <f t="shared" si="296"/>
        <v>5.6773726887329303</v>
      </c>
      <c r="AP1104" s="8">
        <f t="shared" si="297"/>
        <v>0.34382311794727105</v>
      </c>
      <c r="AQ1104" s="8"/>
      <c r="AR1104" s="8">
        <f t="shared" si="298"/>
        <v>325.28949378723735</v>
      </c>
      <c r="AS1104" s="8">
        <f t="shared" si="299"/>
        <v>70.300386442592668</v>
      </c>
    </row>
    <row r="1105" spans="1:45">
      <c r="A1105" s="19">
        <v>45.478766669999999</v>
      </c>
      <c r="B1105" s="19">
        <v>1043.107158</v>
      </c>
      <c r="C1105" s="19">
        <v>-790.61645999999996</v>
      </c>
      <c r="E1105" s="9">
        <f t="shared" si="289"/>
        <v>-83.107158000000027</v>
      </c>
      <c r="F1105" s="9">
        <f t="shared" si="290"/>
        <v>-250.61645999999996</v>
      </c>
      <c r="I1105">
        <v>1</v>
      </c>
      <c r="J1105">
        <f t="shared" si="285"/>
        <v>0.17299903434640146</v>
      </c>
      <c r="K1105">
        <f t="shared" si="291"/>
        <v>-1.8909959202699709</v>
      </c>
      <c r="O1105">
        <f t="shared" si="292"/>
        <v>-5.4181277861204552E-2</v>
      </c>
      <c r="P1105">
        <f t="shared" si="293"/>
        <v>-0.16338809294683687</v>
      </c>
      <c r="Q1105">
        <f t="shared" si="294"/>
        <v>0.9850729517211011</v>
      </c>
      <c r="R1105">
        <f t="shared" si="284"/>
        <v>1</v>
      </c>
      <c r="AG1105" s="8">
        <f t="shared" si="286"/>
        <v>0.27775599753814267</v>
      </c>
      <c r="AH1105" s="8">
        <f t="shared" si="287"/>
        <v>-0.19195936550418724</v>
      </c>
      <c r="AI1105" s="8">
        <f t="shared" si="288"/>
        <v>0.94127743403675679</v>
      </c>
      <c r="AJ1105" s="8"/>
      <c r="AK1105" s="8"/>
      <c r="AL1105" s="8"/>
      <c r="AN1105" s="8">
        <f t="shared" si="295"/>
        <v>0.99999999999999989</v>
      </c>
      <c r="AO1105" s="8">
        <f t="shared" si="296"/>
        <v>5.6784521554162026</v>
      </c>
      <c r="AP1105" s="8">
        <f t="shared" si="297"/>
        <v>0.34440227220165442</v>
      </c>
      <c r="AQ1105" s="8"/>
      <c r="AR1105" s="8">
        <f t="shared" si="298"/>
        <v>325.35134267231382</v>
      </c>
      <c r="AS1105" s="8">
        <f t="shared" si="299"/>
        <v>70.267203348129442</v>
      </c>
    </row>
    <row r="1106" spans="1:45">
      <c r="A1106" s="19">
        <v>45.512133329999997</v>
      </c>
      <c r="B1106" s="19">
        <v>1043.850371</v>
      </c>
      <c r="C1106" s="19">
        <v>-791.21832119999999</v>
      </c>
      <c r="E1106" s="9">
        <f t="shared" si="289"/>
        <v>-83.850370999999996</v>
      </c>
      <c r="F1106" s="9">
        <f t="shared" si="290"/>
        <v>-251.21832119999999</v>
      </c>
      <c r="I1106">
        <v>1</v>
      </c>
      <c r="J1106">
        <f t="shared" si="285"/>
        <v>0.17352263862458192</v>
      </c>
      <c r="K1106">
        <f t="shared" si="291"/>
        <v>-1.8929442419828506</v>
      </c>
      <c r="O1106">
        <f t="shared" si="292"/>
        <v>-5.4662800956603294E-2</v>
      </c>
      <c r="P1106">
        <f t="shared" si="293"/>
        <v>-0.16377145294214185</v>
      </c>
      <c r="Q1106">
        <f t="shared" si="294"/>
        <v>0.98498268481877316</v>
      </c>
      <c r="R1106">
        <f t="shared" si="284"/>
        <v>1</v>
      </c>
      <c r="AG1106" s="8">
        <f t="shared" si="286"/>
        <v>0.27824885492776574</v>
      </c>
      <c r="AH1106" s="8">
        <f t="shared" si="287"/>
        <v>-0.1922754742508086</v>
      </c>
      <c r="AI1106" s="8">
        <f t="shared" si="288"/>
        <v>0.94106732848028141</v>
      </c>
      <c r="AJ1106" s="8"/>
      <c r="AK1106" s="8"/>
      <c r="AL1106" s="8"/>
      <c r="AN1106" s="8">
        <f t="shared" si="295"/>
        <v>1</v>
      </c>
      <c r="AO1106" s="8">
        <f t="shared" si="296"/>
        <v>5.6785117686156976</v>
      </c>
      <c r="AP1106" s="8">
        <f t="shared" si="297"/>
        <v>0.34502402109563013</v>
      </c>
      <c r="AQ1106" s="8"/>
      <c r="AR1106" s="8">
        <f t="shared" si="298"/>
        <v>325.35475825704816</v>
      </c>
      <c r="AS1106" s="8">
        <f t="shared" si="299"/>
        <v>70.231579760587721</v>
      </c>
    </row>
    <row r="1107" spans="1:45">
      <c r="A1107" s="19">
        <v>45.545499999999997</v>
      </c>
      <c r="B1107" s="19">
        <v>1044.041968</v>
      </c>
      <c r="C1107" s="19">
        <v>-792.17398439999999</v>
      </c>
      <c r="E1107" s="9">
        <f t="shared" si="289"/>
        <v>-84.041967999999997</v>
      </c>
      <c r="F1107" s="9">
        <f t="shared" si="290"/>
        <v>-252.17398439999999</v>
      </c>
      <c r="I1107">
        <v>1</v>
      </c>
      <c r="J1107">
        <f t="shared" si="285"/>
        <v>0.17415108640051163</v>
      </c>
      <c r="K1107">
        <f t="shared" si="291"/>
        <v>-1.8924896810206358</v>
      </c>
      <c r="O1107">
        <f t="shared" si="292"/>
        <v>-5.4784055024733595E-2</v>
      </c>
      <c r="P1107">
        <f t="shared" si="293"/>
        <v>-0.16438350702563168</v>
      </c>
      <c r="Q1107">
        <f t="shared" si="294"/>
        <v>0.98487398682928018</v>
      </c>
      <c r="R1107">
        <f t="shared" si="284"/>
        <v>1</v>
      </c>
      <c r="AG1107" s="8">
        <f t="shared" si="286"/>
        <v>0.27885450130086054</v>
      </c>
      <c r="AH1107" s="8">
        <f t="shared" si="287"/>
        <v>-0.19218263993034798</v>
      </c>
      <c r="AI1107" s="8">
        <f t="shared" si="288"/>
        <v>0.94090700922761261</v>
      </c>
      <c r="AJ1107" s="8"/>
      <c r="AK1107" s="8"/>
      <c r="AL1107" s="8"/>
      <c r="AN1107" s="8">
        <f t="shared" si="295"/>
        <v>1</v>
      </c>
      <c r="AO1107" s="8">
        <f t="shared" si="296"/>
        <v>5.6797539394253356</v>
      </c>
      <c r="AP1107" s="8">
        <f t="shared" si="297"/>
        <v>0.34549771873503698</v>
      </c>
      <c r="AQ1107" s="8"/>
      <c r="AR1107" s="8">
        <f t="shared" si="298"/>
        <v>325.42592940187478</v>
      </c>
      <c r="AS1107" s="8">
        <f t="shared" si="299"/>
        <v>70.204438885084386</v>
      </c>
    </row>
    <row r="1108" spans="1:45">
      <c r="A1108" s="19">
        <v>45.578866669999996</v>
      </c>
      <c r="B1108" s="19">
        <v>1044.7197040000001</v>
      </c>
      <c r="C1108" s="19">
        <v>-792.81067240000004</v>
      </c>
      <c r="E1108" s="9">
        <f t="shared" si="289"/>
        <v>-84.719704000000092</v>
      </c>
      <c r="F1108" s="9">
        <f t="shared" si="290"/>
        <v>-252.81067240000004</v>
      </c>
      <c r="I1108">
        <v>1</v>
      </c>
      <c r="J1108">
        <f t="shared" si="285"/>
        <v>0.17468294707067061</v>
      </c>
      <c r="K1108">
        <f t="shared" si="291"/>
        <v>-1.8941461644717092</v>
      </c>
      <c r="O1108">
        <f t="shared" si="292"/>
        <v>-5.52227101112302E-2</v>
      </c>
      <c r="P1108">
        <f t="shared" si="293"/>
        <v>-0.16478917909073879</v>
      </c>
      <c r="Q1108">
        <f t="shared" si="294"/>
        <v>0.98478169090543688</v>
      </c>
      <c r="R1108">
        <f t="shared" si="284"/>
        <v>1</v>
      </c>
      <c r="AG1108" s="8">
        <f t="shared" si="286"/>
        <v>0.27935613158929834</v>
      </c>
      <c r="AH1108" s="8">
        <f t="shared" si="287"/>
        <v>-0.19245160151914917</v>
      </c>
      <c r="AI1108" s="8">
        <f t="shared" si="288"/>
        <v>0.94070321186662109</v>
      </c>
      <c r="AJ1108" s="8"/>
      <c r="AK1108" s="8"/>
      <c r="AL1108" s="8"/>
      <c r="AN1108" s="8">
        <f t="shared" si="295"/>
        <v>0.99999999999999978</v>
      </c>
      <c r="AO1108" s="8">
        <f t="shared" si="296"/>
        <v>5.6799402420466425</v>
      </c>
      <c r="AP1108" s="8">
        <f t="shared" si="297"/>
        <v>0.34609898334624845</v>
      </c>
      <c r="AQ1108" s="8"/>
      <c r="AR1108" s="8">
        <f t="shared" si="298"/>
        <v>325.43660375578787</v>
      </c>
      <c r="AS1108" s="8">
        <f t="shared" si="299"/>
        <v>70.169988960491395</v>
      </c>
    </row>
    <row r="1109" spans="1:45">
      <c r="A1109" s="19">
        <v>45.612233330000002</v>
      </c>
      <c r="B1109" s="19">
        <v>1045.1368399999999</v>
      </c>
      <c r="C1109" s="19">
        <v>-793.94922169999995</v>
      </c>
      <c r="E1109" s="9">
        <f t="shared" si="289"/>
        <v>-85.136839999999893</v>
      </c>
      <c r="F1109" s="9">
        <f t="shared" si="290"/>
        <v>-253.94922169999995</v>
      </c>
      <c r="I1109">
        <v>1</v>
      </c>
      <c r="J1109">
        <f t="shared" si="285"/>
        <v>0.17547024688202498</v>
      </c>
      <c r="K1109">
        <f t="shared" si="291"/>
        <v>-1.8942721746783522</v>
      </c>
      <c r="O1109">
        <f t="shared" si="292"/>
        <v>-5.5489903505220164E-2</v>
      </c>
      <c r="P1109">
        <f t="shared" si="293"/>
        <v>-0.16551727556905776</v>
      </c>
      <c r="Q1109">
        <f t="shared" si="294"/>
        <v>0.98464455622177582</v>
      </c>
      <c r="R1109">
        <f t="shared" si="284"/>
        <v>1</v>
      </c>
      <c r="AG1109" s="8">
        <f t="shared" si="286"/>
        <v>0.28011089680028939</v>
      </c>
      <c r="AH1109" s="8">
        <f t="shared" si="287"/>
        <v>-0.19245440814149334</v>
      </c>
      <c r="AI1109" s="8">
        <f t="shared" si="288"/>
        <v>0.94047816895483816</v>
      </c>
      <c r="AJ1109" s="8"/>
      <c r="AK1109" s="8"/>
      <c r="AL1109" s="8"/>
      <c r="AN1109" s="8">
        <f t="shared" si="295"/>
        <v>0.99999999999999989</v>
      </c>
      <c r="AO1109" s="8">
        <f t="shared" si="296"/>
        <v>5.6811933696804902</v>
      </c>
      <c r="AP1109" s="8">
        <f t="shared" si="297"/>
        <v>0.34676176626141841</v>
      </c>
      <c r="AQ1109" s="8"/>
      <c r="AR1109" s="8">
        <f t="shared" si="298"/>
        <v>325.50840268039855</v>
      </c>
      <c r="AS1109" s="8">
        <f t="shared" si="299"/>
        <v>70.132014296718779</v>
      </c>
    </row>
    <row r="1110" spans="1:45">
      <c r="A1110" s="19">
        <v>45.645600000000002</v>
      </c>
      <c r="B1110" s="19">
        <v>1045.522232</v>
      </c>
      <c r="C1110" s="19">
        <v>-794.21388320000005</v>
      </c>
      <c r="E1110" s="9">
        <f t="shared" si="289"/>
        <v>-85.522232000000031</v>
      </c>
      <c r="F1110" s="9">
        <f t="shared" si="290"/>
        <v>-254.21388320000005</v>
      </c>
      <c r="I1110">
        <v>1</v>
      </c>
      <c r="J1110">
        <f t="shared" si="285"/>
        <v>0.17571286918898663</v>
      </c>
      <c r="K1110">
        <f t="shared" si="291"/>
        <v>-1.8953208813771316</v>
      </c>
      <c r="O1110">
        <f t="shared" si="292"/>
        <v>-5.573962457746235E-2</v>
      </c>
      <c r="P1110">
        <f t="shared" si="293"/>
        <v>-0.16568541396284972</v>
      </c>
      <c r="Q1110">
        <f t="shared" si="294"/>
        <v>0.98460217237822645</v>
      </c>
      <c r="R1110">
        <f t="shared" si="284"/>
        <v>1</v>
      </c>
      <c r="AG1110" s="8">
        <f t="shared" si="286"/>
        <v>0.280337768883264</v>
      </c>
      <c r="AH1110" s="8">
        <f t="shared" si="287"/>
        <v>-0.19262847166373326</v>
      </c>
      <c r="AI1110" s="8">
        <f t="shared" si="288"/>
        <v>0.94037492907991116</v>
      </c>
      <c r="AJ1110" s="8"/>
      <c r="AK1110" s="8"/>
      <c r="AL1110" s="8"/>
      <c r="AN1110" s="8">
        <f t="shared" si="295"/>
        <v>1</v>
      </c>
      <c r="AO1110" s="8">
        <f t="shared" si="296"/>
        <v>5.6811492983044714</v>
      </c>
      <c r="AP1110" s="8">
        <f t="shared" si="297"/>
        <v>0.34706541573064276</v>
      </c>
      <c r="AQ1110" s="8"/>
      <c r="AR1110" s="8">
        <f t="shared" si="298"/>
        <v>325.50587757655535</v>
      </c>
      <c r="AS1110" s="8">
        <f t="shared" si="299"/>
        <v>70.114616463680846</v>
      </c>
    </row>
    <row r="1111" spans="1:45">
      <c r="A1111" s="19">
        <v>45.678966670000001</v>
      </c>
      <c r="B1111" s="19">
        <v>1045.8080669999999</v>
      </c>
      <c r="C1111" s="19">
        <v>-794.98642789999997</v>
      </c>
      <c r="E1111" s="9">
        <f t="shared" si="289"/>
        <v>-85.808066999999937</v>
      </c>
      <c r="F1111" s="9">
        <f t="shared" si="290"/>
        <v>-254.98642789999997</v>
      </c>
      <c r="I1111">
        <v>1</v>
      </c>
      <c r="J1111">
        <f t="shared" si="285"/>
        <v>0.17624753658050699</v>
      </c>
      <c r="K1111">
        <f t="shared" si="291"/>
        <v>-1.8954122549348071</v>
      </c>
      <c r="O1111">
        <f t="shared" si="292"/>
        <v>-5.5922659233460417E-2</v>
      </c>
      <c r="P1111">
        <f t="shared" si="293"/>
        <v>-0.16617923716436869</v>
      </c>
      <c r="Q1111">
        <f t="shared" si="294"/>
        <v>0.98450856640240914</v>
      </c>
      <c r="R1111">
        <f t="shared" si="284"/>
        <v>1</v>
      </c>
      <c r="AG1111" s="8">
        <f t="shared" si="286"/>
        <v>0.28085013367466893</v>
      </c>
      <c r="AH1111" s="8">
        <f t="shared" si="287"/>
        <v>-0.19263195272497191</v>
      </c>
      <c r="AI1111" s="8">
        <f t="shared" si="288"/>
        <v>0.94022132139421555</v>
      </c>
      <c r="AJ1111" s="8"/>
      <c r="AK1111" s="8"/>
      <c r="AL1111" s="8"/>
      <c r="AN1111" s="8">
        <f t="shared" si="295"/>
        <v>1</v>
      </c>
      <c r="AO1111" s="8">
        <f t="shared" si="296"/>
        <v>5.6819928820609045</v>
      </c>
      <c r="AP1111" s="8">
        <f t="shared" si="297"/>
        <v>0.34751673597799604</v>
      </c>
      <c r="AQ1111" s="8"/>
      <c r="AR1111" s="8">
        <f t="shared" si="298"/>
        <v>325.55421136546477</v>
      </c>
      <c r="AS1111" s="8">
        <f t="shared" si="299"/>
        <v>70.088757718298694</v>
      </c>
    </row>
    <row r="1112" spans="1:45">
      <c r="A1112" s="19">
        <v>45.71233333</v>
      </c>
      <c r="B1112" s="19">
        <v>1046.120848</v>
      </c>
      <c r="C1112" s="19">
        <v>-795.918001</v>
      </c>
      <c r="E1112" s="9">
        <f t="shared" si="289"/>
        <v>-86.120848000000024</v>
      </c>
      <c r="F1112" s="9">
        <f t="shared" si="290"/>
        <v>-255.918001</v>
      </c>
      <c r="I1112">
        <v>1</v>
      </c>
      <c r="J1112">
        <f t="shared" si="285"/>
        <v>0.17688555308340198</v>
      </c>
      <c r="K1112">
        <f t="shared" si="291"/>
        <v>-1.8954097554389793</v>
      </c>
      <c r="O1112">
        <f t="shared" si="292"/>
        <v>-5.6122570645465032E-2</v>
      </c>
      <c r="P1112">
        <f t="shared" si="293"/>
        <v>-0.166774670989871</v>
      </c>
      <c r="Q1112">
        <f t="shared" si="294"/>
        <v>0.98439649846002863</v>
      </c>
      <c r="R1112">
        <f t="shared" si="284"/>
        <v>1</v>
      </c>
      <c r="AG1112" s="8">
        <f t="shared" si="286"/>
        <v>0.28146207040282617</v>
      </c>
      <c r="AH1112" s="8">
        <f t="shared" si="287"/>
        <v>-0.19261690463487768</v>
      </c>
      <c r="AI1112" s="8">
        <f t="shared" si="288"/>
        <v>0.94004139854233715</v>
      </c>
      <c r="AJ1112" s="8"/>
      <c r="AK1112" s="8"/>
      <c r="AL1112" s="8"/>
      <c r="AN1112" s="8">
        <f t="shared" si="295"/>
        <v>1.0000000000000002</v>
      </c>
      <c r="AO1112" s="8">
        <f t="shared" si="296"/>
        <v>5.6830441244579282</v>
      </c>
      <c r="AP1112" s="8">
        <f t="shared" si="297"/>
        <v>0.3480446597060467</v>
      </c>
      <c r="AQ1112" s="8"/>
      <c r="AR1112" s="8">
        <f t="shared" si="298"/>
        <v>325.61444311805946</v>
      </c>
      <c r="AS1112" s="8">
        <f t="shared" si="299"/>
        <v>70.058509916776586</v>
      </c>
    </row>
    <row r="1113" spans="1:45">
      <c r="A1113" s="19">
        <v>45.745699999999999</v>
      </c>
      <c r="B1113" s="19">
        <v>1046.821154</v>
      </c>
      <c r="C1113" s="19">
        <v>-796.78435920000004</v>
      </c>
      <c r="E1113" s="9">
        <f t="shared" si="289"/>
        <v>-86.821153999999979</v>
      </c>
      <c r="F1113" s="9">
        <f t="shared" si="290"/>
        <v>-256.78435920000004</v>
      </c>
      <c r="I1113">
        <v>1</v>
      </c>
      <c r="J1113">
        <f t="shared" si="285"/>
        <v>0.17756373764527633</v>
      </c>
      <c r="K1113">
        <f t="shared" si="291"/>
        <v>-1.896838984327651</v>
      </c>
      <c r="O1113">
        <f t="shared" si="292"/>
        <v>-5.657469031554823E-2</v>
      </c>
      <c r="P1113">
        <f t="shared" si="293"/>
        <v>-0.16732668169345591</v>
      </c>
      <c r="Q1113">
        <f t="shared" si="294"/>
        <v>0.9842769356279546</v>
      </c>
      <c r="R1113">
        <f t="shared" si="284"/>
        <v>1</v>
      </c>
      <c r="AG1113" s="8">
        <f t="shared" si="286"/>
        <v>0.28210393136468181</v>
      </c>
      <c r="AH1113" s="8">
        <f t="shared" si="287"/>
        <v>-0.19284893059545724</v>
      </c>
      <c r="AI1113" s="8">
        <f t="shared" si="288"/>
        <v>0.93980139491106274</v>
      </c>
      <c r="AJ1113" s="8"/>
      <c r="AK1113" s="8"/>
      <c r="AL1113" s="8"/>
      <c r="AN1113" s="8">
        <f t="shared" si="295"/>
        <v>0.99999999999999989</v>
      </c>
      <c r="AO1113" s="8">
        <f t="shared" si="296"/>
        <v>5.6835445792014081</v>
      </c>
      <c r="AP1113" s="8">
        <f t="shared" si="297"/>
        <v>0.34874767705830645</v>
      </c>
      <c r="AQ1113" s="8"/>
      <c r="AR1113" s="8">
        <f t="shared" si="298"/>
        <v>325.64311706269814</v>
      </c>
      <c r="AS1113" s="8">
        <f t="shared" si="299"/>
        <v>70.018229989567629</v>
      </c>
    </row>
    <row r="1114" spans="1:45">
      <c r="A1114" s="19">
        <v>45.779066669999999</v>
      </c>
      <c r="B1114" s="19">
        <v>1047.5434210000001</v>
      </c>
      <c r="C1114" s="19">
        <v>-797.58274489999997</v>
      </c>
      <c r="E1114" s="9">
        <f t="shared" si="289"/>
        <v>-87.54342100000008</v>
      </c>
      <c r="F1114" s="9">
        <f t="shared" si="290"/>
        <v>-257.58274489999997</v>
      </c>
      <c r="I1114">
        <v>1</v>
      </c>
      <c r="J1114">
        <f t="shared" si="285"/>
        <v>0.17820496437096539</v>
      </c>
      <c r="K1114">
        <f t="shared" si="291"/>
        <v>-1.8984140311851065</v>
      </c>
      <c r="O1114">
        <f t="shared" si="292"/>
        <v>-5.7041250706701463E-2</v>
      </c>
      <c r="P1114">
        <f t="shared" si="293"/>
        <v>-0.16783490708640703</v>
      </c>
      <c r="Q1114">
        <f t="shared" si="294"/>
        <v>0.98416347203150778</v>
      </c>
      <c r="R1114">
        <f t="shared" si="284"/>
        <v>1</v>
      </c>
      <c r="AG1114" s="8">
        <f t="shared" si="286"/>
        <v>0.28270889007246308</v>
      </c>
      <c r="AH1114" s="8">
        <f t="shared" si="287"/>
        <v>-0.19310884788263816</v>
      </c>
      <c r="AI1114" s="8">
        <f t="shared" si="288"/>
        <v>0.93956620647160161</v>
      </c>
      <c r="AJ1114" s="8"/>
      <c r="AK1114" s="8"/>
      <c r="AL1114" s="8"/>
      <c r="AN1114" s="8">
        <f t="shared" si="295"/>
        <v>1.0000000000000002</v>
      </c>
      <c r="AO1114" s="8">
        <f t="shared" si="296"/>
        <v>5.6839150418177873</v>
      </c>
      <c r="AP1114" s="8">
        <f t="shared" si="297"/>
        <v>0.34943527365669569</v>
      </c>
      <c r="AQ1114" s="8"/>
      <c r="AR1114" s="8">
        <f t="shared" si="298"/>
        <v>325.66434300708403</v>
      </c>
      <c r="AS1114" s="8">
        <f t="shared" si="299"/>
        <v>69.978833606472378</v>
      </c>
    </row>
    <row r="1115" spans="1:45">
      <c r="A1115" s="19">
        <v>45.812433329999998</v>
      </c>
      <c r="B1115" s="19">
        <v>1047.6239210000001</v>
      </c>
      <c r="C1115" s="19">
        <v>-798.32637269999998</v>
      </c>
      <c r="E1115" s="9">
        <f t="shared" si="289"/>
        <v>-87.623921000000109</v>
      </c>
      <c r="F1115" s="9">
        <f t="shared" si="290"/>
        <v>-258.32637269999998</v>
      </c>
      <c r="I1115">
        <v>1</v>
      </c>
      <c r="J1115">
        <f t="shared" si="285"/>
        <v>0.1786786855305747</v>
      </c>
      <c r="K1115">
        <f t="shared" si="291"/>
        <v>-1.8978162206499944</v>
      </c>
      <c r="O1115">
        <f t="shared" si="292"/>
        <v>-5.7090660602838787E-2</v>
      </c>
      <c r="P1115">
        <f t="shared" si="293"/>
        <v>-0.16831046933608609</v>
      </c>
      <c r="Q1115">
        <f t="shared" si="294"/>
        <v>0.9840793882526947</v>
      </c>
      <c r="R1115">
        <f t="shared" ref="R1115:R1178" si="300">SQRT(O1115^2+P1115^2+Q1115^2)</f>
        <v>1</v>
      </c>
      <c r="AG1115" s="8">
        <f t="shared" si="286"/>
        <v>0.28316670912276987</v>
      </c>
      <c r="AH1115" s="8">
        <f t="shared" si="287"/>
        <v>-0.19299497016764677</v>
      </c>
      <c r="AI1115" s="8">
        <f t="shared" si="288"/>
        <v>0.93945173177474617</v>
      </c>
      <c r="AJ1115" s="8"/>
      <c r="AK1115" s="8"/>
      <c r="AL1115" s="8"/>
      <c r="AN1115" s="8">
        <f t="shared" si="295"/>
        <v>0.99999999999999978</v>
      </c>
      <c r="AO1115" s="8">
        <f t="shared" si="296"/>
        <v>5.6849430016635045</v>
      </c>
      <c r="AP1115" s="8">
        <f t="shared" si="297"/>
        <v>0.34976948267193775</v>
      </c>
      <c r="AQ1115" s="8"/>
      <c r="AR1115" s="8">
        <f t="shared" si="298"/>
        <v>325.72324076775254</v>
      </c>
      <c r="AS1115" s="8">
        <f t="shared" si="299"/>
        <v>69.95968484042379</v>
      </c>
    </row>
    <row r="1116" spans="1:45">
      <c r="A1116" s="19">
        <v>45.845799999999997</v>
      </c>
      <c r="B1116" s="19">
        <v>1047.714498</v>
      </c>
      <c r="C1116" s="19">
        <v>-799.10991660000002</v>
      </c>
      <c r="E1116" s="9">
        <f t="shared" si="289"/>
        <v>-87.714498000000049</v>
      </c>
      <c r="F1116" s="9">
        <f t="shared" si="290"/>
        <v>-259.10991660000002</v>
      </c>
      <c r="I1116">
        <v>1</v>
      </c>
      <c r="J1116">
        <f t="shared" si="285"/>
        <v>0.17917902904151189</v>
      </c>
      <c r="K1116">
        <f t="shared" si="291"/>
        <v>-1.8972097041368927</v>
      </c>
      <c r="O1116">
        <f t="shared" si="292"/>
        <v>-5.7146439754142797E-2</v>
      </c>
      <c r="P1116">
        <f t="shared" si="293"/>
        <v>-0.16881142315473163</v>
      </c>
      <c r="Q1116">
        <f t="shared" si="294"/>
        <v>0.98399033930008695</v>
      </c>
      <c r="R1116">
        <f t="shared" si="300"/>
        <v>1</v>
      </c>
      <c r="AG1116" s="8">
        <f t="shared" si="286"/>
        <v>0.28364998721418089</v>
      </c>
      <c r="AH1116" s="8">
        <f t="shared" si="287"/>
        <v>-0.1928784026019911</v>
      </c>
      <c r="AI1116" s="8">
        <f t="shared" si="288"/>
        <v>0.93932987100544141</v>
      </c>
      <c r="AJ1116" s="8"/>
      <c r="AK1116" s="8"/>
      <c r="AL1116" s="8"/>
      <c r="AN1116" s="8">
        <f t="shared" si="295"/>
        <v>1</v>
      </c>
      <c r="AO1116" s="8">
        <f t="shared" si="296"/>
        <v>5.6860173005827797</v>
      </c>
      <c r="AP1116" s="8">
        <f t="shared" si="297"/>
        <v>0.35012491917928701</v>
      </c>
      <c r="AQ1116" s="8"/>
      <c r="AR1116" s="8">
        <f t="shared" si="298"/>
        <v>325.78479356176246</v>
      </c>
      <c r="AS1116" s="8">
        <f t="shared" si="299"/>
        <v>69.939319828667806</v>
      </c>
    </row>
    <row r="1117" spans="1:45">
      <c r="A1117" s="19">
        <v>45.879166669999996</v>
      </c>
      <c r="B1117" s="19">
        <v>1048.6777970000001</v>
      </c>
      <c r="C1117" s="19">
        <v>-799.79487449999999</v>
      </c>
      <c r="E1117" s="9">
        <f t="shared" si="289"/>
        <v>-88.677797000000055</v>
      </c>
      <c r="F1117" s="9">
        <f t="shared" si="290"/>
        <v>-259.79487449999999</v>
      </c>
      <c r="I1117">
        <v>1</v>
      </c>
      <c r="J1117">
        <f t="shared" si="285"/>
        <v>0.17980084495737014</v>
      </c>
      <c r="K1117">
        <f t="shared" si="291"/>
        <v>-1.8997334716393148</v>
      </c>
      <c r="O1117">
        <f t="shared" si="292"/>
        <v>-5.7769940850856072E-2</v>
      </c>
      <c r="P1117">
        <f t="shared" si="293"/>
        <v>-0.16924568540218218</v>
      </c>
      <c r="Q1117">
        <f t="shared" si="294"/>
        <v>0.98387932791924959</v>
      </c>
      <c r="R1117">
        <f t="shared" si="300"/>
        <v>1</v>
      </c>
      <c r="AG1117" s="8">
        <f t="shared" si="286"/>
        <v>0.28422964146636531</v>
      </c>
      <c r="AH1117" s="8">
        <f t="shared" si="287"/>
        <v>-0.19330762952365149</v>
      </c>
      <c r="AI1117" s="8">
        <f t="shared" si="288"/>
        <v>0.93906638278656751</v>
      </c>
      <c r="AJ1117" s="8"/>
      <c r="AK1117" s="8"/>
      <c r="AL1117" s="8"/>
      <c r="AN1117" s="8">
        <f t="shared" si="295"/>
        <v>1</v>
      </c>
      <c r="AO1117" s="8">
        <f t="shared" si="296"/>
        <v>5.6859329335964244</v>
      </c>
      <c r="AP1117" s="8">
        <f t="shared" si="297"/>
        <v>0.35089226632269321</v>
      </c>
      <c r="AQ1117" s="8"/>
      <c r="AR1117" s="8">
        <f t="shared" si="298"/>
        <v>325.7799596895141</v>
      </c>
      <c r="AS1117" s="8">
        <f t="shared" si="299"/>
        <v>69.895354075929205</v>
      </c>
    </row>
    <row r="1118" spans="1:45">
      <c r="A1118" s="19">
        <v>45.912533330000002</v>
      </c>
      <c r="B1118" s="19">
        <v>1048.914405</v>
      </c>
      <c r="C1118" s="19">
        <v>-800.50784250000004</v>
      </c>
      <c r="E1118" s="9">
        <f t="shared" si="289"/>
        <v>-88.914404999999988</v>
      </c>
      <c r="F1118" s="9">
        <f t="shared" si="290"/>
        <v>-260.50784250000004</v>
      </c>
      <c r="I1118">
        <v>1</v>
      </c>
      <c r="J1118">
        <f t="shared" si="285"/>
        <v>0.180288059147763</v>
      </c>
      <c r="K1118">
        <f t="shared" si="291"/>
        <v>-1.8997102475996823</v>
      </c>
      <c r="O1118">
        <f t="shared" si="292"/>
        <v>-5.7920844038083466E-2</v>
      </c>
      <c r="P1118">
        <f t="shared" si="293"/>
        <v>-0.16970067016857535</v>
      </c>
      <c r="Q1118">
        <f t="shared" si="294"/>
        <v>0.9837920808637628</v>
      </c>
      <c r="R1118">
        <f t="shared" si="300"/>
        <v>1</v>
      </c>
      <c r="AG1118" s="8">
        <f t="shared" si="286"/>
        <v>0.2846965319248993</v>
      </c>
      <c r="AH1118" s="8">
        <f t="shared" si="287"/>
        <v>-0.1932940882675748</v>
      </c>
      <c r="AI1118" s="8">
        <f t="shared" si="288"/>
        <v>0.93892772892845255</v>
      </c>
      <c r="AJ1118" s="8"/>
      <c r="AK1118" s="8"/>
      <c r="AL1118" s="8"/>
      <c r="AN1118" s="8">
        <f t="shared" si="295"/>
        <v>0.99999999999999989</v>
      </c>
      <c r="AO1118" s="8">
        <f t="shared" si="296"/>
        <v>5.6867284931309099</v>
      </c>
      <c r="AP1118" s="8">
        <f t="shared" si="297"/>
        <v>0.35129541761349214</v>
      </c>
      <c r="AQ1118" s="8"/>
      <c r="AR1118" s="8">
        <f t="shared" si="298"/>
        <v>325.82554189319148</v>
      </c>
      <c r="AS1118" s="8">
        <f t="shared" si="299"/>
        <v>69.872255208461183</v>
      </c>
    </row>
    <row r="1119" spans="1:45">
      <c r="A1119" s="19">
        <v>45.945900000000002</v>
      </c>
      <c r="B1119" s="19">
        <v>1049.6483539999999</v>
      </c>
      <c r="C1119" s="19">
        <v>-801.32460619999995</v>
      </c>
      <c r="E1119" s="9">
        <f t="shared" si="289"/>
        <v>-89.648353999999927</v>
      </c>
      <c r="F1119" s="9">
        <f t="shared" si="290"/>
        <v>-261.32460619999995</v>
      </c>
      <c r="I1119">
        <v>1</v>
      </c>
      <c r="J1119">
        <f t="shared" si="285"/>
        <v>0.18094329009810628</v>
      </c>
      <c r="K1119">
        <f t="shared" si="291"/>
        <v>-1.9012694877981926</v>
      </c>
      <c r="O1119">
        <f t="shared" si="292"/>
        <v>-5.8394535353956945E-2</v>
      </c>
      <c r="P1119">
        <f t="shared" si="293"/>
        <v>-0.17021984537055523</v>
      </c>
      <c r="Q1119">
        <f t="shared" si="294"/>
        <v>0.9836743782791233</v>
      </c>
      <c r="R1119">
        <f t="shared" si="300"/>
        <v>1</v>
      </c>
      <c r="AG1119" s="8">
        <f t="shared" si="286"/>
        <v>0.28531349533090999</v>
      </c>
      <c r="AH1119" s="8">
        <f t="shared" si="287"/>
        <v>-0.19355653146876844</v>
      </c>
      <c r="AI1119" s="8">
        <f t="shared" si="288"/>
        <v>0.93868635790014465</v>
      </c>
      <c r="AJ1119" s="8"/>
      <c r="AK1119" s="8"/>
      <c r="AL1119" s="8"/>
      <c r="AN1119" s="8">
        <f t="shared" si="295"/>
        <v>1</v>
      </c>
      <c r="AO1119" s="8">
        <f t="shared" si="296"/>
        <v>5.6871039002140797</v>
      </c>
      <c r="AP1119" s="8">
        <f t="shared" si="297"/>
        <v>0.35199617443597808</v>
      </c>
      <c r="AQ1119" s="8"/>
      <c r="AR1119" s="8">
        <f t="shared" si="298"/>
        <v>325.84705113465645</v>
      </c>
      <c r="AS1119" s="8">
        <f t="shared" si="299"/>
        <v>69.832104800067739</v>
      </c>
    </row>
    <row r="1120" spans="1:45">
      <c r="A1120" s="19">
        <v>45.979266670000001</v>
      </c>
      <c r="B1120" s="19">
        <v>1049.738482</v>
      </c>
      <c r="C1120" s="19">
        <v>-801.90599499999996</v>
      </c>
      <c r="E1120" s="9">
        <f t="shared" si="289"/>
        <v>-89.738481999999976</v>
      </c>
      <c r="F1120" s="9">
        <f t="shared" si="290"/>
        <v>-261.90599499999996</v>
      </c>
      <c r="I1120">
        <v>1</v>
      </c>
      <c r="J1120">
        <f t="shared" ref="J1120:J1183" si="301">ATAN((SQRT(E1120^2+F1120^2)^$B$16)/($F$24))</f>
        <v>0.18131883474809118</v>
      </c>
      <c r="K1120">
        <f t="shared" si="291"/>
        <v>-1.9008959898374456</v>
      </c>
      <c r="O1120">
        <f t="shared" si="292"/>
        <v>-5.8450691148784671E-2</v>
      </c>
      <c r="P1120">
        <f t="shared" si="293"/>
        <v>-0.1705911007471706</v>
      </c>
      <c r="Q1120">
        <f t="shared" si="294"/>
        <v>0.98360672682230987</v>
      </c>
      <c r="R1120">
        <f t="shared" si="300"/>
        <v>1</v>
      </c>
      <c r="AG1120" s="8">
        <f t="shared" ref="AG1120:AG1183" si="302">$O1120*$Z$27+$P1120*$Z$31+$Q1120*$Z$35</f>
        <v>0.28567570674037057</v>
      </c>
      <c r="AH1120" s="8">
        <f t="shared" ref="AH1120:AH1183" si="303">$O1120*$AA$27+$P1120*$AA$31+$Q1120*$AA$35</f>
        <v>-0.19348365328957151</v>
      </c>
      <c r="AI1120" s="8">
        <f t="shared" ref="AI1120:AI1183" si="304">$AB$27*$O1120+$P1120*$AB$31+$AB$35*$Q1120</f>
        <v>0.9385912137283785</v>
      </c>
      <c r="AJ1120" s="8"/>
      <c r="AK1120" s="8"/>
      <c r="AL1120" s="8"/>
      <c r="AN1120" s="8">
        <f t="shared" si="295"/>
        <v>1</v>
      </c>
      <c r="AO1120" s="8">
        <f t="shared" si="296"/>
        <v>5.6878680534184349</v>
      </c>
      <c r="AP1120" s="8">
        <f t="shared" si="297"/>
        <v>0.35227203320946132</v>
      </c>
      <c r="AQ1120" s="8"/>
      <c r="AR1120" s="8">
        <f t="shared" si="298"/>
        <v>325.89083388816738</v>
      </c>
      <c r="AS1120" s="8">
        <f t="shared" si="299"/>
        <v>69.81629925660549</v>
      </c>
    </row>
    <row r="1121" spans="1:45">
      <c r="A1121" s="19">
        <v>46.01263333</v>
      </c>
      <c r="B1121" s="19">
        <v>1050.742986</v>
      </c>
      <c r="C1121" s="19">
        <v>-802.9035576</v>
      </c>
      <c r="E1121" s="9">
        <f t="shared" ref="E1121:E1184" si="305">-(B1121-($B$15/2))</f>
        <v>-90.742985999999974</v>
      </c>
      <c r="F1121" s="9">
        <f t="shared" ref="F1121:F1184" si="306">(($C$15/2)+C1121)</f>
        <v>-262.9035576</v>
      </c>
      <c r="I1121">
        <v>1</v>
      </c>
      <c r="J1121">
        <f t="shared" si="301"/>
        <v>0.18214214910224352</v>
      </c>
      <c r="K1121">
        <f t="shared" ref="K1121:K1184" si="307">ATAN2(E1121,F1121)</f>
        <v>-1.9031501128953838</v>
      </c>
      <c r="O1121">
        <f t="shared" ref="O1121:O1184" si="308">COS(K1121)*SIN(J1121)</f>
        <v>-5.9099273975521005E-2</v>
      </c>
      <c r="P1121">
        <f t="shared" ref="P1121:P1184" si="309">SIN(K1121)*SIN(J1121)</f>
        <v>-0.17122435644493308</v>
      </c>
      <c r="Q1121">
        <f t="shared" ref="Q1121:Q1184" si="310">COS(J1121)</f>
        <v>0.98345792770996809</v>
      </c>
      <c r="R1121">
        <f t="shared" si="300"/>
        <v>1</v>
      </c>
      <c r="AG1121" s="8">
        <f t="shared" si="302"/>
        <v>0.28644790741223347</v>
      </c>
      <c r="AH1121" s="8">
        <f t="shared" si="303"/>
        <v>-0.19386883827882076</v>
      </c>
      <c r="AI1121" s="8">
        <f t="shared" si="304"/>
        <v>0.93827632917151482</v>
      </c>
      <c r="AJ1121" s="8"/>
      <c r="AK1121" s="8"/>
      <c r="AL1121" s="8"/>
      <c r="AN1121" s="8">
        <f t="shared" ref="AN1121:AN1184" si="311">AG1121^2+AH1121^2+AI1121^2</f>
        <v>0.99999999999999989</v>
      </c>
      <c r="AO1121" s="8">
        <f t="shared" ref="AO1121:AO1184" si="312">IF(ATAN2(AG1121,AH1121)&gt;=0,ATAN2(AG1121,AH1121),ATAN2(AG1121,AH1121)+2*PI())</f>
        <v>5.6881979483752954</v>
      </c>
      <c r="AP1121" s="8">
        <f t="shared" ref="AP1121:AP1184" si="313">ACOS(AI1121/AN1121)</f>
        <v>0.35318352959474963</v>
      </c>
      <c r="AQ1121" s="8"/>
      <c r="AR1121" s="8">
        <f t="shared" ref="AR1121:AR1184" si="314">DEGREES(AO1121)</f>
        <v>325.90973547687815</v>
      </c>
      <c r="AS1121" s="8">
        <f t="shared" ref="AS1121:AS1184" si="315">90-DEGREES(AP1121)</f>
        <v>69.764074360687033</v>
      </c>
    </row>
    <row r="1122" spans="1:45">
      <c r="A1122" s="19">
        <v>46.045999999999999</v>
      </c>
      <c r="B1122" s="19">
        <v>1050.74496</v>
      </c>
      <c r="C1122" s="19">
        <v>-803.78414050000003</v>
      </c>
      <c r="E1122" s="9">
        <f t="shared" si="305"/>
        <v>-90.744959999999992</v>
      </c>
      <c r="F1122" s="9">
        <f t="shared" si="306"/>
        <v>-263.78414050000003</v>
      </c>
      <c r="I1122">
        <v>1</v>
      </c>
      <c r="J1122">
        <f t="shared" si="301"/>
        <v>0.18268217091251035</v>
      </c>
      <c r="K1122">
        <f t="shared" si="307"/>
        <v>-1.9021268676536109</v>
      </c>
      <c r="O1122">
        <f t="shared" si="308"/>
        <v>-5.9096793913394778E-2</v>
      </c>
      <c r="P1122">
        <f t="shared" si="309"/>
        <v>-0.17178691784921696</v>
      </c>
      <c r="Q1122">
        <f t="shared" si="310"/>
        <v>0.98335996654583424</v>
      </c>
      <c r="R1122">
        <f t="shared" si="300"/>
        <v>1</v>
      </c>
      <c r="AG1122" s="8">
        <f t="shared" si="302"/>
        <v>0.28697222914362969</v>
      </c>
      <c r="AH1122" s="8">
        <f t="shared" si="303"/>
        <v>-0.19367755005202009</v>
      </c>
      <c r="AI1122" s="8">
        <f t="shared" si="304"/>
        <v>0.93815560879109139</v>
      </c>
      <c r="AJ1122" s="8"/>
      <c r="AK1122" s="8"/>
      <c r="AL1122" s="8"/>
      <c r="AN1122" s="8">
        <f t="shared" si="311"/>
        <v>1</v>
      </c>
      <c r="AO1122" s="8">
        <f t="shared" si="312"/>
        <v>5.6895043603765521</v>
      </c>
      <c r="AP1122" s="8">
        <f t="shared" si="313"/>
        <v>0.35353238177573165</v>
      </c>
      <c r="AQ1122" s="8"/>
      <c r="AR1122" s="8">
        <f t="shared" si="314"/>
        <v>325.98458737085542</v>
      </c>
      <c r="AS1122" s="8">
        <f t="shared" si="315"/>
        <v>69.744086603042831</v>
      </c>
    </row>
    <row r="1123" spans="1:45">
      <c r="A1123" s="19">
        <v>46.079366669999999</v>
      </c>
      <c r="B1123" s="19">
        <v>1051.5291340000001</v>
      </c>
      <c r="C1123" s="19">
        <v>-804.55908650000003</v>
      </c>
      <c r="E1123" s="9">
        <f t="shared" si="305"/>
        <v>-91.529134000000113</v>
      </c>
      <c r="F1123" s="9">
        <f t="shared" si="306"/>
        <v>-264.55908650000003</v>
      </c>
      <c r="I1123">
        <v>1</v>
      </c>
      <c r="J1123">
        <f t="shared" si="301"/>
        <v>0.18332262620928258</v>
      </c>
      <c r="K1123">
        <f t="shared" si="307"/>
        <v>-1.9038751845008357</v>
      </c>
      <c r="O1123">
        <f t="shared" si="308"/>
        <v>-5.9602944353971184E-2</v>
      </c>
      <c r="P1123">
        <f t="shared" si="309"/>
        <v>-0.17227848469534235</v>
      </c>
      <c r="Q1123">
        <f t="shared" si="310"/>
        <v>0.98324341479382105</v>
      </c>
      <c r="R1123">
        <f t="shared" si="300"/>
        <v>1</v>
      </c>
      <c r="AG1123" s="8">
        <f t="shared" si="302"/>
        <v>0.28757230681455304</v>
      </c>
      <c r="AH1123" s="8">
        <f t="shared" si="303"/>
        <v>-0.19397885552912647</v>
      </c>
      <c r="AI1123" s="8">
        <f t="shared" si="304"/>
        <v>0.93790957557803334</v>
      </c>
      <c r="AJ1123" s="8"/>
      <c r="AK1123" s="8"/>
      <c r="AL1123" s="8"/>
      <c r="AN1123" s="8">
        <f t="shared" si="311"/>
        <v>0.99999999999999978</v>
      </c>
      <c r="AO1123" s="8">
        <f t="shared" si="312"/>
        <v>5.6897521255907728</v>
      </c>
      <c r="AP1123" s="8">
        <f t="shared" si="313"/>
        <v>0.35424233828440332</v>
      </c>
      <c r="AQ1123" s="8"/>
      <c r="AR1123" s="8">
        <f t="shared" si="314"/>
        <v>325.9987832719404</v>
      </c>
      <c r="AS1123" s="8">
        <f t="shared" si="315"/>
        <v>69.703409091458099</v>
      </c>
    </row>
    <row r="1124" spans="1:45">
      <c r="A1124" s="19">
        <v>46.112733329999998</v>
      </c>
      <c r="B1124" s="19">
        <v>1051.5774289999999</v>
      </c>
      <c r="C1124" s="19">
        <v>-804.92628179999997</v>
      </c>
      <c r="E1124" s="9">
        <f t="shared" si="305"/>
        <v>-91.577428999999938</v>
      </c>
      <c r="F1124" s="9">
        <f t="shared" si="306"/>
        <v>-264.92628179999997</v>
      </c>
      <c r="I1124">
        <v>1</v>
      </c>
      <c r="J1124">
        <f t="shared" si="301"/>
        <v>0.18355770796540177</v>
      </c>
      <c r="K1124">
        <f t="shared" si="307"/>
        <v>-1.9036097071006124</v>
      </c>
      <c r="O1124">
        <f t="shared" si="308"/>
        <v>-5.9632719614514079E-2</v>
      </c>
      <c r="P1124">
        <f t="shared" si="309"/>
        <v>-0.17251275618466158</v>
      </c>
      <c r="Q1124">
        <f t="shared" si="310"/>
        <v>0.98320053280342978</v>
      </c>
      <c r="R1124">
        <f t="shared" si="300"/>
        <v>1</v>
      </c>
      <c r="AG1124" s="8">
        <f t="shared" si="302"/>
        <v>0.28779923274898256</v>
      </c>
      <c r="AH1124" s="8">
        <f t="shared" si="303"/>
        <v>-0.19392754704465093</v>
      </c>
      <c r="AI1124" s="8">
        <f t="shared" si="304"/>
        <v>0.93785057878445732</v>
      </c>
      <c r="AJ1124" s="8"/>
      <c r="AK1124" s="8"/>
      <c r="AL1124" s="8"/>
      <c r="AN1124" s="8">
        <f t="shared" si="311"/>
        <v>0.99999999999999989</v>
      </c>
      <c r="AO1124" s="8">
        <f t="shared" si="312"/>
        <v>5.6902403567932414</v>
      </c>
      <c r="AP1124" s="8">
        <f t="shared" si="313"/>
        <v>0.35441237766648337</v>
      </c>
      <c r="AQ1124" s="8"/>
      <c r="AR1124" s="8">
        <f t="shared" si="314"/>
        <v>326.02675685926846</v>
      </c>
      <c r="AS1124" s="8">
        <f t="shared" si="315"/>
        <v>69.693666552513903</v>
      </c>
    </row>
    <row r="1125" spans="1:45">
      <c r="A1125" s="19">
        <v>46.146099999999997</v>
      </c>
      <c r="B1125" s="19">
        <v>1052.250898</v>
      </c>
      <c r="C1125" s="19">
        <v>-805.87719300000003</v>
      </c>
      <c r="E1125" s="9">
        <f t="shared" si="305"/>
        <v>-92.250898000000007</v>
      </c>
      <c r="F1125" s="9">
        <f t="shared" si="306"/>
        <v>-265.87719300000003</v>
      </c>
      <c r="I1125">
        <v>1</v>
      </c>
      <c r="J1125">
        <f t="shared" si="301"/>
        <v>0.18428261011515665</v>
      </c>
      <c r="K1125">
        <f t="shared" si="307"/>
        <v>-1.9047675506349577</v>
      </c>
      <c r="O1125">
        <f t="shared" si="308"/>
        <v>-6.00660357761163E-2</v>
      </c>
      <c r="P1125">
        <f t="shared" si="309"/>
        <v>-0.17311689461051522</v>
      </c>
      <c r="Q1125">
        <f t="shared" si="310"/>
        <v>0.98306795906821931</v>
      </c>
      <c r="R1125">
        <f t="shared" si="300"/>
        <v>1</v>
      </c>
      <c r="AG1125" s="8">
        <f t="shared" si="302"/>
        <v>0.28848394362527763</v>
      </c>
      <c r="AH1125" s="8">
        <f t="shared" si="303"/>
        <v>-0.19412375008959526</v>
      </c>
      <c r="AI1125" s="8">
        <f t="shared" si="304"/>
        <v>0.93759958613555283</v>
      </c>
      <c r="AJ1125" s="8"/>
      <c r="AK1125" s="8"/>
      <c r="AL1125" s="8"/>
      <c r="AN1125" s="8">
        <f t="shared" si="311"/>
        <v>1</v>
      </c>
      <c r="AO1125" s="8">
        <f t="shared" si="312"/>
        <v>5.6908727950056361</v>
      </c>
      <c r="AP1125" s="8">
        <f t="shared" si="313"/>
        <v>0.35513491211335646</v>
      </c>
      <c r="AQ1125" s="8"/>
      <c r="AR1125" s="8">
        <f t="shared" si="314"/>
        <v>326.06299289964147</v>
      </c>
      <c r="AS1125" s="8">
        <f t="shared" si="315"/>
        <v>69.652268378155256</v>
      </c>
    </row>
    <row r="1126" spans="1:45">
      <c r="A1126" s="19">
        <v>46.179466669999996</v>
      </c>
      <c r="B1126" s="19">
        <v>1052.7569109999999</v>
      </c>
      <c r="C1126" s="19">
        <v>-806.69386110000005</v>
      </c>
      <c r="E1126" s="9">
        <f t="shared" si="305"/>
        <v>-92.756910999999945</v>
      </c>
      <c r="F1126" s="9">
        <f t="shared" si="306"/>
        <v>-266.69386110000005</v>
      </c>
      <c r="I1126">
        <v>1</v>
      </c>
      <c r="J1126">
        <f t="shared" si="301"/>
        <v>0.18488983594123928</v>
      </c>
      <c r="K1126">
        <f t="shared" si="307"/>
        <v>-1.9055125219492526</v>
      </c>
      <c r="O1126">
        <f t="shared" si="308"/>
        <v>-6.0391071968094769E-2</v>
      </c>
      <c r="P1126">
        <f t="shared" si="309"/>
        <v>-0.17363588314340467</v>
      </c>
      <c r="Q1126">
        <f t="shared" si="310"/>
        <v>0.98295650896240283</v>
      </c>
      <c r="R1126">
        <f t="shared" si="300"/>
        <v>1</v>
      </c>
      <c r="AG1126" s="8">
        <f t="shared" si="302"/>
        <v>0.28905892081763951</v>
      </c>
      <c r="AH1126" s="8">
        <f t="shared" si="303"/>
        <v>-0.19424871050711501</v>
      </c>
      <c r="AI1126" s="8">
        <f t="shared" si="304"/>
        <v>0.93739659630386152</v>
      </c>
      <c r="AJ1126" s="8"/>
      <c r="AK1126" s="8"/>
      <c r="AL1126" s="8"/>
      <c r="AN1126" s="8">
        <f t="shared" si="311"/>
        <v>1.0000000000000002</v>
      </c>
      <c r="AO1126" s="8">
        <f t="shared" si="312"/>
        <v>5.6914968199948408</v>
      </c>
      <c r="AP1126" s="8">
        <f t="shared" si="313"/>
        <v>0.35571823248213308</v>
      </c>
      <c r="AQ1126" s="8"/>
      <c r="AR1126" s="8">
        <f t="shared" si="314"/>
        <v>326.09874689783356</v>
      </c>
      <c r="AS1126" s="8">
        <f t="shared" si="315"/>
        <v>69.618846582920341</v>
      </c>
    </row>
    <row r="1127" spans="1:45">
      <c r="A1127" s="19">
        <v>46.212833330000002</v>
      </c>
      <c r="B1127" s="19">
        <v>1053.073924</v>
      </c>
      <c r="C1127" s="19">
        <v>-807.7936823</v>
      </c>
      <c r="E1127" s="9">
        <f t="shared" si="305"/>
        <v>-93.073924000000034</v>
      </c>
      <c r="F1127" s="9">
        <f t="shared" si="306"/>
        <v>-267.7936823</v>
      </c>
      <c r="I1127">
        <v>1</v>
      </c>
      <c r="J1127">
        <f t="shared" si="301"/>
        <v>0.18562997205984647</v>
      </c>
      <c r="K1127">
        <f t="shared" si="307"/>
        <v>-1.9052942818498027</v>
      </c>
      <c r="O1127">
        <f t="shared" si="308"/>
        <v>-6.0592001368133891E-2</v>
      </c>
      <c r="P1127">
        <f t="shared" si="309"/>
        <v>-0.17433621004631994</v>
      </c>
      <c r="Q1127">
        <f t="shared" si="310"/>
        <v>0.98282017441487712</v>
      </c>
      <c r="R1127">
        <f t="shared" si="300"/>
        <v>1</v>
      </c>
      <c r="AG1127" s="8">
        <f t="shared" si="302"/>
        <v>0.2897683936680624</v>
      </c>
      <c r="AH1127" s="8">
        <f t="shared" si="303"/>
        <v>-0.1941982151614812</v>
      </c>
      <c r="AI1127" s="8">
        <f t="shared" si="304"/>
        <v>0.93718799141854447</v>
      </c>
      <c r="AJ1127" s="8"/>
      <c r="AK1127" s="8"/>
      <c r="AL1127" s="8"/>
      <c r="AN1127" s="8">
        <f t="shared" si="311"/>
        <v>1</v>
      </c>
      <c r="AO1127" s="8">
        <f t="shared" si="312"/>
        <v>5.6927514018864027</v>
      </c>
      <c r="AP1127" s="8">
        <f t="shared" si="313"/>
        <v>0.35631673583726386</v>
      </c>
      <c r="AQ1127" s="8"/>
      <c r="AR1127" s="8">
        <f t="shared" si="314"/>
        <v>326.17062914527361</v>
      </c>
      <c r="AS1127" s="8">
        <f t="shared" si="315"/>
        <v>69.584554866646926</v>
      </c>
    </row>
    <row r="1128" spans="1:45">
      <c r="A1128" s="19">
        <v>46.246200000000002</v>
      </c>
      <c r="B1128" s="19">
        <v>1053.622955</v>
      </c>
      <c r="C1128" s="19">
        <v>-808.35106350000001</v>
      </c>
      <c r="E1128" s="9">
        <f t="shared" si="305"/>
        <v>-93.622955000000047</v>
      </c>
      <c r="F1128" s="9">
        <f t="shared" si="306"/>
        <v>-268.35106350000001</v>
      </c>
      <c r="I1128">
        <v>1</v>
      </c>
      <c r="J1128">
        <f t="shared" si="301"/>
        <v>0.18608767938676157</v>
      </c>
      <c r="K1128">
        <f t="shared" si="307"/>
        <v>-1.9064751378644327</v>
      </c>
      <c r="O1128">
        <f t="shared" si="308"/>
        <v>-6.0946001850430614E-2</v>
      </c>
      <c r="P1128">
        <f t="shared" si="309"/>
        <v>-0.17468925663194482</v>
      </c>
      <c r="Q1128">
        <f t="shared" si="310"/>
        <v>0.9827355943873336</v>
      </c>
      <c r="R1128">
        <f t="shared" si="300"/>
        <v>1</v>
      </c>
      <c r="AG1128" s="8">
        <f t="shared" si="302"/>
        <v>0.29019655815957884</v>
      </c>
      <c r="AH1128" s="8">
        <f t="shared" si="303"/>
        <v>-0.19440556014251184</v>
      </c>
      <c r="AI1128" s="8">
        <f t="shared" si="304"/>
        <v>0.93701250568923067</v>
      </c>
      <c r="AJ1128" s="8"/>
      <c r="AK1128" s="8"/>
      <c r="AL1128" s="8"/>
      <c r="AN1128" s="8">
        <f t="shared" si="311"/>
        <v>1.0000000000000002</v>
      </c>
      <c r="AO1128" s="8">
        <f t="shared" si="312"/>
        <v>5.6929407172927755</v>
      </c>
      <c r="AP1128" s="8">
        <f t="shared" si="313"/>
        <v>0.35681947346943477</v>
      </c>
      <c r="AQ1128" s="8"/>
      <c r="AR1128" s="8">
        <f t="shared" si="314"/>
        <v>326.18147611905562</v>
      </c>
      <c r="AS1128" s="8">
        <f t="shared" si="315"/>
        <v>69.55575012212114</v>
      </c>
    </row>
    <row r="1129" spans="1:45">
      <c r="A1129" s="19">
        <v>46.279566670000001</v>
      </c>
      <c r="B1129" s="19">
        <v>1053.892918</v>
      </c>
      <c r="C1129" s="19">
        <v>-808.96143500000005</v>
      </c>
      <c r="E1129" s="9">
        <f t="shared" si="305"/>
        <v>-93.892918000000009</v>
      </c>
      <c r="F1129" s="9">
        <f t="shared" si="306"/>
        <v>-268.96143500000005</v>
      </c>
      <c r="I1129">
        <v>1</v>
      </c>
      <c r="J1129">
        <f t="shared" si="301"/>
        <v>0.1865183331631361</v>
      </c>
      <c r="K1129">
        <f t="shared" si="307"/>
        <v>-1.9066641055473985</v>
      </c>
      <c r="O1129">
        <f t="shared" si="308"/>
        <v>-6.1118493811002463E-2</v>
      </c>
      <c r="P1129">
        <f t="shared" si="309"/>
        <v>-0.17507729177663703</v>
      </c>
      <c r="Q1129">
        <f t="shared" si="310"/>
        <v>0.98265582561669718</v>
      </c>
      <c r="R1129">
        <f t="shared" si="300"/>
        <v>1</v>
      </c>
      <c r="AG1129" s="8">
        <f t="shared" si="302"/>
        <v>0.2906066828141835</v>
      </c>
      <c r="AH1129" s="8">
        <f t="shared" si="303"/>
        <v>-0.19443384916108944</v>
      </c>
      <c r="AI1129" s="8">
        <f t="shared" si="304"/>
        <v>0.93687951957769855</v>
      </c>
      <c r="AJ1129" s="8"/>
      <c r="AK1129" s="8"/>
      <c r="AL1129" s="8"/>
      <c r="AN1129" s="8">
        <f t="shared" si="311"/>
        <v>1</v>
      </c>
      <c r="AO1129" s="8">
        <f t="shared" si="312"/>
        <v>5.6935263220652521</v>
      </c>
      <c r="AP1129" s="8">
        <f t="shared" si="313"/>
        <v>0.35720000558097542</v>
      </c>
      <c r="AQ1129" s="8"/>
      <c r="AR1129" s="8">
        <f t="shared" si="314"/>
        <v>326.2150288009812</v>
      </c>
      <c r="AS1129" s="8">
        <f t="shared" si="315"/>
        <v>69.533947238160664</v>
      </c>
    </row>
    <row r="1130" spans="1:45">
      <c r="A1130" s="19">
        <v>46.31293333</v>
      </c>
      <c r="B1130" s="19">
        <v>1054.317785</v>
      </c>
      <c r="C1130" s="19">
        <v>-809.67919159999997</v>
      </c>
      <c r="E1130" s="9">
        <f t="shared" si="305"/>
        <v>-94.317784999999958</v>
      </c>
      <c r="F1130" s="9">
        <f t="shared" si="306"/>
        <v>-269.67919159999997</v>
      </c>
      <c r="I1130">
        <v>1</v>
      </c>
      <c r="J1130">
        <f t="shared" si="301"/>
        <v>0.18704762592179047</v>
      </c>
      <c r="K1130">
        <f t="shared" si="307"/>
        <v>-1.9072401112529362</v>
      </c>
      <c r="O1130">
        <f t="shared" si="308"/>
        <v>-6.1391026602011831E-2</v>
      </c>
      <c r="P1130">
        <f t="shared" si="309"/>
        <v>-0.17553298591060698</v>
      </c>
      <c r="Q1130">
        <f t="shared" si="310"/>
        <v>0.98255753659012646</v>
      </c>
      <c r="R1130">
        <f t="shared" si="300"/>
        <v>1</v>
      </c>
      <c r="AG1130" s="8">
        <f t="shared" si="302"/>
        <v>0.29110781447128559</v>
      </c>
      <c r="AH1130" s="8">
        <f t="shared" si="303"/>
        <v>-0.19453148045899121</v>
      </c>
      <c r="AI1130" s="8">
        <f t="shared" si="304"/>
        <v>0.93670365829550628</v>
      </c>
      <c r="AJ1130" s="8"/>
      <c r="AK1130" s="8"/>
      <c r="AL1130" s="8"/>
      <c r="AN1130" s="8">
        <f t="shared" si="311"/>
        <v>0.99999999999999989</v>
      </c>
      <c r="AO1130" s="8">
        <f t="shared" si="312"/>
        <v>5.6940904771303851</v>
      </c>
      <c r="AP1130" s="8">
        <f t="shared" si="313"/>
        <v>0.35770262753747506</v>
      </c>
      <c r="AQ1130" s="8"/>
      <c r="AR1130" s="8">
        <f t="shared" si="314"/>
        <v>326.24735250520428</v>
      </c>
      <c r="AS1130" s="8">
        <f t="shared" si="315"/>
        <v>69.505149121362621</v>
      </c>
    </row>
    <row r="1131" spans="1:45">
      <c r="A1131" s="19">
        <v>46.346299999999999</v>
      </c>
      <c r="B1131" s="19">
        <v>1054.94733</v>
      </c>
      <c r="C1131" s="19">
        <v>-810.77100059999998</v>
      </c>
      <c r="E1131" s="9">
        <f t="shared" si="305"/>
        <v>-94.947329999999965</v>
      </c>
      <c r="F1131" s="9">
        <f t="shared" si="306"/>
        <v>-270.77100059999998</v>
      </c>
      <c r="I1131">
        <v>1</v>
      </c>
      <c r="J1131">
        <f t="shared" si="301"/>
        <v>0.18784911906343177</v>
      </c>
      <c r="K1131">
        <f t="shared" si="307"/>
        <v>-1.9080549562859694</v>
      </c>
      <c r="O1131">
        <f t="shared" si="308"/>
        <v>-6.1794607792666691E-2</v>
      </c>
      <c r="P1131">
        <f t="shared" si="309"/>
        <v>-0.17622599586217885</v>
      </c>
      <c r="Q1131">
        <f t="shared" si="310"/>
        <v>0.98240817628424382</v>
      </c>
      <c r="R1131">
        <f t="shared" si="300"/>
        <v>1</v>
      </c>
      <c r="AG1131" s="8">
        <f t="shared" si="302"/>
        <v>0.29186682759489391</v>
      </c>
      <c r="AH1131" s="8">
        <f t="shared" si="303"/>
        <v>-0.19466982256456228</v>
      </c>
      <c r="AI1131" s="8">
        <f t="shared" si="304"/>
        <v>0.93643868733215752</v>
      </c>
      <c r="AJ1131" s="8"/>
      <c r="AK1131" s="8"/>
      <c r="AL1131" s="8"/>
      <c r="AN1131" s="8">
        <f t="shared" si="311"/>
        <v>1</v>
      </c>
      <c r="AO1131" s="8">
        <f t="shared" si="312"/>
        <v>5.6949646597155983</v>
      </c>
      <c r="AP1131" s="8">
        <f t="shared" si="313"/>
        <v>0.35845865652000786</v>
      </c>
      <c r="AQ1131" s="8"/>
      <c r="AR1131" s="8">
        <f t="shared" si="314"/>
        <v>326.29743947786079</v>
      </c>
      <c r="AS1131" s="8">
        <f t="shared" si="315"/>
        <v>69.461831851473917</v>
      </c>
    </row>
    <row r="1132" spans="1:45">
      <c r="A1132" s="19">
        <v>46.379666669999999</v>
      </c>
      <c r="B1132" s="19">
        <v>1055.7503360000001</v>
      </c>
      <c r="C1132" s="19">
        <v>-811.68750709999995</v>
      </c>
      <c r="E1132" s="9">
        <f t="shared" si="305"/>
        <v>-95.750336000000061</v>
      </c>
      <c r="F1132" s="9">
        <f t="shared" si="306"/>
        <v>-271.68750709999995</v>
      </c>
      <c r="I1132">
        <v>1</v>
      </c>
      <c r="J1132">
        <f t="shared" si="301"/>
        <v>0.18858081962478715</v>
      </c>
      <c r="K1132">
        <f t="shared" si="307"/>
        <v>-1.9096327032523812</v>
      </c>
      <c r="O1132">
        <f t="shared" si="308"/>
        <v>-6.2311485496655161E-2</v>
      </c>
      <c r="P1132">
        <f t="shared" si="309"/>
        <v>-0.17680619061518527</v>
      </c>
      <c r="Q1132">
        <f t="shared" si="310"/>
        <v>0.98227127095082389</v>
      </c>
      <c r="R1132">
        <f t="shared" si="300"/>
        <v>1</v>
      </c>
      <c r="AG1132" s="8">
        <f t="shared" si="302"/>
        <v>0.29255215331356704</v>
      </c>
      <c r="AH1132" s="8">
        <f t="shared" si="303"/>
        <v>-0.19495041613222031</v>
      </c>
      <c r="AI1132" s="8">
        <f t="shared" si="304"/>
        <v>0.93616642368836822</v>
      </c>
      <c r="AJ1132" s="8"/>
      <c r="AK1132" s="8"/>
      <c r="AL1132" s="8"/>
      <c r="AN1132" s="8">
        <f t="shared" si="311"/>
        <v>1</v>
      </c>
      <c r="AO1132" s="8">
        <f t="shared" si="312"/>
        <v>5.6953823460692226</v>
      </c>
      <c r="AP1132" s="8">
        <f t="shared" si="313"/>
        <v>0.35923390742428518</v>
      </c>
      <c r="AQ1132" s="8"/>
      <c r="AR1132" s="8">
        <f t="shared" si="314"/>
        <v>326.3213711430837</v>
      </c>
      <c r="AS1132" s="8">
        <f t="shared" si="315"/>
        <v>69.417413246595132</v>
      </c>
    </row>
    <row r="1133" spans="1:45">
      <c r="A1133" s="19">
        <v>46.413033329999998</v>
      </c>
      <c r="B1133" s="19">
        <v>1055.864646</v>
      </c>
      <c r="C1133" s="19">
        <v>-812.15801780000004</v>
      </c>
      <c r="E1133" s="9">
        <f t="shared" si="305"/>
        <v>-95.864645999999993</v>
      </c>
      <c r="F1133" s="9">
        <f t="shared" si="306"/>
        <v>-272.15801780000004</v>
      </c>
      <c r="I1133">
        <v>1</v>
      </c>
      <c r="J1133">
        <f t="shared" si="301"/>
        <v>0.18889245533127377</v>
      </c>
      <c r="K1133">
        <f t="shared" si="307"/>
        <v>-1.9094643347579121</v>
      </c>
      <c r="O1133">
        <f t="shared" si="308"/>
        <v>-6.2383412510034895E-2</v>
      </c>
      <c r="P1133">
        <f t="shared" si="309"/>
        <v>-0.17710539391477892</v>
      </c>
      <c r="Q1133">
        <f t="shared" si="310"/>
        <v>0.98221280244654408</v>
      </c>
      <c r="R1133">
        <f t="shared" si="300"/>
        <v>1</v>
      </c>
      <c r="AG1133" s="8">
        <f t="shared" si="302"/>
        <v>0.2928512626138054</v>
      </c>
      <c r="AH1133" s="8">
        <f t="shared" si="303"/>
        <v>-0.19491581035374367</v>
      </c>
      <c r="AI1133" s="8">
        <f t="shared" si="304"/>
        <v>0.93608010600570046</v>
      </c>
      <c r="AJ1133" s="8"/>
      <c r="AK1133" s="8"/>
      <c r="AL1133" s="8"/>
      <c r="AN1133" s="8">
        <f t="shared" si="311"/>
        <v>1</v>
      </c>
      <c r="AO1133" s="8">
        <f t="shared" si="312"/>
        <v>5.6959357034532303</v>
      </c>
      <c r="AP1133" s="8">
        <f t="shared" si="313"/>
        <v>0.35947935680447163</v>
      </c>
      <c r="AQ1133" s="8"/>
      <c r="AR1133" s="8">
        <f t="shared" si="314"/>
        <v>326.35307618574973</v>
      </c>
      <c r="AS1133" s="8">
        <f t="shared" si="315"/>
        <v>69.403350033026342</v>
      </c>
    </row>
    <row r="1134" spans="1:45">
      <c r="A1134" s="19">
        <v>46.446399999999997</v>
      </c>
      <c r="B1134" s="19">
        <v>1055.986883</v>
      </c>
      <c r="C1134" s="19">
        <v>-812.85008670000002</v>
      </c>
      <c r="E1134" s="9">
        <f t="shared" si="305"/>
        <v>-95.986883000000034</v>
      </c>
      <c r="F1134" s="9">
        <f t="shared" si="306"/>
        <v>-272.85008670000002</v>
      </c>
      <c r="I1134">
        <v>1</v>
      </c>
      <c r="J1134">
        <f t="shared" si="301"/>
        <v>0.18934093666028642</v>
      </c>
      <c r="K1134">
        <f t="shared" si="307"/>
        <v>-1.9090680116792089</v>
      </c>
      <c r="O1134">
        <f t="shared" si="308"/>
        <v>-6.245939485198624E-2</v>
      </c>
      <c r="P1134">
        <f t="shared" si="309"/>
        <v>-0.17754562673520691</v>
      </c>
      <c r="Q1134">
        <f t="shared" si="310"/>
        <v>0.98212849180844264</v>
      </c>
      <c r="R1134">
        <f t="shared" si="300"/>
        <v>1</v>
      </c>
      <c r="AG1134" s="8">
        <f t="shared" si="302"/>
        <v>0.29328301268123552</v>
      </c>
      <c r="AH1134" s="8">
        <f t="shared" si="303"/>
        <v>-0.19483736694299358</v>
      </c>
      <c r="AI1134" s="8">
        <f t="shared" si="304"/>
        <v>0.93596125716577583</v>
      </c>
      <c r="AJ1134" s="8"/>
      <c r="AK1134" s="8"/>
      <c r="AL1134" s="8"/>
      <c r="AN1134" s="8">
        <f t="shared" si="311"/>
        <v>1</v>
      </c>
      <c r="AO1134" s="8">
        <f t="shared" si="312"/>
        <v>5.6968005723059703</v>
      </c>
      <c r="AP1134" s="8">
        <f t="shared" si="313"/>
        <v>0.35981704835336581</v>
      </c>
      <c r="AQ1134" s="8"/>
      <c r="AR1134" s="8">
        <f t="shared" si="314"/>
        <v>326.40262952084407</v>
      </c>
      <c r="AS1134" s="8">
        <f t="shared" si="315"/>
        <v>69.384001732497467</v>
      </c>
    </row>
    <row r="1135" spans="1:45">
      <c r="A1135" s="19">
        <v>46.479766669999997</v>
      </c>
      <c r="B1135" s="19">
        <v>1056.5721490000001</v>
      </c>
      <c r="C1135" s="19">
        <v>-813.56774949999999</v>
      </c>
      <c r="E1135" s="9">
        <f t="shared" si="305"/>
        <v>-96.572149000000081</v>
      </c>
      <c r="F1135" s="9">
        <f t="shared" si="306"/>
        <v>-273.56774949999999</v>
      </c>
      <c r="I1135">
        <v>1</v>
      </c>
      <c r="J1135">
        <f t="shared" si="301"/>
        <v>0.1899044533333264</v>
      </c>
      <c r="K1135">
        <f t="shared" si="307"/>
        <v>-1.9101501326104404</v>
      </c>
      <c r="O1135">
        <f t="shared" si="308"/>
        <v>-6.283570395141852E-2</v>
      </c>
      <c r="P1135">
        <f t="shared" si="309"/>
        <v>-0.17799978872001498</v>
      </c>
      <c r="Q1135">
        <f t="shared" si="310"/>
        <v>0.98202227547268994</v>
      </c>
      <c r="R1135">
        <f t="shared" si="300"/>
        <v>1</v>
      </c>
      <c r="AG1135" s="8">
        <f t="shared" si="302"/>
        <v>0.29381148617286257</v>
      </c>
      <c r="AH1135" s="8">
        <f t="shared" si="303"/>
        <v>-0.19503078763127515</v>
      </c>
      <c r="AI1135" s="8">
        <f t="shared" si="304"/>
        <v>0.93575520435037829</v>
      </c>
      <c r="AJ1135" s="8"/>
      <c r="AK1135" s="8"/>
      <c r="AL1135" s="8"/>
      <c r="AN1135" s="8">
        <f t="shared" si="311"/>
        <v>1</v>
      </c>
      <c r="AO1135" s="8">
        <f t="shared" si="312"/>
        <v>5.6971729623849425</v>
      </c>
      <c r="AP1135" s="8">
        <f t="shared" si="313"/>
        <v>0.36040179999242428</v>
      </c>
      <c r="AQ1135" s="8"/>
      <c r="AR1135" s="8">
        <f t="shared" si="314"/>
        <v>326.42396590070172</v>
      </c>
      <c r="AS1135" s="8">
        <f t="shared" si="315"/>
        <v>69.35049793151606</v>
      </c>
    </row>
    <row r="1136" spans="1:45">
      <c r="A1136" s="19">
        <v>46.513133330000002</v>
      </c>
      <c r="B1136" s="19">
        <v>1057.716604</v>
      </c>
      <c r="C1136" s="19">
        <v>-814.73167230000001</v>
      </c>
      <c r="E1136" s="9">
        <f t="shared" si="305"/>
        <v>-97.716603999999961</v>
      </c>
      <c r="F1136" s="9">
        <f t="shared" si="306"/>
        <v>-274.73167230000001</v>
      </c>
      <c r="I1136">
        <v>1</v>
      </c>
      <c r="J1136">
        <f t="shared" si="301"/>
        <v>0.19086088584039301</v>
      </c>
      <c r="K1136">
        <f t="shared" si="307"/>
        <v>-1.9125224292446301</v>
      </c>
      <c r="O1136">
        <f t="shared" si="308"/>
        <v>-6.3572517765818196E-2</v>
      </c>
      <c r="P1136">
        <f t="shared" si="309"/>
        <v>-0.17873507063471733</v>
      </c>
      <c r="Q1136">
        <f t="shared" si="310"/>
        <v>0.98184128529519343</v>
      </c>
      <c r="R1136">
        <f t="shared" si="300"/>
        <v>1</v>
      </c>
      <c r="AG1136" s="8">
        <f t="shared" si="302"/>
        <v>0.29470256046308851</v>
      </c>
      <c r="AH1136" s="8">
        <f t="shared" si="303"/>
        <v>-0.19546125897849165</v>
      </c>
      <c r="AI1136" s="8">
        <f t="shared" si="304"/>
        <v>0.9353851063038382</v>
      </c>
      <c r="AJ1136" s="8"/>
      <c r="AK1136" s="8"/>
      <c r="AL1136" s="8"/>
      <c r="AN1136" s="8">
        <f t="shared" si="311"/>
        <v>1</v>
      </c>
      <c r="AO1136" s="8">
        <f t="shared" si="312"/>
        <v>5.6975523246317374</v>
      </c>
      <c r="AP1136" s="8">
        <f t="shared" si="313"/>
        <v>0.36144981917152408</v>
      </c>
      <c r="AQ1136" s="8"/>
      <c r="AR1136" s="8">
        <f t="shared" si="314"/>
        <v>326.44570175634965</v>
      </c>
      <c r="AS1136" s="8">
        <f t="shared" si="315"/>
        <v>69.290450855704876</v>
      </c>
    </row>
    <row r="1137" spans="1:45">
      <c r="A1137" s="19">
        <v>46.546500000000002</v>
      </c>
      <c r="B1137" s="19">
        <v>1057.794073</v>
      </c>
      <c r="C1137" s="19">
        <v>-815.59339309999996</v>
      </c>
      <c r="E1137" s="9">
        <f t="shared" si="305"/>
        <v>-97.794073000000026</v>
      </c>
      <c r="F1137" s="9">
        <f t="shared" si="306"/>
        <v>-275.59339309999996</v>
      </c>
      <c r="I1137">
        <v>1</v>
      </c>
      <c r="J1137">
        <f t="shared" si="301"/>
        <v>0.19140250618172008</v>
      </c>
      <c r="K1137">
        <f t="shared" si="307"/>
        <v>-1.9117845263353372</v>
      </c>
      <c r="O1137">
        <f t="shared" si="308"/>
        <v>-6.3618440871861914E-2</v>
      </c>
      <c r="P1137">
        <f t="shared" si="309"/>
        <v>-0.17928307356222031</v>
      </c>
      <c r="Q1137">
        <f t="shared" si="310"/>
        <v>0.98173839362383952</v>
      </c>
      <c r="R1137">
        <f t="shared" si="300"/>
        <v>1</v>
      </c>
      <c r="AG1137" s="8">
        <f t="shared" si="302"/>
        <v>0.29522631996936716</v>
      </c>
      <c r="AH1137" s="8">
        <f t="shared" si="303"/>
        <v>-0.19531859342130212</v>
      </c>
      <c r="AI1137" s="8">
        <f t="shared" si="304"/>
        <v>0.93524973513028531</v>
      </c>
      <c r="AJ1137" s="8"/>
      <c r="AK1137" s="8"/>
      <c r="AL1137" s="8"/>
      <c r="AN1137" s="8">
        <f t="shared" si="311"/>
        <v>0.99999999999999989</v>
      </c>
      <c r="AO1137" s="8">
        <f t="shared" si="312"/>
        <v>5.6987060008016268</v>
      </c>
      <c r="AP1137" s="8">
        <f t="shared" si="313"/>
        <v>0.36183242931925164</v>
      </c>
      <c r="AQ1137" s="8"/>
      <c r="AR1137" s="8">
        <f t="shared" si="314"/>
        <v>326.51180253180917</v>
      </c>
      <c r="AS1137" s="8">
        <f t="shared" si="315"/>
        <v>69.268528909041208</v>
      </c>
    </row>
    <row r="1138" spans="1:45">
      <c r="A1138" s="19">
        <v>46.579866670000001</v>
      </c>
      <c r="B1138" s="19">
        <v>1058.0537320000001</v>
      </c>
      <c r="C1138" s="19">
        <v>-815.95003440000005</v>
      </c>
      <c r="E1138" s="9">
        <f t="shared" si="305"/>
        <v>-98.053732000000082</v>
      </c>
      <c r="F1138" s="9">
        <f t="shared" si="306"/>
        <v>-275.95003440000005</v>
      </c>
      <c r="I1138">
        <v>1</v>
      </c>
      <c r="J1138">
        <f t="shared" si="301"/>
        <v>0.19167586700794356</v>
      </c>
      <c r="K1138">
        <f t="shared" si="307"/>
        <v>-1.9122128692978273</v>
      </c>
      <c r="O1138">
        <f t="shared" si="308"/>
        <v>-6.3785083135768958E-2</v>
      </c>
      <c r="P1138">
        <f t="shared" si="309"/>
        <v>-0.17950867882848454</v>
      </c>
      <c r="Q1138">
        <f t="shared" si="310"/>
        <v>0.98168635388020697</v>
      </c>
      <c r="R1138">
        <f t="shared" si="300"/>
        <v>1</v>
      </c>
      <c r="AG1138" s="8">
        <f t="shared" si="302"/>
        <v>0.29548311911006209</v>
      </c>
      <c r="AH1138" s="8">
        <f t="shared" si="303"/>
        <v>-0.19539587773593287</v>
      </c>
      <c r="AI1138" s="8">
        <f t="shared" si="304"/>
        <v>0.93515248878714596</v>
      </c>
      <c r="AJ1138" s="8"/>
      <c r="AK1138" s="8"/>
      <c r="AL1138" s="8"/>
      <c r="AN1138" s="8">
        <f t="shared" si="311"/>
        <v>1</v>
      </c>
      <c r="AO1138" s="8">
        <f t="shared" si="312"/>
        <v>5.6989240353728565</v>
      </c>
      <c r="AP1138" s="8">
        <f t="shared" si="313"/>
        <v>0.36210704572572627</v>
      </c>
      <c r="AQ1138" s="8"/>
      <c r="AR1138" s="8">
        <f t="shared" si="314"/>
        <v>326.52429499252855</v>
      </c>
      <c r="AS1138" s="8">
        <f t="shared" si="315"/>
        <v>69.252794547965166</v>
      </c>
    </row>
    <row r="1139" spans="1:45">
      <c r="A1139" s="19">
        <v>46.61323333</v>
      </c>
      <c r="B1139" s="19">
        <v>1058.6530720000001</v>
      </c>
      <c r="C1139" s="19">
        <v>-816.97744209999996</v>
      </c>
      <c r="E1139" s="9">
        <f t="shared" si="305"/>
        <v>-98.653072000000066</v>
      </c>
      <c r="F1139" s="9">
        <f t="shared" si="306"/>
        <v>-276.97744209999996</v>
      </c>
      <c r="I1139">
        <v>1</v>
      </c>
      <c r="J1139">
        <f t="shared" si="301"/>
        <v>0.19243116487472656</v>
      </c>
      <c r="K1139">
        <f t="shared" si="307"/>
        <v>-1.9129636566457744</v>
      </c>
      <c r="O1139">
        <f t="shared" si="308"/>
        <v>-6.4168603369968602E-2</v>
      </c>
      <c r="P1139">
        <f t="shared" si="309"/>
        <v>-0.18015917055825026</v>
      </c>
      <c r="Q1139">
        <f t="shared" si="310"/>
        <v>0.98154218636047985</v>
      </c>
      <c r="R1139">
        <f t="shared" si="300"/>
        <v>1</v>
      </c>
      <c r="AG1139" s="8">
        <f t="shared" si="302"/>
        <v>0.2961964776475417</v>
      </c>
      <c r="AH1139" s="8">
        <f t="shared" si="303"/>
        <v>-0.1955293499443902</v>
      </c>
      <c r="AI1139" s="8">
        <f t="shared" si="304"/>
        <v>0.93489888220037654</v>
      </c>
      <c r="AJ1139" s="8"/>
      <c r="AK1139" s="8"/>
      <c r="AL1139" s="8"/>
      <c r="AN1139" s="8">
        <f t="shared" si="311"/>
        <v>1</v>
      </c>
      <c r="AO1139" s="8">
        <f t="shared" si="312"/>
        <v>5.6997190019277291</v>
      </c>
      <c r="AP1139" s="8">
        <f t="shared" si="313"/>
        <v>0.36282227702459169</v>
      </c>
      <c r="AQ1139" s="8"/>
      <c r="AR1139" s="8">
        <f t="shared" si="314"/>
        <v>326.56984322097679</v>
      </c>
      <c r="AS1139" s="8">
        <f t="shared" si="315"/>
        <v>69.211814813164523</v>
      </c>
    </row>
    <row r="1140" spans="1:45">
      <c r="A1140" s="19">
        <v>46.646599999999999</v>
      </c>
      <c r="B1140" s="19">
        <v>1058.794881</v>
      </c>
      <c r="C1140" s="19">
        <v>-817.77316069999995</v>
      </c>
      <c r="E1140" s="9">
        <f t="shared" si="305"/>
        <v>-98.794881000000032</v>
      </c>
      <c r="F1140" s="9">
        <f t="shared" si="306"/>
        <v>-277.77316069999995</v>
      </c>
      <c r="I1140">
        <v>1</v>
      </c>
      <c r="J1140">
        <f t="shared" si="301"/>
        <v>0.19294619564713078</v>
      </c>
      <c r="K1140">
        <f t="shared" si="307"/>
        <v>-1.912511179877932</v>
      </c>
      <c r="O1140">
        <f t="shared" si="308"/>
        <v>-6.4256473355673902E-2</v>
      </c>
      <c r="P1140">
        <f t="shared" si="309"/>
        <v>-0.18066445871260145</v>
      </c>
      <c r="Q1140">
        <f t="shared" si="310"/>
        <v>0.98144355873884781</v>
      </c>
      <c r="R1140">
        <f t="shared" si="300"/>
        <v>1</v>
      </c>
      <c r="AG1140" s="8">
        <f t="shared" si="302"/>
        <v>0.2966920167040491</v>
      </c>
      <c r="AH1140" s="8">
        <f t="shared" si="303"/>
        <v>-0.19543957019471647</v>
      </c>
      <c r="AI1140" s="8">
        <f t="shared" si="304"/>
        <v>0.93476051565424434</v>
      </c>
      <c r="AJ1140" s="8"/>
      <c r="AK1140" s="8"/>
      <c r="AL1140" s="8"/>
      <c r="AN1140" s="8">
        <f t="shared" si="311"/>
        <v>1</v>
      </c>
      <c r="AO1140" s="8">
        <f t="shared" si="312"/>
        <v>5.7006983151297348</v>
      </c>
      <c r="AP1140" s="8">
        <f t="shared" si="313"/>
        <v>0.36321193621514269</v>
      </c>
      <c r="AQ1140" s="8"/>
      <c r="AR1140" s="8">
        <f t="shared" si="314"/>
        <v>326.6259537342732</v>
      </c>
      <c r="AS1140" s="8">
        <f t="shared" si="315"/>
        <v>69.189488986097459</v>
      </c>
    </row>
    <row r="1141" spans="1:45">
      <c r="A1141" s="19">
        <v>46.679966669999999</v>
      </c>
      <c r="B1141" s="19">
        <v>1058.8008139999999</v>
      </c>
      <c r="C1141" s="19">
        <v>-818.52424440000004</v>
      </c>
      <c r="E1141" s="9">
        <f t="shared" si="305"/>
        <v>-98.800813999999946</v>
      </c>
      <c r="F1141" s="9">
        <f t="shared" si="306"/>
        <v>-278.52424440000004</v>
      </c>
      <c r="I1141">
        <v>1</v>
      </c>
      <c r="J1141">
        <f t="shared" si="301"/>
        <v>0.1934046537274875</v>
      </c>
      <c r="K1141">
        <f t="shared" si="307"/>
        <v>-1.9116784334097647</v>
      </c>
      <c r="O1141">
        <f t="shared" si="308"/>
        <v>-6.4256423546677197E-2</v>
      </c>
      <c r="P1141">
        <f t="shared" si="309"/>
        <v>-0.18114194703076694</v>
      </c>
      <c r="Q1141">
        <f t="shared" si="310"/>
        <v>0.9813555456912102</v>
      </c>
      <c r="R1141">
        <f t="shared" si="300"/>
        <v>1</v>
      </c>
      <c r="AG1141" s="8">
        <f t="shared" si="302"/>
        <v>0.29713710842740065</v>
      </c>
      <c r="AH1141" s="8">
        <f t="shared" si="303"/>
        <v>-0.19527818538346955</v>
      </c>
      <c r="AI1141" s="8">
        <f t="shared" si="304"/>
        <v>0.93465286021535421</v>
      </c>
      <c r="AJ1141" s="8"/>
      <c r="AK1141" s="8"/>
      <c r="AL1141" s="8"/>
      <c r="AN1141" s="8">
        <f t="shared" si="311"/>
        <v>1</v>
      </c>
      <c r="AO1141" s="8">
        <f t="shared" si="312"/>
        <v>5.7017659730908896</v>
      </c>
      <c r="AP1141" s="8">
        <f t="shared" si="313"/>
        <v>0.36351483260413531</v>
      </c>
      <c r="AQ1141" s="8"/>
      <c r="AR1141" s="8">
        <f t="shared" si="314"/>
        <v>326.68712602941088</v>
      </c>
      <c r="AS1141" s="8">
        <f t="shared" si="315"/>
        <v>69.172134301378435</v>
      </c>
    </row>
    <row r="1142" spans="1:45">
      <c r="A1142" s="19">
        <v>46.713333329999998</v>
      </c>
      <c r="B1142" s="19">
        <v>1059.983133</v>
      </c>
      <c r="C1142" s="19">
        <v>-819.19775670000001</v>
      </c>
      <c r="E1142" s="9">
        <f t="shared" si="305"/>
        <v>-99.983132999999953</v>
      </c>
      <c r="F1142" s="9">
        <f t="shared" si="306"/>
        <v>-279.19775670000001</v>
      </c>
      <c r="I1142">
        <v>1</v>
      </c>
      <c r="J1142">
        <f t="shared" si="301"/>
        <v>0.19407073409150991</v>
      </c>
      <c r="K1142">
        <f t="shared" si="307"/>
        <v>-1.9146765493523419</v>
      </c>
      <c r="O1142">
        <f t="shared" si="308"/>
        <v>-6.5019581348187999E-2</v>
      </c>
      <c r="P1142">
        <f t="shared" si="309"/>
        <v>-0.18156383691224465</v>
      </c>
      <c r="Q1142">
        <f t="shared" si="310"/>
        <v>0.98122730657427704</v>
      </c>
      <c r="R1142">
        <f t="shared" si="300"/>
        <v>1</v>
      </c>
      <c r="AG1142" s="8">
        <f t="shared" si="302"/>
        <v>0.29774303026285032</v>
      </c>
      <c r="AH1142" s="8">
        <f t="shared" si="303"/>
        <v>-0.1958381661153345</v>
      </c>
      <c r="AI1142" s="8">
        <f t="shared" si="304"/>
        <v>0.93434281750462345</v>
      </c>
      <c r="AJ1142" s="8"/>
      <c r="AK1142" s="8"/>
      <c r="AL1142" s="8"/>
      <c r="AN1142" s="8">
        <f t="shared" si="311"/>
        <v>1</v>
      </c>
      <c r="AO1142" s="8">
        <f t="shared" si="312"/>
        <v>5.701386630991105</v>
      </c>
      <c r="AP1142" s="8">
        <f t="shared" si="313"/>
        <v>0.36438581601610887</v>
      </c>
      <c r="AQ1142" s="8"/>
      <c r="AR1142" s="8">
        <f t="shared" si="314"/>
        <v>326.66539132810158</v>
      </c>
      <c r="AS1142" s="8">
        <f t="shared" si="315"/>
        <v>69.122230627846449</v>
      </c>
    </row>
    <row r="1143" spans="1:45">
      <c r="A1143" s="19">
        <v>46.746699999999997</v>
      </c>
      <c r="B1143" s="19">
        <v>1060.6274539999999</v>
      </c>
      <c r="C1143" s="19">
        <v>-819.93378140000004</v>
      </c>
      <c r="E1143" s="9">
        <f t="shared" si="305"/>
        <v>-100.62745399999994</v>
      </c>
      <c r="F1143" s="9">
        <f t="shared" si="306"/>
        <v>-279.93378140000004</v>
      </c>
      <c r="I1143">
        <v>1</v>
      </c>
      <c r="J1143">
        <f t="shared" si="301"/>
        <v>0.1946585572298393</v>
      </c>
      <c r="K1143">
        <f t="shared" si="307"/>
        <v>-1.9158815523327135</v>
      </c>
      <c r="O1143">
        <f t="shared" si="308"/>
        <v>-6.54334218559596E-2</v>
      </c>
      <c r="P1143">
        <f t="shared" si="309"/>
        <v>-0.18202810944695266</v>
      </c>
      <c r="Q1143">
        <f t="shared" si="310"/>
        <v>0.98111377254393295</v>
      </c>
      <c r="R1143">
        <f t="shared" si="300"/>
        <v>1</v>
      </c>
      <c r="AG1143" s="8">
        <f t="shared" si="302"/>
        <v>0.29829106435276542</v>
      </c>
      <c r="AH1143" s="8">
        <f t="shared" si="303"/>
        <v>-0.19606214498744001</v>
      </c>
      <c r="AI1143" s="8">
        <f t="shared" si="304"/>
        <v>0.93412101797905089</v>
      </c>
      <c r="AJ1143" s="8"/>
      <c r="AK1143" s="8"/>
      <c r="AL1143" s="8"/>
      <c r="AN1143" s="8">
        <f t="shared" si="311"/>
        <v>0.99999999999999989</v>
      </c>
      <c r="AO1143" s="8">
        <f t="shared" si="312"/>
        <v>5.701706084417177</v>
      </c>
      <c r="AP1143" s="8">
        <f t="shared" si="313"/>
        <v>0.36500768500759118</v>
      </c>
      <c r="AQ1143" s="8"/>
      <c r="AR1143" s="8">
        <f t="shared" si="314"/>
        <v>326.6836946611665</v>
      </c>
      <c r="AS1143" s="8">
        <f t="shared" si="315"/>
        <v>69.086600159224446</v>
      </c>
    </row>
    <row r="1144" spans="1:45">
      <c r="A1144" s="19">
        <v>46.780066669999997</v>
      </c>
      <c r="B1144" s="19">
        <v>1060.945328</v>
      </c>
      <c r="C1144" s="19">
        <v>-820.78258289999997</v>
      </c>
      <c r="E1144" s="9">
        <f t="shared" si="305"/>
        <v>-100.94532800000002</v>
      </c>
      <c r="F1144" s="9">
        <f t="shared" si="306"/>
        <v>-280.78258289999997</v>
      </c>
      <c r="I1144">
        <v>1</v>
      </c>
      <c r="J1144">
        <f t="shared" si="301"/>
        <v>0.19524362840216869</v>
      </c>
      <c r="K1144">
        <f t="shared" si="307"/>
        <v>-1.9159217844332113</v>
      </c>
      <c r="O1144">
        <f t="shared" si="308"/>
        <v>-6.5634933860134234E-2</v>
      </c>
      <c r="P1144">
        <f t="shared" si="309"/>
        <v>-0.18256561866557264</v>
      </c>
      <c r="Q1144">
        <f t="shared" si="310"/>
        <v>0.98100043340379439</v>
      </c>
      <c r="R1144">
        <f t="shared" si="300"/>
        <v>1</v>
      </c>
      <c r="AG1144" s="8">
        <f t="shared" si="302"/>
        <v>0.29884816805941417</v>
      </c>
      <c r="AH1144" s="8">
        <f t="shared" si="303"/>
        <v>-0.196065849153675</v>
      </c>
      <c r="AI1144" s="8">
        <f t="shared" si="304"/>
        <v>0.93394215840338868</v>
      </c>
      <c r="AJ1144" s="8"/>
      <c r="AK1144" s="8"/>
      <c r="AL1144" s="8"/>
      <c r="AN1144" s="8">
        <f t="shared" si="311"/>
        <v>0.99999999999999978</v>
      </c>
      <c r="AO1144" s="8">
        <f t="shared" si="312"/>
        <v>5.7025535362883613</v>
      </c>
      <c r="AP1144" s="8">
        <f t="shared" si="313"/>
        <v>0.36550842525303895</v>
      </c>
      <c r="AQ1144" s="8"/>
      <c r="AR1144" s="8">
        <f t="shared" si="314"/>
        <v>326.73225007672585</v>
      </c>
      <c r="AS1144" s="8">
        <f t="shared" si="315"/>
        <v>69.057909856527942</v>
      </c>
    </row>
    <row r="1145" spans="1:45">
      <c r="A1145" s="19">
        <v>46.813433330000002</v>
      </c>
      <c r="B1145" s="19">
        <v>1061.4699499999999</v>
      </c>
      <c r="C1145" s="19">
        <v>-821.5573852</v>
      </c>
      <c r="E1145" s="9">
        <f t="shared" si="305"/>
        <v>-101.46994999999993</v>
      </c>
      <c r="F1145" s="9">
        <f t="shared" si="306"/>
        <v>-281.5573852</v>
      </c>
      <c r="I1145">
        <v>1</v>
      </c>
      <c r="J1145">
        <f t="shared" si="301"/>
        <v>0.19582884370027095</v>
      </c>
      <c r="K1145">
        <f t="shared" si="307"/>
        <v>-1.9166954972510921</v>
      </c>
      <c r="O1145">
        <f t="shared" si="308"/>
        <v>-6.5970799515319853E-2</v>
      </c>
      <c r="P1145">
        <f t="shared" si="309"/>
        <v>-0.18305484343972686</v>
      </c>
      <c r="Q1145">
        <f t="shared" si="310"/>
        <v>0.98088673041517216</v>
      </c>
      <c r="R1145">
        <f t="shared" si="300"/>
        <v>1</v>
      </c>
      <c r="AG1145" s="8">
        <f t="shared" si="302"/>
        <v>0.29939765679863295</v>
      </c>
      <c r="AH1145" s="8">
        <f t="shared" si="303"/>
        <v>-0.19620947560998131</v>
      </c>
      <c r="AI1145" s="8">
        <f t="shared" si="304"/>
        <v>0.93373598237635891</v>
      </c>
      <c r="AJ1145" s="8"/>
      <c r="AK1145" s="8"/>
      <c r="AL1145" s="8"/>
      <c r="AN1145" s="8">
        <f t="shared" si="311"/>
        <v>0.99999999999999989</v>
      </c>
      <c r="AO1145" s="8">
        <f t="shared" si="312"/>
        <v>5.7030601114716815</v>
      </c>
      <c r="AP1145" s="8">
        <f t="shared" si="313"/>
        <v>0.36608482971101997</v>
      </c>
      <c r="AQ1145" s="8"/>
      <c r="AR1145" s="8">
        <f t="shared" si="314"/>
        <v>326.76127469673617</v>
      </c>
      <c r="AS1145" s="8">
        <f t="shared" si="315"/>
        <v>69.024884313793109</v>
      </c>
    </row>
    <row r="1146" spans="1:45">
      <c r="A1146" s="19">
        <v>46.846800000000002</v>
      </c>
      <c r="B1146" s="19">
        <v>1061.78457</v>
      </c>
      <c r="C1146" s="19">
        <v>-822.27175350000005</v>
      </c>
      <c r="E1146" s="9">
        <f t="shared" si="305"/>
        <v>-101.78457000000003</v>
      </c>
      <c r="F1146" s="9">
        <f t="shared" si="306"/>
        <v>-282.27175350000005</v>
      </c>
      <c r="I1146">
        <v>1</v>
      </c>
      <c r="J1146">
        <f t="shared" si="301"/>
        <v>0.19633137695304659</v>
      </c>
      <c r="K1146">
        <f t="shared" si="307"/>
        <v>-1.9168747399299626</v>
      </c>
      <c r="O1146">
        <f t="shared" si="308"/>
        <v>-6.6170808193796476E-2</v>
      </c>
      <c r="P1146">
        <f t="shared" si="309"/>
        <v>-0.18350669516386517</v>
      </c>
      <c r="Q1146">
        <f t="shared" si="310"/>
        <v>0.98078882384181765</v>
      </c>
      <c r="R1146">
        <f t="shared" si="300"/>
        <v>1</v>
      </c>
      <c r="AG1146" s="8">
        <f t="shared" si="302"/>
        <v>0.2998744439006904</v>
      </c>
      <c r="AH1146" s="8">
        <f t="shared" si="303"/>
        <v>-0.19624065040324204</v>
      </c>
      <c r="AI1146" s="8">
        <f t="shared" si="304"/>
        <v>0.93357641627483501</v>
      </c>
      <c r="AJ1146" s="8"/>
      <c r="AK1146" s="8"/>
      <c r="AL1146" s="8"/>
      <c r="AN1146" s="8">
        <f t="shared" si="311"/>
        <v>0.99999999999999978</v>
      </c>
      <c r="AO1146" s="8">
        <f t="shared" si="312"/>
        <v>5.7037165859710726</v>
      </c>
      <c r="AP1146" s="8">
        <f t="shared" si="313"/>
        <v>0.36653033299292503</v>
      </c>
      <c r="AQ1146" s="8"/>
      <c r="AR1146" s="8">
        <f t="shared" si="314"/>
        <v>326.79888791490924</v>
      </c>
      <c r="AS1146" s="8">
        <f t="shared" si="315"/>
        <v>68.999358855980716</v>
      </c>
    </row>
    <row r="1147" spans="1:45">
      <c r="A1147" s="19">
        <v>46.880166670000001</v>
      </c>
      <c r="B1147" s="19">
        <v>1062.2070880000001</v>
      </c>
      <c r="C1147" s="19">
        <v>-822.91412319999995</v>
      </c>
      <c r="E1147" s="9">
        <f t="shared" si="305"/>
        <v>-102.20708800000011</v>
      </c>
      <c r="F1147" s="9">
        <f t="shared" si="306"/>
        <v>-282.91412319999995</v>
      </c>
      <c r="I1147">
        <v>1</v>
      </c>
      <c r="J1147">
        <f t="shared" si="301"/>
        <v>0.19681377947544007</v>
      </c>
      <c r="K1147">
        <f t="shared" si="307"/>
        <v>-1.9174716877469722</v>
      </c>
      <c r="O1147">
        <f t="shared" si="308"/>
        <v>-6.6441091025060253E-2</v>
      </c>
      <c r="P1147">
        <f t="shared" si="309"/>
        <v>-0.18391212761884279</v>
      </c>
      <c r="Q1147">
        <f t="shared" si="310"/>
        <v>0.98069460625523486</v>
      </c>
      <c r="R1147">
        <f t="shared" si="300"/>
        <v>1</v>
      </c>
      <c r="AG1147" s="8">
        <f t="shared" si="302"/>
        <v>0.30032751698977733</v>
      </c>
      <c r="AH1147" s="8">
        <f t="shared" si="303"/>
        <v>-0.19635215890303795</v>
      </c>
      <c r="AI1147" s="8">
        <f t="shared" si="304"/>
        <v>0.93340731314516234</v>
      </c>
      <c r="AJ1147" s="8"/>
      <c r="AK1147" s="8"/>
      <c r="AL1147" s="8"/>
      <c r="AN1147" s="8">
        <f t="shared" si="311"/>
        <v>1</v>
      </c>
      <c r="AO1147" s="8">
        <f t="shared" si="312"/>
        <v>5.7041479693390515</v>
      </c>
      <c r="AP1147" s="8">
        <f t="shared" si="313"/>
        <v>0.36700189973784458</v>
      </c>
      <c r="AQ1147" s="8"/>
      <c r="AR1147" s="8">
        <f t="shared" si="314"/>
        <v>326.82360436124657</v>
      </c>
      <c r="AS1147" s="8">
        <f t="shared" si="315"/>
        <v>68.972340071738117</v>
      </c>
    </row>
    <row r="1148" spans="1:45">
      <c r="A1148" s="19">
        <v>46.91353333</v>
      </c>
      <c r="B1148" s="19">
        <v>1062.784881</v>
      </c>
      <c r="C1148" s="19">
        <v>-823.8310639</v>
      </c>
      <c r="E1148" s="9">
        <f t="shared" si="305"/>
        <v>-102.78488100000004</v>
      </c>
      <c r="F1148" s="9">
        <f t="shared" si="306"/>
        <v>-283.8310639</v>
      </c>
      <c r="I1148">
        <v>1</v>
      </c>
      <c r="J1148">
        <f t="shared" si="301"/>
        <v>0.19749679835171427</v>
      </c>
      <c r="K1148">
        <f t="shared" si="307"/>
        <v>-1.9182397932983104</v>
      </c>
      <c r="O1148">
        <f t="shared" si="308"/>
        <v>-6.6810394653546573E-2</v>
      </c>
      <c r="P1148">
        <f t="shared" si="309"/>
        <v>-0.18449080457752343</v>
      </c>
      <c r="Q1148">
        <f t="shared" si="310"/>
        <v>0.98056081616214674</v>
      </c>
      <c r="R1148">
        <f t="shared" si="300"/>
        <v>1</v>
      </c>
      <c r="AG1148" s="8">
        <f t="shared" si="302"/>
        <v>0.3009695582112667</v>
      </c>
      <c r="AH1148" s="8">
        <f t="shared" si="303"/>
        <v>-0.19649607342354491</v>
      </c>
      <c r="AI1148" s="8">
        <f t="shared" si="304"/>
        <v>0.93317019785205513</v>
      </c>
      <c r="AJ1148" s="8"/>
      <c r="AK1148" s="8"/>
      <c r="AL1148" s="8"/>
      <c r="AN1148" s="8">
        <f t="shared" si="311"/>
        <v>1</v>
      </c>
      <c r="AO1148" s="8">
        <f t="shared" si="312"/>
        <v>5.7047903162245692</v>
      </c>
      <c r="AP1148" s="8">
        <f t="shared" si="313"/>
        <v>0.36766215496679533</v>
      </c>
      <c r="AQ1148" s="8"/>
      <c r="AR1148" s="8">
        <f t="shared" si="314"/>
        <v>326.8604081267701</v>
      </c>
      <c r="AS1148" s="8">
        <f t="shared" si="315"/>
        <v>68.934510233717788</v>
      </c>
    </row>
    <row r="1149" spans="1:45">
      <c r="A1149" s="19">
        <v>46.946899999999999</v>
      </c>
      <c r="B1149" s="19">
        <v>1063.2392769999999</v>
      </c>
      <c r="C1149" s="19">
        <v>-824.62025840000001</v>
      </c>
      <c r="E1149" s="9">
        <f t="shared" si="305"/>
        <v>-103.2392769999999</v>
      </c>
      <c r="F1149" s="9">
        <f t="shared" si="306"/>
        <v>-284.62025840000001</v>
      </c>
      <c r="I1149">
        <v>1</v>
      </c>
      <c r="J1149">
        <f t="shared" si="301"/>
        <v>0.19807519005142796</v>
      </c>
      <c r="K1149">
        <f t="shared" si="307"/>
        <v>-1.9187633905106143</v>
      </c>
      <c r="O1149">
        <f t="shared" si="308"/>
        <v>-6.7100363571212268E-2</v>
      </c>
      <c r="P1149">
        <f t="shared" si="309"/>
        <v>-0.18498892449985296</v>
      </c>
      <c r="Q1149">
        <f t="shared" si="310"/>
        <v>0.98044716278899946</v>
      </c>
      <c r="R1149">
        <f t="shared" si="300"/>
        <v>1</v>
      </c>
      <c r="AG1149" s="8">
        <f t="shared" si="302"/>
        <v>0.30151440450060452</v>
      </c>
      <c r="AH1149" s="8">
        <f t="shared" si="303"/>
        <v>-0.19659418285561206</v>
      </c>
      <c r="AI1149" s="8">
        <f t="shared" si="304"/>
        <v>0.93297362832289099</v>
      </c>
      <c r="AJ1149" s="8"/>
      <c r="AK1149" s="8"/>
      <c r="AL1149" s="8"/>
      <c r="AN1149" s="8">
        <f t="shared" si="311"/>
        <v>0.99999999999999989</v>
      </c>
      <c r="AO1149" s="8">
        <f t="shared" si="312"/>
        <v>5.7053895912830743</v>
      </c>
      <c r="AP1149" s="8">
        <f t="shared" si="313"/>
        <v>0.36820865236787448</v>
      </c>
      <c r="AQ1149" s="8"/>
      <c r="AR1149" s="8">
        <f t="shared" si="314"/>
        <v>326.8947440583899</v>
      </c>
      <c r="AS1149" s="8">
        <f t="shared" si="315"/>
        <v>68.903198239121082</v>
      </c>
    </row>
    <row r="1150" spans="1:45">
      <c r="A1150" s="19">
        <v>46.980266669999999</v>
      </c>
      <c r="B1150" s="19">
        <v>1063.607407</v>
      </c>
      <c r="C1150" s="19">
        <v>-825.68300360000001</v>
      </c>
      <c r="E1150" s="9">
        <f t="shared" si="305"/>
        <v>-103.60740699999997</v>
      </c>
      <c r="F1150" s="9">
        <f t="shared" si="306"/>
        <v>-285.68300360000001</v>
      </c>
      <c r="I1150">
        <v>1</v>
      </c>
      <c r="J1150">
        <f t="shared" si="301"/>
        <v>0.19880032969060635</v>
      </c>
      <c r="K1150">
        <f t="shared" si="307"/>
        <v>-1.9187097015280858</v>
      </c>
      <c r="O1150">
        <f t="shared" si="308"/>
        <v>-6.7332806852185428E-2</v>
      </c>
      <c r="P1150">
        <f t="shared" si="309"/>
        <v>-0.18566084278463801</v>
      </c>
      <c r="Q1150">
        <f t="shared" si="310"/>
        <v>0.98030421022145176</v>
      </c>
      <c r="R1150">
        <f t="shared" si="300"/>
        <v>1</v>
      </c>
      <c r="AG1150" s="8">
        <f t="shared" si="302"/>
        <v>0.30220511798838168</v>
      </c>
      <c r="AH1150" s="8">
        <f t="shared" si="303"/>
        <v>-0.19658040489121853</v>
      </c>
      <c r="AI1150" s="8">
        <f t="shared" si="304"/>
        <v>0.93275302790954961</v>
      </c>
      <c r="AJ1150" s="8"/>
      <c r="AK1150" s="8"/>
      <c r="AL1150" s="8"/>
      <c r="AN1150" s="8">
        <f t="shared" si="311"/>
        <v>1.0000000000000002</v>
      </c>
      <c r="AO1150" s="8">
        <f t="shared" si="312"/>
        <v>5.7064680302635953</v>
      </c>
      <c r="AP1150" s="8">
        <f t="shared" si="313"/>
        <v>0.36882103940312416</v>
      </c>
      <c r="AQ1150" s="8"/>
      <c r="AR1150" s="8">
        <f t="shared" si="314"/>
        <v>326.95653406043613</v>
      </c>
      <c r="AS1150" s="8">
        <f t="shared" si="315"/>
        <v>68.86811104657275</v>
      </c>
    </row>
    <row r="1151" spans="1:45">
      <c r="A1151" s="19">
        <v>47.013633329999998</v>
      </c>
      <c r="B1151" s="19">
        <v>1064.5390199999999</v>
      </c>
      <c r="C1151" s="19">
        <v>-826.05376160000003</v>
      </c>
      <c r="E1151" s="9">
        <f t="shared" si="305"/>
        <v>-104.53901999999994</v>
      </c>
      <c r="F1151" s="9">
        <f t="shared" si="306"/>
        <v>-286.05376160000003</v>
      </c>
      <c r="I1151">
        <v>1</v>
      </c>
      <c r="J1151">
        <f t="shared" si="301"/>
        <v>0.19923038895487208</v>
      </c>
      <c r="K1151">
        <f t="shared" si="307"/>
        <v>-1.9211702963038164</v>
      </c>
      <c r="O1151">
        <f t="shared" si="308"/>
        <v>-6.7934142388353935E-2</v>
      </c>
      <c r="P1151">
        <f t="shared" si="309"/>
        <v>-0.18589056001537674</v>
      </c>
      <c r="Q1151">
        <f t="shared" si="310"/>
        <v>0.98021918569018451</v>
      </c>
      <c r="R1151">
        <f t="shared" si="300"/>
        <v>1</v>
      </c>
      <c r="AG1151" s="8">
        <f t="shared" si="302"/>
        <v>0.30258649510251473</v>
      </c>
      <c r="AH1151" s="8">
        <f t="shared" si="303"/>
        <v>-0.19705578797099182</v>
      </c>
      <c r="AI1151" s="8">
        <f t="shared" si="304"/>
        <v>0.93252905016879084</v>
      </c>
      <c r="AJ1151" s="8"/>
      <c r="AK1151" s="8"/>
      <c r="AL1151" s="8"/>
      <c r="AN1151" s="8">
        <f t="shared" si="311"/>
        <v>0.99999999999999989</v>
      </c>
      <c r="AO1151" s="8">
        <f t="shared" si="312"/>
        <v>5.7059403634550501</v>
      </c>
      <c r="AP1151" s="8">
        <f t="shared" si="313"/>
        <v>0.36944181082882865</v>
      </c>
      <c r="AQ1151" s="8"/>
      <c r="AR1151" s="8">
        <f t="shared" si="314"/>
        <v>326.92630097931738</v>
      </c>
      <c r="AS1151" s="8">
        <f t="shared" si="315"/>
        <v>68.832543463837567</v>
      </c>
    </row>
    <row r="1152" spans="1:45">
      <c r="A1152" s="19">
        <v>47.046999999999997</v>
      </c>
      <c r="B1152" s="19">
        <v>1064.205807</v>
      </c>
      <c r="C1152" s="19">
        <v>-826.97006850000002</v>
      </c>
      <c r="E1152" s="9">
        <f t="shared" si="305"/>
        <v>-104.20580700000005</v>
      </c>
      <c r="F1152" s="9">
        <f t="shared" si="306"/>
        <v>-286.97006850000002</v>
      </c>
      <c r="I1152">
        <v>1</v>
      </c>
      <c r="J1152">
        <f t="shared" si="301"/>
        <v>0.19971183033871129</v>
      </c>
      <c r="K1152">
        <f t="shared" si="307"/>
        <v>-1.9191150008385474</v>
      </c>
      <c r="O1152">
        <f t="shared" si="308"/>
        <v>-6.7713005415768052E-2</v>
      </c>
      <c r="P1152">
        <f t="shared" si="309"/>
        <v>-0.18647334886532596</v>
      </c>
      <c r="Q1152">
        <f t="shared" si="310"/>
        <v>0.98012378762098951</v>
      </c>
      <c r="R1152">
        <f t="shared" si="300"/>
        <v>1</v>
      </c>
      <c r="AG1152" s="8">
        <f t="shared" si="302"/>
        <v>0.30306786168618821</v>
      </c>
      <c r="AH1152" s="8">
        <f t="shared" si="303"/>
        <v>-0.19665479600473634</v>
      </c>
      <c r="AI1152" s="8">
        <f t="shared" si="304"/>
        <v>0.93245737834031694</v>
      </c>
      <c r="AJ1152" s="8"/>
      <c r="AK1152" s="8"/>
      <c r="AL1152" s="8"/>
      <c r="AN1152" s="8">
        <f t="shared" si="311"/>
        <v>1</v>
      </c>
      <c r="AO1152" s="8">
        <f t="shared" si="312"/>
        <v>5.7075975527200935</v>
      </c>
      <c r="AP1152" s="8">
        <f t="shared" si="313"/>
        <v>0.3696402446956093</v>
      </c>
      <c r="AQ1152" s="8"/>
      <c r="AR1152" s="8">
        <f t="shared" si="314"/>
        <v>327.02125093005873</v>
      </c>
      <c r="AS1152" s="8">
        <f t="shared" si="315"/>
        <v>68.821174040758564</v>
      </c>
    </row>
    <row r="1153" spans="1:45">
      <c r="A1153" s="19">
        <v>47.080366669999997</v>
      </c>
      <c r="B1153" s="19">
        <v>1064.6555980000001</v>
      </c>
      <c r="C1153" s="19">
        <v>-827.82829949999996</v>
      </c>
      <c r="E1153" s="9">
        <f t="shared" si="305"/>
        <v>-104.65559800000005</v>
      </c>
      <c r="F1153" s="9">
        <f t="shared" si="306"/>
        <v>-287.82829949999996</v>
      </c>
      <c r="I1153">
        <v>1</v>
      </c>
      <c r="J1153">
        <f t="shared" si="301"/>
        <v>0.20033066680764597</v>
      </c>
      <c r="K1153">
        <f t="shared" si="307"/>
        <v>-1.9195389823873321</v>
      </c>
      <c r="O1153">
        <f t="shared" si="308"/>
        <v>-6.7999311021645165E-2</v>
      </c>
      <c r="P1153">
        <f t="shared" si="309"/>
        <v>-0.18701461204714276</v>
      </c>
      <c r="Q1153">
        <f t="shared" si="310"/>
        <v>0.98000083090854484</v>
      </c>
      <c r="R1153">
        <f t="shared" si="300"/>
        <v>1</v>
      </c>
      <c r="AG1153" s="8">
        <f t="shared" si="302"/>
        <v>0.30365173203009355</v>
      </c>
      <c r="AH1153" s="8">
        <f t="shared" si="303"/>
        <v>-0.19673464694163326</v>
      </c>
      <c r="AI1153" s="8">
        <f t="shared" si="304"/>
        <v>0.93225055877048157</v>
      </c>
      <c r="AJ1153" s="8"/>
      <c r="AK1153" s="8"/>
      <c r="AL1153" s="8"/>
      <c r="AN1153" s="8">
        <f t="shared" si="311"/>
        <v>1</v>
      </c>
      <c r="AO1153" s="8">
        <f t="shared" si="312"/>
        <v>5.7082908168220143</v>
      </c>
      <c r="AP1153" s="8">
        <f t="shared" si="313"/>
        <v>0.37021228581955423</v>
      </c>
      <c r="AQ1153" s="8"/>
      <c r="AR1153" s="8">
        <f t="shared" si="314"/>
        <v>327.06097203718673</v>
      </c>
      <c r="AS1153" s="8">
        <f t="shared" si="315"/>
        <v>68.788398498648604</v>
      </c>
    </row>
    <row r="1154" spans="1:45">
      <c r="A1154" s="19">
        <v>47.113733330000002</v>
      </c>
      <c r="B1154" s="19">
        <v>1064.749826</v>
      </c>
      <c r="C1154" s="19">
        <v>-828.29718119999995</v>
      </c>
      <c r="E1154" s="9">
        <f t="shared" si="305"/>
        <v>-104.74982599999998</v>
      </c>
      <c r="F1154" s="9">
        <f t="shared" si="306"/>
        <v>-288.29718119999995</v>
      </c>
      <c r="I1154">
        <v>1</v>
      </c>
      <c r="J1154">
        <f t="shared" si="301"/>
        <v>0.20063535981925212</v>
      </c>
      <c r="K1154">
        <f t="shared" si="307"/>
        <v>-1.9193053335861929</v>
      </c>
      <c r="O1154">
        <f t="shared" si="308"/>
        <v>-6.8057581019681457E-2</v>
      </c>
      <c r="P1154">
        <f t="shared" si="309"/>
        <v>-0.18731113469596408</v>
      </c>
      <c r="Q1154">
        <f t="shared" si="310"/>
        <v>0.97994015352196884</v>
      </c>
      <c r="R1154">
        <f t="shared" si="300"/>
        <v>1</v>
      </c>
      <c r="AG1154" s="8">
        <f t="shared" si="302"/>
        <v>0.30394414650859458</v>
      </c>
      <c r="AH1154" s="8">
        <f t="shared" si="303"/>
        <v>-0.19668767645387811</v>
      </c>
      <c r="AI1154" s="8">
        <f t="shared" si="304"/>
        <v>0.93216517513493091</v>
      </c>
      <c r="AJ1154" s="8"/>
      <c r="AK1154" s="8"/>
      <c r="AL1154" s="8"/>
      <c r="AN1154" s="8">
        <f t="shared" si="311"/>
        <v>0.99999999999999989</v>
      </c>
      <c r="AO1154" s="8">
        <f t="shared" si="312"/>
        <v>5.7088388859345507</v>
      </c>
      <c r="AP1154" s="8">
        <f t="shared" si="313"/>
        <v>0.37044820219718955</v>
      </c>
      <c r="AQ1154" s="8"/>
      <c r="AR1154" s="8">
        <f t="shared" si="314"/>
        <v>327.09237408421654</v>
      </c>
      <c r="AS1154" s="8">
        <f t="shared" si="315"/>
        <v>68.774881485892081</v>
      </c>
    </row>
    <row r="1155" spans="1:45">
      <c r="A1155" s="19">
        <v>47.147100000000002</v>
      </c>
      <c r="B1155" s="19">
        <v>1065.7598559999999</v>
      </c>
      <c r="C1155" s="19">
        <v>-828.94107120000001</v>
      </c>
      <c r="E1155" s="9">
        <f t="shared" si="305"/>
        <v>-105.7598559999999</v>
      </c>
      <c r="F1155" s="9">
        <f t="shared" si="306"/>
        <v>-288.94107120000001</v>
      </c>
      <c r="I1155">
        <v>1</v>
      </c>
      <c r="J1155">
        <f t="shared" si="301"/>
        <v>0.20124802472946396</v>
      </c>
      <c r="K1155">
        <f t="shared" si="307"/>
        <v>-1.9216759932558463</v>
      </c>
      <c r="O1155">
        <f t="shared" si="308"/>
        <v>-6.8707790728220683E-2</v>
      </c>
      <c r="P1155">
        <f t="shared" si="309"/>
        <v>-0.18771302650787966</v>
      </c>
      <c r="Q1155">
        <f t="shared" si="310"/>
        <v>0.97981787040883217</v>
      </c>
      <c r="R1155">
        <f t="shared" si="300"/>
        <v>1</v>
      </c>
      <c r="AG1155" s="8">
        <f t="shared" si="302"/>
        <v>0.30449939173197543</v>
      </c>
      <c r="AH1155" s="8">
        <f t="shared" si="303"/>
        <v>-0.19714943169906268</v>
      </c>
      <c r="AI1155" s="8">
        <f t="shared" si="304"/>
        <v>0.93188637827558862</v>
      </c>
      <c r="AJ1155" s="8"/>
      <c r="AK1155" s="8"/>
      <c r="AL1155" s="8"/>
      <c r="AN1155" s="8">
        <f t="shared" si="311"/>
        <v>0.99999999999999978</v>
      </c>
      <c r="AO1155" s="8">
        <f t="shared" si="312"/>
        <v>5.7086017850240047</v>
      </c>
      <c r="AP1155" s="8">
        <f t="shared" si="313"/>
        <v>0.37121752661212581</v>
      </c>
      <c r="AQ1155" s="8"/>
      <c r="AR1155" s="8">
        <f t="shared" si="314"/>
        <v>327.07878920272356</v>
      </c>
      <c r="AS1155" s="8">
        <f t="shared" si="315"/>
        <v>68.730802443839877</v>
      </c>
    </row>
    <row r="1156" spans="1:45">
      <c r="A1156" s="19">
        <v>47.180466670000001</v>
      </c>
      <c r="B1156" s="19">
        <v>1066.1756150000001</v>
      </c>
      <c r="C1156" s="19">
        <v>-829.78846880000003</v>
      </c>
      <c r="E1156" s="9">
        <f t="shared" si="305"/>
        <v>-106.17561500000011</v>
      </c>
      <c r="F1156" s="9">
        <f t="shared" si="306"/>
        <v>-289.78846880000003</v>
      </c>
      <c r="I1156">
        <v>1</v>
      </c>
      <c r="J1156">
        <f t="shared" si="301"/>
        <v>0.2018526507546318</v>
      </c>
      <c r="K1156">
        <f t="shared" si="307"/>
        <v>-1.9219972749511338</v>
      </c>
      <c r="O1156">
        <f t="shared" si="308"/>
        <v>-6.8971892226430576E-2</v>
      </c>
      <c r="P1156">
        <f t="shared" si="309"/>
        <v>-0.18824716992254703</v>
      </c>
      <c r="Q1156">
        <f t="shared" si="310"/>
        <v>0.97969683121813622</v>
      </c>
      <c r="R1156">
        <f t="shared" si="300"/>
        <v>1</v>
      </c>
      <c r="AG1156" s="8">
        <f t="shared" si="302"/>
        <v>0.30507034476000661</v>
      </c>
      <c r="AH1156" s="8">
        <f t="shared" si="303"/>
        <v>-0.19721108090981748</v>
      </c>
      <c r="AI1156" s="8">
        <f t="shared" si="304"/>
        <v>0.93168657514981512</v>
      </c>
      <c r="AJ1156" s="8"/>
      <c r="AK1156" s="8"/>
      <c r="AL1156" s="8"/>
      <c r="AN1156" s="8">
        <f t="shared" si="311"/>
        <v>1</v>
      </c>
      <c r="AO1156" s="8">
        <f t="shared" si="312"/>
        <v>5.7093135419232084</v>
      </c>
      <c r="AP1156" s="8">
        <f t="shared" si="313"/>
        <v>0.37176793822760801</v>
      </c>
      <c r="AQ1156" s="8"/>
      <c r="AR1156" s="8">
        <f t="shared" si="314"/>
        <v>327.11956986908723</v>
      </c>
      <c r="AS1156" s="8">
        <f t="shared" si="315"/>
        <v>68.699266181277764</v>
      </c>
    </row>
    <row r="1157" spans="1:45">
      <c r="A1157" s="19">
        <v>47.21383333</v>
      </c>
      <c r="B1157" s="19">
        <v>1067.1465969999999</v>
      </c>
      <c r="C1157" s="19">
        <v>-830.74483199999997</v>
      </c>
      <c r="E1157" s="9">
        <f t="shared" si="305"/>
        <v>-107.14659699999993</v>
      </c>
      <c r="F1157" s="9">
        <f t="shared" si="306"/>
        <v>-290.74483199999997</v>
      </c>
      <c r="I1157">
        <v>1</v>
      </c>
      <c r="J1157">
        <f t="shared" si="301"/>
        <v>0.20264638226139911</v>
      </c>
      <c r="K1157">
        <f t="shared" si="307"/>
        <v>-1.9238778052793564</v>
      </c>
      <c r="O1157">
        <f t="shared" si="308"/>
        <v>-6.9594645275024611E-2</v>
      </c>
      <c r="P1157">
        <f t="shared" si="309"/>
        <v>-0.18884672042908321</v>
      </c>
      <c r="Q1157">
        <f t="shared" si="310"/>
        <v>0.97953739159473807</v>
      </c>
      <c r="R1157">
        <f t="shared" si="300"/>
        <v>1</v>
      </c>
      <c r="AG1157" s="8">
        <f t="shared" si="302"/>
        <v>0.30580191838409243</v>
      </c>
      <c r="AH1157" s="8">
        <f t="shared" si="303"/>
        <v>-0.19758028213805812</v>
      </c>
      <c r="AI1157" s="8">
        <f t="shared" si="304"/>
        <v>0.93136846565838505</v>
      </c>
      <c r="AJ1157" s="8"/>
      <c r="AK1157" s="8"/>
      <c r="AL1157" s="8"/>
      <c r="AN1157" s="8">
        <f t="shared" si="311"/>
        <v>1.0000000000000002</v>
      </c>
      <c r="AO1157" s="8">
        <f t="shared" si="312"/>
        <v>5.7095527904293499</v>
      </c>
      <c r="AP1157" s="8">
        <f t="shared" si="313"/>
        <v>0.37264265697755228</v>
      </c>
      <c r="AQ1157" s="8"/>
      <c r="AR1157" s="8">
        <f t="shared" si="314"/>
        <v>327.13327779874396</v>
      </c>
      <c r="AS1157" s="8">
        <f t="shared" si="315"/>
        <v>68.649148488644997</v>
      </c>
    </row>
    <row r="1158" spans="1:45">
      <c r="A1158" s="19">
        <v>47.247199999999999</v>
      </c>
      <c r="B1158" s="19">
        <v>1067.1079629999999</v>
      </c>
      <c r="C1158" s="19">
        <v>-831.21248379999997</v>
      </c>
      <c r="E1158" s="9">
        <f t="shared" si="305"/>
        <v>-107.10796299999993</v>
      </c>
      <c r="F1158" s="9">
        <f t="shared" si="306"/>
        <v>-291.21248379999997</v>
      </c>
      <c r="I1158">
        <v>1</v>
      </c>
      <c r="J1158">
        <f t="shared" si="301"/>
        <v>0.2029203407663005</v>
      </c>
      <c r="K1158">
        <f t="shared" si="307"/>
        <v>-1.9232398098783352</v>
      </c>
      <c r="O1158">
        <f t="shared" si="308"/>
        <v>-6.9566778375363805E-2</v>
      </c>
      <c r="P1158">
        <f t="shared" si="309"/>
        <v>-0.18914293347782038</v>
      </c>
      <c r="Q1158">
        <f t="shared" si="310"/>
        <v>0.9794822173280523</v>
      </c>
      <c r="R1158">
        <f t="shared" si="300"/>
        <v>1</v>
      </c>
      <c r="AG1158" s="8">
        <f t="shared" si="302"/>
        <v>0.30607001618243007</v>
      </c>
      <c r="AH1158" s="8">
        <f t="shared" si="303"/>
        <v>-0.19745407344278754</v>
      </c>
      <c r="AI1158" s="8">
        <f t="shared" si="304"/>
        <v>0.93130716419178117</v>
      </c>
      <c r="AJ1158" s="8"/>
      <c r="AK1158" s="8"/>
      <c r="AL1158" s="8"/>
      <c r="AN1158" s="8">
        <f t="shared" si="311"/>
        <v>1</v>
      </c>
      <c r="AO1158" s="8">
        <f t="shared" si="312"/>
        <v>5.7102432798557912</v>
      </c>
      <c r="AP1158" s="8">
        <f t="shared" si="313"/>
        <v>0.3728109952800398</v>
      </c>
      <c r="AQ1158" s="8"/>
      <c r="AR1158" s="8">
        <f t="shared" si="314"/>
        <v>327.17283992867743</v>
      </c>
      <c r="AS1158" s="8">
        <f t="shared" si="315"/>
        <v>68.639503414382062</v>
      </c>
    </row>
    <row r="1159" spans="1:45">
      <c r="A1159" s="19">
        <v>47.280566669999999</v>
      </c>
      <c r="B1159" s="19">
        <v>1067.515386</v>
      </c>
      <c r="C1159" s="19">
        <v>-832.16516249999995</v>
      </c>
      <c r="E1159" s="9">
        <f t="shared" si="305"/>
        <v>-107.51538600000003</v>
      </c>
      <c r="F1159" s="9">
        <f t="shared" si="306"/>
        <v>-292.16516249999995</v>
      </c>
      <c r="I1159">
        <v>1</v>
      </c>
      <c r="J1159">
        <f t="shared" si="301"/>
        <v>0.20358645284214699</v>
      </c>
      <c r="K1159">
        <f t="shared" si="307"/>
        <v>-1.9234117306887393</v>
      </c>
      <c r="O1159">
        <f t="shared" si="308"/>
        <v>-6.98246036182954E-2</v>
      </c>
      <c r="P1159">
        <f t="shared" si="309"/>
        <v>-0.18974323044924349</v>
      </c>
      <c r="Q1159">
        <f t="shared" si="310"/>
        <v>0.97934775806565932</v>
      </c>
      <c r="R1159">
        <f t="shared" si="300"/>
        <v>1</v>
      </c>
      <c r="AG1159" s="8">
        <f t="shared" si="302"/>
        <v>0.30670070976714348</v>
      </c>
      <c r="AH1159" s="8">
        <f t="shared" si="303"/>
        <v>-0.19748727451710055</v>
      </c>
      <c r="AI1159" s="8">
        <f t="shared" si="304"/>
        <v>0.93109261141528643</v>
      </c>
      <c r="AJ1159" s="8"/>
      <c r="AK1159" s="8"/>
      <c r="AL1159" s="8"/>
      <c r="AN1159" s="8">
        <f t="shared" si="311"/>
        <v>0.99999999999999978</v>
      </c>
      <c r="AO1159" s="8">
        <f t="shared" si="312"/>
        <v>5.7111040768652845</v>
      </c>
      <c r="AP1159" s="8">
        <f t="shared" si="313"/>
        <v>0.37339960317242493</v>
      </c>
      <c r="AQ1159" s="8"/>
      <c r="AR1159" s="8">
        <f t="shared" si="314"/>
        <v>327.22215996433891</v>
      </c>
      <c r="AS1159" s="8">
        <f t="shared" si="315"/>
        <v>68.605778666360308</v>
      </c>
    </row>
    <row r="1160" spans="1:45">
      <c r="A1160" s="19">
        <v>47.313933329999998</v>
      </c>
      <c r="B1160" s="19">
        <v>1067.8634950000001</v>
      </c>
      <c r="C1160" s="19">
        <v>-832.82434579999995</v>
      </c>
      <c r="E1160" s="9">
        <f t="shared" si="305"/>
        <v>-107.86349500000006</v>
      </c>
      <c r="F1160" s="9">
        <f t="shared" si="306"/>
        <v>-292.82434579999995</v>
      </c>
      <c r="I1160">
        <v>1</v>
      </c>
      <c r="J1160">
        <f t="shared" si="301"/>
        <v>0.20406198739782302</v>
      </c>
      <c r="K1160">
        <f t="shared" si="307"/>
        <v>-1.9237291054309444</v>
      </c>
      <c r="O1160">
        <f t="shared" si="308"/>
        <v>-7.0045786448498251E-2</v>
      </c>
      <c r="P1160">
        <f t="shared" si="309"/>
        <v>-0.19015804738042275</v>
      </c>
      <c r="Q1160">
        <f t="shared" si="310"/>
        <v>0.97925150233087532</v>
      </c>
      <c r="R1160">
        <f t="shared" si="300"/>
        <v>1</v>
      </c>
      <c r="AG1160" s="8">
        <f t="shared" si="302"/>
        <v>0.30714846468111978</v>
      </c>
      <c r="AH1160" s="8">
        <f t="shared" si="303"/>
        <v>-0.19754972399163023</v>
      </c>
      <c r="AI1160" s="8">
        <f t="shared" si="304"/>
        <v>0.93093175216814983</v>
      </c>
      <c r="AJ1160" s="8"/>
      <c r="AK1160" s="8"/>
      <c r="AL1160" s="8"/>
      <c r="AN1160" s="8">
        <f t="shared" si="311"/>
        <v>0.99999999999999989</v>
      </c>
      <c r="AO1160" s="8">
        <f t="shared" si="312"/>
        <v>5.7116240781015089</v>
      </c>
      <c r="AP1160" s="8">
        <f t="shared" si="313"/>
        <v>0.3738403278736051</v>
      </c>
      <c r="AQ1160" s="8"/>
      <c r="AR1160" s="8">
        <f t="shared" si="314"/>
        <v>327.25195384051614</v>
      </c>
      <c r="AS1160" s="8">
        <f t="shared" si="315"/>
        <v>68.580527001055515</v>
      </c>
    </row>
    <row r="1161" spans="1:45">
      <c r="A1161" s="19">
        <v>47.347299999999997</v>
      </c>
      <c r="B1161" s="19">
        <v>1068.0702570000001</v>
      </c>
      <c r="C1161" s="19">
        <v>-833.89215530000001</v>
      </c>
      <c r="E1161" s="9">
        <f t="shared" si="305"/>
        <v>-108.07025700000008</v>
      </c>
      <c r="F1161" s="9">
        <f t="shared" si="306"/>
        <v>-293.89215530000001</v>
      </c>
      <c r="I1161">
        <v>1</v>
      </c>
      <c r="J1161">
        <f t="shared" si="301"/>
        <v>0.20475275976794841</v>
      </c>
      <c r="K1161">
        <f t="shared" si="307"/>
        <v>-1.9231700063320802</v>
      </c>
      <c r="O1161">
        <f t="shared" si="308"/>
        <v>-7.0172899010781623E-2</v>
      </c>
      <c r="P1161">
        <f t="shared" si="309"/>
        <v>-0.19083201156751067</v>
      </c>
      <c r="Q1161">
        <f t="shared" si="310"/>
        <v>0.97911128458695651</v>
      </c>
      <c r="R1161">
        <f t="shared" si="300"/>
        <v>1</v>
      </c>
      <c r="AG1161" s="8">
        <f t="shared" si="302"/>
        <v>0.30781131881083856</v>
      </c>
      <c r="AH1161" s="8">
        <f t="shared" si="303"/>
        <v>-0.19743754500091765</v>
      </c>
      <c r="AI1161" s="8">
        <f t="shared" si="304"/>
        <v>0.93073659422843302</v>
      </c>
      <c r="AJ1161" s="8"/>
      <c r="AK1161" s="8"/>
      <c r="AL1161" s="8"/>
      <c r="AN1161" s="8">
        <f t="shared" si="311"/>
        <v>0.99999999999999989</v>
      </c>
      <c r="AO1161" s="8">
        <f t="shared" si="312"/>
        <v>5.7128626049366078</v>
      </c>
      <c r="AP1161" s="8">
        <f t="shared" si="313"/>
        <v>0.37437436082548392</v>
      </c>
      <c r="AQ1161" s="8"/>
      <c r="AR1161" s="8">
        <f t="shared" si="314"/>
        <v>327.32291620098101</v>
      </c>
      <c r="AS1161" s="8">
        <f t="shared" si="315"/>
        <v>68.549929166791941</v>
      </c>
    </row>
    <row r="1162" spans="1:45">
      <c r="A1162" s="19">
        <v>47.380666669999997</v>
      </c>
      <c r="B1162" s="19">
        <v>1069.101514</v>
      </c>
      <c r="C1162" s="19">
        <v>-834.59208390000003</v>
      </c>
      <c r="E1162" s="9">
        <f t="shared" si="305"/>
        <v>-109.10151399999995</v>
      </c>
      <c r="F1162" s="9">
        <f t="shared" si="306"/>
        <v>-294.59208390000003</v>
      </c>
      <c r="I1162">
        <v>1</v>
      </c>
      <c r="J1162">
        <f t="shared" si="301"/>
        <v>0.20540487537203272</v>
      </c>
      <c r="K1162">
        <f t="shared" si="307"/>
        <v>-1.9254820826231924</v>
      </c>
      <c r="O1162">
        <f t="shared" si="308"/>
        <v>-7.0835660327156158E-2</v>
      </c>
      <c r="P1162">
        <f t="shared" si="309"/>
        <v>-0.19126796709905888</v>
      </c>
      <c r="Q1162">
        <f t="shared" si="310"/>
        <v>0.97897848494632866</v>
      </c>
      <c r="R1162">
        <f t="shared" si="300"/>
        <v>1</v>
      </c>
      <c r="AG1162" s="8">
        <f t="shared" si="302"/>
        <v>0.30840144585086338</v>
      </c>
      <c r="AH1162" s="8">
        <f t="shared" si="303"/>
        <v>-0.19789868509286368</v>
      </c>
      <c r="AI1162" s="8">
        <f t="shared" si="304"/>
        <v>0.93044325922412519</v>
      </c>
      <c r="AJ1162" s="8"/>
      <c r="AK1162" s="8"/>
      <c r="AL1162" s="8"/>
      <c r="AN1162" s="8">
        <f t="shared" si="311"/>
        <v>1</v>
      </c>
      <c r="AO1162" s="8">
        <f t="shared" si="312"/>
        <v>5.712672825014284</v>
      </c>
      <c r="AP1162" s="8">
        <f t="shared" si="313"/>
        <v>0.37517568428797055</v>
      </c>
      <c r="AQ1162" s="8"/>
      <c r="AR1162" s="8">
        <f t="shared" si="314"/>
        <v>327.31204261239554</v>
      </c>
      <c r="AS1162" s="8">
        <f t="shared" si="315"/>
        <v>68.504016714366657</v>
      </c>
    </row>
    <row r="1163" spans="1:45">
      <c r="A1163" s="19">
        <v>47.414033330000002</v>
      </c>
      <c r="B1163" s="19">
        <v>1069.4443269999999</v>
      </c>
      <c r="C1163" s="19">
        <v>-835.24870820000001</v>
      </c>
      <c r="E1163" s="9">
        <f t="shared" si="305"/>
        <v>-109.44432699999993</v>
      </c>
      <c r="F1163" s="9">
        <f t="shared" si="306"/>
        <v>-295.24870820000001</v>
      </c>
      <c r="I1163">
        <v>1</v>
      </c>
      <c r="J1163">
        <f t="shared" si="301"/>
        <v>0.20587750587831005</v>
      </c>
      <c r="K1163">
        <f t="shared" si="307"/>
        <v>-1.9257788046484416</v>
      </c>
      <c r="O1163">
        <f t="shared" si="308"/>
        <v>-7.1053223458453968E-2</v>
      </c>
      <c r="P1163">
        <f t="shared" si="309"/>
        <v>-0.1916807660533606</v>
      </c>
      <c r="Q1163">
        <f t="shared" si="310"/>
        <v>0.97888197621641793</v>
      </c>
      <c r="R1163">
        <f t="shared" si="300"/>
        <v>1</v>
      </c>
      <c r="AG1163" s="8">
        <f t="shared" si="302"/>
        <v>0.30884621743653939</v>
      </c>
      <c r="AH1163" s="8">
        <f t="shared" si="303"/>
        <v>-0.19795831688206406</v>
      </c>
      <c r="AI1163" s="8">
        <f t="shared" si="304"/>
        <v>0.93028303152984693</v>
      </c>
      <c r="AJ1163" s="8"/>
      <c r="AK1163" s="8"/>
      <c r="AL1163" s="8"/>
      <c r="AN1163" s="8">
        <f t="shared" si="311"/>
        <v>1</v>
      </c>
      <c r="AO1163" s="8">
        <f t="shared" si="312"/>
        <v>5.7131908055448655</v>
      </c>
      <c r="AP1163" s="8">
        <f t="shared" si="313"/>
        <v>0.37561270152943504</v>
      </c>
      <c r="AQ1163" s="8"/>
      <c r="AR1163" s="8">
        <f t="shared" si="314"/>
        <v>327.3417207106678</v>
      </c>
      <c r="AS1163" s="8">
        <f t="shared" si="315"/>
        <v>68.478977470856293</v>
      </c>
    </row>
    <row r="1164" spans="1:45">
      <c r="A1164" s="19">
        <v>47.447400000000002</v>
      </c>
      <c r="B1164" s="19">
        <v>1069.9405420000001</v>
      </c>
      <c r="C1164" s="19">
        <v>-836.03767019999998</v>
      </c>
      <c r="E1164" s="9">
        <f t="shared" si="305"/>
        <v>-109.94054200000005</v>
      </c>
      <c r="F1164" s="9">
        <f t="shared" si="306"/>
        <v>-296.03767019999998</v>
      </c>
      <c r="I1164">
        <v>1</v>
      </c>
      <c r="J1164">
        <f t="shared" si="301"/>
        <v>0.20646417606611844</v>
      </c>
      <c r="K1164">
        <f t="shared" si="307"/>
        <v>-1.926383804293833</v>
      </c>
      <c r="O1164">
        <f t="shared" si="308"/>
        <v>-7.1369095788532275E-2</v>
      </c>
      <c r="P1164">
        <f t="shared" si="309"/>
        <v>-0.19217606587311278</v>
      </c>
      <c r="Q1164">
        <f t="shared" si="310"/>
        <v>0.97876187700168438</v>
      </c>
      <c r="R1164">
        <f t="shared" si="300"/>
        <v>1</v>
      </c>
      <c r="AG1164" s="8">
        <f t="shared" si="302"/>
        <v>0.30939508358239021</v>
      </c>
      <c r="AH1164" s="8">
        <f t="shared" si="303"/>
        <v>-0.19808020770006102</v>
      </c>
      <c r="AI1164" s="8">
        <f t="shared" si="304"/>
        <v>0.9300746817178428</v>
      </c>
      <c r="AJ1164" s="8"/>
      <c r="AK1164" s="8"/>
      <c r="AL1164" s="8"/>
      <c r="AN1164" s="8">
        <f t="shared" si="311"/>
        <v>1</v>
      </c>
      <c r="AO1164" s="8">
        <f t="shared" si="312"/>
        <v>5.7137176928949138</v>
      </c>
      <c r="AP1164" s="8">
        <f t="shared" si="313"/>
        <v>0.37618024741002887</v>
      </c>
      <c r="AQ1164" s="8"/>
      <c r="AR1164" s="8">
        <f t="shared" si="314"/>
        <v>327.37190913210441</v>
      </c>
      <c r="AS1164" s="8">
        <f t="shared" si="315"/>
        <v>68.44645948721822</v>
      </c>
    </row>
    <row r="1165" spans="1:45">
      <c r="A1165" s="19">
        <v>47.480766670000001</v>
      </c>
      <c r="B1165" s="19">
        <v>1070.173661</v>
      </c>
      <c r="C1165" s="19">
        <v>-836.71525929999996</v>
      </c>
      <c r="E1165" s="9">
        <f t="shared" si="305"/>
        <v>-110.17366100000004</v>
      </c>
      <c r="F1165" s="9">
        <f t="shared" si="306"/>
        <v>-296.71525929999996</v>
      </c>
      <c r="I1165">
        <v>1</v>
      </c>
      <c r="J1165">
        <f t="shared" si="301"/>
        <v>0.20692475577002314</v>
      </c>
      <c r="K1165">
        <f t="shared" si="307"/>
        <v>-1.9263289525885556</v>
      </c>
      <c r="O1165">
        <f t="shared" si="308"/>
        <v>-7.151546502600592E-2</v>
      </c>
      <c r="P1165">
        <f t="shared" si="309"/>
        <v>-0.19260256540945325</v>
      </c>
      <c r="Q1165">
        <f t="shared" si="310"/>
        <v>0.97866735414021622</v>
      </c>
      <c r="R1165">
        <f t="shared" si="300"/>
        <v>1</v>
      </c>
      <c r="AG1165" s="8">
        <f t="shared" si="302"/>
        <v>0.30983276798789883</v>
      </c>
      <c r="AH1165" s="8">
        <f t="shared" si="303"/>
        <v>-0.19806963368421726</v>
      </c>
      <c r="AI1165" s="8">
        <f t="shared" si="304"/>
        <v>0.92993122116270333</v>
      </c>
      <c r="AJ1165" s="8"/>
      <c r="AK1165" s="8"/>
      <c r="AL1165" s="8"/>
      <c r="AN1165" s="8">
        <f t="shared" si="311"/>
        <v>0.99999999999999978</v>
      </c>
      <c r="AO1165" s="8">
        <f t="shared" si="312"/>
        <v>5.7143836579308722</v>
      </c>
      <c r="AP1165" s="8">
        <f t="shared" si="313"/>
        <v>0.37657056103523479</v>
      </c>
      <c r="AQ1165" s="8"/>
      <c r="AR1165" s="8">
        <f t="shared" si="314"/>
        <v>327.41006611796809</v>
      </c>
      <c r="AS1165" s="8">
        <f t="shared" si="315"/>
        <v>68.424096163807477</v>
      </c>
    </row>
    <row r="1166" spans="1:45">
      <c r="A1166" s="19">
        <v>47.51413333</v>
      </c>
      <c r="B1166" s="19">
        <v>1070.870999</v>
      </c>
      <c r="C1166" s="19">
        <v>-837.65470860000005</v>
      </c>
      <c r="E1166" s="9">
        <f t="shared" si="305"/>
        <v>-110.87099899999998</v>
      </c>
      <c r="F1166" s="9">
        <f t="shared" si="306"/>
        <v>-297.65470860000005</v>
      </c>
      <c r="I1166">
        <v>1</v>
      </c>
      <c r="J1166">
        <f t="shared" si="301"/>
        <v>0.20764701553892206</v>
      </c>
      <c r="K1166">
        <f t="shared" si="307"/>
        <v>-1.9273575446005666</v>
      </c>
      <c r="O1166">
        <f t="shared" si="308"/>
        <v>-7.1960247297771521E-2</v>
      </c>
      <c r="P1166">
        <f t="shared" si="309"/>
        <v>-0.19319124598310994</v>
      </c>
      <c r="Q1166">
        <f t="shared" si="310"/>
        <v>0.9785187097262561</v>
      </c>
      <c r="R1166">
        <f t="shared" si="300"/>
        <v>1</v>
      </c>
      <c r="AG1166" s="8">
        <f t="shared" si="302"/>
        <v>0.31050429698109738</v>
      </c>
      <c r="AH1166" s="8">
        <f t="shared" si="303"/>
        <v>-0.19827809796059095</v>
      </c>
      <c r="AI1166" s="8">
        <f t="shared" si="304"/>
        <v>0.92966277618575466</v>
      </c>
      <c r="AJ1166" s="8"/>
      <c r="AK1166" s="8"/>
      <c r="AL1166" s="8"/>
      <c r="AN1166" s="8">
        <f t="shared" si="311"/>
        <v>0.99999999999999978</v>
      </c>
      <c r="AO1166" s="8">
        <f t="shared" si="312"/>
        <v>5.7148886904654814</v>
      </c>
      <c r="AP1166" s="8">
        <f t="shared" si="313"/>
        <v>0.37729988724794272</v>
      </c>
      <c r="AQ1166" s="8"/>
      <c r="AR1166" s="8">
        <f t="shared" si="314"/>
        <v>327.439002350718</v>
      </c>
      <c r="AS1166" s="8">
        <f t="shared" si="315"/>
        <v>68.38230884993105</v>
      </c>
    </row>
    <row r="1167" spans="1:45">
      <c r="A1167" s="19">
        <v>47.547499999999999</v>
      </c>
      <c r="B1167" s="19">
        <v>1070.858974</v>
      </c>
      <c r="C1167" s="19">
        <v>-838.02371370000003</v>
      </c>
      <c r="E1167" s="9">
        <f t="shared" si="305"/>
        <v>-110.85897399999999</v>
      </c>
      <c r="F1167" s="9">
        <f t="shared" si="306"/>
        <v>-298.02371370000003</v>
      </c>
      <c r="I1167">
        <v>1</v>
      </c>
      <c r="J1167">
        <f t="shared" si="301"/>
        <v>0.20786657995415025</v>
      </c>
      <c r="K1167">
        <f t="shared" si="307"/>
        <v>-1.9269170336257526</v>
      </c>
      <c r="O1167">
        <f t="shared" si="308"/>
        <v>-7.1950040498331452E-2</v>
      </c>
      <c r="P1167">
        <f t="shared" si="309"/>
        <v>-0.19342428940554823</v>
      </c>
      <c r="Q1167">
        <f t="shared" si="310"/>
        <v>0.97847342117210689</v>
      </c>
      <c r="R1167">
        <f t="shared" si="300"/>
        <v>1</v>
      </c>
      <c r="AG1167" s="8">
        <f t="shared" si="302"/>
        <v>0.31071836604011266</v>
      </c>
      <c r="AH1167" s="8">
        <f t="shared" si="303"/>
        <v>-0.19818937655488045</v>
      </c>
      <c r="AI1167" s="8">
        <f t="shared" si="304"/>
        <v>0.92961016992401191</v>
      </c>
      <c r="AJ1167" s="8"/>
      <c r="AK1167" s="8"/>
      <c r="AL1167" s="8"/>
      <c r="AN1167" s="8">
        <f t="shared" si="311"/>
        <v>0.99999999999999989</v>
      </c>
      <c r="AO1167" s="8">
        <f t="shared" si="312"/>
        <v>5.7154041981924832</v>
      </c>
      <c r="AP1167" s="8">
        <f t="shared" si="313"/>
        <v>0.37744265361198837</v>
      </c>
      <c r="AQ1167" s="8"/>
      <c r="AR1167" s="8">
        <f t="shared" si="314"/>
        <v>327.46853876778158</v>
      </c>
      <c r="AS1167" s="8">
        <f t="shared" si="315"/>
        <v>68.37412893981481</v>
      </c>
    </row>
    <row r="1168" spans="1:45">
      <c r="A1168" s="19">
        <v>47.580866669999999</v>
      </c>
      <c r="B1168" s="19">
        <v>1071.7458039999999</v>
      </c>
      <c r="C1168" s="19">
        <v>-838.84240920000002</v>
      </c>
      <c r="E1168" s="9">
        <f t="shared" si="305"/>
        <v>-111.74580399999991</v>
      </c>
      <c r="F1168" s="9">
        <f t="shared" si="306"/>
        <v>-298.84240920000002</v>
      </c>
      <c r="I1168">
        <v>1</v>
      </c>
      <c r="J1168">
        <f t="shared" si="301"/>
        <v>0.20855863806673799</v>
      </c>
      <c r="K1168">
        <f t="shared" si="307"/>
        <v>-1.9286275925356193</v>
      </c>
      <c r="O1168">
        <f t="shared" si="308"/>
        <v>-7.2517952571865288E-2</v>
      </c>
      <c r="P1168">
        <f t="shared" si="309"/>
        <v>-0.19393515354569901</v>
      </c>
      <c r="Q1168">
        <f t="shared" si="310"/>
        <v>0.97833036484307834</v>
      </c>
      <c r="R1168">
        <f t="shared" si="300"/>
        <v>1</v>
      </c>
      <c r="AG1168" s="8">
        <f t="shared" si="302"/>
        <v>0.31135159817136449</v>
      </c>
      <c r="AH1168" s="8">
        <f t="shared" si="303"/>
        <v>-0.19853736414799075</v>
      </c>
      <c r="AI1168" s="8">
        <f t="shared" si="304"/>
        <v>0.92932400020299977</v>
      </c>
      <c r="AJ1168" s="8"/>
      <c r="AK1168" s="8"/>
      <c r="AL1168" s="8"/>
      <c r="AN1168" s="8">
        <f t="shared" si="311"/>
        <v>0.99999999999999978</v>
      </c>
      <c r="AO1168" s="8">
        <f t="shared" si="312"/>
        <v>5.7155318612176718</v>
      </c>
      <c r="AP1168" s="8">
        <f t="shared" si="313"/>
        <v>0.37821838130361907</v>
      </c>
      <c r="AQ1168" s="8"/>
      <c r="AR1168" s="8">
        <f t="shared" si="314"/>
        <v>327.47585332032475</v>
      </c>
      <c r="AS1168" s="8">
        <f t="shared" si="315"/>
        <v>68.329683017032949</v>
      </c>
    </row>
    <row r="1169" spans="1:45">
      <c r="A1169" s="19">
        <v>47.614233329999998</v>
      </c>
      <c r="B1169" s="19">
        <v>1072.313218</v>
      </c>
      <c r="C1169" s="19">
        <v>-839.91592360000004</v>
      </c>
      <c r="E1169" s="9">
        <f t="shared" si="305"/>
        <v>-112.31321800000001</v>
      </c>
      <c r="F1169" s="9">
        <f t="shared" si="306"/>
        <v>-299.91592360000004</v>
      </c>
      <c r="I1169">
        <v>1</v>
      </c>
      <c r="J1169">
        <f t="shared" si="301"/>
        <v>0.2093322962594657</v>
      </c>
      <c r="K1169">
        <f t="shared" si="307"/>
        <v>-1.9291130842363218</v>
      </c>
      <c r="O1169">
        <f t="shared" si="308"/>
        <v>-7.2877517437137926E-2</v>
      </c>
      <c r="P1169">
        <f t="shared" si="309"/>
        <v>-0.19460868757081057</v>
      </c>
      <c r="Q1169">
        <f t="shared" si="310"/>
        <v>0.97816988615176981</v>
      </c>
      <c r="R1169">
        <f t="shared" si="300"/>
        <v>1</v>
      </c>
      <c r="AG1169" s="8">
        <f t="shared" si="302"/>
        <v>0.3120782831181424</v>
      </c>
      <c r="AH1169" s="8">
        <f t="shared" si="303"/>
        <v>-0.19863835519709028</v>
      </c>
      <c r="AI1169" s="8">
        <f t="shared" si="304"/>
        <v>0.92905863595933869</v>
      </c>
      <c r="AJ1169" s="8"/>
      <c r="AK1169" s="8"/>
      <c r="AL1169" s="8"/>
      <c r="AN1169" s="8">
        <f t="shared" si="311"/>
        <v>0.99999999999999989</v>
      </c>
      <c r="AO1169" s="8">
        <f t="shared" si="312"/>
        <v>5.7163578327715818</v>
      </c>
      <c r="AP1169" s="8">
        <f t="shared" si="313"/>
        <v>0.37893636021034505</v>
      </c>
      <c r="AQ1169" s="8"/>
      <c r="AR1169" s="8">
        <f t="shared" si="314"/>
        <v>327.52317800436168</v>
      </c>
      <c r="AS1169" s="8">
        <f t="shared" si="315"/>
        <v>68.288545855898121</v>
      </c>
    </row>
    <row r="1170" spans="1:45">
      <c r="A1170" s="19">
        <v>47.647599999999997</v>
      </c>
      <c r="B1170" s="19">
        <v>1072.755453</v>
      </c>
      <c r="C1170" s="19">
        <v>-840.63956289999999</v>
      </c>
      <c r="E1170" s="9">
        <f t="shared" si="305"/>
        <v>-112.75545299999999</v>
      </c>
      <c r="F1170" s="9">
        <f t="shared" si="306"/>
        <v>-300.63956289999999</v>
      </c>
      <c r="I1170">
        <v>1</v>
      </c>
      <c r="J1170">
        <f t="shared" si="301"/>
        <v>0.20986718238412044</v>
      </c>
      <c r="K1170">
        <f t="shared" si="307"/>
        <v>-1.9296125376648634</v>
      </c>
      <c r="O1170">
        <f t="shared" si="308"/>
        <v>-7.3158429301809089E-2</v>
      </c>
      <c r="P1170">
        <f t="shared" si="309"/>
        <v>-0.19506212446990429</v>
      </c>
      <c r="Q1170">
        <f t="shared" si="310"/>
        <v>0.97805859324448441</v>
      </c>
      <c r="R1170">
        <f t="shared" si="300"/>
        <v>1</v>
      </c>
      <c r="AG1170" s="8">
        <f t="shared" si="302"/>
        <v>0.31257825174185971</v>
      </c>
      <c r="AH1170" s="8">
        <f t="shared" si="303"/>
        <v>-0.19874197112977515</v>
      </c>
      <c r="AI1170" s="8">
        <f t="shared" si="304"/>
        <v>0.9288683789695148</v>
      </c>
      <c r="AJ1170" s="8"/>
      <c r="AK1170" s="8"/>
      <c r="AL1170" s="8"/>
      <c r="AN1170" s="8">
        <f t="shared" si="311"/>
        <v>1</v>
      </c>
      <c r="AO1170" s="8">
        <f t="shared" si="312"/>
        <v>5.7168466183566906</v>
      </c>
      <c r="AP1170" s="8">
        <f t="shared" si="313"/>
        <v>0.37945033042960596</v>
      </c>
      <c r="AQ1170" s="8"/>
      <c r="AR1170" s="8">
        <f t="shared" si="314"/>
        <v>327.55118335547525</v>
      </c>
      <c r="AS1170" s="8">
        <f t="shared" si="315"/>
        <v>68.259097531539069</v>
      </c>
    </row>
    <row r="1171" spans="1:45">
      <c r="A1171" s="19">
        <v>47.680966669999997</v>
      </c>
      <c r="B1171" s="19">
        <v>1073.1335469999999</v>
      </c>
      <c r="C1171" s="19">
        <v>-841.3741804</v>
      </c>
      <c r="E1171" s="9">
        <f t="shared" si="305"/>
        <v>-113.13354699999991</v>
      </c>
      <c r="F1171" s="9">
        <f t="shared" si="306"/>
        <v>-301.3741804</v>
      </c>
      <c r="I1171">
        <v>1</v>
      </c>
      <c r="J1171">
        <f t="shared" si="301"/>
        <v>0.21039413583739616</v>
      </c>
      <c r="K1171">
        <f t="shared" si="307"/>
        <v>-1.9299108876985047</v>
      </c>
      <c r="O1171">
        <f t="shared" si="308"/>
        <v>-7.3397744590906241E-2</v>
      </c>
      <c r="P1171">
        <f t="shared" si="309"/>
        <v>-0.19552277556800138</v>
      </c>
      <c r="Q1171">
        <f t="shared" si="310"/>
        <v>0.97794867724393031</v>
      </c>
      <c r="R1171">
        <f t="shared" si="300"/>
        <v>1</v>
      </c>
      <c r="AG1171" s="8">
        <f t="shared" si="302"/>
        <v>0.3130733501629327</v>
      </c>
      <c r="AH1171" s="8">
        <f t="shared" si="303"/>
        <v>-0.19880484868234954</v>
      </c>
      <c r="AI1171" s="8">
        <f t="shared" si="304"/>
        <v>0.92868816594061632</v>
      </c>
      <c r="AJ1171" s="8"/>
      <c r="AK1171" s="8"/>
      <c r="AL1171" s="8"/>
      <c r="AN1171" s="8">
        <f t="shared" si="311"/>
        <v>0.99999999999999989</v>
      </c>
      <c r="AO1171" s="8">
        <f t="shared" si="312"/>
        <v>5.7174198309966995</v>
      </c>
      <c r="AP1171" s="8">
        <f t="shared" si="313"/>
        <v>0.37993655720027619</v>
      </c>
      <c r="AQ1171" s="8"/>
      <c r="AR1171" s="8">
        <f t="shared" si="314"/>
        <v>327.58402602051132</v>
      </c>
      <c r="AS1171" s="8">
        <f t="shared" si="315"/>
        <v>68.231238789693379</v>
      </c>
    </row>
    <row r="1172" spans="1:45">
      <c r="A1172" s="19">
        <v>47.714333330000002</v>
      </c>
      <c r="B1172" s="19">
        <v>1073.637283</v>
      </c>
      <c r="C1172" s="19">
        <v>-842.23786870000004</v>
      </c>
      <c r="E1172" s="9">
        <f t="shared" si="305"/>
        <v>-113.63728300000002</v>
      </c>
      <c r="F1172" s="9">
        <f t="shared" si="306"/>
        <v>-302.23786870000004</v>
      </c>
      <c r="I1172">
        <v>1</v>
      </c>
      <c r="J1172">
        <f t="shared" si="301"/>
        <v>0.21102694007411252</v>
      </c>
      <c r="K1172">
        <f t="shared" si="307"/>
        <v>-1.9304313745174499</v>
      </c>
      <c r="O1172">
        <f t="shared" si="308"/>
        <v>-7.3717280486280998E-2</v>
      </c>
      <c r="P1172">
        <f t="shared" si="309"/>
        <v>-0.19606376668239844</v>
      </c>
      <c r="Q1172">
        <f t="shared" si="310"/>
        <v>0.97781632321822942</v>
      </c>
      <c r="R1172">
        <f t="shared" si="300"/>
        <v>1</v>
      </c>
      <c r="AG1172" s="8">
        <f t="shared" si="302"/>
        <v>0.31366544079722591</v>
      </c>
      <c r="AH1172" s="8">
        <f t="shared" si="303"/>
        <v>-0.19891397811577943</v>
      </c>
      <c r="AI1172" s="8">
        <f t="shared" si="304"/>
        <v>0.92846498079337225</v>
      </c>
      <c r="AJ1172" s="8"/>
      <c r="AK1172" s="8"/>
      <c r="AL1172" s="8"/>
      <c r="AN1172" s="8">
        <f t="shared" si="311"/>
        <v>1</v>
      </c>
      <c r="AO1172" s="8">
        <f t="shared" si="312"/>
        <v>5.718026348451863</v>
      </c>
      <c r="AP1172" s="8">
        <f t="shared" si="313"/>
        <v>0.38053790625712058</v>
      </c>
      <c r="AQ1172" s="8"/>
      <c r="AR1172" s="8">
        <f t="shared" si="314"/>
        <v>327.61877691089319</v>
      </c>
      <c r="AS1172" s="8">
        <f t="shared" si="315"/>
        <v>68.196784026722028</v>
      </c>
    </row>
    <row r="1173" spans="1:45">
      <c r="A1173" s="19">
        <v>47.747700000000002</v>
      </c>
      <c r="B1173" s="19">
        <v>1073.8329100000001</v>
      </c>
      <c r="C1173" s="19">
        <v>-842.81948350000005</v>
      </c>
      <c r="E1173" s="9">
        <f t="shared" si="305"/>
        <v>-113.83291000000008</v>
      </c>
      <c r="F1173" s="9">
        <f t="shared" si="306"/>
        <v>-302.81948350000005</v>
      </c>
      <c r="I1173">
        <v>1</v>
      </c>
      <c r="J1173">
        <f t="shared" si="301"/>
        <v>0.21142057647689996</v>
      </c>
      <c r="K1173">
        <f t="shared" si="307"/>
        <v>-1.9303646763276503</v>
      </c>
      <c r="O1173">
        <f t="shared" si="308"/>
        <v>-7.3839633800711124E-2</v>
      </c>
      <c r="P1173">
        <f t="shared" si="309"/>
        <v>-0.19642895687512929</v>
      </c>
      <c r="Q1173">
        <f t="shared" si="310"/>
        <v>0.97773379474227318</v>
      </c>
      <c r="R1173">
        <f t="shared" si="300"/>
        <v>1</v>
      </c>
      <c r="AG1173" s="8">
        <f t="shared" si="302"/>
        <v>0.3140391850993921</v>
      </c>
      <c r="AH1173" s="8">
        <f t="shared" si="303"/>
        <v>-0.19890183848782811</v>
      </c>
      <c r="AI1173" s="8">
        <f t="shared" si="304"/>
        <v>0.92834123514377609</v>
      </c>
      <c r="AJ1173" s="8"/>
      <c r="AK1173" s="8"/>
      <c r="AL1173" s="8"/>
      <c r="AN1173" s="8">
        <f t="shared" si="311"/>
        <v>1</v>
      </c>
      <c r="AO1173" s="8">
        <f t="shared" si="312"/>
        <v>5.7185923809024084</v>
      </c>
      <c r="AP1173" s="8">
        <f t="shared" si="313"/>
        <v>0.38087093673677219</v>
      </c>
      <c r="AQ1173" s="8"/>
      <c r="AR1173" s="8">
        <f t="shared" si="314"/>
        <v>327.65120818137689</v>
      </c>
      <c r="AS1173" s="8">
        <f t="shared" si="315"/>
        <v>68.177702785788767</v>
      </c>
    </row>
    <row r="1174" spans="1:45">
      <c r="A1174" s="19">
        <v>47.781066670000001</v>
      </c>
      <c r="B1174" s="19">
        <v>1074.8104719999999</v>
      </c>
      <c r="C1174" s="19">
        <v>-843.81037330000004</v>
      </c>
      <c r="E1174" s="9">
        <f t="shared" si="305"/>
        <v>-114.81047199999989</v>
      </c>
      <c r="F1174" s="9">
        <f t="shared" si="306"/>
        <v>-303.81037330000004</v>
      </c>
      <c r="I1174">
        <v>1</v>
      </c>
      <c r="J1174">
        <f t="shared" si="301"/>
        <v>0.21223685915132642</v>
      </c>
      <c r="K1174">
        <f t="shared" si="307"/>
        <v>-1.9321085676840644</v>
      </c>
      <c r="O1174">
        <f t="shared" si="308"/>
        <v>-7.446417987988517E-2</v>
      </c>
      <c r="P1174">
        <f t="shared" si="309"/>
        <v>-0.19704640084387326</v>
      </c>
      <c r="Q1174">
        <f t="shared" si="310"/>
        <v>0.97756217287152214</v>
      </c>
      <c r="R1174">
        <f t="shared" si="300"/>
        <v>1</v>
      </c>
      <c r="AG1174" s="8">
        <f t="shared" si="302"/>
        <v>0.31478698883115708</v>
      </c>
      <c r="AH1174" s="8">
        <f t="shared" si="303"/>
        <v>-0.19926494683223195</v>
      </c>
      <c r="AI1174" s="8">
        <f t="shared" si="304"/>
        <v>0.9280100390763889</v>
      </c>
      <c r="AJ1174" s="8"/>
      <c r="AK1174" s="8"/>
      <c r="AL1174" s="8"/>
      <c r="AN1174" s="8">
        <f t="shared" si="311"/>
        <v>1</v>
      </c>
      <c r="AO1174" s="8">
        <f t="shared" si="312"/>
        <v>5.7188430082732031</v>
      </c>
      <c r="AP1174" s="8">
        <f t="shared" si="313"/>
        <v>0.38176090857935185</v>
      </c>
      <c r="AQ1174" s="8"/>
      <c r="AR1174" s="8">
        <f t="shared" si="314"/>
        <v>327.66556807195389</v>
      </c>
      <c r="AS1174" s="8">
        <f t="shared" si="315"/>
        <v>68.126711155323477</v>
      </c>
    </row>
    <row r="1175" spans="1:45">
      <c r="A1175" s="19">
        <v>47.81443333</v>
      </c>
      <c r="B1175" s="19">
        <v>1075.011109</v>
      </c>
      <c r="C1175" s="19">
        <v>-844.56302970000002</v>
      </c>
      <c r="E1175" s="9">
        <f t="shared" si="305"/>
        <v>-115.01110900000003</v>
      </c>
      <c r="F1175" s="9">
        <f t="shared" si="306"/>
        <v>-304.56302970000002</v>
      </c>
      <c r="I1175">
        <v>1</v>
      </c>
      <c r="J1175">
        <f t="shared" si="301"/>
        <v>0.2127340801702681</v>
      </c>
      <c r="K1175">
        <f t="shared" si="307"/>
        <v>-1.9318678006528829</v>
      </c>
      <c r="O1175">
        <f t="shared" si="308"/>
        <v>-7.4588441545610812E-2</v>
      </c>
      <c r="P1175">
        <f t="shared" si="309"/>
        <v>-0.19751902172974073</v>
      </c>
      <c r="Q1175">
        <f t="shared" si="310"/>
        <v>0.97745731387243873</v>
      </c>
      <c r="R1175">
        <f t="shared" si="300"/>
        <v>1</v>
      </c>
      <c r="AG1175" s="8">
        <f t="shared" si="302"/>
        <v>0.31526114961982821</v>
      </c>
      <c r="AH1175" s="8">
        <f t="shared" si="303"/>
        <v>-0.19921779906257686</v>
      </c>
      <c r="AI1175" s="8">
        <f t="shared" si="304"/>
        <v>0.92785918978961834</v>
      </c>
      <c r="AJ1175" s="8"/>
      <c r="AK1175" s="8"/>
      <c r="AL1175" s="8"/>
      <c r="AN1175" s="8">
        <f t="shared" si="311"/>
        <v>1</v>
      </c>
      <c r="AO1175" s="8">
        <f t="shared" si="312"/>
        <v>5.7196298751522319</v>
      </c>
      <c r="AP1175" s="8">
        <f t="shared" si="313"/>
        <v>0.38216560914511266</v>
      </c>
      <c r="AQ1175" s="8"/>
      <c r="AR1175" s="8">
        <f t="shared" si="314"/>
        <v>327.71065222316088</v>
      </c>
      <c r="AS1175" s="8">
        <f t="shared" si="315"/>
        <v>68.103523520938836</v>
      </c>
    </row>
    <row r="1176" spans="1:45">
      <c r="A1176" s="19">
        <v>47.847799999999999</v>
      </c>
      <c r="B1176" s="19">
        <v>1075.304907</v>
      </c>
      <c r="C1176" s="19">
        <v>-845.23485800000003</v>
      </c>
      <c r="E1176" s="9">
        <f t="shared" si="305"/>
        <v>-115.30490699999996</v>
      </c>
      <c r="F1176" s="9">
        <f t="shared" si="306"/>
        <v>-305.23485800000003</v>
      </c>
      <c r="I1176">
        <v>1</v>
      </c>
      <c r="J1176">
        <f t="shared" si="301"/>
        <v>0.21320382515804867</v>
      </c>
      <c r="K1176">
        <f t="shared" si="307"/>
        <v>-1.9319827673488752</v>
      </c>
      <c r="O1176">
        <f t="shared" si="308"/>
        <v>-7.4773399363170026E-2</v>
      </c>
      <c r="P1176">
        <f t="shared" si="309"/>
        <v>-0.19793995355977792</v>
      </c>
      <c r="Q1176">
        <f t="shared" si="310"/>
        <v>0.97735802730239485</v>
      </c>
      <c r="R1176">
        <f t="shared" si="300"/>
        <v>1</v>
      </c>
      <c r="AG1176" s="8">
        <f t="shared" si="302"/>
        <v>0.31570404539258701</v>
      </c>
      <c r="AH1176" s="8">
        <f t="shared" si="303"/>
        <v>-0.19924400243048371</v>
      </c>
      <c r="AI1176" s="8">
        <f t="shared" si="304"/>
        <v>0.92770296066048896</v>
      </c>
      <c r="AJ1176" s="8"/>
      <c r="AK1176" s="8"/>
      <c r="AL1176" s="8"/>
      <c r="AN1176" s="8">
        <f t="shared" si="311"/>
        <v>1</v>
      </c>
      <c r="AO1176" s="8">
        <f t="shared" si="312"/>
        <v>5.720204293775847</v>
      </c>
      <c r="AP1176" s="8">
        <f t="shared" si="313"/>
        <v>0.38258431372229729</v>
      </c>
      <c r="AQ1176" s="8"/>
      <c r="AR1176" s="8">
        <f t="shared" si="314"/>
        <v>327.74356398596774</v>
      </c>
      <c r="AS1176" s="8">
        <f t="shared" si="315"/>
        <v>68.079533515803334</v>
      </c>
    </row>
    <row r="1177" spans="1:45">
      <c r="A1177" s="19">
        <v>47.881166669999999</v>
      </c>
      <c r="B1177" s="19">
        <v>1075.9655130000001</v>
      </c>
      <c r="C1177" s="19">
        <v>-845.898234</v>
      </c>
      <c r="E1177" s="9">
        <f t="shared" si="305"/>
        <v>-115.9655130000001</v>
      </c>
      <c r="F1177" s="9">
        <f t="shared" si="306"/>
        <v>-305.898234</v>
      </c>
      <c r="I1177">
        <v>1</v>
      </c>
      <c r="J1177">
        <f t="shared" si="301"/>
        <v>0.21375168817939666</v>
      </c>
      <c r="K1177">
        <f t="shared" si="307"/>
        <v>-1.9331552128964811</v>
      </c>
      <c r="O1177">
        <f t="shared" si="308"/>
        <v>-7.5195220229629281E-2</v>
      </c>
      <c r="P1177">
        <f t="shared" si="309"/>
        <v>-0.19835280747203407</v>
      </c>
      <c r="Q1177">
        <f t="shared" si="310"/>
        <v>0.97724195705187555</v>
      </c>
      <c r="R1177">
        <f t="shared" si="300"/>
        <v>1</v>
      </c>
      <c r="AG1177" s="8">
        <f t="shared" si="302"/>
        <v>0.3162051274353101</v>
      </c>
      <c r="AH1177" s="8">
        <f t="shared" si="303"/>
        <v>-0.19949047718408469</v>
      </c>
      <c r="AI1177" s="8">
        <f t="shared" si="304"/>
        <v>0.92747930806918033</v>
      </c>
      <c r="AJ1177" s="8"/>
      <c r="AK1177" s="8"/>
      <c r="AL1177" s="8"/>
      <c r="AN1177" s="8">
        <f t="shared" si="311"/>
        <v>1</v>
      </c>
      <c r="AO1177" s="8">
        <f t="shared" si="312"/>
        <v>5.7203620913087354</v>
      </c>
      <c r="AP1177" s="8">
        <f t="shared" si="313"/>
        <v>0.38318296060976631</v>
      </c>
      <c r="AQ1177" s="8"/>
      <c r="AR1177" s="8">
        <f t="shared" si="314"/>
        <v>327.75260511861978</v>
      </c>
      <c r="AS1177" s="8">
        <f t="shared" si="315"/>
        <v>68.045233575732723</v>
      </c>
    </row>
    <row r="1178" spans="1:45">
      <c r="A1178" s="19">
        <v>47.914533329999998</v>
      </c>
      <c r="B1178" s="19">
        <v>1075.964892</v>
      </c>
      <c r="C1178" s="19">
        <v>-846.74242260000005</v>
      </c>
      <c r="E1178" s="9">
        <f t="shared" si="305"/>
        <v>-115.96489199999996</v>
      </c>
      <c r="F1178" s="9">
        <f t="shared" si="306"/>
        <v>-306.74242260000005</v>
      </c>
      <c r="I1178">
        <v>1</v>
      </c>
      <c r="J1178">
        <f t="shared" si="301"/>
        <v>0.21425778929851516</v>
      </c>
      <c r="K1178">
        <f t="shared" si="307"/>
        <v>-1.9322409064380492</v>
      </c>
      <c r="O1178">
        <f t="shared" si="308"/>
        <v>-7.5188721375513648E-2</v>
      </c>
      <c r="P1178">
        <f t="shared" si="309"/>
        <v>-0.19888407731989682</v>
      </c>
      <c r="Q1178">
        <f t="shared" si="310"/>
        <v>0.97713447383997698</v>
      </c>
      <c r="R1178">
        <f t="shared" si="300"/>
        <v>1</v>
      </c>
      <c r="AG1178" s="8">
        <f t="shared" si="302"/>
        <v>0.31669747500013223</v>
      </c>
      <c r="AH1178" s="8">
        <f t="shared" si="303"/>
        <v>-0.19930305009191981</v>
      </c>
      <c r="AI1178" s="8">
        <f t="shared" si="304"/>
        <v>0.92735160729498833</v>
      </c>
      <c r="AJ1178" s="8"/>
      <c r="AK1178" s="8"/>
      <c r="AL1178" s="8"/>
      <c r="AN1178" s="8">
        <f t="shared" si="311"/>
        <v>0.99999999999999989</v>
      </c>
      <c r="AO1178" s="8">
        <f t="shared" si="312"/>
        <v>5.7214877775999335</v>
      </c>
      <c r="AP1178" s="8">
        <f t="shared" si="313"/>
        <v>0.38352437657921734</v>
      </c>
      <c r="AQ1178" s="8"/>
      <c r="AR1178" s="8">
        <f t="shared" si="314"/>
        <v>327.8171021921612</v>
      </c>
      <c r="AS1178" s="8">
        <f t="shared" si="315"/>
        <v>68.025671881624817</v>
      </c>
    </row>
    <row r="1179" spans="1:45">
      <c r="A1179" s="19">
        <v>47.947899999999997</v>
      </c>
      <c r="B1179" s="19">
        <v>1076.6823159999999</v>
      </c>
      <c r="C1179" s="19">
        <v>-847.67677179999998</v>
      </c>
      <c r="E1179" s="9">
        <f t="shared" si="305"/>
        <v>-116.6823159999999</v>
      </c>
      <c r="F1179" s="9">
        <f t="shared" si="306"/>
        <v>-307.67677179999998</v>
      </c>
      <c r="I1179">
        <v>1</v>
      </c>
      <c r="J1179">
        <f t="shared" si="301"/>
        <v>0.21498081622244825</v>
      </c>
      <c r="K1179">
        <f t="shared" si="307"/>
        <v>-1.9332761590714787</v>
      </c>
      <c r="O1179">
        <f t="shared" si="308"/>
        <v>-7.5645075315999219E-2</v>
      </c>
      <c r="P1179">
        <f t="shared" si="309"/>
        <v>-0.19946666618954084</v>
      </c>
      <c r="Q1179">
        <f t="shared" si="310"/>
        <v>0.97698048683669581</v>
      </c>
      <c r="R1179">
        <f t="shared" ref="R1179:R1242" si="316">SQRT(O1179^2+P1179^2+Q1179^2)</f>
        <v>1</v>
      </c>
      <c r="AG1179" s="8">
        <f t="shared" si="302"/>
        <v>0.3173659322825807</v>
      </c>
      <c r="AH1179" s="8">
        <f t="shared" si="303"/>
        <v>-0.1995231212644534</v>
      </c>
      <c r="AI1179" s="8">
        <f t="shared" si="304"/>
        <v>0.92707571918765008</v>
      </c>
      <c r="AJ1179" s="8"/>
      <c r="AK1179" s="8"/>
      <c r="AL1179" s="8"/>
      <c r="AN1179" s="8">
        <f t="shared" si="311"/>
        <v>1</v>
      </c>
      <c r="AO1179" s="8">
        <f t="shared" si="312"/>
        <v>5.7219406721806596</v>
      </c>
      <c r="AP1179" s="8">
        <f t="shared" si="313"/>
        <v>0.38426099623953114</v>
      </c>
      <c r="AQ1179" s="8"/>
      <c r="AR1179" s="8">
        <f t="shared" si="314"/>
        <v>327.84305114020111</v>
      </c>
      <c r="AS1179" s="8">
        <f t="shared" si="315"/>
        <v>67.983466683982471</v>
      </c>
    </row>
    <row r="1180" spans="1:45">
      <c r="A1180" s="19">
        <v>47.981266669999997</v>
      </c>
      <c r="B1180" s="19">
        <v>1076.9833349999999</v>
      </c>
      <c r="C1180" s="19">
        <v>-848.61261019999995</v>
      </c>
      <c r="E1180" s="9">
        <f t="shared" si="305"/>
        <v>-116.9833349999999</v>
      </c>
      <c r="F1180" s="9">
        <f t="shared" si="306"/>
        <v>-308.61261019999995</v>
      </c>
      <c r="I1180">
        <v>1</v>
      </c>
      <c r="J1180">
        <f t="shared" si="301"/>
        <v>0.21561003316713698</v>
      </c>
      <c r="K1180">
        <f t="shared" si="307"/>
        <v>-1.9331234997031135</v>
      </c>
      <c r="O1180">
        <f t="shared" si="308"/>
        <v>-7.5832501775327091E-2</v>
      </c>
      <c r="P1180">
        <f t="shared" si="309"/>
        <v>-0.20005299311119698</v>
      </c>
      <c r="Q1180">
        <f t="shared" si="310"/>
        <v>0.97684606342132863</v>
      </c>
      <c r="R1180">
        <f t="shared" si="316"/>
        <v>1</v>
      </c>
      <c r="AG1180" s="8">
        <f t="shared" si="302"/>
        <v>0.31796320818042217</v>
      </c>
      <c r="AH1180" s="8">
        <f t="shared" si="303"/>
        <v>-0.19949484294269984</v>
      </c>
      <c r="AI1180" s="8">
        <f t="shared" si="304"/>
        <v>0.92687712555811896</v>
      </c>
      <c r="AJ1180" s="8"/>
      <c r="AK1180" s="8"/>
      <c r="AL1180" s="8"/>
      <c r="AN1180" s="8">
        <f t="shared" si="311"/>
        <v>1</v>
      </c>
      <c r="AO1180" s="8">
        <f t="shared" si="312"/>
        <v>5.7228513449990253</v>
      </c>
      <c r="AP1180" s="8">
        <f t="shared" si="313"/>
        <v>0.38479041052688578</v>
      </c>
      <c r="AQ1180" s="8"/>
      <c r="AR1180" s="8">
        <f t="shared" si="314"/>
        <v>327.89522884921075</v>
      </c>
      <c r="AS1180" s="8">
        <f t="shared" si="315"/>
        <v>67.953133479703126</v>
      </c>
    </row>
    <row r="1181" spans="1:45">
      <c r="A1181" s="19">
        <v>48.014633330000002</v>
      </c>
      <c r="B1181" s="19">
        <v>1077.6695050000001</v>
      </c>
      <c r="C1181" s="19">
        <v>-848.86193019999996</v>
      </c>
      <c r="E1181" s="9">
        <f t="shared" si="305"/>
        <v>-117.66950500000007</v>
      </c>
      <c r="F1181" s="9">
        <f t="shared" si="306"/>
        <v>-308.86193019999996</v>
      </c>
      <c r="I1181">
        <v>1</v>
      </c>
      <c r="J1181">
        <f t="shared" si="301"/>
        <v>0.21591556589712321</v>
      </c>
      <c r="K1181">
        <f t="shared" si="307"/>
        <v>-1.9347973855407954</v>
      </c>
      <c r="O1181">
        <f t="shared" si="308"/>
        <v>-7.6273513673001669E-2</v>
      </c>
      <c r="P1181">
        <f t="shared" si="309"/>
        <v>-0.20020467202763687</v>
      </c>
      <c r="Q1181">
        <f t="shared" si="310"/>
        <v>0.97678065112402834</v>
      </c>
      <c r="R1181">
        <f t="shared" si="316"/>
        <v>1</v>
      </c>
      <c r="AG1181" s="8">
        <f t="shared" si="302"/>
        <v>0.3182265850561663</v>
      </c>
      <c r="AH1181" s="8">
        <f t="shared" si="303"/>
        <v>-0.19984796570738037</v>
      </c>
      <c r="AI1181" s="8">
        <f t="shared" si="304"/>
        <v>0.92671065126398122</v>
      </c>
      <c r="AJ1181" s="8"/>
      <c r="AK1181" s="8"/>
      <c r="AL1181" s="8"/>
      <c r="AN1181" s="8">
        <f t="shared" si="311"/>
        <v>1</v>
      </c>
      <c r="AO1181" s="8">
        <f t="shared" si="312"/>
        <v>5.722427832406634</v>
      </c>
      <c r="AP1181" s="8">
        <f t="shared" si="313"/>
        <v>0.38523366788210844</v>
      </c>
      <c r="AQ1181" s="8"/>
      <c r="AR1181" s="8">
        <f t="shared" si="314"/>
        <v>327.87096336509609</v>
      </c>
      <c r="AS1181" s="8">
        <f t="shared" si="315"/>
        <v>67.927736704010726</v>
      </c>
    </row>
    <row r="1182" spans="1:45">
      <c r="A1182" s="19">
        <v>48.048000000000002</v>
      </c>
      <c r="B1182" s="19">
        <v>1077.9890660000001</v>
      </c>
      <c r="C1182" s="19">
        <v>-849.89712980000002</v>
      </c>
      <c r="E1182" s="9">
        <f t="shared" si="305"/>
        <v>-117.98906600000009</v>
      </c>
      <c r="F1182" s="9">
        <f t="shared" si="306"/>
        <v>-309.89712980000002</v>
      </c>
      <c r="I1182">
        <v>1</v>
      </c>
      <c r="J1182">
        <f t="shared" si="301"/>
        <v>0.21660821862938573</v>
      </c>
      <c r="K1182">
        <f t="shared" si="307"/>
        <v>-1.9345865153026827</v>
      </c>
      <c r="O1182">
        <f t="shared" si="308"/>
        <v>-7.6472012795506861E-2</v>
      </c>
      <c r="P1182">
        <f t="shared" si="309"/>
        <v>-0.20085299493222905</v>
      </c>
      <c r="Q1182">
        <f t="shared" si="310"/>
        <v>0.97663202163647989</v>
      </c>
      <c r="R1182">
        <f t="shared" si="316"/>
        <v>1</v>
      </c>
      <c r="AG1182" s="8">
        <f t="shared" si="302"/>
        <v>0.31888451608097634</v>
      </c>
      <c r="AH1182" s="8">
        <f t="shared" si="303"/>
        <v>-0.1998085363663652</v>
      </c>
      <c r="AI1182" s="8">
        <f t="shared" si="304"/>
        <v>0.92649296500239675</v>
      </c>
      <c r="AJ1182" s="8"/>
      <c r="AK1182" s="8"/>
      <c r="AL1182" s="8"/>
      <c r="AN1182" s="8">
        <f t="shared" si="311"/>
        <v>0.99999999999999989</v>
      </c>
      <c r="AO1182" s="8">
        <f t="shared" si="312"/>
        <v>5.7234463937012432</v>
      </c>
      <c r="AP1182" s="8">
        <f t="shared" si="313"/>
        <v>0.38581255312049234</v>
      </c>
      <c r="AQ1182" s="8"/>
      <c r="AR1182" s="8">
        <f t="shared" si="314"/>
        <v>327.92932262845261</v>
      </c>
      <c r="AS1182" s="8">
        <f t="shared" si="315"/>
        <v>67.894569023028907</v>
      </c>
    </row>
    <row r="1183" spans="1:45">
      <c r="A1183" s="19">
        <v>48.081366670000001</v>
      </c>
      <c r="B1183" s="19">
        <v>1078.336125</v>
      </c>
      <c r="C1183" s="19">
        <v>-850.44138940000005</v>
      </c>
      <c r="E1183" s="9">
        <f t="shared" si="305"/>
        <v>-118.33612500000004</v>
      </c>
      <c r="F1183" s="9">
        <f t="shared" si="306"/>
        <v>-310.44138940000005</v>
      </c>
      <c r="I1183">
        <v>1</v>
      </c>
      <c r="J1183">
        <f t="shared" si="301"/>
        <v>0.21701313279927015</v>
      </c>
      <c r="K1183">
        <f t="shared" si="307"/>
        <v>-1.9349798799205933</v>
      </c>
      <c r="O1183">
        <f t="shared" si="308"/>
        <v>-7.669186377968408E-2</v>
      </c>
      <c r="P1183">
        <f t="shared" si="309"/>
        <v>-0.20119239790419588</v>
      </c>
      <c r="Q1183">
        <f t="shared" si="310"/>
        <v>0.97654491809417454</v>
      </c>
      <c r="R1183">
        <f t="shared" si="316"/>
        <v>1</v>
      </c>
      <c r="AG1183" s="8">
        <f t="shared" si="302"/>
        <v>0.31926107647826846</v>
      </c>
      <c r="AH1183" s="8">
        <f t="shared" si="303"/>
        <v>-0.1998943047646331</v>
      </c>
      <c r="AI1183" s="8">
        <f t="shared" si="304"/>
        <v>0.92634476949384292</v>
      </c>
      <c r="AJ1183" s="8"/>
      <c r="AK1183" s="8"/>
      <c r="AL1183" s="8"/>
      <c r="AN1183" s="8">
        <f t="shared" si="311"/>
        <v>0.99999999999999978</v>
      </c>
      <c r="AO1183" s="8">
        <f t="shared" si="312"/>
        <v>5.7237842451351071</v>
      </c>
      <c r="AP1183" s="8">
        <f t="shared" si="313"/>
        <v>0.38620617252408018</v>
      </c>
      <c r="AQ1183" s="8"/>
      <c r="AR1183" s="8">
        <f t="shared" si="314"/>
        <v>327.94868008971542</v>
      </c>
      <c r="AS1183" s="8">
        <f t="shared" si="315"/>
        <v>67.872016292468871</v>
      </c>
    </row>
    <row r="1184" spans="1:45">
      <c r="A1184" s="19">
        <v>48.11473333</v>
      </c>
      <c r="B1184" s="19">
        <v>1078.6220920000001</v>
      </c>
      <c r="C1184" s="19">
        <v>-851.54738799999996</v>
      </c>
      <c r="E1184" s="9">
        <f t="shared" si="305"/>
        <v>-118.62209200000007</v>
      </c>
      <c r="F1184" s="9">
        <f t="shared" si="306"/>
        <v>-311.54738799999996</v>
      </c>
      <c r="I1184">
        <v>1</v>
      </c>
      <c r="J1184">
        <f t="shared" ref="J1184:J1247" si="317">ATAN((SQRT(E1184^2+F1184^2)^$B$16)/($F$24))</f>
        <v>0.21774019413605492</v>
      </c>
      <c r="K1184">
        <f t="shared" si="307"/>
        <v>-1.9345997274182138</v>
      </c>
      <c r="O1184">
        <f t="shared" si="308"/>
        <v>-7.686799723949507E-2</v>
      </c>
      <c r="P1184">
        <f t="shared" si="309"/>
        <v>-0.20188502290750274</v>
      </c>
      <c r="Q1184">
        <f t="shared" si="310"/>
        <v>0.97638811367510314</v>
      </c>
      <c r="R1184">
        <f t="shared" si="316"/>
        <v>1</v>
      </c>
      <c r="AG1184" s="8">
        <f t="shared" ref="AG1184:AG1247" si="318">$O1184*$Z$27+$P1184*$Z$31+$Q1184*$Z$35</f>
        <v>0.31995391202633211</v>
      </c>
      <c r="AH1184" s="8">
        <f t="shared" ref="AH1184:AH1247" si="319">$O1184*$AA$27+$P1184*$AA$31+$Q1184*$AA$35</f>
        <v>-0.1998190290690712</v>
      </c>
      <c r="AI1184" s="8">
        <f t="shared" ref="AI1184:AI1247" si="320">$AB$27*$O1184+$P1184*$AB$31+$AB$35*$Q1184</f>
        <v>0.9261219411076167</v>
      </c>
      <c r="AJ1184" s="8"/>
      <c r="AK1184" s="8"/>
      <c r="AL1184" s="8"/>
      <c r="AN1184" s="8">
        <f t="shared" si="311"/>
        <v>1</v>
      </c>
      <c r="AO1184" s="8">
        <f t="shared" si="312"/>
        <v>5.7249280601437746</v>
      </c>
      <c r="AP1184" s="8">
        <f t="shared" si="313"/>
        <v>0.38679730684022573</v>
      </c>
      <c r="AQ1184" s="8"/>
      <c r="AR1184" s="8">
        <f t="shared" si="314"/>
        <v>328.01421586225581</v>
      </c>
      <c r="AS1184" s="8">
        <f t="shared" si="315"/>
        <v>67.838146791028379</v>
      </c>
    </row>
    <row r="1185" spans="1:45">
      <c r="A1185" s="19">
        <v>48.148099999999999</v>
      </c>
      <c r="B1185" s="19">
        <v>1079.825773</v>
      </c>
      <c r="C1185" s="19">
        <v>-852.10572200000001</v>
      </c>
      <c r="E1185" s="9">
        <f t="shared" ref="E1185:E1248" si="321">-(B1185-($B$15/2))</f>
        <v>-119.82577300000003</v>
      </c>
      <c r="F1185" s="9">
        <f t="shared" ref="F1185:F1248" si="322">(($C$15/2)+C1185)</f>
        <v>-312.10572200000001</v>
      </c>
      <c r="I1185">
        <v>1</v>
      </c>
      <c r="J1185">
        <f t="shared" si="317"/>
        <v>0.21834929127185132</v>
      </c>
      <c r="K1185">
        <f t="shared" ref="K1185:K1248" si="323">ATAN2(E1185,F1185)</f>
        <v>-1.9373702339053969</v>
      </c>
      <c r="O1185">
        <f t="shared" ref="O1185:O1248" si="324">COS(K1185)*SIN(J1185)</f>
        <v>-7.7640168179413702E-2</v>
      </c>
      <c r="P1185">
        <f t="shared" ref="P1185:P1248" si="325">SIN(K1185)*SIN(J1185)</f>
        <v>-0.20222645044682791</v>
      </c>
      <c r="Q1185">
        <f t="shared" ref="Q1185:Q1248" si="326">COS(J1185)</f>
        <v>0.97625635312900727</v>
      </c>
      <c r="R1185">
        <f t="shared" si="316"/>
        <v>1</v>
      </c>
      <c r="AG1185" s="8">
        <f t="shared" si="318"/>
        <v>0.32048541635836514</v>
      </c>
      <c r="AH1185" s="8">
        <f t="shared" si="319"/>
        <v>-0.20041105570366871</v>
      </c>
      <c r="AI1185" s="8">
        <f t="shared" si="320"/>
        <v>0.92581018932249071</v>
      </c>
      <c r="AJ1185" s="8"/>
      <c r="AK1185" s="8"/>
      <c r="AL1185" s="8"/>
      <c r="AN1185" s="8">
        <f t="shared" ref="AN1185:AN1248" si="327">AG1185^2+AH1185^2+AI1185^2</f>
        <v>0.99999999999999978</v>
      </c>
      <c r="AO1185" s="8">
        <f t="shared" ref="AO1185:AO1248" si="328">IF(ATAN2(AG1185,AH1185)&gt;=0,ATAN2(AG1185,AH1185),ATAN2(AG1185,AH1185)+2*PI())</f>
        <v>5.7243444386532225</v>
      </c>
      <c r="AP1185" s="8">
        <f t="shared" ref="AP1185:AP1248" si="329">ACOS(AI1185/AN1185)</f>
        <v>0.38762290639944297</v>
      </c>
      <c r="AQ1185" s="8"/>
      <c r="AR1185" s="8">
        <f t="shared" ref="AR1185:AR1248" si="330">DEGREES(AO1185)</f>
        <v>327.98077681401406</v>
      </c>
      <c r="AS1185" s="8">
        <f t="shared" ref="AS1185:AS1248" si="331">90-DEGREES(AP1185)</f>
        <v>67.790843420717366</v>
      </c>
    </row>
    <row r="1186" spans="1:45">
      <c r="A1186" s="19">
        <v>48.181466669999999</v>
      </c>
      <c r="B1186" s="19">
        <v>1080.5621590000001</v>
      </c>
      <c r="C1186" s="19">
        <v>-853.01986250000004</v>
      </c>
      <c r="E1186" s="9">
        <f t="shared" si="321"/>
        <v>-120.56215900000007</v>
      </c>
      <c r="F1186" s="9">
        <f t="shared" si="322"/>
        <v>-313.01986250000004</v>
      </c>
      <c r="I1186">
        <v>1</v>
      </c>
      <c r="J1186">
        <f t="shared" si="317"/>
        <v>0.21906457914357252</v>
      </c>
      <c r="K1186">
        <f t="shared" si="323"/>
        <v>-1.9384429178287954</v>
      </c>
      <c r="O1186">
        <f t="shared" si="324"/>
        <v>-7.8108013334080781E-2</v>
      </c>
      <c r="P1186">
        <f t="shared" si="325"/>
        <v>-0.20279463968443137</v>
      </c>
      <c r="Q1186">
        <f t="shared" si="326"/>
        <v>0.97610115888070981</v>
      </c>
      <c r="R1186">
        <f t="shared" si="316"/>
        <v>1</v>
      </c>
      <c r="AG1186" s="8">
        <f t="shared" si="318"/>
        <v>0.32114331649520894</v>
      </c>
      <c r="AH1186" s="8">
        <f t="shared" si="319"/>
        <v>-0.20064597011273039</v>
      </c>
      <c r="AI1186" s="8">
        <f t="shared" si="320"/>
        <v>0.92553128793573436</v>
      </c>
      <c r="AJ1186" s="8"/>
      <c r="AK1186" s="8"/>
      <c r="AL1186" s="8"/>
      <c r="AN1186" s="8">
        <f t="shared" si="327"/>
        <v>0.99999999999999978</v>
      </c>
      <c r="AO1186" s="8">
        <f t="shared" si="328"/>
        <v>5.724739621104364</v>
      </c>
      <c r="AP1186" s="8">
        <f t="shared" si="329"/>
        <v>0.38836009724918896</v>
      </c>
      <c r="AQ1186" s="8"/>
      <c r="AR1186" s="8">
        <f t="shared" si="330"/>
        <v>328.00341910060206</v>
      </c>
      <c r="AS1186" s="8">
        <f t="shared" si="331"/>
        <v>67.748605496331265</v>
      </c>
    </row>
    <row r="1187" spans="1:45">
      <c r="A1187" s="19">
        <v>48.214833329999998</v>
      </c>
      <c r="B1187" s="19">
        <v>1081.3113129999999</v>
      </c>
      <c r="C1187" s="19">
        <v>-854.14485609999997</v>
      </c>
      <c r="E1187" s="9">
        <f t="shared" si="321"/>
        <v>-121.31131299999993</v>
      </c>
      <c r="F1187" s="9">
        <f t="shared" si="322"/>
        <v>-314.14485609999997</v>
      </c>
      <c r="I1187">
        <v>1</v>
      </c>
      <c r="J1187">
        <f t="shared" si="317"/>
        <v>0.21990869361433288</v>
      </c>
      <c r="K1187">
        <f t="shared" si="323"/>
        <v>-1.9393181759554456</v>
      </c>
      <c r="O1187">
        <f t="shared" si="324"/>
        <v>-7.8582267130241371E-2</v>
      </c>
      <c r="P1187">
        <f t="shared" si="325"/>
        <v>-0.20349474743251245</v>
      </c>
      <c r="Q1187">
        <f t="shared" si="326"/>
        <v>0.97591737102074849</v>
      </c>
      <c r="R1187">
        <f t="shared" si="316"/>
        <v>1</v>
      </c>
      <c r="AG1187" s="8">
        <f t="shared" si="318"/>
        <v>0.32192555691539892</v>
      </c>
      <c r="AH1187" s="8">
        <f t="shared" si="319"/>
        <v>-0.20084146385872781</v>
      </c>
      <c r="AI1187" s="8">
        <f t="shared" si="320"/>
        <v>0.92521707841986656</v>
      </c>
      <c r="AJ1187" s="8"/>
      <c r="AK1187" s="8"/>
      <c r="AL1187" s="8"/>
      <c r="AN1187" s="8">
        <f t="shared" si="327"/>
        <v>1</v>
      </c>
      <c r="AO1187" s="8">
        <f t="shared" si="328"/>
        <v>5.7253950385309267</v>
      </c>
      <c r="AP1187" s="8">
        <f t="shared" si="329"/>
        <v>0.38918902646616127</v>
      </c>
      <c r="AQ1187" s="8"/>
      <c r="AR1187" s="8">
        <f t="shared" si="330"/>
        <v>328.04097175296346</v>
      </c>
      <c r="AS1187" s="8">
        <f t="shared" si="331"/>
        <v>67.701111350683661</v>
      </c>
    </row>
    <row r="1188" spans="1:45">
      <c r="A1188" s="19">
        <v>48.248199999999997</v>
      </c>
      <c r="B1188" s="19">
        <v>1081.81971</v>
      </c>
      <c r="C1188" s="19">
        <v>-854.08859229999996</v>
      </c>
      <c r="E1188" s="9">
        <f t="shared" si="321"/>
        <v>-121.81970999999999</v>
      </c>
      <c r="F1188" s="9">
        <f t="shared" si="322"/>
        <v>-314.08859229999996</v>
      </c>
      <c r="I1188">
        <v>1</v>
      </c>
      <c r="J1188">
        <f t="shared" si="317"/>
        <v>0.21999251357213837</v>
      </c>
      <c r="K1188">
        <f t="shared" si="323"/>
        <v>-1.9407861301097513</v>
      </c>
      <c r="O1188">
        <f t="shared" si="324"/>
        <v>-7.8910482891554209E-2</v>
      </c>
      <c r="P1188">
        <f t="shared" si="325"/>
        <v>-0.20345543827941723</v>
      </c>
      <c r="Q1188">
        <f t="shared" si="326"/>
        <v>0.97589908306358808</v>
      </c>
      <c r="R1188">
        <f t="shared" si="316"/>
        <v>1</v>
      </c>
      <c r="AG1188" s="8">
        <f t="shared" si="318"/>
        <v>0.32197995216443653</v>
      </c>
      <c r="AH1188" s="8">
        <f t="shared" si="319"/>
        <v>-0.20115614758158931</v>
      </c>
      <c r="AI1188" s="8">
        <f t="shared" si="320"/>
        <v>0.9251297826220497</v>
      </c>
      <c r="AJ1188" s="8"/>
      <c r="AK1188" s="8"/>
      <c r="AL1188" s="8"/>
      <c r="AN1188" s="8">
        <f t="shared" si="327"/>
        <v>0.99999999999999989</v>
      </c>
      <c r="AO1188" s="8">
        <f t="shared" si="328"/>
        <v>5.7247676359238353</v>
      </c>
      <c r="AP1188" s="8">
        <f t="shared" si="329"/>
        <v>0.3894190278819587</v>
      </c>
      <c r="AQ1188" s="8"/>
      <c r="AR1188" s="8">
        <f t="shared" si="330"/>
        <v>328.00502423152159</v>
      </c>
      <c r="AS1188" s="8">
        <f t="shared" si="331"/>
        <v>67.687933240276436</v>
      </c>
    </row>
    <row r="1189" spans="1:45">
      <c r="A1189" s="19">
        <v>48.281566669999997</v>
      </c>
      <c r="B1189" s="19">
        <v>1083.81873</v>
      </c>
      <c r="C1189" s="19">
        <v>-855.47810489999995</v>
      </c>
      <c r="E1189" s="9">
        <f t="shared" si="321"/>
        <v>-123.81872999999996</v>
      </c>
      <c r="F1189" s="9">
        <f t="shared" si="322"/>
        <v>-315.47810489999995</v>
      </c>
      <c r="I1189">
        <v>1</v>
      </c>
      <c r="J1189">
        <f t="shared" si="317"/>
        <v>0.22128514666046661</v>
      </c>
      <c r="K1189">
        <f t="shared" si="323"/>
        <v>-1.9448028623464537</v>
      </c>
      <c r="O1189">
        <f t="shared" si="324"/>
        <v>-8.018788229432644E-2</v>
      </c>
      <c r="P1189">
        <f t="shared" si="325"/>
        <v>-0.20431094021202106</v>
      </c>
      <c r="Q1189">
        <f t="shared" si="326"/>
        <v>0.97561618643953996</v>
      </c>
      <c r="R1189">
        <f t="shared" si="316"/>
        <v>1</v>
      </c>
      <c r="AG1189" s="8">
        <f t="shared" si="318"/>
        <v>0.32312895506034767</v>
      </c>
      <c r="AH1189" s="8">
        <f t="shared" si="319"/>
        <v>-0.20203512010613281</v>
      </c>
      <c r="AI1189" s="8">
        <f t="shared" si="320"/>
        <v>0.92453744577778363</v>
      </c>
      <c r="AJ1189" s="8"/>
      <c r="AK1189" s="8"/>
      <c r="AL1189" s="8"/>
      <c r="AN1189" s="8">
        <f t="shared" si="327"/>
        <v>0.99999999999999989</v>
      </c>
      <c r="AO1189" s="8">
        <f t="shared" si="328"/>
        <v>5.7244090380478179</v>
      </c>
      <c r="AP1189" s="8">
        <f t="shared" si="329"/>
        <v>0.39097628791602612</v>
      </c>
      <c r="AQ1189" s="8"/>
      <c r="AR1189" s="8">
        <f t="shared" si="330"/>
        <v>327.98447808668345</v>
      </c>
      <c r="AS1189" s="8">
        <f t="shared" si="331"/>
        <v>67.598708812719977</v>
      </c>
    </row>
    <row r="1190" spans="1:45">
      <c r="A1190" s="19">
        <v>48.314933330000002</v>
      </c>
      <c r="B1190" s="19">
        <v>1083.8125030000001</v>
      </c>
      <c r="C1190" s="19">
        <v>-857.77097219999996</v>
      </c>
      <c r="E1190" s="9">
        <f t="shared" si="321"/>
        <v>-123.81250300000011</v>
      </c>
      <c r="F1190" s="9">
        <f t="shared" si="322"/>
        <v>-317.77097219999996</v>
      </c>
      <c r="I1190">
        <v>1</v>
      </c>
      <c r="J1190">
        <f t="shared" si="317"/>
        <v>0.22264873242978889</v>
      </c>
      <c r="K1190">
        <f t="shared" si="323"/>
        <v>-1.9423295660029405</v>
      </c>
      <c r="O1190">
        <f t="shared" si="324"/>
        <v>-8.0165213094185506E-2</v>
      </c>
      <c r="P1190">
        <f t="shared" si="325"/>
        <v>-0.20574802289199734</v>
      </c>
      <c r="Q1190">
        <f t="shared" si="326"/>
        <v>0.97531599478609909</v>
      </c>
      <c r="R1190">
        <f t="shared" si="316"/>
        <v>1</v>
      </c>
      <c r="AG1190" s="8">
        <f t="shared" si="318"/>
        <v>0.32445827484433581</v>
      </c>
      <c r="AH1190" s="8">
        <f t="shared" si="319"/>
        <v>-0.20152154990037163</v>
      </c>
      <c r="AI1190" s="8">
        <f t="shared" si="320"/>
        <v>0.92418390637945513</v>
      </c>
      <c r="AJ1190" s="8"/>
      <c r="AK1190" s="8"/>
      <c r="AL1190" s="8"/>
      <c r="AN1190" s="8">
        <f t="shared" si="327"/>
        <v>1</v>
      </c>
      <c r="AO1190" s="8">
        <f t="shared" si="328"/>
        <v>5.7273942569203333</v>
      </c>
      <c r="AP1190" s="8">
        <f t="shared" si="329"/>
        <v>0.39190294927073266</v>
      </c>
      <c r="AQ1190" s="8"/>
      <c r="AR1190" s="8">
        <f t="shared" si="330"/>
        <v>328.15551852900137</v>
      </c>
      <c r="AS1190" s="8">
        <f t="shared" si="331"/>
        <v>67.545615028057412</v>
      </c>
    </row>
    <row r="1191" spans="1:45">
      <c r="A1191" s="19">
        <v>48.348300000000002</v>
      </c>
      <c r="B1191" s="19">
        <v>1083.8137039999999</v>
      </c>
      <c r="C1191" s="19">
        <v>-858.09847279999997</v>
      </c>
      <c r="E1191" s="9">
        <f t="shared" si="321"/>
        <v>-123.81370399999992</v>
      </c>
      <c r="F1191" s="9">
        <f t="shared" si="322"/>
        <v>-318.09847279999997</v>
      </c>
      <c r="I1191">
        <v>1</v>
      </c>
      <c r="J1191">
        <f t="shared" si="317"/>
        <v>0.22284403189992766</v>
      </c>
      <c r="K1191">
        <f t="shared" si="323"/>
        <v>-1.9419845244757272</v>
      </c>
      <c r="O1191">
        <f t="shared" si="324"/>
        <v>-8.0163306181526797E-2</v>
      </c>
      <c r="P1191">
        <f t="shared" si="325"/>
        <v>-0.2059531735755398</v>
      </c>
      <c r="Q1191">
        <f t="shared" si="326"/>
        <v>0.97527285137863362</v>
      </c>
      <c r="R1191">
        <f t="shared" si="316"/>
        <v>1</v>
      </c>
      <c r="AG1191" s="8">
        <f t="shared" si="318"/>
        <v>0.32464839036948634</v>
      </c>
      <c r="AH1191" s="8">
        <f t="shared" si="319"/>
        <v>-0.20144941979049666</v>
      </c>
      <c r="AI1191" s="8">
        <f t="shared" si="320"/>
        <v>0.92413286593247723</v>
      </c>
      <c r="AJ1191" s="8"/>
      <c r="AK1191" s="8"/>
      <c r="AL1191" s="8"/>
      <c r="AN1191" s="8">
        <f t="shared" si="327"/>
        <v>1</v>
      </c>
      <c r="AO1191" s="8">
        <f t="shared" si="328"/>
        <v>5.7278171655166581</v>
      </c>
      <c r="AP1191" s="8">
        <f t="shared" si="329"/>
        <v>0.39203655967655626</v>
      </c>
      <c r="AQ1191" s="8"/>
      <c r="AR1191" s="8">
        <f t="shared" si="330"/>
        <v>328.17974940669058</v>
      </c>
      <c r="AS1191" s="8">
        <f t="shared" si="331"/>
        <v>67.537959715704687</v>
      </c>
    </row>
    <row r="1192" spans="1:45">
      <c r="A1192" s="19">
        <v>48.381666670000001</v>
      </c>
      <c r="B1192" s="19">
        <v>1084.367596</v>
      </c>
      <c r="C1192" s="19">
        <v>-859.74683100000004</v>
      </c>
      <c r="E1192" s="9">
        <f t="shared" si="321"/>
        <v>-124.36759600000005</v>
      </c>
      <c r="F1192" s="9">
        <f t="shared" si="322"/>
        <v>-319.74683100000004</v>
      </c>
      <c r="I1192">
        <v>1</v>
      </c>
      <c r="J1192">
        <f t="shared" si="317"/>
        <v>0.22395377382854711</v>
      </c>
      <c r="K1192">
        <f t="shared" si="323"/>
        <v>-1.9417463101522028</v>
      </c>
      <c r="O1192">
        <f t="shared" si="324"/>
        <v>-8.0506528719050757E-2</v>
      </c>
      <c r="P1192">
        <f t="shared" si="325"/>
        <v>-0.20698082346728788</v>
      </c>
      <c r="Q1192">
        <f t="shared" si="326"/>
        <v>0.97502699324193687</v>
      </c>
      <c r="R1192">
        <f t="shared" si="316"/>
        <v>1</v>
      </c>
      <c r="AG1192" s="8">
        <f t="shared" si="318"/>
        <v>0.32569832710495694</v>
      </c>
      <c r="AH1192" s="8">
        <f t="shared" si="319"/>
        <v>-0.20141161156424536</v>
      </c>
      <c r="AI1192" s="8">
        <f t="shared" si="320"/>
        <v>0.92377159647183671</v>
      </c>
      <c r="AJ1192" s="8"/>
      <c r="AK1192" s="8"/>
      <c r="AL1192" s="8"/>
      <c r="AN1192" s="8">
        <f t="shared" si="327"/>
        <v>0.99999999999999989</v>
      </c>
      <c r="AO1192" s="8">
        <f t="shared" si="328"/>
        <v>5.7293466629312322</v>
      </c>
      <c r="AP1192" s="8">
        <f t="shared" si="329"/>
        <v>0.3929810362029138</v>
      </c>
      <c r="AQ1192" s="8"/>
      <c r="AR1192" s="8">
        <f t="shared" si="330"/>
        <v>328.26738315332187</v>
      </c>
      <c r="AS1192" s="8">
        <f t="shared" si="331"/>
        <v>67.483845196895231</v>
      </c>
    </row>
    <row r="1193" spans="1:45">
      <c r="A1193" s="19">
        <v>48.41503333</v>
      </c>
      <c r="B1193" s="19">
        <v>1084.399097</v>
      </c>
      <c r="C1193" s="19">
        <v>-860.91374450000001</v>
      </c>
      <c r="E1193" s="9">
        <f t="shared" si="321"/>
        <v>-124.39909699999998</v>
      </c>
      <c r="F1193" s="9">
        <f t="shared" si="322"/>
        <v>-320.91374450000001</v>
      </c>
      <c r="I1193">
        <v>1</v>
      </c>
      <c r="J1193">
        <f t="shared" si="317"/>
        <v>0.22465576543018612</v>
      </c>
      <c r="K1193">
        <f t="shared" si="323"/>
        <v>-1.9406025846025443</v>
      </c>
      <c r="O1193">
        <f t="shared" si="324"/>
        <v>-8.0517114994528335E-2</v>
      </c>
      <c r="P1193">
        <f t="shared" si="325"/>
        <v>-0.20771090379563764</v>
      </c>
      <c r="Q1193">
        <f t="shared" si="326"/>
        <v>0.97487085023471554</v>
      </c>
      <c r="R1193">
        <f t="shared" si="316"/>
        <v>1</v>
      </c>
      <c r="AG1193" s="8">
        <f t="shared" si="318"/>
        <v>0.32637958379860682</v>
      </c>
      <c r="AH1193" s="8">
        <f t="shared" si="319"/>
        <v>-0.2011706286395554</v>
      </c>
      <c r="AI1193" s="8">
        <f t="shared" si="320"/>
        <v>0.92358364291070794</v>
      </c>
      <c r="AJ1193" s="8"/>
      <c r="AK1193" s="8"/>
      <c r="AL1193" s="8"/>
      <c r="AN1193" s="8">
        <f t="shared" si="327"/>
        <v>0.99999999999999978</v>
      </c>
      <c r="AO1193" s="8">
        <f t="shared" si="328"/>
        <v>5.730815818988928</v>
      </c>
      <c r="AP1193" s="8">
        <f t="shared" si="329"/>
        <v>0.3934715582584003</v>
      </c>
      <c r="AQ1193" s="8"/>
      <c r="AR1193" s="8">
        <f t="shared" si="330"/>
        <v>328.35155959487389</v>
      </c>
      <c r="AS1193" s="8">
        <f t="shared" si="331"/>
        <v>67.455740353357768</v>
      </c>
    </row>
    <row r="1194" spans="1:45">
      <c r="A1194" s="19">
        <v>48.448399999999999</v>
      </c>
      <c r="B1194" s="19">
        <v>1083.8326010000001</v>
      </c>
      <c r="C1194" s="19">
        <v>-861.89206320000005</v>
      </c>
      <c r="E1194" s="9">
        <f t="shared" si="321"/>
        <v>-123.83260100000007</v>
      </c>
      <c r="F1194" s="9">
        <f t="shared" si="322"/>
        <v>-321.89206320000005</v>
      </c>
      <c r="I1194">
        <v>1</v>
      </c>
      <c r="J1194">
        <f t="shared" si="317"/>
        <v>0.22510817755032303</v>
      </c>
      <c r="K1194">
        <f t="shared" si="323"/>
        <v>-1.93804582988311</v>
      </c>
      <c r="O1194">
        <f t="shared" si="324"/>
        <v>-8.0144134876645234E-2</v>
      </c>
      <c r="P1194">
        <f t="shared" si="325"/>
        <v>-0.2083276998180989</v>
      </c>
      <c r="Q1194">
        <f t="shared" si="326"/>
        <v>0.97476996626556678</v>
      </c>
      <c r="R1194">
        <f t="shared" si="316"/>
        <v>1</v>
      </c>
      <c r="AG1194" s="8">
        <f t="shared" si="318"/>
        <v>0.32684933913518355</v>
      </c>
      <c r="AH1194" s="8">
        <f t="shared" si="319"/>
        <v>-0.20061657192377447</v>
      </c>
      <c r="AI1194" s="8">
        <f t="shared" si="320"/>
        <v>0.92353803417966862</v>
      </c>
      <c r="AJ1194" s="8"/>
      <c r="AK1194" s="8"/>
      <c r="AL1194" s="8"/>
      <c r="AN1194" s="8">
        <f t="shared" si="327"/>
        <v>1</v>
      </c>
      <c r="AO1194" s="8">
        <f t="shared" si="328"/>
        <v>5.7326883883971664</v>
      </c>
      <c r="AP1194" s="8">
        <f t="shared" si="329"/>
        <v>0.39359050076138269</v>
      </c>
      <c r="AQ1194" s="8"/>
      <c r="AR1194" s="8">
        <f t="shared" si="330"/>
        <v>328.45884991881127</v>
      </c>
      <c r="AS1194" s="8">
        <f t="shared" si="331"/>
        <v>67.448925449932162</v>
      </c>
    </row>
    <row r="1195" spans="1:45">
      <c r="A1195" s="19">
        <v>48.481766669999999</v>
      </c>
      <c r="B1195" s="19">
        <v>1084.0208</v>
      </c>
      <c r="C1195" s="19">
        <v>-862.08698570000001</v>
      </c>
      <c r="E1195" s="9">
        <f t="shared" si="321"/>
        <v>-124.02080000000001</v>
      </c>
      <c r="F1195" s="9">
        <f t="shared" si="322"/>
        <v>-322.08698570000001</v>
      </c>
      <c r="I1195">
        <v>1</v>
      </c>
      <c r="J1195">
        <f t="shared" si="317"/>
        <v>0.22526747172534095</v>
      </c>
      <c r="K1195">
        <f t="shared" si="323"/>
        <v>-1.9383519749995117</v>
      </c>
      <c r="O1195">
        <f t="shared" si="324"/>
        <v>-8.0263704480790135E-2</v>
      </c>
      <c r="P1195">
        <f t="shared" si="325"/>
        <v>-0.20844805578849102</v>
      </c>
      <c r="Q1195">
        <f t="shared" si="326"/>
        <v>0.97473439755710811</v>
      </c>
      <c r="R1195">
        <f t="shared" si="316"/>
        <v>1</v>
      </c>
      <c r="AG1195" s="8">
        <f t="shared" si="318"/>
        <v>0.32699425612244437</v>
      </c>
      <c r="AH1195" s="8">
        <f t="shared" si="319"/>
        <v>-0.20068491551845946</v>
      </c>
      <c r="AI1195" s="8">
        <f t="shared" si="320"/>
        <v>0.92347188432906713</v>
      </c>
      <c r="AJ1195" s="8"/>
      <c r="AK1195" s="8"/>
      <c r="AL1195" s="8"/>
      <c r="AN1195" s="8">
        <f t="shared" si="327"/>
        <v>0.99999999999999989</v>
      </c>
      <c r="AO1195" s="8">
        <f t="shared" si="328"/>
        <v>5.732734159469616</v>
      </c>
      <c r="AP1195" s="8">
        <f t="shared" si="329"/>
        <v>0.39376295170784381</v>
      </c>
      <c r="AQ1195" s="8"/>
      <c r="AR1195" s="8">
        <f t="shared" si="330"/>
        <v>328.46147240808642</v>
      </c>
      <c r="AS1195" s="8">
        <f t="shared" si="331"/>
        <v>67.439044738526903</v>
      </c>
    </row>
    <row r="1196" spans="1:45">
      <c r="A1196" s="19">
        <v>48.515133329999998</v>
      </c>
      <c r="B1196" s="19">
        <v>1084.710251</v>
      </c>
      <c r="C1196" s="19">
        <v>-863.04069990000005</v>
      </c>
      <c r="E1196" s="9">
        <f t="shared" si="321"/>
        <v>-124.71025099999997</v>
      </c>
      <c r="F1196" s="9">
        <f t="shared" si="322"/>
        <v>-323.04069990000005</v>
      </c>
      <c r="I1196">
        <v>1</v>
      </c>
      <c r="J1196">
        <f t="shared" si="317"/>
        <v>0.2259937909689842</v>
      </c>
      <c r="K1196">
        <f t="shared" si="323"/>
        <v>-1.9392203492718894</v>
      </c>
      <c r="O1196">
        <f t="shared" si="324"/>
        <v>-8.0699635609511308E-2</v>
      </c>
      <c r="P1196">
        <f t="shared" si="325"/>
        <v>-0.20903868414932072</v>
      </c>
      <c r="Q1196">
        <f t="shared" si="326"/>
        <v>0.97457190465435262</v>
      </c>
      <c r="R1196">
        <f t="shared" si="316"/>
        <v>1</v>
      </c>
      <c r="AG1196" s="8">
        <f t="shared" si="318"/>
        <v>0.32766360999008887</v>
      </c>
      <c r="AH1196" s="8">
        <f t="shared" si="319"/>
        <v>-0.20088184799261827</v>
      </c>
      <c r="AI1196" s="8">
        <f t="shared" si="320"/>
        <v>0.92319176872160935</v>
      </c>
      <c r="AJ1196" s="8"/>
      <c r="AK1196" s="8"/>
      <c r="AL1196" s="8"/>
      <c r="AN1196" s="8">
        <f t="shared" si="327"/>
        <v>0.99999999999999989</v>
      </c>
      <c r="AO1196" s="8">
        <f t="shared" si="328"/>
        <v>5.7332084192291806</v>
      </c>
      <c r="AP1196" s="8">
        <f t="shared" si="329"/>
        <v>0.39449241394898493</v>
      </c>
      <c r="AQ1196" s="8"/>
      <c r="AR1196" s="8">
        <f t="shared" si="330"/>
        <v>328.48864549070237</v>
      </c>
      <c r="AS1196" s="8">
        <f t="shared" si="331"/>
        <v>67.397249630795358</v>
      </c>
    </row>
    <row r="1197" spans="1:45">
      <c r="A1197" s="19">
        <v>48.548499999999997</v>
      </c>
      <c r="B1197" s="19">
        <v>1085.781753</v>
      </c>
      <c r="C1197" s="19">
        <v>-864.04724380000005</v>
      </c>
      <c r="E1197" s="9">
        <f t="shared" si="321"/>
        <v>-125.78175299999998</v>
      </c>
      <c r="F1197" s="9">
        <f t="shared" si="322"/>
        <v>-324.04724380000005</v>
      </c>
      <c r="I1197">
        <v>1</v>
      </c>
      <c r="J1197">
        <f t="shared" si="317"/>
        <v>0.226839581631292</v>
      </c>
      <c r="K1197">
        <f t="shared" si="323"/>
        <v>-1.941053182817025</v>
      </c>
      <c r="O1197">
        <f t="shared" si="324"/>
        <v>-8.1380875057080929E-2</v>
      </c>
      <c r="P1197">
        <f t="shared" si="325"/>
        <v>-0.20965877507112868</v>
      </c>
      <c r="Q1197">
        <f t="shared" si="326"/>
        <v>0.97438203555413405</v>
      </c>
      <c r="R1197">
        <f t="shared" si="316"/>
        <v>1</v>
      </c>
      <c r="AG1197" s="8">
        <f t="shared" si="318"/>
        <v>0.32842816050716678</v>
      </c>
      <c r="AH1197" s="8">
        <f t="shared" si="319"/>
        <v>-0.20129353860029786</v>
      </c>
      <c r="AI1197" s="8">
        <f t="shared" si="320"/>
        <v>0.92283034990384294</v>
      </c>
      <c r="AJ1197" s="8"/>
      <c r="AK1197" s="8"/>
      <c r="AL1197" s="8"/>
      <c r="AN1197" s="8">
        <f t="shared" si="327"/>
        <v>1</v>
      </c>
      <c r="AO1197" s="8">
        <f t="shared" si="328"/>
        <v>5.7333346486644343</v>
      </c>
      <c r="AP1197" s="8">
        <f t="shared" si="329"/>
        <v>0.39543171755486561</v>
      </c>
      <c r="AQ1197" s="8"/>
      <c r="AR1197" s="8">
        <f t="shared" si="330"/>
        <v>328.49587790459276</v>
      </c>
      <c r="AS1197" s="8">
        <f t="shared" si="331"/>
        <v>67.343431498496983</v>
      </c>
    </row>
    <row r="1198" spans="1:45">
      <c r="A1198" s="19">
        <v>48.581866669999997</v>
      </c>
      <c r="B1198" s="19">
        <v>1085.77862</v>
      </c>
      <c r="C1198" s="19">
        <v>-864.65017169999999</v>
      </c>
      <c r="E1198" s="9">
        <f t="shared" si="321"/>
        <v>-125.77862000000005</v>
      </c>
      <c r="F1198" s="9">
        <f t="shared" si="322"/>
        <v>-324.65017169999999</v>
      </c>
      <c r="I1198">
        <v>1</v>
      </c>
      <c r="J1198">
        <f t="shared" si="317"/>
        <v>0.22719747266307827</v>
      </c>
      <c r="K1198">
        <f t="shared" si="323"/>
        <v>-1.9404181565741285</v>
      </c>
      <c r="O1198">
        <f t="shared" si="324"/>
        <v>-8.1373695136693527E-2</v>
      </c>
      <c r="P1198">
        <f t="shared" si="325"/>
        <v>-0.21003556962217435</v>
      </c>
      <c r="Q1198">
        <f t="shared" si="326"/>
        <v>0.97430148374786396</v>
      </c>
      <c r="R1198">
        <f t="shared" si="316"/>
        <v>1</v>
      </c>
      <c r="AG1198" s="8">
        <f t="shared" si="318"/>
        <v>0.32877614729532273</v>
      </c>
      <c r="AH1198" s="8">
        <f t="shared" si="319"/>
        <v>-0.20115737274925102</v>
      </c>
      <c r="AI1198" s="8">
        <f t="shared" si="320"/>
        <v>0.922736124988213</v>
      </c>
      <c r="AJ1198" s="8"/>
      <c r="AK1198" s="8"/>
      <c r="AL1198" s="8"/>
      <c r="AN1198" s="8">
        <f t="shared" si="327"/>
        <v>0.99999999999999989</v>
      </c>
      <c r="AO1198" s="8">
        <f t="shared" si="328"/>
        <v>5.7341076491159892</v>
      </c>
      <c r="AP1198" s="8">
        <f t="shared" si="329"/>
        <v>0.39567625468930756</v>
      </c>
      <c r="AQ1198" s="8"/>
      <c r="AR1198" s="8">
        <f t="shared" si="330"/>
        <v>328.54016756802855</v>
      </c>
      <c r="AS1198" s="8">
        <f t="shared" si="331"/>
        <v>67.329420552759231</v>
      </c>
    </row>
    <row r="1199" spans="1:45">
      <c r="A1199" s="19">
        <v>48.615233330000002</v>
      </c>
      <c r="B1199" s="19">
        <v>1086.622926</v>
      </c>
      <c r="C1199" s="19">
        <v>-865.79516579999995</v>
      </c>
      <c r="E1199" s="9">
        <f t="shared" si="321"/>
        <v>-126.62292600000001</v>
      </c>
      <c r="F1199" s="9">
        <f t="shared" si="322"/>
        <v>-325.79516579999995</v>
      </c>
      <c r="I1199">
        <v>1</v>
      </c>
      <c r="J1199">
        <f t="shared" si="317"/>
        <v>0.22807307415465877</v>
      </c>
      <c r="K1199">
        <f t="shared" si="323"/>
        <v>-1.9414871181922122</v>
      </c>
      <c r="O1199">
        <f t="shared" si="324"/>
        <v>-8.1907180669387819E-2</v>
      </c>
      <c r="P1199">
        <f t="shared" si="325"/>
        <v>-0.21074353870478207</v>
      </c>
      <c r="Q1199">
        <f t="shared" si="326"/>
        <v>0.97410388288363692</v>
      </c>
      <c r="R1199">
        <f t="shared" si="316"/>
        <v>1</v>
      </c>
      <c r="AG1199" s="8">
        <f t="shared" si="318"/>
        <v>0.32958130513662165</v>
      </c>
      <c r="AH1199" s="8">
        <f t="shared" si="319"/>
        <v>-0.2014031009400134</v>
      </c>
      <c r="AI1199" s="8">
        <f t="shared" si="320"/>
        <v>0.92239522669850571</v>
      </c>
      <c r="AJ1199" s="8"/>
      <c r="AK1199" s="8"/>
      <c r="AL1199" s="8"/>
      <c r="AN1199" s="8">
        <f t="shared" si="327"/>
        <v>0.99999999999999989</v>
      </c>
      <c r="AO1199" s="8">
        <f t="shared" si="328"/>
        <v>5.7346529078370176</v>
      </c>
      <c r="AP1199" s="8">
        <f t="shared" si="329"/>
        <v>0.39655977742654369</v>
      </c>
      <c r="AQ1199" s="8"/>
      <c r="AR1199" s="8">
        <f t="shared" si="330"/>
        <v>328.57140859148615</v>
      </c>
      <c r="AS1199" s="8">
        <f t="shared" si="331"/>
        <v>67.278798428811754</v>
      </c>
    </row>
    <row r="1200" spans="1:45">
      <c r="A1200" s="19">
        <v>48.648600000000002</v>
      </c>
      <c r="B1200" s="19">
        <v>1086.8022820000001</v>
      </c>
      <c r="C1200" s="19">
        <v>-866.07243989999995</v>
      </c>
      <c r="E1200" s="9">
        <f t="shared" si="321"/>
        <v>-126.8022820000001</v>
      </c>
      <c r="F1200" s="9">
        <f t="shared" si="322"/>
        <v>-326.07243989999995</v>
      </c>
      <c r="I1200">
        <v>1</v>
      </c>
      <c r="J1200">
        <f t="shared" si="317"/>
        <v>0.22827930080721529</v>
      </c>
      <c r="K1200">
        <f t="shared" si="323"/>
        <v>-1.9416778473550047</v>
      </c>
      <c r="O1200">
        <f t="shared" si="324"/>
        <v>-8.2020180992014316E-2</v>
      </c>
      <c r="P1200">
        <f t="shared" si="325"/>
        <v>-0.21091513587354593</v>
      </c>
      <c r="Q1200">
        <f t="shared" si="326"/>
        <v>0.97405723413436074</v>
      </c>
      <c r="R1200">
        <f t="shared" si="316"/>
        <v>1</v>
      </c>
      <c r="AG1200" s="8">
        <f t="shared" si="318"/>
        <v>0.32977193363459301</v>
      </c>
      <c r="AH1200" s="8">
        <f t="shared" si="319"/>
        <v>-0.2014476824826989</v>
      </c>
      <c r="AI1200" s="8">
        <f t="shared" si="320"/>
        <v>0.92231735482384336</v>
      </c>
      <c r="AJ1200" s="8"/>
      <c r="AK1200" s="8"/>
      <c r="AL1200" s="8"/>
      <c r="AN1200" s="8">
        <f t="shared" si="327"/>
        <v>1</v>
      </c>
      <c r="AO1200" s="8">
        <f t="shared" si="328"/>
        <v>5.7348116919027197</v>
      </c>
      <c r="AP1200" s="8">
        <f t="shared" si="329"/>
        <v>0.39676134031082477</v>
      </c>
      <c r="AQ1200" s="8"/>
      <c r="AR1200" s="8">
        <f t="shared" si="330"/>
        <v>328.5805062483048</v>
      </c>
      <c r="AS1200" s="8">
        <f t="shared" si="331"/>
        <v>67.26724972623596</v>
      </c>
    </row>
    <row r="1201" spans="1:45">
      <c r="A1201" s="19">
        <v>48.681966670000001</v>
      </c>
      <c r="B1201" s="19">
        <v>1087.7368919999999</v>
      </c>
      <c r="C1201" s="19">
        <v>-866.84138270000005</v>
      </c>
      <c r="E1201" s="9">
        <f t="shared" si="321"/>
        <v>-127.7368919999999</v>
      </c>
      <c r="F1201" s="9">
        <f t="shared" si="322"/>
        <v>-326.84138270000005</v>
      </c>
      <c r="I1201">
        <v>1</v>
      </c>
      <c r="J1201">
        <f t="shared" si="317"/>
        <v>0.2289524644144057</v>
      </c>
      <c r="K1201">
        <f t="shared" si="323"/>
        <v>-1.9433659183480516</v>
      </c>
      <c r="O1201">
        <f t="shared" si="324"/>
        <v>-8.261476627358405E-2</v>
      </c>
      <c r="P1201">
        <f t="shared" si="325"/>
        <v>-0.21138704737152655</v>
      </c>
      <c r="Q1201">
        <f t="shared" si="326"/>
        <v>0.97390467531330249</v>
      </c>
      <c r="R1201">
        <f t="shared" si="316"/>
        <v>1</v>
      </c>
      <c r="AG1201" s="8">
        <f t="shared" si="318"/>
        <v>0.33037467102706347</v>
      </c>
      <c r="AH1201" s="8">
        <f t="shared" si="319"/>
        <v>-0.20183049708019823</v>
      </c>
      <c r="AI1201" s="8">
        <f t="shared" si="320"/>
        <v>0.9220179104508327</v>
      </c>
      <c r="AJ1201" s="8"/>
      <c r="AK1201" s="8"/>
      <c r="AL1201" s="8"/>
      <c r="AN1201" s="8">
        <f t="shared" si="327"/>
        <v>1</v>
      </c>
      <c r="AO1201" s="8">
        <f t="shared" si="328"/>
        <v>5.734779464314995</v>
      </c>
      <c r="AP1201" s="8">
        <f t="shared" si="329"/>
        <v>0.39753551791241537</v>
      </c>
      <c r="AQ1201" s="8"/>
      <c r="AR1201" s="8">
        <f t="shared" si="330"/>
        <v>328.57865974354428</v>
      </c>
      <c r="AS1201" s="8">
        <f t="shared" si="331"/>
        <v>67.222892617071267</v>
      </c>
    </row>
    <row r="1202" spans="1:45">
      <c r="A1202" s="19">
        <v>48.71533333</v>
      </c>
      <c r="B1202" s="19">
        <v>1087.766854</v>
      </c>
      <c r="C1202" s="19">
        <v>-867.64458979999995</v>
      </c>
      <c r="E1202" s="9">
        <f t="shared" si="321"/>
        <v>-127.76685399999997</v>
      </c>
      <c r="F1202" s="9">
        <f t="shared" si="322"/>
        <v>-327.64458979999995</v>
      </c>
      <c r="I1202">
        <v>1</v>
      </c>
      <c r="J1202">
        <f t="shared" si="317"/>
        <v>0.22943630142633747</v>
      </c>
      <c r="K1202">
        <f t="shared" si="323"/>
        <v>-1.9426138919383069</v>
      </c>
      <c r="O1202">
        <f t="shared" si="324"/>
        <v>-8.262696005899435E-2</v>
      </c>
      <c r="P1202">
        <f t="shared" si="325"/>
        <v>-0.21188810389704205</v>
      </c>
      <c r="Q1202">
        <f t="shared" si="326"/>
        <v>0.97379475090920764</v>
      </c>
      <c r="R1202">
        <f t="shared" si="316"/>
        <v>1</v>
      </c>
      <c r="AG1202" s="8">
        <f t="shared" si="318"/>
        <v>0.33084332899155894</v>
      </c>
      <c r="AH1202" s="8">
        <f t="shared" si="319"/>
        <v>-0.20166917465667009</v>
      </c>
      <c r="AI1202" s="8">
        <f t="shared" si="320"/>
        <v>0.92188515318074227</v>
      </c>
      <c r="AJ1202" s="8"/>
      <c r="AK1202" s="8"/>
      <c r="AL1202" s="8"/>
      <c r="AN1202" s="8">
        <f t="shared" si="327"/>
        <v>1</v>
      </c>
      <c r="AO1202" s="8">
        <f t="shared" si="328"/>
        <v>5.7357653382682114</v>
      </c>
      <c r="AP1202" s="8">
        <f t="shared" si="329"/>
        <v>0.39787828960108573</v>
      </c>
      <c r="AQ1202" s="8"/>
      <c r="AR1202" s="8">
        <f t="shared" si="330"/>
        <v>328.63514616019546</v>
      </c>
      <c r="AS1202" s="8">
        <f t="shared" si="331"/>
        <v>67.203253245973883</v>
      </c>
    </row>
    <row r="1203" spans="1:45">
      <c r="A1203" s="19">
        <v>48.748699999999999</v>
      </c>
      <c r="B1203" s="19">
        <v>1088.387197</v>
      </c>
      <c r="C1203" s="19">
        <v>-868.29477699999995</v>
      </c>
      <c r="E1203" s="9">
        <f t="shared" si="321"/>
        <v>-128.38719700000001</v>
      </c>
      <c r="F1203" s="9">
        <f t="shared" si="322"/>
        <v>-328.29477699999995</v>
      </c>
      <c r="I1203">
        <v>1</v>
      </c>
      <c r="J1203">
        <f t="shared" si="317"/>
        <v>0.22996604076569446</v>
      </c>
      <c r="K1203">
        <f t="shared" si="323"/>
        <v>-1.9435833354248453</v>
      </c>
      <c r="O1203">
        <f t="shared" si="324"/>
        <v>-8.3020204782684792E-2</v>
      </c>
      <c r="P1203">
        <f t="shared" si="325"/>
        <v>-0.2122882986192606</v>
      </c>
      <c r="Q1203">
        <f t="shared" si="326"/>
        <v>0.97367413638608102</v>
      </c>
      <c r="R1203">
        <f t="shared" si="316"/>
        <v>1</v>
      </c>
      <c r="AG1203" s="8">
        <f t="shared" si="318"/>
        <v>0.33132369830786945</v>
      </c>
      <c r="AH1203" s="8">
        <f t="shared" si="319"/>
        <v>-0.20189192285762769</v>
      </c>
      <c r="AI1203" s="8">
        <f t="shared" si="320"/>
        <v>0.92166385326996825</v>
      </c>
      <c r="AJ1203" s="8"/>
      <c r="AK1203" s="8"/>
      <c r="AL1203" s="8"/>
      <c r="AN1203" s="8">
        <f t="shared" si="327"/>
        <v>0.99999999999999989</v>
      </c>
      <c r="AO1203" s="8">
        <f t="shared" si="328"/>
        <v>5.7359195368869011</v>
      </c>
      <c r="AP1203" s="8">
        <f t="shared" si="329"/>
        <v>0.39844905280371057</v>
      </c>
      <c r="AQ1203" s="8"/>
      <c r="AR1203" s="8">
        <f t="shared" si="330"/>
        <v>328.64398109025313</v>
      </c>
      <c r="AS1203" s="8">
        <f t="shared" si="331"/>
        <v>67.1705509233621</v>
      </c>
    </row>
    <row r="1204" spans="1:45">
      <c r="A1204" s="19">
        <v>48.782066669999999</v>
      </c>
      <c r="B1204" s="19">
        <v>1088.4648749999999</v>
      </c>
      <c r="C1204" s="19">
        <v>-868.89672480000002</v>
      </c>
      <c r="E1204" s="9">
        <f t="shared" si="321"/>
        <v>-128.46487499999989</v>
      </c>
      <c r="F1204" s="9">
        <f t="shared" si="322"/>
        <v>-328.89672480000002</v>
      </c>
      <c r="I1204">
        <v>1</v>
      </c>
      <c r="J1204">
        <f t="shared" si="317"/>
        <v>0.23034125793218077</v>
      </c>
      <c r="K1204">
        <f t="shared" si="323"/>
        <v>-1.9431673170740098</v>
      </c>
      <c r="O1204">
        <f t="shared" si="324"/>
        <v>-8.3064795467597735E-2</v>
      </c>
      <c r="P1204">
        <f t="shared" si="325"/>
        <v>-0.21266310480179754</v>
      </c>
      <c r="Q1204">
        <f t="shared" si="326"/>
        <v>0.97358853917349797</v>
      </c>
      <c r="R1204">
        <f t="shared" si="316"/>
        <v>1</v>
      </c>
      <c r="AG1204" s="8">
        <f t="shared" si="318"/>
        <v>0.33168404144000907</v>
      </c>
      <c r="AH1204" s="8">
        <f t="shared" si="319"/>
        <v>-0.20180370187014562</v>
      </c>
      <c r="AI1204" s="8">
        <f t="shared" si="320"/>
        <v>0.92155355924955751</v>
      </c>
      <c r="AJ1204" s="8"/>
      <c r="AK1204" s="8"/>
      <c r="AL1204" s="8"/>
      <c r="AN1204" s="8">
        <f t="shared" si="327"/>
        <v>1</v>
      </c>
      <c r="AO1204" s="8">
        <f t="shared" si="328"/>
        <v>5.7365965275266069</v>
      </c>
      <c r="AP1204" s="8">
        <f t="shared" si="329"/>
        <v>0.39873322762735919</v>
      </c>
      <c r="AQ1204" s="8"/>
      <c r="AR1204" s="8">
        <f t="shared" si="330"/>
        <v>328.68276979667814</v>
      </c>
      <c r="AS1204" s="8">
        <f t="shared" si="331"/>
        <v>67.154268905323164</v>
      </c>
    </row>
    <row r="1205" spans="1:45">
      <c r="A1205" s="19">
        <v>48.815433329999998</v>
      </c>
      <c r="B1205" s="19">
        <v>1089.0387940000001</v>
      </c>
      <c r="C1205" s="19">
        <v>-869.85045309999998</v>
      </c>
      <c r="E1205" s="9">
        <f t="shared" si="321"/>
        <v>-129.03879400000005</v>
      </c>
      <c r="F1205" s="9">
        <f t="shared" si="322"/>
        <v>-329.85045309999998</v>
      </c>
      <c r="I1205">
        <v>1</v>
      </c>
      <c r="J1205">
        <f t="shared" si="317"/>
        <v>0.23104016607852026</v>
      </c>
      <c r="K1205">
        <f t="shared" si="323"/>
        <v>-1.9436969631155967</v>
      </c>
      <c r="O1205">
        <f t="shared" si="324"/>
        <v>-8.3425299622387802E-2</v>
      </c>
      <c r="P1205">
        <f t="shared" si="325"/>
        <v>-0.21325271282718183</v>
      </c>
      <c r="Q1205">
        <f t="shared" si="326"/>
        <v>0.97342873383456396</v>
      </c>
      <c r="R1205">
        <f t="shared" si="316"/>
        <v>1</v>
      </c>
      <c r="AG1205" s="8">
        <f t="shared" si="318"/>
        <v>0.3323311578298549</v>
      </c>
      <c r="AH1205" s="8">
        <f t="shared" si="319"/>
        <v>-0.20193106197910221</v>
      </c>
      <c r="AI1205" s="8">
        <f t="shared" si="320"/>
        <v>0.92129248761913829</v>
      </c>
      <c r="AJ1205" s="8"/>
      <c r="AK1205" s="8"/>
      <c r="AL1205" s="8"/>
      <c r="AN1205" s="8">
        <f t="shared" si="327"/>
        <v>1</v>
      </c>
      <c r="AO1205" s="8">
        <f t="shared" si="328"/>
        <v>5.7371816879559221</v>
      </c>
      <c r="AP1205" s="8">
        <f t="shared" si="329"/>
        <v>0.39940512149152241</v>
      </c>
      <c r="AQ1205" s="8"/>
      <c r="AR1205" s="8">
        <f t="shared" si="330"/>
        <v>328.71629701961598</v>
      </c>
      <c r="AS1205" s="8">
        <f t="shared" si="331"/>
        <v>67.115772222625878</v>
      </c>
    </row>
    <row r="1206" spans="1:45">
      <c r="A1206" s="19">
        <v>48.848799999999997</v>
      </c>
      <c r="B1206" s="19">
        <v>1089.6176909999999</v>
      </c>
      <c r="C1206" s="19">
        <v>-870.66698589999999</v>
      </c>
      <c r="E1206" s="9">
        <f t="shared" si="321"/>
        <v>-129.61769099999992</v>
      </c>
      <c r="F1206" s="9">
        <f t="shared" si="322"/>
        <v>-330.66698589999999</v>
      </c>
      <c r="I1206">
        <v>1</v>
      </c>
      <c r="J1206">
        <f t="shared" si="317"/>
        <v>0.23165875855972257</v>
      </c>
      <c r="K1206">
        <f t="shared" si="323"/>
        <v>-1.9443773088181631</v>
      </c>
      <c r="O1206">
        <f t="shared" si="324"/>
        <v>-8.3790107644161588E-2</v>
      </c>
      <c r="P1206">
        <f t="shared" si="325"/>
        <v>-0.21375648747616932</v>
      </c>
      <c r="Q1206">
        <f t="shared" si="326"/>
        <v>0.97328689599872353</v>
      </c>
      <c r="R1206">
        <f t="shared" si="316"/>
        <v>1</v>
      </c>
      <c r="AG1206" s="8">
        <f t="shared" si="318"/>
        <v>0.33289972442896915</v>
      </c>
      <c r="AH1206" s="8">
        <f t="shared" si="319"/>
        <v>-0.20209185701665783</v>
      </c>
      <c r="AI1206" s="8">
        <f t="shared" si="320"/>
        <v>0.92105192839637173</v>
      </c>
      <c r="AJ1206" s="8"/>
      <c r="AK1206" s="8"/>
      <c r="AL1206" s="8"/>
      <c r="AN1206" s="8">
        <f t="shared" si="327"/>
        <v>0.99999999999999989</v>
      </c>
      <c r="AO1206" s="8">
        <f t="shared" si="328"/>
        <v>5.737586953505617</v>
      </c>
      <c r="AP1206" s="8">
        <f t="shared" si="329"/>
        <v>0.40002327922431324</v>
      </c>
      <c r="AQ1206" s="8"/>
      <c r="AR1206" s="8">
        <f t="shared" si="330"/>
        <v>328.73951702519554</v>
      </c>
      <c r="AS1206" s="8">
        <f t="shared" si="331"/>
        <v>67.08035439346358</v>
      </c>
    </row>
    <row r="1207" spans="1:45">
      <c r="A1207" s="19">
        <v>48.882166669999997</v>
      </c>
      <c r="B1207" s="19">
        <v>1090.624558</v>
      </c>
      <c r="C1207" s="19">
        <v>-871.6613906</v>
      </c>
      <c r="E1207" s="9">
        <f t="shared" si="321"/>
        <v>-130.62455799999998</v>
      </c>
      <c r="F1207" s="9">
        <f t="shared" si="322"/>
        <v>-331.6613906</v>
      </c>
      <c r="I1207">
        <v>1</v>
      </c>
      <c r="J1207">
        <f t="shared" si="317"/>
        <v>0.23248236770245015</v>
      </c>
      <c r="K1207">
        <f t="shared" si="323"/>
        <v>-1.9459890298942024</v>
      </c>
      <c r="O1207">
        <f t="shared" si="324"/>
        <v>-8.4428236650413255E-2</v>
      </c>
      <c r="P1207">
        <f t="shared" si="325"/>
        <v>-0.21436693683114286</v>
      </c>
      <c r="Q1207">
        <f t="shared" si="326"/>
        <v>0.97309747160792404</v>
      </c>
      <c r="R1207">
        <f t="shared" si="316"/>
        <v>1</v>
      </c>
      <c r="AG1207" s="8">
        <f t="shared" si="318"/>
        <v>0.3336428219278666</v>
      </c>
      <c r="AH1207" s="8">
        <f t="shared" si="319"/>
        <v>-0.20246630944244326</v>
      </c>
      <c r="AI1207" s="8">
        <f t="shared" si="320"/>
        <v>0.92070074449669392</v>
      </c>
      <c r="AJ1207" s="8"/>
      <c r="AK1207" s="8"/>
      <c r="AL1207" s="8"/>
      <c r="AN1207" s="8">
        <f t="shared" si="327"/>
        <v>0.99999999999999978</v>
      </c>
      <c r="AO1207" s="8">
        <f t="shared" si="328"/>
        <v>5.7377548556638587</v>
      </c>
      <c r="AP1207" s="8">
        <f t="shared" si="329"/>
        <v>0.40092408665617163</v>
      </c>
      <c r="AQ1207" s="8"/>
      <c r="AR1207" s="8">
        <f t="shared" si="330"/>
        <v>328.74913711023396</v>
      </c>
      <c r="AS1207" s="8">
        <f t="shared" si="331"/>
        <v>67.028741929464076</v>
      </c>
    </row>
    <row r="1208" spans="1:45">
      <c r="A1208" s="19">
        <v>48.915533330000002</v>
      </c>
      <c r="B1208" s="19">
        <v>1090.684757</v>
      </c>
      <c r="C1208" s="19">
        <v>-871.84175289999996</v>
      </c>
      <c r="E1208" s="9">
        <f t="shared" si="321"/>
        <v>-130.68475699999999</v>
      </c>
      <c r="F1208" s="9">
        <f t="shared" si="322"/>
        <v>-331.84175289999996</v>
      </c>
      <c r="I1208">
        <v>1</v>
      </c>
      <c r="J1208">
        <f t="shared" si="317"/>
        <v>0.23260322103547953</v>
      </c>
      <c r="K1208">
        <f t="shared" si="323"/>
        <v>-1.9459607590758943</v>
      </c>
      <c r="O1208">
        <f t="shared" si="324"/>
        <v>-8.4465268073145305E-2</v>
      </c>
      <c r="P1208">
        <f t="shared" si="325"/>
        <v>-0.21447874457585711</v>
      </c>
      <c r="Q1208">
        <f t="shared" si="326"/>
        <v>0.97306962064103919</v>
      </c>
      <c r="R1208">
        <f t="shared" si="316"/>
        <v>1</v>
      </c>
      <c r="AG1208" s="8">
        <f t="shared" si="318"/>
        <v>0.33375684624647384</v>
      </c>
      <c r="AH1208" s="8">
        <f t="shared" si="319"/>
        <v>-0.20246169229392863</v>
      </c>
      <c r="AI1208" s="8">
        <f t="shared" si="320"/>
        <v>0.92066043182982837</v>
      </c>
      <c r="AJ1208" s="8"/>
      <c r="AK1208" s="8"/>
      <c r="AL1208" s="8"/>
      <c r="AN1208" s="8">
        <f t="shared" si="327"/>
        <v>0.99999999999999978</v>
      </c>
      <c r="AO1208" s="8">
        <f t="shared" si="328"/>
        <v>5.7379165032262422</v>
      </c>
      <c r="AP1208" s="8">
        <f t="shared" si="329"/>
        <v>0.40102736855574284</v>
      </c>
      <c r="AQ1208" s="8"/>
      <c r="AR1208" s="8">
        <f t="shared" si="330"/>
        <v>328.75839883332708</v>
      </c>
      <c r="AS1208" s="8">
        <f t="shared" si="331"/>
        <v>67.022824312518551</v>
      </c>
    </row>
    <row r="1209" spans="1:45">
      <c r="A1209" s="19">
        <v>48.948900000000002</v>
      </c>
      <c r="B1209" s="19">
        <v>1090.798916</v>
      </c>
      <c r="C1209" s="19">
        <v>-872.84113839999998</v>
      </c>
      <c r="E1209" s="9">
        <f t="shared" si="321"/>
        <v>-130.79891599999996</v>
      </c>
      <c r="F1209" s="9">
        <f t="shared" si="322"/>
        <v>-332.84113839999998</v>
      </c>
      <c r="I1209">
        <v>1</v>
      </c>
      <c r="J1209">
        <f t="shared" si="317"/>
        <v>0.23322166215768375</v>
      </c>
      <c r="K1209">
        <f t="shared" si="323"/>
        <v>-1.9452337809039952</v>
      </c>
      <c r="O1209">
        <f t="shared" si="324"/>
        <v>-8.4529411001088114E-2</v>
      </c>
      <c r="P1209">
        <f t="shared" si="325"/>
        <v>-0.21510014185349724</v>
      </c>
      <c r="Q1209">
        <f t="shared" si="326"/>
        <v>0.9729268768260102</v>
      </c>
      <c r="R1209">
        <f t="shared" si="316"/>
        <v>1</v>
      </c>
      <c r="AG1209" s="8">
        <f t="shared" si="318"/>
        <v>0.33435137853375102</v>
      </c>
      <c r="AH1209" s="8">
        <f t="shared" si="319"/>
        <v>-0.20230613566690797</v>
      </c>
      <c r="AI1209" s="8">
        <f t="shared" si="320"/>
        <v>0.9204788879404584</v>
      </c>
      <c r="AJ1209" s="8"/>
      <c r="AK1209" s="8"/>
      <c r="AL1209" s="8"/>
      <c r="AN1209" s="8">
        <f t="shared" si="327"/>
        <v>1</v>
      </c>
      <c r="AO1209" s="8">
        <f t="shared" si="328"/>
        <v>5.7390458808469438</v>
      </c>
      <c r="AP1209" s="8">
        <f t="shared" si="329"/>
        <v>0.40149217641368362</v>
      </c>
      <c r="AQ1209" s="8"/>
      <c r="AR1209" s="8">
        <f t="shared" si="330"/>
        <v>328.82310740446979</v>
      </c>
      <c r="AS1209" s="8">
        <f t="shared" si="331"/>
        <v>66.996192783974038</v>
      </c>
    </row>
    <row r="1210" spans="1:45">
      <c r="A1210" s="19">
        <v>48.982266670000001</v>
      </c>
      <c r="B1210" s="19">
        <v>1091.3915079999999</v>
      </c>
      <c r="C1210" s="19">
        <v>-873.66845999999998</v>
      </c>
      <c r="E1210" s="9">
        <f t="shared" si="321"/>
        <v>-131.39150799999993</v>
      </c>
      <c r="F1210" s="9">
        <f t="shared" si="322"/>
        <v>-333.66845999999998</v>
      </c>
      <c r="I1210">
        <v>1</v>
      </c>
      <c r="J1210">
        <f t="shared" si="317"/>
        <v>0.23384949963298907</v>
      </c>
      <c r="K1210">
        <f t="shared" si="323"/>
        <v>-1.9459279724135532</v>
      </c>
      <c r="O1210">
        <f t="shared" si="324"/>
        <v>-8.4902503328905893E-2</v>
      </c>
      <c r="P1210">
        <f t="shared" si="325"/>
        <v>-0.21560972978482695</v>
      </c>
      <c r="Q1210">
        <f t="shared" si="326"/>
        <v>0.97278158357906785</v>
      </c>
      <c r="R1210">
        <f t="shared" si="316"/>
        <v>1</v>
      </c>
      <c r="AG1210" s="8">
        <f t="shared" si="318"/>
        <v>0.33492747361216318</v>
      </c>
      <c r="AH1210" s="8">
        <f t="shared" si="319"/>
        <v>-0.20247223712015891</v>
      </c>
      <c r="AI1210" s="8">
        <f t="shared" si="320"/>
        <v>0.92023289476921644</v>
      </c>
      <c r="AJ1210" s="8"/>
      <c r="AK1210" s="8"/>
      <c r="AL1210" s="8"/>
      <c r="AN1210" s="8">
        <f t="shared" si="327"/>
        <v>0.99999999999999989</v>
      </c>
      <c r="AO1210" s="8">
        <f t="shared" si="328"/>
        <v>5.7394447914386859</v>
      </c>
      <c r="AP1210" s="8">
        <f t="shared" si="329"/>
        <v>0.40212118342772207</v>
      </c>
      <c r="AQ1210" s="8"/>
      <c r="AR1210" s="8">
        <f t="shared" si="330"/>
        <v>328.84596329777969</v>
      </c>
      <c r="AS1210" s="8">
        <f t="shared" si="331"/>
        <v>66.96015333678551</v>
      </c>
    </row>
    <row r="1211" spans="1:45">
      <c r="A1211" s="19">
        <v>49.01563333</v>
      </c>
      <c r="B1211" s="19">
        <v>1091.977693</v>
      </c>
      <c r="C1211" s="19">
        <v>-873.84132369999998</v>
      </c>
      <c r="E1211" s="9">
        <f t="shared" si="321"/>
        <v>-131.97769300000004</v>
      </c>
      <c r="F1211" s="9">
        <f t="shared" si="322"/>
        <v>-333.84132369999998</v>
      </c>
      <c r="I1211">
        <v>1</v>
      </c>
      <c r="J1211">
        <f t="shared" si="317"/>
        <v>0.23408863700052357</v>
      </c>
      <c r="K1211">
        <f t="shared" si="323"/>
        <v>-1.9472708948043134</v>
      </c>
      <c r="O1211">
        <f t="shared" si="324"/>
        <v>-8.5277495878924248E-2</v>
      </c>
      <c r="P1211">
        <f t="shared" si="325"/>
        <v>-0.21571184841093832</v>
      </c>
      <c r="Q1211">
        <f t="shared" si="326"/>
        <v>0.97272614190827444</v>
      </c>
      <c r="R1211">
        <f t="shared" si="316"/>
        <v>1</v>
      </c>
      <c r="AG1211" s="8">
        <f t="shared" si="318"/>
        <v>0.33512587340089162</v>
      </c>
      <c r="AH1211" s="8">
        <f t="shared" si="319"/>
        <v>-0.20278064719321676</v>
      </c>
      <c r="AI1211" s="8">
        <f t="shared" si="320"/>
        <v>0.92009274429330745</v>
      </c>
      <c r="AJ1211" s="8"/>
      <c r="AK1211" s="8"/>
      <c r="AL1211" s="8"/>
      <c r="AN1211" s="8">
        <f t="shared" si="327"/>
        <v>1</v>
      </c>
      <c r="AO1211" s="8">
        <f t="shared" si="328"/>
        <v>5.7390330208912603</v>
      </c>
      <c r="AP1211" s="8">
        <f t="shared" si="329"/>
        <v>0.40247913394471602</v>
      </c>
      <c r="AQ1211" s="8"/>
      <c r="AR1211" s="8">
        <f t="shared" si="330"/>
        <v>328.82237058328445</v>
      </c>
      <c r="AS1211" s="8">
        <f t="shared" si="331"/>
        <v>66.93964428288723</v>
      </c>
    </row>
    <row r="1212" spans="1:45">
      <c r="A1212" s="19">
        <v>49.048999999999999</v>
      </c>
      <c r="B1212" s="19">
        <v>1092.397152</v>
      </c>
      <c r="C1212" s="19">
        <v>-874.84805189999997</v>
      </c>
      <c r="E1212" s="9">
        <f t="shared" si="321"/>
        <v>-132.39715200000001</v>
      </c>
      <c r="F1212" s="9">
        <f t="shared" si="322"/>
        <v>-334.84805189999997</v>
      </c>
      <c r="I1212">
        <v>1</v>
      </c>
      <c r="J1212">
        <f t="shared" si="317"/>
        <v>0.2347821284341011</v>
      </c>
      <c r="K1212">
        <f t="shared" si="323"/>
        <v>-1.947326342006424</v>
      </c>
      <c r="O1212">
        <f t="shared" si="324"/>
        <v>-8.5537475051304504E-2</v>
      </c>
      <c r="P1212">
        <f t="shared" si="325"/>
        <v>-0.21633438826066415</v>
      </c>
      <c r="Q1212">
        <f t="shared" si="326"/>
        <v>0.97256504811643918</v>
      </c>
      <c r="R1212">
        <f t="shared" si="316"/>
        <v>1</v>
      </c>
      <c r="AG1212" s="8">
        <f t="shared" si="318"/>
        <v>0.33577547607901065</v>
      </c>
      <c r="AH1212" s="8">
        <f t="shared" si="319"/>
        <v>-0.20280397912576412</v>
      </c>
      <c r="AI1212" s="8">
        <f t="shared" si="320"/>
        <v>0.91985073556239016</v>
      </c>
      <c r="AJ1212" s="8"/>
      <c r="AK1212" s="8"/>
      <c r="AL1212" s="8"/>
      <c r="AN1212" s="8">
        <f t="shared" si="327"/>
        <v>0.99999999999999989</v>
      </c>
      <c r="AO1212" s="8">
        <f t="shared" si="328"/>
        <v>5.7398394397752126</v>
      </c>
      <c r="AP1212" s="8">
        <f t="shared" si="329"/>
        <v>0.40309652743998425</v>
      </c>
      <c r="AQ1212" s="8"/>
      <c r="AR1212" s="8">
        <f t="shared" si="330"/>
        <v>328.86857498185452</v>
      </c>
      <c r="AS1212" s="8">
        <f t="shared" si="331"/>
        <v>66.904270241309518</v>
      </c>
    </row>
    <row r="1213" spans="1:45">
      <c r="A1213" s="19">
        <v>49.082366669999999</v>
      </c>
      <c r="B1213" s="19">
        <v>1092.4513240000001</v>
      </c>
      <c r="C1213" s="19">
        <v>-875.84855200000004</v>
      </c>
      <c r="E1213" s="9">
        <f t="shared" si="321"/>
        <v>-132.45132400000011</v>
      </c>
      <c r="F1213" s="9">
        <f t="shared" si="322"/>
        <v>-335.84855200000004</v>
      </c>
      <c r="I1213">
        <v>1</v>
      </c>
      <c r="J1213">
        <f t="shared" si="317"/>
        <v>0.23538643767585105</v>
      </c>
      <c r="K1213">
        <f t="shared" si="323"/>
        <v>-1.9464468892330196</v>
      </c>
      <c r="O1213">
        <f t="shared" si="324"/>
        <v>-8.5562795631484931E-2</v>
      </c>
      <c r="P1213">
        <f t="shared" si="325"/>
        <v>-0.21695623833783739</v>
      </c>
      <c r="Q1213">
        <f t="shared" si="326"/>
        <v>0.97242428941795789</v>
      </c>
      <c r="R1213">
        <f t="shared" si="316"/>
        <v>1</v>
      </c>
      <c r="AG1213" s="8">
        <f t="shared" si="318"/>
        <v>0.33635955906946502</v>
      </c>
      <c r="AH1213" s="8">
        <f t="shared" si="319"/>
        <v>-0.20261243453412825</v>
      </c>
      <c r="AI1213" s="8">
        <f t="shared" si="320"/>
        <v>0.91967953570510019</v>
      </c>
      <c r="AJ1213" s="8"/>
      <c r="AK1213" s="8"/>
      <c r="AL1213" s="8"/>
      <c r="AN1213" s="8">
        <f t="shared" si="327"/>
        <v>1</v>
      </c>
      <c r="AO1213" s="8">
        <f t="shared" si="328"/>
        <v>5.7410260137669047</v>
      </c>
      <c r="AP1213" s="8">
        <f t="shared" si="329"/>
        <v>0.40353273967932801</v>
      </c>
      <c r="AQ1213" s="8"/>
      <c r="AR1213" s="8">
        <f t="shared" si="330"/>
        <v>328.9365606636585</v>
      </c>
      <c r="AS1213" s="8">
        <f t="shared" si="331"/>
        <v>66.879277121023179</v>
      </c>
    </row>
    <row r="1214" spans="1:45">
      <c r="A1214" s="19">
        <v>49.115733329999998</v>
      </c>
      <c r="B1214" s="19">
        <v>1093.001487</v>
      </c>
      <c r="C1214" s="19">
        <v>-875.9751066</v>
      </c>
      <c r="E1214" s="9">
        <f t="shared" si="321"/>
        <v>-133.001487</v>
      </c>
      <c r="F1214" s="9">
        <f t="shared" si="322"/>
        <v>-335.9751066</v>
      </c>
      <c r="I1214">
        <v>1</v>
      </c>
      <c r="J1214">
        <f t="shared" si="317"/>
        <v>0.23558977750935817</v>
      </c>
      <c r="K1214">
        <f t="shared" si="323"/>
        <v>-1.9477347788213577</v>
      </c>
      <c r="O1214">
        <f t="shared" si="324"/>
        <v>-8.5914919039515619E-2</v>
      </c>
      <c r="P1214">
        <f t="shared" si="325"/>
        <v>-0.21702970947108022</v>
      </c>
      <c r="Q1214">
        <f t="shared" si="326"/>
        <v>0.97237684664605828</v>
      </c>
      <c r="R1214">
        <f t="shared" si="316"/>
        <v>1</v>
      </c>
      <c r="AG1214" s="8">
        <f t="shared" si="318"/>
        <v>0.33652501262579665</v>
      </c>
      <c r="AH1214" s="8">
        <f t="shared" si="319"/>
        <v>-0.20290970539749895</v>
      </c>
      <c r="AI1214" s="8">
        <f t="shared" si="320"/>
        <v>0.91955346083450062</v>
      </c>
      <c r="AJ1214" s="8"/>
      <c r="AK1214" s="8"/>
      <c r="AL1214" s="8"/>
      <c r="AN1214" s="8">
        <f t="shared" si="327"/>
        <v>0.99999999999999978</v>
      </c>
      <c r="AO1214" s="8">
        <f t="shared" si="328"/>
        <v>5.7405952645526401</v>
      </c>
      <c r="AP1214" s="8">
        <f t="shared" si="329"/>
        <v>0.40385369003846905</v>
      </c>
      <c r="AQ1214" s="8"/>
      <c r="AR1214" s="8">
        <f t="shared" si="330"/>
        <v>328.91188055165253</v>
      </c>
      <c r="AS1214" s="8">
        <f t="shared" si="331"/>
        <v>66.860888020011188</v>
      </c>
    </row>
    <row r="1215" spans="1:45">
      <c r="A1215" s="19">
        <v>49.149099999999997</v>
      </c>
      <c r="B1215" s="19">
        <v>1093.8204270000001</v>
      </c>
      <c r="C1215" s="19">
        <v>-876.95337210000002</v>
      </c>
      <c r="E1215" s="9">
        <f t="shared" si="321"/>
        <v>-133.82042700000011</v>
      </c>
      <c r="F1215" s="9">
        <f t="shared" si="322"/>
        <v>-336.95337210000002</v>
      </c>
      <c r="I1215">
        <v>1</v>
      </c>
      <c r="J1215">
        <f t="shared" si="317"/>
        <v>0.23635959225966624</v>
      </c>
      <c r="K1215">
        <f t="shared" si="323"/>
        <v>-1.9488418452117706</v>
      </c>
      <c r="O1215">
        <f t="shared" si="324"/>
        <v>-8.6431400424201721E-2</v>
      </c>
      <c r="P1215">
        <f t="shared" si="325"/>
        <v>-0.21763009191608787</v>
      </c>
      <c r="Q1215">
        <f t="shared" si="326"/>
        <v>0.9721968710674328</v>
      </c>
      <c r="R1215">
        <f t="shared" si="316"/>
        <v>1</v>
      </c>
      <c r="AG1215" s="8">
        <f t="shared" si="318"/>
        <v>0.33722478144653628</v>
      </c>
      <c r="AH1215" s="8">
        <f t="shared" si="319"/>
        <v>-0.20317548772667185</v>
      </c>
      <c r="AI1215" s="8">
        <f t="shared" si="320"/>
        <v>0.91923836297522143</v>
      </c>
      <c r="AJ1215" s="8"/>
      <c r="AK1215" s="8"/>
      <c r="AL1215" s="8"/>
      <c r="AN1215" s="8">
        <f t="shared" si="327"/>
        <v>1.0000000000000002</v>
      </c>
      <c r="AO1215" s="8">
        <f t="shared" si="328"/>
        <v>5.7409349141687889</v>
      </c>
      <c r="AP1215" s="8">
        <f t="shared" si="329"/>
        <v>0.40465478654415654</v>
      </c>
      <c r="AQ1215" s="8"/>
      <c r="AR1215" s="8">
        <f t="shared" si="330"/>
        <v>328.93134104117109</v>
      </c>
      <c r="AS1215" s="8">
        <f t="shared" si="331"/>
        <v>66.814988571252613</v>
      </c>
    </row>
    <row r="1216" spans="1:45">
      <c r="A1216" s="19">
        <v>49.182466669999997</v>
      </c>
      <c r="B1216" s="19">
        <v>1093.9820259999999</v>
      </c>
      <c r="C1216" s="19">
        <v>-877.82814029999997</v>
      </c>
      <c r="E1216" s="9">
        <f t="shared" si="321"/>
        <v>-133.98202599999991</v>
      </c>
      <c r="F1216" s="9">
        <f t="shared" si="322"/>
        <v>-337.82814029999997</v>
      </c>
      <c r="I1216">
        <v>1</v>
      </c>
      <c r="J1216">
        <f t="shared" si="317"/>
        <v>0.23691407820034491</v>
      </c>
      <c r="K1216">
        <f t="shared" si="323"/>
        <v>-1.9483666658242225</v>
      </c>
      <c r="O1216">
        <f t="shared" si="324"/>
        <v>-8.6526699052788092E-2</v>
      </c>
      <c r="P1216">
        <f t="shared" si="325"/>
        <v>-0.21817220339167878</v>
      </c>
      <c r="Q1216">
        <f t="shared" si="326"/>
        <v>0.97206688042451495</v>
      </c>
      <c r="R1216">
        <f t="shared" si="316"/>
        <v>1</v>
      </c>
      <c r="AG1216" s="8">
        <f t="shared" si="318"/>
        <v>0.33775410766558939</v>
      </c>
      <c r="AH1216" s="8">
        <f t="shared" si="319"/>
        <v>-0.20307544026890123</v>
      </c>
      <c r="AI1216" s="8">
        <f t="shared" si="320"/>
        <v>0.91906611748807998</v>
      </c>
      <c r="AJ1216" s="8"/>
      <c r="AK1216" s="8"/>
      <c r="AL1216" s="8"/>
      <c r="AN1216" s="8">
        <f t="shared" si="327"/>
        <v>0.99999999999999978</v>
      </c>
      <c r="AO1216" s="8">
        <f t="shared" si="328"/>
        <v>5.7418454933140346</v>
      </c>
      <c r="AP1216" s="8">
        <f t="shared" si="329"/>
        <v>0.40509206613024329</v>
      </c>
      <c r="AQ1216" s="8"/>
      <c r="AR1216" s="8">
        <f t="shared" si="330"/>
        <v>328.9835133831063</v>
      </c>
      <c r="AS1216" s="8">
        <f t="shared" si="331"/>
        <v>66.789934296502622</v>
      </c>
    </row>
    <row r="1217" spans="1:45">
      <c r="A1217" s="19">
        <v>49.215833330000002</v>
      </c>
      <c r="B1217" s="19">
        <v>1093.9921280000001</v>
      </c>
      <c r="C1217" s="19">
        <v>-878.66593920000003</v>
      </c>
      <c r="E1217" s="9">
        <f t="shared" si="321"/>
        <v>-133.99212800000009</v>
      </c>
      <c r="F1217" s="9">
        <f t="shared" si="322"/>
        <v>-338.66593920000003</v>
      </c>
      <c r="I1217">
        <v>1</v>
      </c>
      <c r="J1217">
        <f t="shared" si="317"/>
        <v>0.23741123406939377</v>
      </c>
      <c r="K1217">
        <f t="shared" si="323"/>
        <v>-1.9475444051980355</v>
      </c>
      <c r="O1217">
        <f t="shared" si="324"/>
        <v>-8.652505861450141E-2</v>
      </c>
      <c r="P1217">
        <f t="shared" si="325"/>
        <v>-0.21869262528627922</v>
      </c>
      <c r="Q1217">
        <f t="shared" si="326"/>
        <v>0.97195007581518922</v>
      </c>
      <c r="R1217">
        <f t="shared" si="316"/>
        <v>1</v>
      </c>
      <c r="AG1217" s="8">
        <f t="shared" si="318"/>
        <v>0.33823650523847287</v>
      </c>
      <c r="AH1217" s="8">
        <f t="shared" si="319"/>
        <v>-0.20289402093381217</v>
      </c>
      <c r="AI1217" s="8">
        <f t="shared" si="320"/>
        <v>0.9189287691618836</v>
      </c>
      <c r="AJ1217" s="8"/>
      <c r="AK1217" s="8"/>
      <c r="AL1217" s="8"/>
      <c r="AN1217" s="8">
        <f t="shared" si="327"/>
        <v>1</v>
      </c>
      <c r="AO1217" s="8">
        <f t="shared" si="328"/>
        <v>5.7428699047966081</v>
      </c>
      <c r="AP1217" s="8">
        <f t="shared" si="329"/>
        <v>0.40544043300129595</v>
      </c>
      <c r="AQ1217" s="8"/>
      <c r="AR1217" s="8">
        <f t="shared" si="330"/>
        <v>329.04220783754255</v>
      </c>
      <c r="AS1217" s="8">
        <f t="shared" si="331"/>
        <v>66.76997434506913</v>
      </c>
    </row>
    <row r="1218" spans="1:45">
      <c r="A1218" s="19">
        <v>49.249200000000002</v>
      </c>
      <c r="B1218" s="19">
        <v>1095.1697059999999</v>
      </c>
      <c r="C1218" s="19">
        <v>-879.32688800000005</v>
      </c>
      <c r="E1218" s="9">
        <f t="shared" si="321"/>
        <v>-135.16970599999991</v>
      </c>
      <c r="F1218" s="9">
        <f t="shared" si="322"/>
        <v>-339.32688800000005</v>
      </c>
      <c r="I1218">
        <v>1</v>
      </c>
      <c r="J1218">
        <f t="shared" si="317"/>
        <v>0.23807731032582752</v>
      </c>
      <c r="K1218">
        <f t="shared" si="323"/>
        <v>-1.949876531365506</v>
      </c>
      <c r="O1218">
        <f t="shared" si="324"/>
        <v>-8.7274400498991142E-2</v>
      </c>
      <c r="P1218">
        <f t="shared" si="325"/>
        <v>-0.21909162636921281</v>
      </c>
      <c r="Q1218">
        <f t="shared" si="326"/>
        <v>0.97179320756652487</v>
      </c>
      <c r="R1218">
        <f t="shared" si="316"/>
        <v>1</v>
      </c>
      <c r="AG1218" s="8">
        <f t="shared" si="318"/>
        <v>0.3388135839028969</v>
      </c>
      <c r="AH1218" s="8">
        <f t="shared" si="319"/>
        <v>-0.20344247904544621</v>
      </c>
      <c r="AI1218" s="8">
        <f t="shared" si="320"/>
        <v>0.91859485796662166</v>
      </c>
      <c r="AJ1218" s="8"/>
      <c r="AK1218" s="8"/>
      <c r="AL1218" s="8"/>
      <c r="AN1218" s="8">
        <f t="shared" si="327"/>
        <v>1</v>
      </c>
      <c r="AO1218" s="8">
        <f t="shared" si="328"/>
        <v>5.7424309496600188</v>
      </c>
      <c r="AP1218" s="8">
        <f t="shared" si="329"/>
        <v>0.40628618018488183</v>
      </c>
      <c r="AQ1218" s="8"/>
      <c r="AR1218" s="8">
        <f t="shared" si="330"/>
        <v>329.01705756082038</v>
      </c>
      <c r="AS1218" s="8">
        <f t="shared" si="331"/>
        <v>66.721516600914583</v>
      </c>
    </row>
    <row r="1219" spans="1:45">
      <c r="A1219" s="19">
        <v>49.282566670000001</v>
      </c>
      <c r="B1219" s="19">
        <v>1095.573457</v>
      </c>
      <c r="C1219" s="19">
        <v>-879.81339820000005</v>
      </c>
      <c r="E1219" s="9">
        <f t="shared" si="321"/>
        <v>-135.57345699999996</v>
      </c>
      <c r="F1219" s="9">
        <f t="shared" si="322"/>
        <v>-339.81339820000005</v>
      </c>
      <c r="I1219">
        <v>1</v>
      </c>
      <c r="J1219">
        <f t="shared" si="317"/>
        <v>0.238459180870639</v>
      </c>
      <c r="K1219">
        <f t="shared" si="323"/>
        <v>-1.9504096481188673</v>
      </c>
      <c r="O1219">
        <f t="shared" si="324"/>
        <v>-8.7528698152437412E-2</v>
      </c>
      <c r="P1219">
        <f t="shared" si="325"/>
        <v>-0.21938973171718881</v>
      </c>
      <c r="Q1219">
        <f t="shared" si="326"/>
        <v>0.97170307842303316</v>
      </c>
      <c r="R1219">
        <f t="shared" si="316"/>
        <v>1</v>
      </c>
      <c r="AG1219" s="8">
        <f t="shared" si="318"/>
        <v>0.33916034001834161</v>
      </c>
      <c r="AH1219" s="8">
        <f t="shared" si="319"/>
        <v>-0.20357229286732653</v>
      </c>
      <c r="AI1219" s="8">
        <f t="shared" si="320"/>
        <v>0.91843812275807801</v>
      </c>
      <c r="AJ1219" s="8"/>
      <c r="AK1219" s="8"/>
      <c r="AL1219" s="8"/>
      <c r="AN1219" s="8">
        <f t="shared" si="327"/>
        <v>1</v>
      </c>
      <c r="AO1219" s="8">
        <f t="shared" si="328"/>
        <v>5.7426008638291277</v>
      </c>
      <c r="AP1219" s="8">
        <f t="shared" si="329"/>
        <v>0.40668259418447805</v>
      </c>
      <c r="AQ1219" s="8"/>
      <c r="AR1219" s="8">
        <f t="shared" si="330"/>
        <v>329.0267929255898</v>
      </c>
      <c r="AS1219" s="8">
        <f t="shared" si="331"/>
        <v>66.698803751797811</v>
      </c>
    </row>
    <row r="1220" spans="1:45">
      <c r="A1220" s="19">
        <v>49.31593333</v>
      </c>
      <c r="B1220" s="19">
        <v>1096.003483</v>
      </c>
      <c r="C1220" s="19">
        <v>-880.67669579999995</v>
      </c>
      <c r="E1220" s="9">
        <f t="shared" si="321"/>
        <v>-136.00348299999996</v>
      </c>
      <c r="F1220" s="9">
        <f t="shared" si="322"/>
        <v>-340.67669579999995</v>
      </c>
      <c r="I1220">
        <v>1</v>
      </c>
      <c r="J1220">
        <f t="shared" si="317"/>
        <v>0.23906934239350827</v>
      </c>
      <c r="K1220">
        <f t="shared" si="323"/>
        <v>-1.9506263938645092</v>
      </c>
      <c r="O1220">
        <f t="shared" si="324"/>
        <v>-8.7796055202362888E-2</v>
      </c>
      <c r="P1220">
        <f t="shared" si="325"/>
        <v>-0.21992135297458079</v>
      </c>
      <c r="Q1220">
        <f t="shared" si="326"/>
        <v>0.97155877392813117</v>
      </c>
      <c r="R1220">
        <f t="shared" si="316"/>
        <v>1</v>
      </c>
      <c r="AG1220" s="8">
        <f t="shared" si="318"/>
        <v>0.3397273019624365</v>
      </c>
      <c r="AH1220" s="8">
        <f t="shared" si="319"/>
        <v>-0.20363323747220469</v>
      </c>
      <c r="AI1220" s="8">
        <f t="shared" si="320"/>
        <v>0.91821504284013566</v>
      </c>
      <c r="AJ1220" s="8"/>
      <c r="AK1220" s="8"/>
      <c r="AL1220" s="8"/>
      <c r="AN1220" s="8">
        <f t="shared" si="327"/>
        <v>1</v>
      </c>
      <c r="AO1220" s="8">
        <f t="shared" si="328"/>
        <v>5.7432056001675029</v>
      </c>
      <c r="AP1220" s="8">
        <f t="shared" si="329"/>
        <v>0.4072461785525654</v>
      </c>
      <c r="AQ1220" s="8"/>
      <c r="AR1220" s="8">
        <f t="shared" si="330"/>
        <v>329.06144176549691</v>
      </c>
      <c r="AS1220" s="8">
        <f t="shared" si="331"/>
        <v>66.666512746106861</v>
      </c>
    </row>
    <row r="1221" spans="1:45">
      <c r="A1221" s="19">
        <v>49.349299999999999</v>
      </c>
      <c r="B1221" s="19">
        <v>1096.021835</v>
      </c>
      <c r="C1221" s="19">
        <v>-881.32261530000005</v>
      </c>
      <c r="E1221" s="9">
        <f t="shared" si="321"/>
        <v>-136.02183500000001</v>
      </c>
      <c r="F1221" s="9">
        <f t="shared" si="322"/>
        <v>-341.32261530000005</v>
      </c>
      <c r="I1221">
        <v>1</v>
      </c>
      <c r="J1221">
        <f t="shared" si="317"/>
        <v>0.23945442274255485</v>
      </c>
      <c r="K1221">
        <f t="shared" si="323"/>
        <v>-1.9500209989244395</v>
      </c>
      <c r="O1221">
        <f t="shared" si="324"/>
        <v>-8.7801395727592393E-2</v>
      </c>
      <c r="P1221">
        <f t="shared" si="325"/>
        <v>-0.22032199474982897</v>
      </c>
      <c r="Q1221">
        <f t="shared" si="326"/>
        <v>0.97146751543103238</v>
      </c>
      <c r="R1221">
        <f t="shared" si="316"/>
        <v>1</v>
      </c>
      <c r="AG1221" s="8">
        <f t="shared" si="318"/>
        <v>0.34010041345084985</v>
      </c>
      <c r="AH1221" s="8">
        <f t="shared" si="319"/>
        <v>-0.20349947792296622</v>
      </c>
      <c r="AI1221" s="8">
        <f t="shared" si="320"/>
        <v>0.91810656857232054</v>
      </c>
      <c r="AJ1221" s="8"/>
      <c r="AK1221" s="8"/>
      <c r="AL1221" s="8"/>
      <c r="AN1221" s="8">
        <f t="shared" si="327"/>
        <v>1</v>
      </c>
      <c r="AO1221" s="8">
        <f t="shared" si="328"/>
        <v>5.7439790690267367</v>
      </c>
      <c r="AP1221" s="8">
        <f t="shared" si="329"/>
        <v>0.40751995972041644</v>
      </c>
      <c r="AQ1221" s="8"/>
      <c r="AR1221" s="8">
        <f t="shared" si="330"/>
        <v>329.10575826671578</v>
      </c>
      <c r="AS1221" s="8">
        <f t="shared" si="331"/>
        <v>66.650826240678839</v>
      </c>
    </row>
    <row r="1222" spans="1:45">
      <c r="A1222" s="19">
        <v>49.382666669999999</v>
      </c>
      <c r="B1222" s="19">
        <v>1096.8905130000001</v>
      </c>
      <c r="C1222" s="19">
        <v>-881.97898420000001</v>
      </c>
      <c r="E1222" s="9">
        <f t="shared" si="321"/>
        <v>-136.89051300000006</v>
      </c>
      <c r="F1222" s="9">
        <f t="shared" si="322"/>
        <v>-341.97898420000001</v>
      </c>
      <c r="I1222">
        <v>1</v>
      </c>
      <c r="J1222">
        <f t="shared" si="317"/>
        <v>0.240045638064939</v>
      </c>
      <c r="K1222">
        <f t="shared" si="323"/>
        <v>-1.9515520372676316</v>
      </c>
      <c r="O1222">
        <f t="shared" si="324"/>
        <v>-8.8352038577226108E-2</v>
      </c>
      <c r="P1222">
        <f t="shared" si="325"/>
        <v>-0.22072048487859053</v>
      </c>
      <c r="Q1222">
        <f t="shared" si="326"/>
        <v>0.97132712555256495</v>
      </c>
      <c r="R1222">
        <f t="shared" si="316"/>
        <v>1</v>
      </c>
      <c r="AG1222" s="8">
        <f t="shared" si="318"/>
        <v>0.34062200220138317</v>
      </c>
      <c r="AH1222" s="8">
        <f t="shared" si="319"/>
        <v>-0.2038658221213599</v>
      </c>
      <c r="AI1222" s="8">
        <f t="shared" si="320"/>
        <v>0.91783188993796838</v>
      </c>
      <c r="AJ1222" s="8"/>
      <c r="AK1222" s="8"/>
      <c r="AL1222" s="8"/>
      <c r="AN1222" s="8">
        <f t="shared" si="327"/>
        <v>0.99999999999999989</v>
      </c>
      <c r="AO1222" s="8">
        <f t="shared" si="328"/>
        <v>5.7438617963618306</v>
      </c>
      <c r="AP1222" s="8">
        <f t="shared" si="329"/>
        <v>0.40821245339993006</v>
      </c>
      <c r="AQ1222" s="8"/>
      <c r="AR1222" s="8">
        <f t="shared" si="330"/>
        <v>329.09903903796442</v>
      </c>
      <c r="AS1222" s="8">
        <f t="shared" si="331"/>
        <v>66.611149275503209</v>
      </c>
    </row>
    <row r="1223" spans="1:45">
      <c r="A1223" s="19">
        <v>49.416033329999998</v>
      </c>
      <c r="B1223" s="19">
        <v>1097.4569509999999</v>
      </c>
      <c r="C1223" s="19">
        <v>-882.67598009999995</v>
      </c>
      <c r="E1223" s="9">
        <f t="shared" si="321"/>
        <v>-137.45695099999989</v>
      </c>
      <c r="F1223" s="9">
        <f t="shared" si="322"/>
        <v>-342.67598009999995</v>
      </c>
      <c r="I1223">
        <v>1</v>
      </c>
      <c r="J1223">
        <f t="shared" si="317"/>
        <v>0.24058971625411205</v>
      </c>
      <c r="K1223">
        <f t="shared" si="323"/>
        <v>-1.9522747907229872</v>
      </c>
      <c r="O1223">
        <f t="shared" si="324"/>
        <v>-8.8708277525989004E-2</v>
      </c>
      <c r="P1223">
        <f t="shared" si="325"/>
        <v>-0.22114702620023283</v>
      </c>
      <c r="Q1223">
        <f t="shared" si="326"/>
        <v>0.97119762885890826</v>
      </c>
      <c r="R1223">
        <f t="shared" si="316"/>
        <v>1</v>
      </c>
      <c r="AG1223" s="8">
        <f t="shared" si="318"/>
        <v>0.34111591899378957</v>
      </c>
      <c r="AH1223" s="8">
        <f t="shared" si="319"/>
        <v>-0.20404434843815158</v>
      </c>
      <c r="AI1223" s="8">
        <f t="shared" si="320"/>
        <v>0.91760875850194057</v>
      </c>
      <c r="AJ1223" s="8"/>
      <c r="AK1223" s="8"/>
      <c r="AL1223" s="8"/>
      <c r="AN1223" s="8">
        <f t="shared" si="327"/>
        <v>1</v>
      </c>
      <c r="AO1223" s="8">
        <f t="shared" si="328"/>
        <v>5.7441145560337823</v>
      </c>
      <c r="AP1223" s="8">
        <f t="shared" si="329"/>
        <v>0.4087741760502559</v>
      </c>
      <c r="AQ1223" s="8"/>
      <c r="AR1223" s="8">
        <f t="shared" si="330"/>
        <v>329.11352110039837</v>
      </c>
      <c r="AS1223" s="8">
        <f t="shared" si="331"/>
        <v>66.57896493838264</v>
      </c>
    </row>
    <row r="1224" spans="1:45">
      <c r="A1224" s="19">
        <v>49.449399999999997</v>
      </c>
      <c r="B1224" s="19">
        <v>1097.627254</v>
      </c>
      <c r="C1224" s="19">
        <v>-883.71116730000006</v>
      </c>
      <c r="E1224" s="9">
        <f t="shared" si="321"/>
        <v>-137.62725399999999</v>
      </c>
      <c r="F1224" s="9">
        <f t="shared" si="322"/>
        <v>-343.71116730000006</v>
      </c>
      <c r="I1224">
        <v>1</v>
      </c>
      <c r="J1224">
        <f t="shared" si="317"/>
        <v>0.24123928861948601</v>
      </c>
      <c r="K1224">
        <f t="shared" si="323"/>
        <v>-1.9516607797751373</v>
      </c>
      <c r="O1224">
        <f t="shared" si="324"/>
        <v>-8.880696182818873E-2</v>
      </c>
      <c r="P1224">
        <f t="shared" si="325"/>
        <v>-0.22178706344263255</v>
      </c>
      <c r="Q1224">
        <f t="shared" si="326"/>
        <v>0.97104264685972486</v>
      </c>
      <c r="R1224">
        <f t="shared" si="316"/>
        <v>1</v>
      </c>
      <c r="AG1224" s="8">
        <f t="shared" si="318"/>
        <v>0.34173674560910794</v>
      </c>
      <c r="AH1224" s="8">
        <f t="shared" si="319"/>
        <v>-0.20391302877870898</v>
      </c>
      <c r="AI1224" s="8">
        <f t="shared" si="320"/>
        <v>0.91740692900958032</v>
      </c>
      <c r="AJ1224" s="8"/>
      <c r="AK1224" s="8"/>
      <c r="AL1224" s="8"/>
      <c r="AN1224" s="8">
        <f t="shared" si="327"/>
        <v>0.99999999999999989</v>
      </c>
      <c r="AO1224" s="8">
        <f t="shared" si="328"/>
        <v>5.7451985884529941</v>
      </c>
      <c r="AP1224" s="8">
        <f t="shared" si="329"/>
        <v>0.40928164538570555</v>
      </c>
      <c r="AQ1224" s="8"/>
      <c r="AR1224" s="8">
        <f t="shared" si="330"/>
        <v>329.17563158287453</v>
      </c>
      <c r="AS1224" s="8">
        <f t="shared" si="331"/>
        <v>66.549889087229076</v>
      </c>
    </row>
    <row r="1225" spans="1:45">
      <c r="A1225" s="19">
        <v>49.482766669999997</v>
      </c>
      <c r="B1225" s="19">
        <v>1097.823488</v>
      </c>
      <c r="C1225" s="19">
        <v>-884.10112779999997</v>
      </c>
      <c r="E1225" s="9">
        <f t="shared" si="321"/>
        <v>-137.823488</v>
      </c>
      <c r="F1225" s="9">
        <f t="shared" si="322"/>
        <v>-344.10112779999997</v>
      </c>
      <c r="I1225">
        <v>1</v>
      </c>
      <c r="J1225">
        <f t="shared" si="317"/>
        <v>0.24151508477769346</v>
      </c>
      <c r="K1225">
        <f t="shared" si="323"/>
        <v>-1.9517611780384472</v>
      </c>
      <c r="O1225">
        <f t="shared" si="324"/>
        <v>-8.8928801102925642E-2</v>
      </c>
      <c r="P1225">
        <f t="shared" si="325"/>
        <v>-0.2220267473815393</v>
      </c>
      <c r="Q1225">
        <f t="shared" si="326"/>
        <v>0.97097672051474559</v>
      </c>
      <c r="R1225">
        <f t="shared" si="316"/>
        <v>1</v>
      </c>
      <c r="AG1225" s="8">
        <f t="shared" si="318"/>
        <v>0.34199264082812414</v>
      </c>
      <c r="AH1225" s="8">
        <f t="shared" si="319"/>
        <v>-0.20394155170504757</v>
      </c>
      <c r="AI1225" s="8">
        <f t="shared" si="320"/>
        <v>0.91730522570600403</v>
      </c>
      <c r="AJ1225" s="8"/>
      <c r="AK1225" s="8"/>
      <c r="AL1225" s="8"/>
      <c r="AN1225" s="8">
        <f t="shared" si="327"/>
        <v>0.99999999999999989</v>
      </c>
      <c r="AO1225" s="8">
        <f t="shared" si="328"/>
        <v>5.7454663760808184</v>
      </c>
      <c r="AP1225" s="8">
        <f t="shared" si="329"/>
        <v>0.40953713793027657</v>
      </c>
      <c r="AQ1225" s="8"/>
      <c r="AR1225" s="8">
        <f t="shared" si="330"/>
        <v>329.19097468375469</v>
      </c>
      <c r="AS1225" s="8">
        <f t="shared" si="331"/>
        <v>66.535250442728085</v>
      </c>
    </row>
    <row r="1226" spans="1:45">
      <c r="A1226" s="19">
        <v>49.516133330000002</v>
      </c>
      <c r="B1226" s="19">
        <v>1098.208926</v>
      </c>
      <c r="C1226" s="19">
        <v>-884.82454159999998</v>
      </c>
      <c r="E1226" s="9">
        <f t="shared" si="321"/>
        <v>-138.20892600000002</v>
      </c>
      <c r="F1226" s="9">
        <f t="shared" si="322"/>
        <v>-344.82454159999998</v>
      </c>
      <c r="I1226">
        <v>1</v>
      </c>
      <c r="J1226">
        <f t="shared" si="317"/>
        <v>0.24203167780155591</v>
      </c>
      <c r="K1226">
        <f t="shared" si="323"/>
        <v>-1.9520002886508725</v>
      </c>
      <c r="O1226">
        <f t="shared" si="324"/>
        <v>-8.9168489955681454E-2</v>
      </c>
      <c r="P1226">
        <f t="shared" si="325"/>
        <v>-0.22247104122733763</v>
      </c>
      <c r="Q1226">
        <f t="shared" si="326"/>
        <v>0.97085303533245848</v>
      </c>
      <c r="R1226">
        <f t="shared" si="316"/>
        <v>1</v>
      </c>
      <c r="AG1226" s="8">
        <f t="shared" si="318"/>
        <v>0.34247078004124326</v>
      </c>
      <c r="AH1226" s="8">
        <f t="shared" si="319"/>
        <v>-0.20400705454295362</v>
      </c>
      <c r="AI1226" s="8">
        <f t="shared" si="320"/>
        <v>0.91711225404235586</v>
      </c>
      <c r="AJ1226" s="8"/>
      <c r="AK1226" s="8"/>
      <c r="AL1226" s="8"/>
      <c r="AN1226" s="8">
        <f t="shared" si="327"/>
        <v>1</v>
      </c>
      <c r="AO1226" s="8">
        <f t="shared" si="328"/>
        <v>5.7459395815525056</v>
      </c>
      <c r="AP1226" s="8">
        <f t="shared" si="329"/>
        <v>0.41002149614109573</v>
      </c>
      <c r="AQ1226" s="8"/>
      <c r="AR1226" s="8">
        <f t="shared" si="330"/>
        <v>329.21808736012485</v>
      </c>
      <c r="AS1226" s="8">
        <f t="shared" si="331"/>
        <v>66.507498761475645</v>
      </c>
    </row>
    <row r="1227" spans="1:45">
      <c r="A1227" s="19">
        <v>49.549500000000002</v>
      </c>
      <c r="B1227" s="19">
        <v>1099.2177380000001</v>
      </c>
      <c r="C1227" s="19">
        <v>-885.64341590000004</v>
      </c>
      <c r="E1227" s="9">
        <f t="shared" si="321"/>
        <v>-139.21773800000005</v>
      </c>
      <c r="F1227" s="9">
        <f t="shared" si="322"/>
        <v>-345.64341590000004</v>
      </c>
      <c r="I1227">
        <v>1</v>
      </c>
      <c r="J1227">
        <f t="shared" si="317"/>
        <v>0.24275161984332719</v>
      </c>
      <c r="K1227">
        <f t="shared" si="323"/>
        <v>-1.9536956687587197</v>
      </c>
      <c r="O1227">
        <f t="shared" si="324"/>
        <v>-8.9806650036556274E-2</v>
      </c>
      <c r="P1227">
        <f t="shared" si="325"/>
        <v>-0.2229678325126298</v>
      </c>
      <c r="Q1227">
        <f t="shared" si="326"/>
        <v>0.97068023121614633</v>
      </c>
      <c r="R1227">
        <f t="shared" si="316"/>
        <v>1</v>
      </c>
      <c r="AG1227" s="8">
        <f t="shared" si="318"/>
        <v>0.34310746743691134</v>
      </c>
      <c r="AH1227" s="8">
        <f t="shared" si="319"/>
        <v>-0.20441910137533456</v>
      </c>
      <c r="AI1227" s="8">
        <f t="shared" si="320"/>
        <v>0.91678246971783295</v>
      </c>
      <c r="AJ1227" s="8"/>
      <c r="AK1227" s="8"/>
      <c r="AL1227" s="8"/>
      <c r="AN1227" s="8">
        <f t="shared" si="327"/>
        <v>0.99999999999999978</v>
      </c>
      <c r="AO1227" s="8">
        <f t="shared" si="328"/>
        <v>5.7458690741988132</v>
      </c>
      <c r="AP1227" s="8">
        <f t="shared" si="329"/>
        <v>0.4108480067016389</v>
      </c>
      <c r="AQ1227" s="8"/>
      <c r="AR1227" s="8">
        <f t="shared" si="330"/>
        <v>329.21404758633366</v>
      </c>
      <c r="AS1227" s="8">
        <f t="shared" si="331"/>
        <v>66.460143194633531</v>
      </c>
    </row>
    <row r="1228" spans="1:45">
      <c r="A1228" s="19">
        <v>49.582866670000001</v>
      </c>
      <c r="B1228" s="19">
        <v>1099.7719770000001</v>
      </c>
      <c r="C1228" s="19">
        <v>-886.7332596</v>
      </c>
      <c r="E1228" s="9">
        <f t="shared" si="321"/>
        <v>-139.77197700000011</v>
      </c>
      <c r="F1228" s="9">
        <f t="shared" si="322"/>
        <v>-346.7332596</v>
      </c>
      <c r="I1228">
        <v>1</v>
      </c>
      <c r="J1228">
        <f t="shared" si="317"/>
        <v>0.2435233159262675</v>
      </c>
      <c r="K1228">
        <f t="shared" si="323"/>
        <v>-1.9539816853459921</v>
      </c>
      <c r="O1228">
        <f t="shared" si="324"/>
        <v>-9.0150451951943072E-2</v>
      </c>
      <c r="P1228">
        <f t="shared" si="325"/>
        <v>-0.22363681712615682</v>
      </c>
      <c r="Q1228">
        <f t="shared" si="326"/>
        <v>0.97049444616573788</v>
      </c>
      <c r="R1228">
        <f t="shared" si="316"/>
        <v>1</v>
      </c>
      <c r="AG1228" s="8">
        <f t="shared" si="318"/>
        <v>0.34382257447030068</v>
      </c>
      <c r="AH1228" s="8">
        <f t="shared" si="319"/>
        <v>-0.20450185391459963</v>
      </c>
      <c r="AI1228" s="8">
        <f t="shared" si="320"/>
        <v>0.91649606056442279</v>
      </c>
      <c r="AJ1228" s="8"/>
      <c r="AK1228" s="8"/>
      <c r="AL1228" s="8"/>
      <c r="AN1228" s="8">
        <f t="shared" si="327"/>
        <v>0.99999999999999989</v>
      </c>
      <c r="AO1228" s="8">
        <f t="shared" si="328"/>
        <v>5.7466063020637037</v>
      </c>
      <c r="AP1228" s="8">
        <f t="shared" si="329"/>
        <v>0.41156453952841132</v>
      </c>
      <c r="AQ1228" s="8"/>
      <c r="AR1228" s="8">
        <f t="shared" si="330"/>
        <v>329.25628763153134</v>
      </c>
      <c r="AS1228" s="8">
        <f t="shared" si="331"/>
        <v>66.419088887776894</v>
      </c>
    </row>
    <row r="1229" spans="1:45">
      <c r="A1229" s="19">
        <v>49.61623333</v>
      </c>
      <c r="B1229" s="19">
        <v>1099.9612079999999</v>
      </c>
      <c r="C1229" s="19">
        <v>-887.10489870000004</v>
      </c>
      <c r="E1229" s="9">
        <f t="shared" si="321"/>
        <v>-139.96120799999994</v>
      </c>
      <c r="F1229" s="9">
        <f t="shared" si="322"/>
        <v>-347.10489870000004</v>
      </c>
      <c r="I1229">
        <v>1</v>
      </c>
      <c r="J1229">
        <f t="shared" si="317"/>
        <v>0.24378646519738917</v>
      </c>
      <c r="K1229">
        <f t="shared" si="323"/>
        <v>-1.9540793725416361</v>
      </c>
      <c r="O1229">
        <f t="shared" si="324"/>
        <v>-9.0267800459310946E-2</v>
      </c>
      <c r="P1229">
        <f t="shared" si="325"/>
        <v>-0.22386485642722503</v>
      </c>
      <c r="Q1229">
        <f t="shared" si="326"/>
        <v>0.97043096109772586</v>
      </c>
      <c r="R1229">
        <f t="shared" si="316"/>
        <v>1</v>
      </c>
      <c r="AG1229" s="8">
        <f t="shared" si="318"/>
        <v>0.34406636324531553</v>
      </c>
      <c r="AH1229" s="8">
        <f t="shared" si="319"/>
        <v>-0.20453017700616932</v>
      </c>
      <c r="AI1229" s="8">
        <f t="shared" si="320"/>
        <v>0.91639824551172488</v>
      </c>
      <c r="AJ1229" s="8"/>
      <c r="AK1229" s="8"/>
      <c r="AL1229" s="8"/>
      <c r="AN1229" s="8">
        <f t="shared" si="327"/>
        <v>1</v>
      </c>
      <c r="AO1229" s="8">
        <f t="shared" si="328"/>
        <v>5.7468568390927963</v>
      </c>
      <c r="AP1229" s="8">
        <f t="shared" si="329"/>
        <v>0.41180898199710247</v>
      </c>
      <c r="AQ1229" s="8"/>
      <c r="AR1229" s="8">
        <f t="shared" si="330"/>
        <v>329.27064234591006</v>
      </c>
      <c r="AS1229" s="8">
        <f t="shared" si="331"/>
        <v>66.405083365987124</v>
      </c>
    </row>
    <row r="1230" spans="1:45">
      <c r="A1230" s="19">
        <v>49.6496</v>
      </c>
      <c r="B1230" s="19">
        <v>1100.589111</v>
      </c>
      <c r="C1230" s="19">
        <v>-887.86603339999999</v>
      </c>
      <c r="E1230" s="9">
        <f t="shared" si="321"/>
        <v>-140.589111</v>
      </c>
      <c r="F1230" s="9">
        <f t="shared" si="322"/>
        <v>-347.86603339999999</v>
      </c>
      <c r="I1230">
        <v>1</v>
      </c>
      <c r="J1230">
        <f t="shared" si="317"/>
        <v>0.24438230419829116</v>
      </c>
      <c r="K1230">
        <f t="shared" si="323"/>
        <v>-1.9548728239780919</v>
      </c>
      <c r="O1230">
        <f t="shared" si="324"/>
        <v>-9.0662042892524441E-2</v>
      </c>
      <c r="P1230">
        <f t="shared" si="325"/>
        <v>-0.22432921736707734</v>
      </c>
      <c r="Q1230">
        <f t="shared" si="326"/>
        <v>0.97028696590958519</v>
      </c>
      <c r="R1230">
        <f t="shared" si="316"/>
        <v>1</v>
      </c>
      <c r="AG1230" s="8">
        <f t="shared" si="318"/>
        <v>0.34460558086819443</v>
      </c>
      <c r="AH1230" s="8">
        <f t="shared" si="319"/>
        <v>-0.2047299380151742</v>
      </c>
      <c r="AI1230" s="8">
        <f t="shared" si="320"/>
        <v>0.91615099525940435</v>
      </c>
      <c r="AJ1230" s="8"/>
      <c r="AK1230" s="8"/>
      <c r="AL1230" s="8"/>
      <c r="AN1230" s="8">
        <f t="shared" si="327"/>
        <v>1</v>
      </c>
      <c r="AO1230" s="8">
        <f t="shared" si="328"/>
        <v>5.7471158459827318</v>
      </c>
      <c r="AP1230" s="8">
        <f t="shared" si="329"/>
        <v>0.412426258040264</v>
      </c>
      <c r="AQ1230" s="8"/>
      <c r="AR1230" s="8">
        <f t="shared" si="330"/>
        <v>329.28548234756818</v>
      </c>
      <c r="AS1230" s="8">
        <f t="shared" si="331"/>
        <v>66.369716053919433</v>
      </c>
    </row>
    <row r="1231" spans="1:45">
      <c r="A1231" s="19">
        <v>49.682966669999999</v>
      </c>
      <c r="B1231" s="19">
        <v>1101.1075519999999</v>
      </c>
      <c r="C1231" s="19">
        <v>-888.83604600000001</v>
      </c>
      <c r="E1231" s="9">
        <f t="shared" si="321"/>
        <v>-141.10755199999994</v>
      </c>
      <c r="F1231" s="9">
        <f t="shared" si="322"/>
        <v>-348.83604600000001</v>
      </c>
      <c r="I1231">
        <v>1</v>
      </c>
      <c r="J1231">
        <f t="shared" si="317"/>
        <v>0.24507469971689683</v>
      </c>
      <c r="K1231">
        <f t="shared" si="323"/>
        <v>-1.9551842902713497</v>
      </c>
      <c r="O1231">
        <f t="shared" si="324"/>
        <v>-9.098381560711867E-2</v>
      </c>
      <c r="P1231">
        <f t="shared" si="325"/>
        <v>-0.22492371270377085</v>
      </c>
      <c r="Q1231">
        <f t="shared" si="326"/>
        <v>0.97011920337715274</v>
      </c>
      <c r="R1231">
        <f t="shared" si="316"/>
        <v>1</v>
      </c>
      <c r="AG1231" s="8">
        <f t="shared" si="318"/>
        <v>0.3452454193191149</v>
      </c>
      <c r="AH1231" s="8">
        <f t="shared" si="319"/>
        <v>-0.20481812955845174</v>
      </c>
      <c r="AI1231" s="8">
        <f t="shared" si="320"/>
        <v>0.91589035055695711</v>
      </c>
      <c r="AJ1231" s="8"/>
      <c r="AK1231" s="8"/>
      <c r="AL1231" s="8"/>
      <c r="AN1231" s="8">
        <f t="shared" si="327"/>
        <v>1</v>
      </c>
      <c r="AO1231" s="8">
        <f t="shared" si="328"/>
        <v>5.7477410733641801</v>
      </c>
      <c r="AP1231" s="8">
        <f t="shared" si="329"/>
        <v>0.41307603265299142</v>
      </c>
      <c r="AQ1231" s="8"/>
      <c r="AR1231" s="8">
        <f t="shared" si="330"/>
        <v>329.32130523776118</v>
      </c>
      <c r="AS1231" s="8">
        <f t="shared" si="331"/>
        <v>66.332486710975417</v>
      </c>
    </row>
    <row r="1232" spans="1:45">
      <c r="A1232" s="19">
        <v>49.716333329999998</v>
      </c>
      <c r="B1232" s="19">
        <v>1101.06377</v>
      </c>
      <c r="C1232" s="19">
        <v>-889.28682549999996</v>
      </c>
      <c r="E1232" s="9">
        <f t="shared" si="321"/>
        <v>-141.06376999999998</v>
      </c>
      <c r="F1232" s="9">
        <f t="shared" si="322"/>
        <v>-349.28682549999996</v>
      </c>
      <c r="I1232">
        <v>1</v>
      </c>
      <c r="J1232">
        <f t="shared" si="317"/>
        <v>0.24532886019456904</v>
      </c>
      <c r="K1232">
        <f t="shared" si="323"/>
        <v>-1.954627805751125</v>
      </c>
      <c r="O1232">
        <f t="shared" si="324"/>
        <v>-9.0950965035022688E-2</v>
      </c>
      <c r="P1232">
        <f t="shared" si="325"/>
        <v>-0.22520292668517636</v>
      </c>
      <c r="Q1232">
        <f t="shared" si="326"/>
        <v>0.97005750539420554</v>
      </c>
      <c r="R1232">
        <f t="shared" si="316"/>
        <v>1</v>
      </c>
      <c r="AG1232" s="8">
        <f t="shared" si="318"/>
        <v>0.34549520052117855</v>
      </c>
      <c r="AH1232" s="8">
        <f t="shared" si="319"/>
        <v>-0.20469114293855539</v>
      </c>
      <c r="AI1232" s="8">
        <f t="shared" si="320"/>
        <v>0.91582454783617728</v>
      </c>
      <c r="AJ1232" s="8"/>
      <c r="AK1232" s="8"/>
      <c r="AL1232" s="8"/>
      <c r="AN1232" s="8">
        <f t="shared" si="327"/>
        <v>1</v>
      </c>
      <c r="AO1232" s="8">
        <f t="shared" si="328"/>
        <v>5.7483303925663289</v>
      </c>
      <c r="AP1232" s="8">
        <f t="shared" si="329"/>
        <v>0.41323992339680649</v>
      </c>
      <c r="AQ1232" s="8"/>
      <c r="AR1232" s="8">
        <f t="shared" si="330"/>
        <v>329.35507074083034</v>
      </c>
      <c r="AS1232" s="8">
        <f t="shared" si="331"/>
        <v>66.323096463053545</v>
      </c>
    </row>
    <row r="1233" spans="1:45">
      <c r="A1233" s="19">
        <v>49.749699999999997</v>
      </c>
      <c r="B1233" s="19">
        <v>1102.0371700000001</v>
      </c>
      <c r="C1233" s="19">
        <v>-889.96088199999997</v>
      </c>
      <c r="E1233" s="9">
        <f t="shared" si="321"/>
        <v>-142.03717000000006</v>
      </c>
      <c r="F1233" s="9">
        <f t="shared" si="322"/>
        <v>-349.96088199999997</v>
      </c>
      <c r="I1233">
        <v>1</v>
      </c>
      <c r="J1233">
        <f t="shared" si="317"/>
        <v>0.24595544613998935</v>
      </c>
      <c r="K1233">
        <f t="shared" si="323"/>
        <v>-1.9563492185369884</v>
      </c>
      <c r="O1233">
        <f t="shared" si="324"/>
        <v>-9.1567064772696424E-2</v>
      </c>
      <c r="P1233">
        <f t="shared" si="325"/>
        <v>-0.22560918912988745</v>
      </c>
      <c r="Q1233">
        <f t="shared" si="326"/>
        <v>0.96990513269549594</v>
      </c>
      <c r="R1233">
        <f t="shared" si="316"/>
        <v>1</v>
      </c>
      <c r="AG1233" s="8">
        <f t="shared" si="318"/>
        <v>0.34604159932879253</v>
      </c>
      <c r="AH1233" s="8">
        <f t="shared" si="319"/>
        <v>-0.20511391326525638</v>
      </c>
      <c r="AI1233" s="8">
        <f t="shared" si="320"/>
        <v>0.91552361745559807</v>
      </c>
      <c r="AJ1233" s="8"/>
      <c r="AK1233" s="8"/>
      <c r="AL1233" s="8"/>
      <c r="AN1233" s="8">
        <f t="shared" si="327"/>
        <v>1</v>
      </c>
      <c r="AO1233" s="8">
        <f t="shared" si="328"/>
        <v>5.7481185442885723</v>
      </c>
      <c r="AP1233" s="8">
        <f t="shared" si="329"/>
        <v>0.41398865273944896</v>
      </c>
      <c r="AQ1233" s="8"/>
      <c r="AR1233" s="8">
        <f t="shared" si="330"/>
        <v>329.34293272861777</v>
      </c>
      <c r="AS1233" s="8">
        <f t="shared" si="331"/>
        <v>66.280197431722527</v>
      </c>
    </row>
    <row r="1234" spans="1:45">
      <c r="A1234" s="19">
        <v>49.783066669999997</v>
      </c>
      <c r="B1234" s="19">
        <v>1102.2152510000001</v>
      </c>
      <c r="C1234" s="19">
        <v>-890.79817679999996</v>
      </c>
      <c r="E1234" s="9">
        <f t="shared" si="321"/>
        <v>-142.21525100000008</v>
      </c>
      <c r="F1234" s="9">
        <f t="shared" si="322"/>
        <v>-350.79817679999996</v>
      </c>
      <c r="I1234">
        <v>1</v>
      </c>
      <c r="J1234">
        <f t="shared" si="317"/>
        <v>0.24648870105451881</v>
      </c>
      <c r="K1234">
        <f t="shared" si="323"/>
        <v>-1.9559532796526395</v>
      </c>
      <c r="O1234">
        <f t="shared" si="324"/>
        <v>-9.1672034057597551E-2</v>
      </c>
      <c r="P1234">
        <f t="shared" si="325"/>
        <v>-0.22612471014766705</v>
      </c>
      <c r="Q1234">
        <f t="shared" si="326"/>
        <v>0.96977515622559451</v>
      </c>
      <c r="R1234">
        <f t="shared" si="316"/>
        <v>1</v>
      </c>
      <c r="AG1234" s="8">
        <f t="shared" si="318"/>
        <v>0.34654837292139484</v>
      </c>
      <c r="AH1234" s="8">
        <f t="shared" si="319"/>
        <v>-0.20503093032314285</v>
      </c>
      <c r="AI1234" s="8">
        <f t="shared" si="320"/>
        <v>0.91535050272360718</v>
      </c>
      <c r="AJ1234" s="8"/>
      <c r="AK1234" s="8"/>
      <c r="AL1234" s="8"/>
      <c r="AN1234" s="8">
        <f t="shared" si="327"/>
        <v>1</v>
      </c>
      <c r="AO1234" s="8">
        <f t="shared" si="328"/>
        <v>5.7489375716581383</v>
      </c>
      <c r="AP1234" s="8">
        <f t="shared" si="329"/>
        <v>0.41441879300952977</v>
      </c>
      <c r="AQ1234" s="8"/>
      <c r="AR1234" s="8">
        <f t="shared" si="330"/>
        <v>329.38985954019961</v>
      </c>
      <c r="AS1234" s="8">
        <f t="shared" si="331"/>
        <v>66.255552209648272</v>
      </c>
    </row>
    <row r="1235" spans="1:45">
      <c r="A1235" s="19">
        <v>49.816433330000002</v>
      </c>
      <c r="B1235" s="19">
        <v>1102.6876219999999</v>
      </c>
      <c r="C1235" s="19">
        <v>-891.62622550000003</v>
      </c>
      <c r="E1235" s="9">
        <f t="shared" si="321"/>
        <v>-142.68762199999992</v>
      </c>
      <c r="F1235" s="9">
        <f t="shared" si="322"/>
        <v>-351.62622550000003</v>
      </c>
      <c r="I1235">
        <v>1</v>
      </c>
      <c r="J1235">
        <f t="shared" si="317"/>
        <v>0.24708636818296592</v>
      </c>
      <c r="K1235">
        <f t="shared" si="323"/>
        <v>-1.9562870654886839</v>
      </c>
      <c r="O1235">
        <f t="shared" si="324"/>
        <v>-9.1965428463840773E-2</v>
      </c>
      <c r="P1235">
        <f t="shared" si="325"/>
        <v>-0.22663112633014948</v>
      </c>
      <c r="Q1235">
        <f t="shared" si="326"/>
        <v>0.9696291520709297</v>
      </c>
      <c r="R1235">
        <f t="shared" si="316"/>
        <v>1</v>
      </c>
      <c r="AG1235" s="8">
        <f t="shared" si="318"/>
        <v>0.34709859330265158</v>
      </c>
      <c r="AH1235" s="8">
        <f t="shared" si="319"/>
        <v>-0.20512346506078358</v>
      </c>
      <c r="AI1235" s="8">
        <f t="shared" si="320"/>
        <v>0.91512126552101181</v>
      </c>
      <c r="AJ1235" s="8"/>
      <c r="AK1235" s="8"/>
      <c r="AL1235" s="8"/>
      <c r="AN1235" s="8">
        <f t="shared" si="327"/>
        <v>1.0000000000000002</v>
      </c>
      <c r="AO1235" s="8">
        <f t="shared" si="328"/>
        <v>5.7494349406466156</v>
      </c>
      <c r="AP1235" s="8">
        <f t="shared" si="329"/>
        <v>0.41498773507263675</v>
      </c>
      <c r="AQ1235" s="8"/>
      <c r="AR1235" s="8">
        <f t="shared" si="330"/>
        <v>329.41835668410005</v>
      </c>
      <c r="AS1235" s="8">
        <f t="shared" si="331"/>
        <v>66.222954230644788</v>
      </c>
    </row>
    <row r="1236" spans="1:45">
      <c r="A1236" s="19">
        <v>49.849800000000002</v>
      </c>
      <c r="B1236" s="19">
        <v>1103.258836</v>
      </c>
      <c r="C1236" s="19">
        <v>-892.24525270000004</v>
      </c>
      <c r="E1236" s="9">
        <f t="shared" si="321"/>
        <v>-143.25883599999997</v>
      </c>
      <c r="F1236" s="9">
        <f t="shared" si="322"/>
        <v>-352.24525270000004</v>
      </c>
      <c r="I1236">
        <v>1</v>
      </c>
      <c r="J1236">
        <f t="shared" si="317"/>
        <v>0.24758499604316861</v>
      </c>
      <c r="K1236">
        <f t="shared" si="323"/>
        <v>-1.957066873766008</v>
      </c>
      <c r="O1236">
        <f t="shared" si="324"/>
        <v>-9.232426390016181E-2</v>
      </c>
      <c r="P1236">
        <f t="shared" si="325"/>
        <v>-0.22700717509567092</v>
      </c>
      <c r="Q1236">
        <f t="shared" si="326"/>
        <v>0.96950707720489415</v>
      </c>
      <c r="R1236">
        <f t="shared" si="316"/>
        <v>1</v>
      </c>
      <c r="AG1236" s="8">
        <f t="shared" si="318"/>
        <v>0.34754597972391177</v>
      </c>
      <c r="AH1236" s="8">
        <f t="shared" si="319"/>
        <v>-0.20532111068613368</v>
      </c>
      <c r="AI1236" s="8">
        <f t="shared" si="320"/>
        <v>0.91490711740829667</v>
      </c>
      <c r="AJ1236" s="8"/>
      <c r="AK1236" s="8"/>
      <c r="AL1236" s="8"/>
      <c r="AN1236" s="8">
        <f t="shared" si="327"/>
        <v>1</v>
      </c>
      <c r="AO1236" s="8">
        <f t="shared" si="328"/>
        <v>5.7495772883644669</v>
      </c>
      <c r="AP1236" s="8">
        <f t="shared" si="329"/>
        <v>0.41551856467212622</v>
      </c>
      <c r="AQ1236" s="8"/>
      <c r="AR1236" s="8">
        <f t="shared" si="330"/>
        <v>329.42651260755622</v>
      </c>
      <c r="AS1236" s="8">
        <f t="shared" si="331"/>
        <v>66.192539934953416</v>
      </c>
    </row>
    <row r="1237" spans="1:45">
      <c r="A1237" s="19">
        <v>49.883166670000001</v>
      </c>
      <c r="B1237" s="19">
        <v>1103.704211</v>
      </c>
      <c r="C1237" s="19">
        <v>-892.92670629999998</v>
      </c>
      <c r="E1237" s="9">
        <f t="shared" si="321"/>
        <v>-143.70421099999999</v>
      </c>
      <c r="F1237" s="9">
        <f t="shared" si="322"/>
        <v>-352.92670629999998</v>
      </c>
      <c r="I1237">
        <v>1</v>
      </c>
      <c r="J1237">
        <f t="shared" si="317"/>
        <v>0.2480901900199996</v>
      </c>
      <c r="K1237">
        <f t="shared" si="323"/>
        <v>-1.9574758142903785</v>
      </c>
      <c r="O1237">
        <f t="shared" si="324"/>
        <v>-9.2601783714536062E-2</v>
      </c>
      <c r="P1237">
        <f t="shared" si="325"/>
        <v>-0.2274229982298584</v>
      </c>
      <c r="Q1237">
        <f t="shared" si="326"/>
        <v>0.96938314898136546</v>
      </c>
      <c r="R1237">
        <f t="shared" si="316"/>
        <v>1</v>
      </c>
      <c r="AG1237" s="8">
        <f t="shared" si="318"/>
        <v>0.34800779640459478</v>
      </c>
      <c r="AH1237" s="8">
        <f t="shared" si="319"/>
        <v>-0.20543048037323902</v>
      </c>
      <c r="AI1237" s="8">
        <f t="shared" si="320"/>
        <v>0.91470699755453844</v>
      </c>
      <c r="AJ1237" s="8"/>
      <c r="AK1237" s="8"/>
      <c r="AL1237" s="8"/>
      <c r="AN1237" s="8">
        <f t="shared" si="327"/>
        <v>1</v>
      </c>
      <c r="AO1237" s="8">
        <f t="shared" si="328"/>
        <v>5.7499255409182473</v>
      </c>
      <c r="AP1237" s="8">
        <f t="shared" si="329"/>
        <v>0.41601404444574941</v>
      </c>
      <c r="AQ1237" s="8"/>
      <c r="AR1237" s="8">
        <f t="shared" si="330"/>
        <v>329.44646600909249</v>
      </c>
      <c r="AS1237" s="8">
        <f t="shared" si="331"/>
        <v>66.164151035090711</v>
      </c>
    </row>
    <row r="1238" spans="1:45">
      <c r="A1238" s="19">
        <v>49.91653333</v>
      </c>
      <c r="B1238" s="19">
        <v>1103.8940829999999</v>
      </c>
      <c r="C1238" s="19">
        <v>-893.7908678</v>
      </c>
      <c r="E1238" s="9">
        <f t="shared" si="321"/>
        <v>-143.89408299999991</v>
      </c>
      <c r="F1238" s="9">
        <f t="shared" si="322"/>
        <v>-353.7908678</v>
      </c>
      <c r="I1238">
        <v>1</v>
      </c>
      <c r="J1238">
        <f t="shared" si="317"/>
        <v>0.24864135652638958</v>
      </c>
      <c r="K1238">
        <f t="shared" si="323"/>
        <v>-1.9570829836282617</v>
      </c>
      <c r="O1238">
        <f t="shared" si="324"/>
        <v>-9.2713718807310247E-2</v>
      </c>
      <c r="P1238">
        <f t="shared" si="325"/>
        <v>-0.22795424488582694</v>
      </c>
      <c r="Q1238">
        <f t="shared" si="326"/>
        <v>0.96924766111838079</v>
      </c>
      <c r="R1238">
        <f t="shared" si="316"/>
        <v>1</v>
      </c>
      <c r="AG1238" s="8">
        <f t="shared" si="318"/>
        <v>0.34853093697474719</v>
      </c>
      <c r="AH1238" s="8">
        <f t="shared" si="319"/>
        <v>-0.20534817959572288</v>
      </c>
      <c r="AI1238" s="8">
        <f t="shared" si="320"/>
        <v>0.91452627688231436</v>
      </c>
      <c r="AJ1238" s="8"/>
      <c r="AK1238" s="8"/>
      <c r="AL1238" s="8"/>
      <c r="AN1238" s="8">
        <f t="shared" si="327"/>
        <v>1</v>
      </c>
      <c r="AO1238" s="8">
        <f t="shared" si="328"/>
        <v>5.7507581407136206</v>
      </c>
      <c r="AP1238" s="8">
        <f t="shared" si="329"/>
        <v>0.41646101647915867</v>
      </c>
      <c r="AQ1238" s="8"/>
      <c r="AR1238" s="8">
        <f t="shared" si="330"/>
        <v>329.49417046339084</v>
      </c>
      <c r="AS1238" s="8">
        <f t="shared" si="331"/>
        <v>66.138541424015983</v>
      </c>
    </row>
    <row r="1239" spans="1:45">
      <c r="A1239" s="19">
        <v>49.9499</v>
      </c>
      <c r="B1239" s="19">
        <v>1104.310234</v>
      </c>
      <c r="C1239" s="19">
        <v>-894.71381670000005</v>
      </c>
      <c r="E1239" s="9">
        <f t="shared" si="321"/>
        <v>-144.31023400000004</v>
      </c>
      <c r="F1239" s="9">
        <f t="shared" si="322"/>
        <v>-354.71381670000005</v>
      </c>
      <c r="I1239">
        <v>1</v>
      </c>
      <c r="J1239">
        <f t="shared" si="317"/>
        <v>0.24928067393328041</v>
      </c>
      <c r="K1239">
        <f t="shared" si="323"/>
        <v>-1.9571815994345951</v>
      </c>
      <c r="O1239">
        <f t="shared" si="324"/>
        <v>-9.2969692425713388E-2</v>
      </c>
      <c r="P1239">
        <f t="shared" si="325"/>
        <v>-0.22851902823295189</v>
      </c>
      <c r="Q1239">
        <f t="shared" si="326"/>
        <v>0.96909013514003717</v>
      </c>
      <c r="R1239">
        <f t="shared" si="316"/>
        <v>1</v>
      </c>
      <c r="AG1239" s="8">
        <f t="shared" si="318"/>
        <v>0.34912478860426738</v>
      </c>
      <c r="AH1239" s="8">
        <f t="shared" si="319"/>
        <v>-0.20538591747758736</v>
      </c>
      <c r="AI1239" s="8">
        <f t="shared" si="320"/>
        <v>0.91429125932818311</v>
      </c>
      <c r="AJ1239" s="8"/>
      <c r="AK1239" s="8"/>
      <c r="AL1239" s="8"/>
      <c r="AN1239" s="8">
        <f t="shared" si="327"/>
        <v>0.99999999999999967</v>
      </c>
      <c r="AO1239" s="8">
        <f t="shared" si="328"/>
        <v>5.7514220971198968</v>
      </c>
      <c r="AP1239" s="8">
        <f t="shared" si="329"/>
        <v>0.41704160497440412</v>
      </c>
      <c r="AQ1239" s="8"/>
      <c r="AR1239" s="8">
        <f t="shared" si="330"/>
        <v>329.53221236325118</v>
      </c>
      <c r="AS1239" s="8">
        <f t="shared" si="331"/>
        <v>66.105276153604564</v>
      </c>
    </row>
    <row r="1240" spans="1:45">
      <c r="A1240" s="19">
        <v>49.983266669999999</v>
      </c>
      <c r="B1240" s="19">
        <v>1105.203219</v>
      </c>
      <c r="C1240" s="19">
        <v>-895.45363159999999</v>
      </c>
      <c r="E1240" s="9">
        <f t="shared" si="321"/>
        <v>-145.20321899999999</v>
      </c>
      <c r="F1240" s="9">
        <f t="shared" si="322"/>
        <v>-355.45363159999999</v>
      </c>
      <c r="I1240">
        <v>1</v>
      </c>
      <c r="J1240">
        <f t="shared" si="317"/>
        <v>0.24992640528939031</v>
      </c>
      <c r="K1240">
        <f t="shared" si="323"/>
        <v>-1.9586097351624698</v>
      </c>
      <c r="O1240">
        <f t="shared" si="324"/>
        <v>-9.3532579321327747E-2</v>
      </c>
      <c r="P1240">
        <f t="shared" si="325"/>
        <v>-0.2289652751615722</v>
      </c>
      <c r="Q1240">
        <f t="shared" si="326"/>
        <v>0.96893062670951069</v>
      </c>
      <c r="R1240">
        <f t="shared" si="316"/>
        <v>1</v>
      </c>
      <c r="AG1240" s="8">
        <f t="shared" si="318"/>
        <v>0.34969327734800121</v>
      </c>
      <c r="AH1240" s="8">
        <f t="shared" si="319"/>
        <v>-0.20574555566770733</v>
      </c>
      <c r="AI1240" s="8">
        <f t="shared" si="320"/>
        <v>0.91399309521494754</v>
      </c>
      <c r="AJ1240" s="8"/>
      <c r="AK1240" s="8"/>
      <c r="AL1240" s="8"/>
      <c r="AN1240" s="8">
        <f t="shared" si="327"/>
        <v>0.99999999999999989</v>
      </c>
      <c r="AO1240" s="8">
        <f t="shared" si="328"/>
        <v>5.7513685567781812</v>
      </c>
      <c r="AP1240" s="8">
        <f t="shared" si="329"/>
        <v>0.41777709789724748</v>
      </c>
      <c r="AQ1240" s="8"/>
      <c r="AR1240" s="8">
        <f t="shared" si="330"/>
        <v>329.52914472763717</v>
      </c>
      <c r="AS1240" s="8">
        <f t="shared" si="331"/>
        <v>66.063135513263902</v>
      </c>
    </row>
    <row r="1241" spans="1:45">
      <c r="A1241" s="19">
        <v>50.016633329999998</v>
      </c>
      <c r="B1241" s="19">
        <v>1105.827646</v>
      </c>
      <c r="C1241" s="19">
        <v>-896.39023710000004</v>
      </c>
      <c r="E1241" s="9">
        <f t="shared" si="321"/>
        <v>-145.82764599999996</v>
      </c>
      <c r="F1241" s="9">
        <f t="shared" si="322"/>
        <v>-356.39023710000004</v>
      </c>
      <c r="I1241">
        <v>1</v>
      </c>
      <c r="J1241">
        <f t="shared" si="317"/>
        <v>0.25062313632576055</v>
      </c>
      <c r="K1241">
        <f t="shared" si="323"/>
        <v>-1.9591910938596053</v>
      </c>
      <c r="O1241">
        <f t="shared" si="324"/>
        <v>-9.3921308214311314E-2</v>
      </c>
      <c r="P1241">
        <f t="shared" si="325"/>
        <v>-0.22953560742001286</v>
      </c>
      <c r="Q1241">
        <f t="shared" si="326"/>
        <v>0.96875806721267521</v>
      </c>
      <c r="R1241">
        <f t="shared" si="316"/>
        <v>1</v>
      </c>
      <c r="AG1241" s="8">
        <f t="shared" si="318"/>
        <v>0.35032872550309407</v>
      </c>
      <c r="AH1241" s="8">
        <f t="shared" si="319"/>
        <v>-0.20590261499299739</v>
      </c>
      <c r="AI1241" s="8">
        <f t="shared" si="320"/>
        <v>0.91371434115177552</v>
      </c>
      <c r="AJ1241" s="8"/>
      <c r="AK1241" s="8"/>
      <c r="AL1241" s="8"/>
      <c r="AN1241" s="8">
        <f t="shared" si="327"/>
        <v>1</v>
      </c>
      <c r="AO1241" s="8">
        <f t="shared" si="328"/>
        <v>5.7518284191561388</v>
      </c>
      <c r="AP1241" s="8">
        <f t="shared" si="329"/>
        <v>0.41846361080265781</v>
      </c>
      <c r="AQ1241" s="8"/>
      <c r="AR1241" s="8">
        <f t="shared" si="330"/>
        <v>329.55549290105097</v>
      </c>
      <c r="AS1241" s="8">
        <f t="shared" si="331"/>
        <v>66.023801221202632</v>
      </c>
    </row>
    <row r="1242" spans="1:45">
      <c r="A1242" s="19">
        <v>50.05</v>
      </c>
      <c r="B1242" s="19">
        <v>1105.9045040000001</v>
      </c>
      <c r="C1242" s="19">
        <v>-896.91591219999998</v>
      </c>
      <c r="E1242" s="9">
        <f t="shared" si="321"/>
        <v>-145.90450400000009</v>
      </c>
      <c r="F1242" s="9">
        <f t="shared" si="322"/>
        <v>-356.91591219999998</v>
      </c>
      <c r="I1242">
        <v>1</v>
      </c>
      <c r="J1242">
        <f t="shared" si="317"/>
        <v>0.25094870450056134</v>
      </c>
      <c r="K1242">
        <f t="shared" si="323"/>
        <v>-1.9588592842010033</v>
      </c>
      <c r="O1242">
        <f t="shared" si="324"/>
        <v>-9.3964480860386571E-2</v>
      </c>
      <c r="P1242">
        <f t="shared" si="325"/>
        <v>-0.22985869168702505</v>
      </c>
      <c r="Q1242">
        <f t="shared" si="326"/>
        <v>0.9686772724662055</v>
      </c>
      <c r="R1242">
        <f t="shared" si="316"/>
        <v>1</v>
      </c>
      <c r="AG1242" s="8">
        <f t="shared" si="318"/>
        <v>0.35063993665346183</v>
      </c>
      <c r="AH1242" s="8">
        <f t="shared" si="319"/>
        <v>-0.20582963053741088</v>
      </c>
      <c r="AI1242" s="8">
        <f t="shared" si="320"/>
        <v>0.91361140427234666</v>
      </c>
      <c r="AJ1242" s="8"/>
      <c r="AK1242" s="8"/>
      <c r="AL1242" s="8"/>
      <c r="AN1242" s="8">
        <f t="shared" si="327"/>
        <v>1</v>
      </c>
      <c r="AO1242" s="8">
        <f t="shared" si="328"/>
        <v>5.7523710149509952</v>
      </c>
      <c r="AP1242" s="8">
        <f t="shared" si="329"/>
        <v>0.41871685500079603</v>
      </c>
      <c r="AQ1242" s="8"/>
      <c r="AR1242" s="8">
        <f t="shared" si="330"/>
        <v>329.58658135007778</v>
      </c>
      <c r="AS1242" s="8">
        <f t="shared" si="331"/>
        <v>66.00929139746313</v>
      </c>
    </row>
    <row r="1243" spans="1:45">
      <c r="A1243" s="19">
        <v>50.083366669999997</v>
      </c>
      <c r="B1243" s="19">
        <v>1106.484866</v>
      </c>
      <c r="C1243" s="19">
        <v>-897.72710240000004</v>
      </c>
      <c r="E1243" s="9">
        <f t="shared" si="321"/>
        <v>-146.48486600000001</v>
      </c>
      <c r="F1243" s="9">
        <f t="shared" si="322"/>
        <v>-357.72710240000004</v>
      </c>
      <c r="I1243">
        <v>1</v>
      </c>
      <c r="J1243">
        <f t="shared" si="317"/>
        <v>0.25156135127532975</v>
      </c>
      <c r="K1243">
        <f t="shared" si="323"/>
        <v>-1.9594549456965262</v>
      </c>
      <c r="O1243">
        <f t="shared" si="324"/>
        <v>-9.432625348092448E-2</v>
      </c>
      <c r="P1243">
        <f t="shared" si="325"/>
        <v>-0.23035183264583139</v>
      </c>
      <c r="Q1243">
        <f t="shared" si="326"/>
        <v>0.96852495636455305</v>
      </c>
      <c r="R1243">
        <f t="shared" ref="R1243:R1272" si="332">SQRT(O1243^2+P1243^2+Q1243^2)</f>
        <v>1</v>
      </c>
      <c r="AG1243" s="8">
        <f t="shared" si="318"/>
        <v>0.35119637590254588</v>
      </c>
      <c r="AH1243" s="8">
        <f t="shared" si="319"/>
        <v>-0.20598877671064353</v>
      </c>
      <c r="AI1243" s="8">
        <f t="shared" si="320"/>
        <v>0.91336177357177062</v>
      </c>
      <c r="AJ1243" s="8"/>
      <c r="AK1243" s="8"/>
      <c r="AL1243" s="8"/>
      <c r="AN1243" s="8">
        <f t="shared" si="327"/>
        <v>1</v>
      </c>
      <c r="AO1243" s="8">
        <f t="shared" si="328"/>
        <v>5.7527257808356715</v>
      </c>
      <c r="AP1243" s="8">
        <f t="shared" si="329"/>
        <v>0.41933039612263001</v>
      </c>
      <c r="AQ1243" s="8"/>
      <c r="AR1243" s="8">
        <f t="shared" si="330"/>
        <v>329.606907937985</v>
      </c>
      <c r="AS1243" s="8">
        <f t="shared" si="331"/>
        <v>65.974138080624328</v>
      </c>
    </row>
    <row r="1244" spans="1:45">
      <c r="A1244" s="19">
        <v>50.116733330000002</v>
      </c>
      <c r="B1244" s="19">
        <v>1106.756038</v>
      </c>
      <c r="C1244" s="19">
        <v>-898.12091420000002</v>
      </c>
      <c r="E1244" s="9">
        <f t="shared" si="321"/>
        <v>-146.75603799999999</v>
      </c>
      <c r="F1244" s="9">
        <f t="shared" si="322"/>
        <v>-358.12091420000002</v>
      </c>
      <c r="I1244">
        <v>1</v>
      </c>
      <c r="J1244">
        <f t="shared" si="317"/>
        <v>0.25185621214159398</v>
      </c>
      <c r="K1244">
        <f t="shared" si="323"/>
        <v>-1.959717754783364</v>
      </c>
      <c r="O1244">
        <f t="shared" si="324"/>
        <v>-9.4495073968940552E-2</v>
      </c>
      <c r="P1244">
        <f t="shared" si="325"/>
        <v>-0.23059127745840088</v>
      </c>
      <c r="Q1244">
        <f t="shared" si="326"/>
        <v>0.96845151853652811</v>
      </c>
      <c r="R1244">
        <f t="shared" si="332"/>
        <v>1</v>
      </c>
      <c r="AG1244" s="8">
        <f t="shared" si="318"/>
        <v>0.35146465706980878</v>
      </c>
      <c r="AH1244" s="8">
        <f t="shared" si="319"/>
        <v>-0.20605976805646964</v>
      </c>
      <c r="AI1244" s="8">
        <f t="shared" si="320"/>
        <v>0.91324255639962137</v>
      </c>
      <c r="AJ1244" s="8"/>
      <c r="AK1244" s="8"/>
      <c r="AL1244" s="8"/>
      <c r="AN1244" s="8">
        <f t="shared" si="327"/>
        <v>1</v>
      </c>
      <c r="AO1244" s="8">
        <f t="shared" si="328"/>
        <v>5.7529086308951509</v>
      </c>
      <c r="AP1244" s="8">
        <f t="shared" si="329"/>
        <v>0.419623109744375</v>
      </c>
      <c r="AQ1244" s="8"/>
      <c r="AR1244" s="8">
        <f t="shared" si="330"/>
        <v>329.61738447467684</v>
      </c>
      <c r="AS1244" s="8">
        <f t="shared" si="331"/>
        <v>65.957366825492343</v>
      </c>
    </row>
    <row r="1245" spans="1:45">
      <c r="A1245" s="19">
        <v>50.150100000000002</v>
      </c>
      <c r="B1245" s="19">
        <v>1107.1540560000001</v>
      </c>
      <c r="C1245" s="19">
        <v>-898.91205149999996</v>
      </c>
      <c r="E1245" s="9">
        <f t="shared" si="321"/>
        <v>-147.15405600000008</v>
      </c>
      <c r="F1245" s="9">
        <f t="shared" si="322"/>
        <v>-358.91205149999996</v>
      </c>
      <c r="I1245">
        <v>1</v>
      </c>
      <c r="J1245">
        <f t="shared" si="317"/>
        <v>0.2524133573734566</v>
      </c>
      <c r="K1245">
        <f t="shared" si="323"/>
        <v>-1.9598938318783476</v>
      </c>
      <c r="O1245">
        <f t="shared" si="324"/>
        <v>-9.474034674646177E-2</v>
      </c>
      <c r="P1245">
        <f t="shared" si="325"/>
        <v>-0.23107383605242893</v>
      </c>
      <c r="Q1245">
        <f t="shared" si="326"/>
        <v>0.96831252650700295</v>
      </c>
      <c r="R1245">
        <f t="shared" si="332"/>
        <v>1</v>
      </c>
      <c r="AG1245" s="8">
        <f t="shared" si="318"/>
        <v>0.35197916785154959</v>
      </c>
      <c r="AH1245" s="8">
        <f t="shared" si="319"/>
        <v>-0.20611595513417566</v>
      </c>
      <c r="AI1245" s="8">
        <f t="shared" si="320"/>
        <v>0.91303169629408643</v>
      </c>
      <c r="AJ1245" s="8"/>
      <c r="AK1245" s="8"/>
      <c r="AL1245" s="8"/>
      <c r="AN1245" s="8">
        <f t="shared" si="327"/>
        <v>0.99999999999999978</v>
      </c>
      <c r="AO1245" s="8">
        <f t="shared" si="328"/>
        <v>5.7534277785807504</v>
      </c>
      <c r="AP1245" s="8">
        <f t="shared" si="329"/>
        <v>0.42014036433174051</v>
      </c>
      <c r="AQ1245" s="8"/>
      <c r="AR1245" s="8">
        <f t="shared" si="330"/>
        <v>329.64712944600569</v>
      </c>
      <c r="AS1245" s="8">
        <f t="shared" si="331"/>
        <v>65.927730320702523</v>
      </c>
    </row>
    <row r="1246" spans="1:45">
      <c r="A1246" s="19">
        <v>50.183466670000001</v>
      </c>
      <c r="B1246" s="19">
        <v>1107.881656</v>
      </c>
      <c r="C1246" s="19">
        <v>-900.07749009999998</v>
      </c>
      <c r="E1246" s="9">
        <f t="shared" si="321"/>
        <v>-147.88165600000002</v>
      </c>
      <c r="F1246" s="9">
        <f t="shared" si="322"/>
        <v>-360.07749009999998</v>
      </c>
      <c r="I1246">
        <v>1</v>
      </c>
      <c r="J1246">
        <f t="shared" si="317"/>
        <v>0.25326768087258322</v>
      </c>
      <c r="K1246">
        <f t="shared" si="323"/>
        <v>-1.9604875195861766</v>
      </c>
      <c r="O1246">
        <f t="shared" si="324"/>
        <v>-9.5191756464521021E-2</v>
      </c>
      <c r="P1246">
        <f t="shared" si="325"/>
        <v>-0.23178269484590552</v>
      </c>
      <c r="Q1246">
        <f t="shared" si="326"/>
        <v>0.96809881307187295</v>
      </c>
      <c r="R1246">
        <f t="shared" si="332"/>
        <v>1</v>
      </c>
      <c r="AG1246" s="8">
        <f t="shared" si="318"/>
        <v>0.35275997022056821</v>
      </c>
      <c r="AH1246" s="8">
        <f t="shared" si="319"/>
        <v>-0.20628168721669513</v>
      </c>
      <c r="AI1246" s="8">
        <f t="shared" si="320"/>
        <v>0.91269286670216576</v>
      </c>
      <c r="AJ1246" s="8"/>
      <c r="AK1246" s="8"/>
      <c r="AL1246" s="8"/>
      <c r="AN1246" s="8">
        <f t="shared" si="327"/>
        <v>1</v>
      </c>
      <c r="AO1246" s="8">
        <f t="shared" si="328"/>
        <v>5.7540433309876153</v>
      </c>
      <c r="AP1246" s="8">
        <f t="shared" si="329"/>
        <v>0.42097028501445455</v>
      </c>
      <c r="AQ1246" s="8"/>
      <c r="AR1246" s="8">
        <f t="shared" si="330"/>
        <v>329.6823980009882</v>
      </c>
      <c r="AS1246" s="8">
        <f t="shared" si="331"/>
        <v>65.880179368252385</v>
      </c>
    </row>
    <row r="1247" spans="1:45">
      <c r="A1247" s="19">
        <v>50.21683333</v>
      </c>
      <c r="B1247" s="19">
        <v>1108.1300269999999</v>
      </c>
      <c r="C1247" s="19">
        <v>-900.74751200000003</v>
      </c>
      <c r="E1247" s="9">
        <f t="shared" si="321"/>
        <v>-148.13002699999993</v>
      </c>
      <c r="F1247" s="9">
        <f t="shared" si="322"/>
        <v>-360.74751200000003</v>
      </c>
      <c r="I1247">
        <v>1</v>
      </c>
      <c r="J1247">
        <f t="shared" si="317"/>
        <v>0.2537180059314903</v>
      </c>
      <c r="K1247">
        <f t="shared" si="323"/>
        <v>-1.9604239427379375</v>
      </c>
      <c r="O1247">
        <f t="shared" si="324"/>
        <v>-9.5342607057797027E-2</v>
      </c>
      <c r="P1247">
        <f t="shared" si="325"/>
        <v>-0.23219200711881288</v>
      </c>
      <c r="Q1247">
        <f t="shared" si="326"/>
        <v>0.96798587753621679</v>
      </c>
      <c r="R1247">
        <f t="shared" si="332"/>
        <v>1</v>
      </c>
      <c r="AG1247" s="8">
        <f t="shared" si="318"/>
        <v>0.35318057615983023</v>
      </c>
      <c r="AH1247" s="8">
        <f t="shared" si="319"/>
        <v>-0.20627692416421675</v>
      </c>
      <c r="AI1247" s="8">
        <f t="shared" si="320"/>
        <v>0.9125312658647704</v>
      </c>
      <c r="AJ1247" s="8"/>
      <c r="AK1247" s="8"/>
      <c r="AL1247" s="8"/>
      <c r="AN1247" s="8">
        <f t="shared" si="327"/>
        <v>1</v>
      </c>
      <c r="AO1247" s="8">
        <f t="shared" si="328"/>
        <v>5.7545724920123771</v>
      </c>
      <c r="AP1247" s="8">
        <f t="shared" si="329"/>
        <v>0.42136556467783537</v>
      </c>
      <c r="AQ1247" s="8"/>
      <c r="AR1247" s="8">
        <f t="shared" si="330"/>
        <v>329.71271669438983</v>
      </c>
      <c r="AS1247" s="8">
        <f t="shared" si="331"/>
        <v>65.85753151181332</v>
      </c>
    </row>
    <row r="1248" spans="1:45">
      <c r="A1248" s="19">
        <v>50.2502</v>
      </c>
      <c r="B1248" s="19">
        <v>1108.8670959999999</v>
      </c>
      <c r="C1248" s="19">
        <v>-901.78675050000004</v>
      </c>
      <c r="E1248" s="9">
        <f t="shared" si="321"/>
        <v>-148.86709599999995</v>
      </c>
      <c r="F1248" s="9">
        <f t="shared" si="322"/>
        <v>-361.78675050000004</v>
      </c>
      <c r="I1248">
        <v>1</v>
      </c>
      <c r="J1248">
        <f t="shared" ref="J1248:J1272" si="333">ATAN((SQRT(E1248^2+F1248^2)^$B$16)/($F$24))</f>
        <v>0.2545005952178947</v>
      </c>
      <c r="K1248">
        <f t="shared" si="323"/>
        <v>-1.9611577486485017</v>
      </c>
      <c r="O1248">
        <f t="shared" si="324"/>
        <v>-9.5801195348734214E-2</v>
      </c>
      <c r="P1248">
        <f t="shared" si="325"/>
        <v>-0.23282245768557402</v>
      </c>
      <c r="Q1248">
        <f t="shared" si="326"/>
        <v>0.96778914757657974</v>
      </c>
      <c r="R1248">
        <f t="shared" si="332"/>
        <v>1</v>
      </c>
      <c r="AG1248" s="8">
        <f t="shared" ref="AG1248:AG1311" si="334">$O1248*$Z$27+$P1248*$Z$31+$Q1248*$Z$35</f>
        <v>0.35389061358163559</v>
      </c>
      <c r="AH1248" s="8">
        <f t="shared" ref="AH1248:AH1311" si="335">$O1248*$AA$27+$P1248*$AA$31+$Q1248*$AA$35</f>
        <v>-0.20647633993653991</v>
      </c>
      <c r="AI1248" s="8">
        <f t="shared" ref="AI1248:AI1311" si="336">$AB$27*$O1248+$P1248*$AB$31+$AB$35*$Q1248</f>
        <v>0.9122110252925163</v>
      </c>
      <c r="AJ1248" s="8"/>
      <c r="AK1248" s="8"/>
      <c r="AL1248" s="8"/>
      <c r="AN1248" s="8">
        <f t="shared" si="327"/>
        <v>1</v>
      </c>
      <c r="AO1248" s="8">
        <f t="shared" si="328"/>
        <v>5.7550262167424133</v>
      </c>
      <c r="AP1248" s="8">
        <f t="shared" si="329"/>
        <v>0.42214785304284352</v>
      </c>
      <c r="AQ1248" s="8"/>
      <c r="AR1248" s="8">
        <f t="shared" si="330"/>
        <v>329.73871320648163</v>
      </c>
      <c r="AS1248" s="8">
        <f t="shared" si="331"/>
        <v>65.81270969013616</v>
      </c>
    </row>
    <row r="1249" spans="1:45">
      <c r="A1249" s="19">
        <v>50.283566669999999</v>
      </c>
      <c r="B1249" s="19">
        <v>1108.8871099999999</v>
      </c>
      <c r="C1249" s="19">
        <v>-902.5662906</v>
      </c>
      <c r="E1249" s="9">
        <f t="shared" ref="E1249:E1312" si="337">-(B1249-($B$15/2))</f>
        <v>-148.88710999999989</v>
      </c>
      <c r="F1249" s="9">
        <f t="shared" ref="F1249:F1312" si="338">(($C$15/2)+C1249)</f>
        <v>-362.5662906</v>
      </c>
      <c r="I1249">
        <v>1</v>
      </c>
      <c r="J1249">
        <f t="shared" si="333"/>
        <v>0.25495977433977407</v>
      </c>
      <c r="K1249">
        <f t="shared" ref="K1249:K1272" si="339">ATAN2(E1249,F1249)</f>
        <v>-1.9604481501089805</v>
      </c>
      <c r="O1249">
        <f t="shared" ref="O1249:O1272" si="340">COS(K1249)*SIN(J1249)</f>
        <v>-9.5804758948141486E-2</v>
      </c>
      <c r="P1249">
        <f t="shared" ref="P1249:P1272" si="341">SIN(K1249)*SIN(J1249)</f>
        <v>-0.23330143270062029</v>
      </c>
      <c r="Q1249">
        <f t="shared" ref="Q1249:Q1272" si="342">COS(J1249)</f>
        <v>0.96767344164378433</v>
      </c>
      <c r="R1249">
        <f t="shared" si="332"/>
        <v>1</v>
      </c>
      <c r="AG1249" s="8">
        <f t="shared" si="334"/>
        <v>0.35433515393001358</v>
      </c>
      <c r="AH1249" s="8">
        <f t="shared" si="335"/>
        <v>-0.20631251566035969</v>
      </c>
      <c r="AI1249" s="8">
        <f t="shared" si="336"/>
        <v>0.9120755147307088</v>
      </c>
      <c r="AJ1249" s="8"/>
      <c r="AK1249" s="8"/>
      <c r="AL1249" s="8"/>
      <c r="AN1249" s="8">
        <f t="shared" ref="AN1249:AN1272" si="343">AG1249^2+AH1249^2+AI1249^2</f>
        <v>1</v>
      </c>
      <c r="AO1249" s="8">
        <f t="shared" ref="AO1249:AO1272" si="344">IF(ATAN2(AG1249,AH1249)&gt;=0,ATAN2(AG1249,AH1249),ATAN2(AG1249,AH1249)+2*PI())</f>
        <v>5.7559176915467489</v>
      </c>
      <c r="AP1249" s="8">
        <f t="shared" ref="AP1249:AP1272" si="345">ACOS(AI1249/AN1249)</f>
        <v>0.42247847024404539</v>
      </c>
      <c r="AQ1249" s="8"/>
      <c r="AR1249" s="8">
        <f t="shared" ref="AR1249:AR1272" si="346">DEGREES(AO1249)</f>
        <v>329.78979095031229</v>
      </c>
      <c r="AS1249" s="8">
        <f t="shared" ref="AS1249:AS1272" si="347">90-DEGREES(AP1249)</f>
        <v>65.793766719872863</v>
      </c>
    </row>
    <row r="1250" spans="1:45">
      <c r="A1250" s="19">
        <v>50.316933329999998</v>
      </c>
      <c r="B1250" s="19">
        <v>1109.5510200000001</v>
      </c>
      <c r="C1250" s="19">
        <v>-902.93464229999995</v>
      </c>
      <c r="E1250" s="9">
        <f t="shared" si="337"/>
        <v>-149.55102000000011</v>
      </c>
      <c r="F1250" s="9">
        <f t="shared" si="338"/>
        <v>-362.93464229999995</v>
      </c>
      <c r="I1250">
        <v>1</v>
      </c>
      <c r="J1250">
        <f t="shared" si="333"/>
        <v>0.25533355747657993</v>
      </c>
      <c r="K1250">
        <f t="shared" si="339"/>
        <v>-1.9616562329109315</v>
      </c>
      <c r="O1250">
        <f t="shared" si="340"/>
        <v>-9.6224331477810829E-2</v>
      </c>
      <c r="P1250">
        <f t="shared" si="341"/>
        <v>-0.23351992734958205</v>
      </c>
      <c r="Q1250">
        <f t="shared" si="342"/>
        <v>0.96757910351675869</v>
      </c>
      <c r="R1250">
        <f t="shared" si="332"/>
        <v>1</v>
      </c>
      <c r="AG1250" s="8">
        <f t="shared" si="334"/>
        <v>0.35465288866734623</v>
      </c>
      <c r="AH1250" s="8">
        <f t="shared" si="335"/>
        <v>-0.2066198346604681</v>
      </c>
      <c r="AI1250" s="8">
        <f t="shared" si="336"/>
        <v>0.91188243347746745</v>
      </c>
      <c r="AJ1250" s="8"/>
      <c r="AK1250" s="8"/>
      <c r="AL1250" s="8"/>
      <c r="AN1250" s="8">
        <f t="shared" si="343"/>
        <v>1</v>
      </c>
      <c r="AO1250" s="8">
        <f t="shared" si="344"/>
        <v>5.7556601588450489</v>
      </c>
      <c r="AP1250" s="8">
        <f t="shared" si="345"/>
        <v>0.42294912819902097</v>
      </c>
      <c r="AQ1250" s="8"/>
      <c r="AR1250" s="8">
        <f t="shared" si="346"/>
        <v>329.77503541341832</v>
      </c>
      <c r="AS1250" s="8">
        <f t="shared" si="347"/>
        <v>65.766800005458506</v>
      </c>
    </row>
    <row r="1251" spans="1:45">
      <c r="A1251" s="19">
        <v>50.350299999999997</v>
      </c>
      <c r="B1251" s="19">
        <v>1109.761647</v>
      </c>
      <c r="C1251" s="19">
        <v>-903.9044662</v>
      </c>
      <c r="E1251" s="9">
        <f t="shared" si="337"/>
        <v>-149.76164700000004</v>
      </c>
      <c r="F1251" s="9">
        <f t="shared" si="338"/>
        <v>-363.9044662</v>
      </c>
      <c r="I1251">
        <v>1</v>
      </c>
      <c r="J1251">
        <f t="shared" si="333"/>
        <v>0.25594898725668702</v>
      </c>
      <c r="K1251">
        <f t="shared" si="339"/>
        <v>-1.9612121721073186</v>
      </c>
      <c r="O1251">
        <f t="shared" si="340"/>
        <v>-9.6347229197231987E-2</v>
      </c>
      <c r="P1251">
        <f t="shared" si="341"/>
        <v>-0.23411325738737215</v>
      </c>
      <c r="Q1251">
        <f t="shared" si="342"/>
        <v>0.96742348231862252</v>
      </c>
      <c r="R1251">
        <f t="shared" si="332"/>
        <v>1</v>
      </c>
      <c r="AG1251" s="8">
        <f t="shared" si="334"/>
        <v>0.35523609410192802</v>
      </c>
      <c r="AH1251" s="8">
        <f t="shared" si="335"/>
        <v>-0.20652510591002415</v>
      </c>
      <c r="AI1251" s="8">
        <f t="shared" si="336"/>
        <v>0.91167686055754393</v>
      </c>
      <c r="AJ1251" s="8"/>
      <c r="AK1251" s="8"/>
      <c r="AL1251" s="8"/>
      <c r="AN1251" s="8">
        <f t="shared" si="343"/>
        <v>0.99999999999999989</v>
      </c>
      <c r="AO1251" s="8">
        <f t="shared" si="344"/>
        <v>5.7565738295612627</v>
      </c>
      <c r="AP1251" s="8">
        <f t="shared" si="345"/>
        <v>0.42344969571592572</v>
      </c>
      <c r="AQ1251" s="8"/>
      <c r="AR1251" s="8">
        <f t="shared" si="346"/>
        <v>329.82738488932205</v>
      </c>
      <c r="AS1251" s="8">
        <f t="shared" si="347"/>
        <v>65.738119599378521</v>
      </c>
    </row>
    <row r="1252" spans="1:45">
      <c r="A1252" s="19">
        <v>50.383666669999997</v>
      </c>
      <c r="B1252" s="19">
        <v>1110.573513</v>
      </c>
      <c r="C1252" s="19">
        <v>-904.57583520000003</v>
      </c>
      <c r="E1252" s="9">
        <f t="shared" si="337"/>
        <v>-150.57351300000005</v>
      </c>
      <c r="F1252" s="9">
        <f t="shared" si="338"/>
        <v>-364.57583520000003</v>
      </c>
      <c r="I1252">
        <v>1</v>
      </c>
      <c r="J1252">
        <f t="shared" si="333"/>
        <v>0.256534748913681</v>
      </c>
      <c r="K1252">
        <f t="shared" si="339"/>
        <v>-1.9624677776261874</v>
      </c>
      <c r="O1252">
        <f t="shared" si="340"/>
        <v>-9.6857411241632982E-2</v>
      </c>
      <c r="P1252">
        <f t="shared" si="341"/>
        <v>-0.23451582482988378</v>
      </c>
      <c r="Q1252">
        <f t="shared" si="342"/>
        <v>0.96727502283059519</v>
      </c>
      <c r="R1252">
        <f t="shared" si="332"/>
        <v>1</v>
      </c>
      <c r="AG1252" s="8">
        <f t="shared" si="334"/>
        <v>0.35574912724586666</v>
      </c>
      <c r="AH1252" s="8">
        <f t="shared" si="335"/>
        <v>-0.2068508904147198</v>
      </c>
      <c r="AI1252" s="8">
        <f t="shared" si="336"/>
        <v>0.91140291177856225</v>
      </c>
      <c r="AJ1252" s="8"/>
      <c r="AK1252" s="8"/>
      <c r="AL1252" s="8"/>
      <c r="AN1252" s="8">
        <f t="shared" si="343"/>
        <v>1</v>
      </c>
      <c r="AO1252" s="8">
        <f t="shared" si="344"/>
        <v>5.7565160147219521</v>
      </c>
      <c r="AP1252" s="8">
        <f t="shared" si="345"/>
        <v>0.42411589485380596</v>
      </c>
      <c r="AQ1252" s="8"/>
      <c r="AR1252" s="8">
        <f t="shared" si="346"/>
        <v>329.82407234303633</v>
      </c>
      <c r="AS1252" s="8">
        <f t="shared" si="347"/>
        <v>65.699949200462726</v>
      </c>
    </row>
    <row r="1253" spans="1:45">
      <c r="A1253" s="19">
        <v>50.417033330000002</v>
      </c>
      <c r="B1253" s="19">
        <v>1110.7709789999999</v>
      </c>
      <c r="C1253" s="19">
        <v>-905.6192777</v>
      </c>
      <c r="E1253" s="9">
        <f t="shared" si="337"/>
        <v>-150.7709789999999</v>
      </c>
      <c r="F1253" s="9">
        <f t="shared" si="338"/>
        <v>-365.6192777</v>
      </c>
      <c r="I1253">
        <v>1</v>
      </c>
      <c r="J1253">
        <f t="shared" si="333"/>
        <v>0.25718942011681467</v>
      </c>
      <c r="K1253">
        <f t="shared" si="339"/>
        <v>-1.9619221076522604</v>
      </c>
      <c r="O1253">
        <f t="shared" si="340"/>
        <v>-9.6970820263028334E-2</v>
      </c>
      <c r="P1253">
        <f t="shared" si="341"/>
        <v>-0.23515401636109948</v>
      </c>
      <c r="Q1253">
        <f t="shared" si="342"/>
        <v>0.96710870568243734</v>
      </c>
      <c r="R1253">
        <f t="shared" si="332"/>
        <v>1</v>
      </c>
      <c r="AG1253" s="8">
        <f t="shared" si="334"/>
        <v>0.35637117700296184</v>
      </c>
      <c r="AH1253" s="8">
        <f t="shared" si="335"/>
        <v>-0.20673167701204487</v>
      </c>
      <c r="AI1253" s="8">
        <f t="shared" si="336"/>
        <v>0.91118691711487554</v>
      </c>
      <c r="AJ1253" s="8"/>
      <c r="AK1253" s="8"/>
      <c r="AL1253" s="8"/>
      <c r="AN1253" s="8">
        <f t="shared" si="343"/>
        <v>0.99999999999999978</v>
      </c>
      <c r="AO1253" s="8">
        <f t="shared" si="344"/>
        <v>5.7575250991442148</v>
      </c>
      <c r="AP1253" s="8">
        <f t="shared" si="345"/>
        <v>0.42464046671199029</v>
      </c>
      <c r="AQ1253" s="8"/>
      <c r="AR1253" s="8">
        <f t="shared" si="346"/>
        <v>329.88188862160439</v>
      </c>
      <c r="AS1253" s="8">
        <f t="shared" si="347"/>
        <v>65.669893446937436</v>
      </c>
    </row>
    <row r="1254" spans="1:45">
      <c r="A1254" s="19">
        <v>50.450400000000002</v>
      </c>
      <c r="B1254" s="19">
        <v>1111.8275699999999</v>
      </c>
      <c r="C1254" s="19">
        <v>-906.49578140000006</v>
      </c>
      <c r="E1254" s="9">
        <f t="shared" si="337"/>
        <v>-151.82756999999992</v>
      </c>
      <c r="F1254" s="9">
        <f t="shared" si="338"/>
        <v>-366.49578140000006</v>
      </c>
      <c r="I1254">
        <v>1</v>
      </c>
      <c r="J1254">
        <f t="shared" si="333"/>
        <v>0.25795323433672918</v>
      </c>
      <c r="K1254">
        <f t="shared" si="339"/>
        <v>-1.9635420957323044</v>
      </c>
      <c r="O1254">
        <f t="shared" si="340"/>
        <v>-9.7634327946441821E-2</v>
      </c>
      <c r="P1254">
        <f t="shared" si="341"/>
        <v>-0.2356789963258655</v>
      </c>
      <c r="Q1254">
        <f t="shared" si="342"/>
        <v>0.96691413718968822</v>
      </c>
      <c r="R1254">
        <f t="shared" si="332"/>
        <v>1</v>
      </c>
      <c r="AG1254" s="8">
        <f t="shared" si="334"/>
        <v>0.35703959106638883</v>
      </c>
      <c r="AH1254" s="8">
        <f t="shared" si="335"/>
        <v>-0.20715464928352326</v>
      </c>
      <c r="AI1254" s="8">
        <f t="shared" si="336"/>
        <v>0.91082911772261987</v>
      </c>
      <c r="AJ1254" s="8"/>
      <c r="AK1254" s="8"/>
      <c r="AL1254" s="8"/>
      <c r="AN1254" s="8">
        <f t="shared" si="343"/>
        <v>0.99999999999999989</v>
      </c>
      <c r="AO1254" s="8">
        <f t="shared" si="344"/>
        <v>5.7574512871532129</v>
      </c>
      <c r="AP1254" s="8">
        <f t="shared" si="345"/>
        <v>0.42550809382676946</v>
      </c>
      <c r="AQ1254" s="8"/>
      <c r="AR1254" s="8">
        <f t="shared" si="346"/>
        <v>329.87765950604251</v>
      </c>
      <c r="AS1254" s="8">
        <f t="shared" si="347"/>
        <v>65.620182075069465</v>
      </c>
    </row>
    <row r="1255" spans="1:45">
      <c r="A1255" s="19">
        <v>50.483766670000001</v>
      </c>
      <c r="B1255" s="19">
        <v>1111.9516940000001</v>
      </c>
      <c r="C1255" s="19">
        <v>-907.07347960000004</v>
      </c>
      <c r="E1255" s="9">
        <f t="shared" si="337"/>
        <v>-151.95169400000009</v>
      </c>
      <c r="F1255" s="9">
        <f t="shared" si="338"/>
        <v>-367.07347960000004</v>
      </c>
      <c r="I1255">
        <v>1</v>
      </c>
      <c r="J1255">
        <f t="shared" si="333"/>
        <v>0.25831894068514494</v>
      </c>
      <c r="K1255">
        <f t="shared" si="339"/>
        <v>-1.9632742072041833</v>
      </c>
      <c r="O1255">
        <f t="shared" si="340"/>
        <v>-9.7706429351302332E-2</v>
      </c>
      <c r="P1255">
        <f t="shared" si="341"/>
        <v>-0.23603184707683561</v>
      </c>
      <c r="Q1255">
        <f t="shared" si="342"/>
        <v>0.96682078009779882</v>
      </c>
      <c r="R1255">
        <f t="shared" si="332"/>
        <v>1</v>
      </c>
      <c r="AG1255" s="8">
        <f t="shared" si="334"/>
        <v>0.35738605143196989</v>
      </c>
      <c r="AH1255" s="8">
        <f t="shared" si="335"/>
        <v>-0.20709723801114982</v>
      </c>
      <c r="AI1255" s="8">
        <f t="shared" si="336"/>
        <v>0.91070628868478698</v>
      </c>
      <c r="AJ1255" s="8"/>
      <c r="AK1255" s="8"/>
      <c r="AL1255" s="8"/>
      <c r="AN1255" s="8">
        <f t="shared" si="343"/>
        <v>1</v>
      </c>
      <c r="AO1255" s="8">
        <f t="shared" si="344"/>
        <v>5.7579924473500688</v>
      </c>
      <c r="AP1255" s="8">
        <f t="shared" si="345"/>
        <v>0.42580555897705596</v>
      </c>
      <c r="AQ1255" s="8"/>
      <c r="AR1255" s="8">
        <f t="shared" si="346"/>
        <v>329.90866570136279</v>
      </c>
      <c r="AS1255" s="8">
        <f t="shared" si="347"/>
        <v>65.603138577405829</v>
      </c>
    </row>
    <row r="1256" spans="1:45">
      <c r="A1256" s="19">
        <v>50.51713333</v>
      </c>
      <c r="B1256" s="19">
        <v>1112.322445</v>
      </c>
      <c r="C1256" s="19">
        <v>-907.90651449999996</v>
      </c>
      <c r="E1256" s="9">
        <f t="shared" si="337"/>
        <v>-152.32244500000002</v>
      </c>
      <c r="F1256" s="9">
        <f t="shared" si="338"/>
        <v>-367.90651449999996</v>
      </c>
      <c r="I1256">
        <v>1</v>
      </c>
      <c r="J1256">
        <f t="shared" si="333"/>
        <v>0.2588923182503709</v>
      </c>
      <c r="K1256">
        <f t="shared" si="339"/>
        <v>-1.9633343344699434</v>
      </c>
      <c r="O1256">
        <f t="shared" si="340"/>
        <v>-9.7932664392285929E-2</v>
      </c>
      <c r="P1256">
        <f t="shared" si="341"/>
        <v>-0.23653812287653464</v>
      </c>
      <c r="Q1256">
        <f t="shared" si="342"/>
        <v>0.96667414865148504</v>
      </c>
      <c r="R1256">
        <f t="shared" si="332"/>
        <v>1</v>
      </c>
      <c r="AG1256" s="8">
        <f t="shared" si="334"/>
        <v>0.35791687600911493</v>
      </c>
      <c r="AH1256" s="8">
        <f t="shared" si="335"/>
        <v>-0.20712700925777</v>
      </c>
      <c r="AI1256" s="8">
        <f t="shared" si="336"/>
        <v>0.91049102790956027</v>
      </c>
      <c r="AJ1256" s="8"/>
      <c r="AK1256" s="8"/>
      <c r="AL1256" s="8"/>
      <c r="AN1256" s="8">
        <f t="shared" si="343"/>
        <v>1.0000000000000002</v>
      </c>
      <c r="AO1256" s="8">
        <f t="shared" si="344"/>
        <v>5.7585737511653141</v>
      </c>
      <c r="AP1256" s="8">
        <f t="shared" si="345"/>
        <v>0.42632640364664631</v>
      </c>
      <c r="AQ1256" s="8"/>
      <c r="AR1256" s="8">
        <f t="shared" si="346"/>
        <v>329.9419719565912</v>
      </c>
      <c r="AS1256" s="8">
        <f t="shared" si="347"/>
        <v>65.573296376056419</v>
      </c>
    </row>
    <row r="1257" spans="1:45">
      <c r="A1257" s="19">
        <v>50.5505</v>
      </c>
      <c r="B1257" s="19">
        <v>1112.8015170000001</v>
      </c>
      <c r="C1257" s="19">
        <v>-908.66854049999995</v>
      </c>
      <c r="E1257" s="9">
        <f t="shared" si="337"/>
        <v>-152.8015170000001</v>
      </c>
      <c r="F1257" s="9">
        <f t="shared" si="338"/>
        <v>-368.66854049999995</v>
      </c>
      <c r="I1257">
        <v>1</v>
      </c>
      <c r="J1257">
        <f t="shared" si="333"/>
        <v>0.25945035711031844</v>
      </c>
      <c r="K1257">
        <f t="shared" si="339"/>
        <v>-1.9637130381010661</v>
      </c>
      <c r="O1257">
        <f t="shared" si="340"/>
        <v>-9.8228763814202133E-2</v>
      </c>
      <c r="P1257">
        <f t="shared" si="341"/>
        <v>-0.2369993158543125</v>
      </c>
      <c r="Q1257">
        <f t="shared" si="342"/>
        <v>0.9665311346480886</v>
      </c>
      <c r="R1257">
        <f t="shared" si="332"/>
        <v>1</v>
      </c>
      <c r="AG1257" s="8">
        <f t="shared" si="334"/>
        <v>0.35842513420580274</v>
      </c>
      <c r="AH1257" s="8">
        <f t="shared" si="335"/>
        <v>-0.2072363140212885</v>
      </c>
      <c r="AI1257" s="8">
        <f t="shared" si="336"/>
        <v>0.91026618816718785</v>
      </c>
      <c r="AJ1257" s="8"/>
      <c r="AK1257" s="8"/>
      <c r="AL1257" s="8"/>
      <c r="AN1257" s="8">
        <f t="shared" si="343"/>
        <v>1</v>
      </c>
      <c r="AO1257" s="8">
        <f t="shared" si="344"/>
        <v>5.7589601288843486</v>
      </c>
      <c r="AP1257" s="8">
        <f t="shared" si="345"/>
        <v>0.42686978858488556</v>
      </c>
      <c r="AQ1257" s="8"/>
      <c r="AR1257" s="8">
        <f t="shared" si="346"/>
        <v>329.9641097691898</v>
      </c>
      <c r="AS1257" s="8">
        <f t="shared" si="347"/>
        <v>65.542162712444338</v>
      </c>
    </row>
    <row r="1258" spans="1:45">
      <c r="A1258" s="19">
        <v>50.583866669999999</v>
      </c>
      <c r="B1258" s="19">
        <v>1113.3966909999999</v>
      </c>
      <c r="C1258" s="19">
        <v>-909.50348140000006</v>
      </c>
      <c r="E1258" s="9">
        <f t="shared" si="337"/>
        <v>-153.39669099999992</v>
      </c>
      <c r="F1258" s="9">
        <f t="shared" si="338"/>
        <v>-369.50348140000006</v>
      </c>
      <c r="I1258">
        <v>1</v>
      </c>
      <c r="J1258">
        <f t="shared" si="333"/>
        <v>0.26007859162985653</v>
      </c>
      <c r="K1258">
        <f t="shared" si="339"/>
        <v>-1.964288258181375</v>
      </c>
      <c r="O1258">
        <f t="shared" si="340"/>
        <v>-9.8597868127118737E-2</v>
      </c>
      <c r="P1258">
        <f t="shared" si="341"/>
        <v>-0.23750352953564371</v>
      </c>
      <c r="Q1258">
        <f t="shared" si="342"/>
        <v>0.96636977077043285</v>
      </c>
      <c r="R1258">
        <f t="shared" si="332"/>
        <v>1</v>
      </c>
      <c r="AG1258" s="8">
        <f t="shared" si="334"/>
        <v>0.35899323168503255</v>
      </c>
      <c r="AH1258" s="8">
        <f t="shared" si="335"/>
        <v>-0.20739720511447229</v>
      </c>
      <c r="AI1258" s="8">
        <f t="shared" si="336"/>
        <v>0.910005636749049</v>
      </c>
      <c r="AJ1258" s="8"/>
      <c r="AK1258" s="8"/>
      <c r="AL1258" s="8"/>
      <c r="AN1258" s="8">
        <f t="shared" si="343"/>
        <v>1</v>
      </c>
      <c r="AO1258" s="8">
        <f t="shared" si="344"/>
        <v>5.7593100395359595</v>
      </c>
      <c r="AP1258" s="8">
        <f t="shared" si="345"/>
        <v>0.42749866938046166</v>
      </c>
      <c r="AQ1258" s="8"/>
      <c r="AR1258" s="8">
        <f t="shared" si="346"/>
        <v>329.98415817273377</v>
      </c>
      <c r="AS1258" s="8">
        <f t="shared" si="347"/>
        <v>65.506130497040999</v>
      </c>
    </row>
    <row r="1259" spans="1:45">
      <c r="A1259" s="19">
        <v>50.617233329999998</v>
      </c>
      <c r="B1259" s="19">
        <v>1113.9937239999999</v>
      </c>
      <c r="C1259" s="19">
        <v>-910.08531300000004</v>
      </c>
      <c r="E1259" s="9">
        <f t="shared" si="337"/>
        <v>-153.99372399999993</v>
      </c>
      <c r="F1259" s="9">
        <f t="shared" si="338"/>
        <v>-370.08531300000004</v>
      </c>
      <c r="I1259">
        <v>1</v>
      </c>
      <c r="J1259">
        <f t="shared" si="333"/>
        <v>0.26056030303999989</v>
      </c>
      <c r="K1259">
        <f t="shared" si="339"/>
        <v>-1.9651073312637688</v>
      </c>
      <c r="O1259">
        <f t="shared" si="340"/>
        <v>-9.8971192808106026E-2</v>
      </c>
      <c r="P1259">
        <f t="shared" si="341"/>
        <v>-0.23785245214520115</v>
      </c>
      <c r="Q1259">
        <f t="shared" si="342"/>
        <v>0.96624578343331236</v>
      </c>
      <c r="R1259">
        <f t="shared" si="332"/>
        <v>1</v>
      </c>
      <c r="AG1259" s="8">
        <f t="shared" si="334"/>
        <v>0.35941872388121665</v>
      </c>
      <c r="AH1259" s="8">
        <f t="shared" si="335"/>
        <v>-0.20761620155687899</v>
      </c>
      <c r="AI1259" s="8">
        <f t="shared" si="336"/>
        <v>0.90978771907225209</v>
      </c>
      <c r="AJ1259" s="8"/>
      <c r="AK1259" s="8"/>
      <c r="AL1259" s="8"/>
      <c r="AN1259" s="8">
        <f t="shared" si="343"/>
        <v>0.99999999999999989</v>
      </c>
      <c r="AO1259" s="8">
        <f t="shared" si="344"/>
        <v>5.7593659856610353</v>
      </c>
      <c r="AP1259" s="8">
        <f t="shared" si="345"/>
        <v>0.4280239812318416</v>
      </c>
      <c r="AQ1259" s="8"/>
      <c r="AR1259" s="8">
        <f t="shared" si="346"/>
        <v>329.98736364958074</v>
      </c>
      <c r="AS1259" s="8">
        <f t="shared" si="347"/>
        <v>65.476032345028713</v>
      </c>
    </row>
    <row r="1260" spans="1:45">
      <c r="A1260" s="19">
        <v>50.650599999999997</v>
      </c>
      <c r="B1260" s="19">
        <v>1113.968357</v>
      </c>
      <c r="C1260" s="19">
        <v>-910.86219210000002</v>
      </c>
      <c r="E1260" s="9">
        <f t="shared" si="337"/>
        <v>-153.96835699999997</v>
      </c>
      <c r="F1260" s="9">
        <f t="shared" si="338"/>
        <v>-370.86219210000002</v>
      </c>
      <c r="I1260">
        <v>1</v>
      </c>
      <c r="J1260">
        <f t="shared" si="333"/>
        <v>0.26100497853256543</v>
      </c>
      <c r="K1260">
        <f t="shared" si="339"/>
        <v>-1.9643057545861053</v>
      </c>
      <c r="O1260">
        <f t="shared" si="340"/>
        <v>-9.8945241893915459E-2</v>
      </c>
      <c r="P1260">
        <f t="shared" si="341"/>
        <v>-0.23832851127093771</v>
      </c>
      <c r="Q1260">
        <f t="shared" si="342"/>
        <v>0.9661311297240831</v>
      </c>
      <c r="R1260">
        <f t="shared" si="332"/>
        <v>1</v>
      </c>
      <c r="AG1260" s="8">
        <f t="shared" si="334"/>
        <v>0.35985216657958419</v>
      </c>
      <c r="AH1260" s="8">
        <f t="shared" si="335"/>
        <v>-0.20742591429557794</v>
      </c>
      <c r="AI1260" s="8">
        <f t="shared" si="336"/>
        <v>0.90965977611776527</v>
      </c>
      <c r="AJ1260" s="8"/>
      <c r="AK1260" s="8"/>
      <c r="AL1260" s="8"/>
      <c r="AN1260" s="8">
        <f t="shared" si="343"/>
        <v>1</v>
      </c>
      <c r="AO1260" s="8">
        <f t="shared" si="344"/>
        <v>5.7602846637941214</v>
      </c>
      <c r="AP1260" s="8">
        <f t="shared" si="345"/>
        <v>0.42833211859824716</v>
      </c>
      <c r="AQ1260" s="8"/>
      <c r="AR1260" s="8">
        <f t="shared" si="346"/>
        <v>330.04000002933753</v>
      </c>
      <c r="AS1260" s="8">
        <f t="shared" si="347"/>
        <v>65.458377374423407</v>
      </c>
    </row>
    <row r="1261" spans="1:45">
      <c r="A1261" s="19">
        <v>50.683966669999997</v>
      </c>
      <c r="B1261" s="19">
        <v>1114.912464</v>
      </c>
      <c r="C1261" s="19">
        <v>-911.69970120000005</v>
      </c>
      <c r="E1261" s="9">
        <f t="shared" si="337"/>
        <v>-154.912464</v>
      </c>
      <c r="F1261" s="9">
        <f t="shared" si="338"/>
        <v>-371.69970120000005</v>
      </c>
      <c r="I1261">
        <v>1</v>
      </c>
      <c r="J1261">
        <f t="shared" si="333"/>
        <v>0.26171854610437506</v>
      </c>
      <c r="K1261">
        <f t="shared" si="339"/>
        <v>-1.9656736099243561</v>
      </c>
      <c r="O1261">
        <f t="shared" si="340"/>
        <v>-9.9536331475141654E-2</v>
      </c>
      <c r="P1261">
        <f t="shared" si="341"/>
        <v>-0.23882923111890023</v>
      </c>
      <c r="Q1261">
        <f t="shared" si="342"/>
        <v>0.96594674650294554</v>
      </c>
      <c r="R1261">
        <f t="shared" si="332"/>
        <v>1</v>
      </c>
      <c r="AG1261" s="8">
        <f t="shared" si="334"/>
        <v>0.36047788753821369</v>
      </c>
      <c r="AH1261" s="8">
        <f t="shared" si="335"/>
        <v>-0.20779059747794326</v>
      </c>
      <c r="AI1261" s="8">
        <f t="shared" si="336"/>
        <v>0.90932874154276366</v>
      </c>
      <c r="AJ1261" s="8"/>
      <c r="AK1261" s="8"/>
      <c r="AL1261" s="8"/>
      <c r="AN1261" s="8">
        <f t="shared" si="343"/>
        <v>0.99999999999999989</v>
      </c>
      <c r="AO1261" s="8">
        <f t="shared" si="344"/>
        <v>5.7602763239482906</v>
      </c>
      <c r="AP1261" s="8">
        <f t="shared" si="345"/>
        <v>0.42912841781636368</v>
      </c>
      <c r="AQ1261" s="8"/>
      <c r="AR1261" s="8">
        <f t="shared" si="346"/>
        <v>330.0395221913696</v>
      </c>
      <c r="AS1261" s="8">
        <f t="shared" si="347"/>
        <v>65.41275278999575</v>
      </c>
    </row>
    <row r="1262" spans="1:45">
      <c r="A1262" s="19">
        <v>50.717333330000002</v>
      </c>
      <c r="B1262" s="19">
        <v>1114.9514360000001</v>
      </c>
      <c r="C1262" s="19">
        <v>-912.78566350000006</v>
      </c>
      <c r="E1262" s="9">
        <f t="shared" si="337"/>
        <v>-154.95143600000006</v>
      </c>
      <c r="F1262" s="9">
        <f t="shared" si="338"/>
        <v>-372.78566350000006</v>
      </c>
      <c r="I1262">
        <v>1</v>
      </c>
      <c r="J1262">
        <f t="shared" si="333"/>
        <v>0.26235757825155448</v>
      </c>
      <c r="K1262">
        <f t="shared" si="339"/>
        <v>-1.9647278951894029</v>
      </c>
      <c r="O1262">
        <f t="shared" si="340"/>
        <v>-9.9547324462802858E-2</v>
      </c>
      <c r="P1262">
        <f t="shared" si="341"/>
        <v>-0.23949320095049484</v>
      </c>
      <c r="Q1262">
        <f t="shared" si="342"/>
        <v>0.96578120549676438</v>
      </c>
      <c r="R1262">
        <f t="shared" si="332"/>
        <v>1</v>
      </c>
      <c r="AG1262" s="8">
        <f t="shared" si="334"/>
        <v>0.36109529554213171</v>
      </c>
      <c r="AH1262" s="8">
        <f t="shared" si="335"/>
        <v>-0.20756815242217219</v>
      </c>
      <c r="AI1262" s="8">
        <f t="shared" si="336"/>
        <v>0.9091345607980077</v>
      </c>
      <c r="AJ1262" s="8"/>
      <c r="AK1262" s="8"/>
      <c r="AL1262" s="8"/>
      <c r="AN1262" s="8">
        <f t="shared" si="343"/>
        <v>1</v>
      </c>
      <c r="AO1262" s="8">
        <f t="shared" si="344"/>
        <v>5.7614793297926497</v>
      </c>
      <c r="AP1262" s="8">
        <f t="shared" si="345"/>
        <v>0.42959487275155217</v>
      </c>
      <c r="AQ1262" s="8"/>
      <c r="AR1262" s="8">
        <f t="shared" si="346"/>
        <v>330.10844934898097</v>
      </c>
      <c r="AS1262" s="8">
        <f t="shared" si="347"/>
        <v>65.386026890876408</v>
      </c>
    </row>
    <row r="1263" spans="1:45">
      <c r="A1263" s="19">
        <v>50.750700000000002</v>
      </c>
      <c r="B1263" s="19">
        <v>1115.5417629999999</v>
      </c>
      <c r="C1263" s="19">
        <v>-913.63722719999998</v>
      </c>
      <c r="E1263" s="9">
        <f t="shared" si="337"/>
        <v>-155.54176299999995</v>
      </c>
      <c r="F1263" s="9">
        <f t="shared" si="338"/>
        <v>-373.63722719999998</v>
      </c>
      <c r="I1263">
        <v>1</v>
      </c>
      <c r="J1263">
        <f t="shared" si="333"/>
        <v>0.26299353283587679</v>
      </c>
      <c r="K1263">
        <f t="shared" si="339"/>
        <v>-1.9652671906349017</v>
      </c>
      <c r="O1263">
        <f t="shared" si="340"/>
        <v>-9.9912493891353454E-2</v>
      </c>
      <c r="P1263">
        <f t="shared" si="341"/>
        <v>-0.2400064552450924</v>
      </c>
      <c r="Q1263">
        <f t="shared" si="342"/>
        <v>0.96561607018788564</v>
      </c>
      <c r="R1263">
        <f t="shared" si="332"/>
        <v>1</v>
      </c>
      <c r="AG1263" s="8">
        <f t="shared" si="334"/>
        <v>0.36167046791259716</v>
      </c>
      <c r="AH1263" s="8">
        <f t="shared" si="335"/>
        <v>-0.20772190844399285</v>
      </c>
      <c r="AI1263" s="8">
        <f t="shared" si="336"/>
        <v>0.90887077265817529</v>
      </c>
      <c r="AJ1263" s="8"/>
      <c r="AK1263" s="8"/>
      <c r="AL1263" s="8"/>
      <c r="AN1263" s="8">
        <f t="shared" si="343"/>
        <v>1</v>
      </c>
      <c r="AO1263" s="8">
        <f t="shared" si="344"/>
        <v>5.7618469852663576</v>
      </c>
      <c r="AP1263" s="8">
        <f t="shared" si="345"/>
        <v>0.43022777665742873</v>
      </c>
      <c r="AQ1263" s="8"/>
      <c r="AR1263" s="8">
        <f t="shared" si="346"/>
        <v>330.12951445593933</v>
      </c>
      <c r="AS1263" s="8">
        <f t="shared" si="347"/>
        <v>65.34976416823234</v>
      </c>
    </row>
    <row r="1264" spans="1:45">
      <c r="A1264" s="19">
        <v>50.784066670000001</v>
      </c>
      <c r="B1264" s="19">
        <v>1115.7782850000001</v>
      </c>
      <c r="C1264" s="19">
        <v>-914.02879570000005</v>
      </c>
      <c r="E1264" s="9">
        <f t="shared" si="337"/>
        <v>-155.7782850000001</v>
      </c>
      <c r="F1264" s="9">
        <f t="shared" si="338"/>
        <v>-374.02879570000005</v>
      </c>
      <c r="I1264">
        <v>1</v>
      </c>
      <c r="J1264">
        <f t="shared" si="333"/>
        <v>0.2632774893383763</v>
      </c>
      <c r="K1264">
        <f t="shared" si="339"/>
        <v>-1.9654346987641487</v>
      </c>
      <c r="O1264">
        <f t="shared" si="340"/>
        <v>-0.10005811166038892</v>
      </c>
      <c r="P1264">
        <f t="shared" si="341"/>
        <v>-0.24024282334570182</v>
      </c>
      <c r="Q1264">
        <f t="shared" si="342"/>
        <v>0.96554221042989263</v>
      </c>
      <c r="R1264">
        <f t="shared" si="332"/>
        <v>1</v>
      </c>
      <c r="AG1264" s="8">
        <f t="shared" si="334"/>
        <v>0.36192914254038733</v>
      </c>
      <c r="AH1264" s="8">
        <f t="shared" si="335"/>
        <v>-0.20777209115911965</v>
      </c>
      <c r="AI1264" s="8">
        <f t="shared" si="336"/>
        <v>0.90875632262743922</v>
      </c>
      <c r="AJ1264" s="8"/>
      <c r="AK1264" s="8"/>
      <c r="AL1264" s="8"/>
      <c r="AN1264" s="8">
        <f t="shared" si="343"/>
        <v>0.99999999999999989</v>
      </c>
      <c r="AO1264" s="8">
        <f t="shared" si="344"/>
        <v>5.7620514159832528</v>
      </c>
      <c r="AP1264" s="8">
        <f t="shared" si="345"/>
        <v>0.43050210395183064</v>
      </c>
      <c r="AQ1264" s="8"/>
      <c r="AR1264" s="8">
        <f t="shared" si="346"/>
        <v>330.14122747322023</v>
      </c>
      <c r="AS1264" s="8">
        <f t="shared" si="347"/>
        <v>65.33404637205787</v>
      </c>
    </row>
    <row r="1265" spans="1:45">
      <c r="A1265" s="19">
        <v>50.81743333</v>
      </c>
      <c r="B1265" s="19">
        <v>1116.633114</v>
      </c>
      <c r="C1265" s="19">
        <v>-914.95632680000006</v>
      </c>
      <c r="E1265" s="9">
        <f t="shared" si="337"/>
        <v>-156.63311399999998</v>
      </c>
      <c r="F1265" s="9">
        <f t="shared" si="338"/>
        <v>-374.95632680000006</v>
      </c>
      <c r="I1265">
        <v>1</v>
      </c>
      <c r="J1265">
        <f t="shared" si="333"/>
        <v>0.26402116325507635</v>
      </c>
      <c r="K1265">
        <f t="shared" si="339"/>
        <v>-1.9664990610105462</v>
      </c>
      <c r="O1265">
        <f t="shared" si="340"/>
        <v>-0.10059050920030552</v>
      </c>
      <c r="P1265">
        <f t="shared" si="341"/>
        <v>-0.2407986847576061</v>
      </c>
      <c r="Q1265">
        <f t="shared" si="342"/>
        <v>0.96534840491805352</v>
      </c>
      <c r="R1265">
        <f t="shared" si="332"/>
        <v>1</v>
      </c>
      <c r="AG1265" s="8">
        <f t="shared" si="334"/>
        <v>0.3625895715783064</v>
      </c>
      <c r="AH1265" s="8">
        <f t="shared" si="335"/>
        <v>-0.20806350490855019</v>
      </c>
      <c r="AI1265" s="8">
        <f t="shared" si="336"/>
        <v>0.90842632090215758</v>
      </c>
      <c r="AJ1265" s="8"/>
      <c r="AK1265" s="8"/>
      <c r="AL1265" s="8"/>
      <c r="AN1265" s="8">
        <f t="shared" si="343"/>
        <v>0.99999999999999989</v>
      </c>
      <c r="AO1265" s="8">
        <f t="shared" si="344"/>
        <v>5.7622333907422476</v>
      </c>
      <c r="AP1265" s="8">
        <f t="shared" si="345"/>
        <v>0.4312921750865355</v>
      </c>
      <c r="AQ1265" s="8"/>
      <c r="AR1265" s="8">
        <f t="shared" si="346"/>
        <v>330.15165385888855</v>
      </c>
      <c r="AS1265" s="8">
        <f t="shared" si="347"/>
        <v>65.288778630524163</v>
      </c>
    </row>
    <row r="1266" spans="1:45">
      <c r="A1266" s="19">
        <v>50.8508</v>
      </c>
      <c r="B1266" s="19">
        <v>1117.37176</v>
      </c>
      <c r="C1266" s="19">
        <v>-915.78156509999997</v>
      </c>
      <c r="E1266" s="9">
        <f t="shared" si="337"/>
        <v>-157.37175999999999</v>
      </c>
      <c r="F1266" s="9">
        <f t="shared" si="338"/>
        <v>-375.78156509999997</v>
      </c>
      <c r="I1266">
        <v>1</v>
      </c>
      <c r="J1266">
        <f t="shared" si="333"/>
        <v>0.26467752508439413</v>
      </c>
      <c r="K1266">
        <f t="shared" si="339"/>
        <v>-1.967391233426893</v>
      </c>
      <c r="O1266">
        <f t="shared" si="340"/>
        <v>-0.10105003512049547</v>
      </c>
      <c r="P1266">
        <f t="shared" si="341"/>
        <v>-0.24129323044356732</v>
      </c>
      <c r="Q1266">
        <f t="shared" si="342"/>
        <v>0.96517690986899085</v>
      </c>
      <c r="R1266">
        <f t="shared" si="332"/>
        <v>1</v>
      </c>
      <c r="AG1266" s="8">
        <f t="shared" si="334"/>
        <v>0.36317320886421167</v>
      </c>
      <c r="AH1266" s="8">
        <f t="shared" si="335"/>
        <v>-0.20830975235454105</v>
      </c>
      <c r="AI1266" s="8">
        <f t="shared" si="336"/>
        <v>0.90813670085360021</v>
      </c>
      <c r="AJ1266" s="8"/>
      <c r="AK1266" s="8"/>
      <c r="AL1266" s="8"/>
      <c r="AN1266" s="8">
        <f t="shared" si="343"/>
        <v>0.99999999999999989</v>
      </c>
      <c r="AO1266" s="8">
        <f t="shared" si="344"/>
        <v>5.762417061414153</v>
      </c>
      <c r="AP1266" s="8">
        <f t="shared" si="345"/>
        <v>0.43198445078437042</v>
      </c>
      <c r="AQ1266" s="8"/>
      <c r="AR1266" s="8">
        <f t="shared" si="346"/>
        <v>330.16217741320906</v>
      </c>
      <c r="AS1266" s="8">
        <f t="shared" si="347"/>
        <v>65.249114154778752</v>
      </c>
    </row>
    <row r="1267" spans="1:45">
      <c r="A1267" s="19">
        <v>50.884166669999999</v>
      </c>
      <c r="B1267" s="19">
        <v>1117.8024310000001</v>
      </c>
      <c r="C1267" s="19">
        <v>-916.49313259999997</v>
      </c>
      <c r="E1267" s="9">
        <f t="shared" si="337"/>
        <v>-157.80243100000007</v>
      </c>
      <c r="F1267" s="9">
        <f t="shared" si="338"/>
        <v>-376.49313259999997</v>
      </c>
      <c r="I1267">
        <v>1</v>
      </c>
      <c r="J1267">
        <f t="shared" si="333"/>
        <v>0.2651934551345877</v>
      </c>
      <c r="K1267">
        <f t="shared" si="339"/>
        <v>-1.9676910154257909</v>
      </c>
      <c r="O1267">
        <f t="shared" si="340"/>
        <v>-0.10131484350577093</v>
      </c>
      <c r="P1267">
        <f t="shared" si="341"/>
        <v>-0.24172214945387288</v>
      </c>
      <c r="Q1267">
        <f t="shared" si="342"/>
        <v>0.9650418151296869</v>
      </c>
      <c r="R1267">
        <f t="shared" si="332"/>
        <v>1</v>
      </c>
      <c r="AG1267" s="8">
        <f t="shared" si="334"/>
        <v>0.36364265228018666</v>
      </c>
      <c r="AH1267" s="8">
        <f t="shared" si="335"/>
        <v>-0.20840113765552967</v>
      </c>
      <c r="AI1267" s="8">
        <f t="shared" si="336"/>
        <v>0.9079278535580414</v>
      </c>
      <c r="AJ1267" s="8"/>
      <c r="AK1267" s="8"/>
      <c r="AL1267" s="8"/>
      <c r="AN1267" s="8">
        <f t="shared" si="343"/>
        <v>1</v>
      </c>
      <c r="AO1267" s="8">
        <f t="shared" si="344"/>
        <v>5.7627852056764723</v>
      </c>
      <c r="AP1267" s="8">
        <f t="shared" si="345"/>
        <v>0.43248301183696936</v>
      </c>
      <c r="AQ1267" s="8"/>
      <c r="AR1267" s="8">
        <f t="shared" si="346"/>
        <v>330.18327052569191</v>
      </c>
      <c r="AS1267" s="8">
        <f t="shared" si="347"/>
        <v>65.220548710635228</v>
      </c>
    </row>
    <row r="1268" spans="1:45">
      <c r="A1268" s="19">
        <v>50.917533329999998</v>
      </c>
      <c r="B1268" s="19">
        <v>1117.8090569999999</v>
      </c>
      <c r="C1268" s="19">
        <v>-917.62211009999999</v>
      </c>
      <c r="E1268" s="9">
        <f t="shared" si="337"/>
        <v>-157.80905699999994</v>
      </c>
      <c r="F1268" s="9">
        <f t="shared" si="338"/>
        <v>-377.62211009999999</v>
      </c>
      <c r="I1268">
        <v>1</v>
      </c>
      <c r="J1268">
        <f t="shared" si="333"/>
        <v>0.26584796764684865</v>
      </c>
      <c r="K1268">
        <f t="shared" si="339"/>
        <v>-1.9666396258527092</v>
      </c>
      <c r="O1268">
        <f t="shared" si="340"/>
        <v>-0.10130417043927598</v>
      </c>
      <c r="P1268">
        <f t="shared" si="341"/>
        <v>-0.24241127429846729</v>
      </c>
      <c r="Q1268">
        <f t="shared" si="342"/>
        <v>0.96487006334770453</v>
      </c>
      <c r="R1268">
        <f t="shared" si="332"/>
        <v>1</v>
      </c>
      <c r="AG1268" s="8">
        <f t="shared" si="334"/>
        <v>0.36427714665729322</v>
      </c>
      <c r="AH1268" s="8">
        <f t="shared" si="335"/>
        <v>-0.20814966574449328</v>
      </c>
      <c r="AI1268" s="8">
        <f t="shared" si="336"/>
        <v>0.90773117004632842</v>
      </c>
      <c r="AJ1268" s="8"/>
      <c r="AK1268" s="8"/>
      <c r="AL1268" s="8"/>
      <c r="AN1268" s="8">
        <f t="shared" si="343"/>
        <v>0.99999999999999978</v>
      </c>
      <c r="AO1268" s="8">
        <f t="shared" si="344"/>
        <v>5.7640572049717429</v>
      </c>
      <c r="AP1268" s="8">
        <f t="shared" si="345"/>
        <v>0.43295204363707573</v>
      </c>
      <c r="AQ1268" s="8"/>
      <c r="AR1268" s="8">
        <f t="shared" si="346"/>
        <v>330.25615071685456</v>
      </c>
      <c r="AS1268" s="8">
        <f t="shared" si="347"/>
        <v>65.193675168031717</v>
      </c>
    </row>
    <row r="1269" spans="1:45">
      <c r="A1269" s="19">
        <v>50.950899999999997</v>
      </c>
      <c r="B1269" s="19">
        <v>1118.322435</v>
      </c>
      <c r="C1269" s="19">
        <v>-918.05011669999999</v>
      </c>
      <c r="E1269" s="9">
        <f t="shared" si="337"/>
        <v>-158.32243500000004</v>
      </c>
      <c r="F1269" s="9">
        <f t="shared" si="338"/>
        <v>-378.05011669999999</v>
      </c>
      <c r="I1269">
        <v>1</v>
      </c>
      <c r="J1269">
        <f t="shared" si="333"/>
        <v>0.2662196249528756</v>
      </c>
      <c r="K1269">
        <f t="shared" si="339"/>
        <v>-1.9673926718136803</v>
      </c>
      <c r="O1269">
        <f t="shared" si="340"/>
        <v>-0.10162520231575731</v>
      </c>
      <c r="P1269">
        <f t="shared" si="341"/>
        <v>-0.2426656689251474</v>
      </c>
      <c r="Q1269">
        <f t="shared" si="342"/>
        <v>0.9647723521014645</v>
      </c>
      <c r="R1269">
        <f t="shared" si="332"/>
        <v>1</v>
      </c>
      <c r="AG1269" s="8">
        <f t="shared" si="334"/>
        <v>0.36460053511839352</v>
      </c>
      <c r="AH1269" s="8">
        <f t="shared" si="335"/>
        <v>-0.20835350801578131</v>
      </c>
      <c r="AI1269" s="8">
        <f t="shared" si="336"/>
        <v>0.90755455234872739</v>
      </c>
      <c r="AJ1269" s="8"/>
      <c r="AK1269" s="8"/>
      <c r="AL1269" s="8"/>
      <c r="AN1269" s="8">
        <f t="shared" si="343"/>
        <v>1.0000000000000002</v>
      </c>
      <c r="AO1269" s="8">
        <f t="shared" si="344"/>
        <v>5.7640178037386427</v>
      </c>
      <c r="AP1269" s="8">
        <f t="shared" si="345"/>
        <v>0.43337281918697035</v>
      </c>
      <c r="AQ1269" s="8"/>
      <c r="AR1269" s="8">
        <f t="shared" si="346"/>
        <v>330.2538931924903</v>
      </c>
      <c r="AS1269" s="8">
        <f t="shared" si="347"/>
        <v>65.169566504900459</v>
      </c>
    </row>
    <row r="1270" spans="1:45">
      <c r="A1270" s="19">
        <v>50.984266669999997</v>
      </c>
      <c r="B1270" s="19">
        <v>1118.8787480000001</v>
      </c>
      <c r="C1270" s="19">
        <v>-918.7644497</v>
      </c>
      <c r="E1270" s="9">
        <f t="shared" si="337"/>
        <v>-158.87874800000009</v>
      </c>
      <c r="F1270" s="9">
        <f t="shared" si="338"/>
        <v>-378.7644497</v>
      </c>
      <c r="I1270">
        <v>1</v>
      </c>
      <c r="J1270">
        <f t="shared" si="333"/>
        <v>0.26676719710404156</v>
      </c>
      <c r="K1270">
        <f t="shared" si="339"/>
        <v>-1.9679701683703841</v>
      </c>
      <c r="O1270">
        <f t="shared" si="340"/>
        <v>-0.10196965559508402</v>
      </c>
      <c r="P1270">
        <f t="shared" si="341"/>
        <v>-0.24309406370429434</v>
      </c>
      <c r="Q1270">
        <f t="shared" si="342"/>
        <v>0.96462814883744319</v>
      </c>
      <c r="R1270">
        <f t="shared" si="332"/>
        <v>1</v>
      </c>
      <c r="AG1270" s="8">
        <f t="shared" si="334"/>
        <v>0.36509125533397235</v>
      </c>
      <c r="AH1270" s="8">
        <f t="shared" si="335"/>
        <v>-0.20851762587089023</v>
      </c>
      <c r="AI1270" s="8">
        <f t="shared" si="336"/>
        <v>0.90731955505203987</v>
      </c>
      <c r="AJ1270" s="8"/>
      <c r="AK1270" s="8"/>
      <c r="AL1270" s="8"/>
      <c r="AN1270" s="8">
        <f t="shared" si="343"/>
        <v>1</v>
      </c>
      <c r="AO1270" s="8">
        <f t="shared" si="344"/>
        <v>5.7642579846240887</v>
      </c>
      <c r="AP1270" s="8">
        <f t="shared" si="345"/>
        <v>0.43393208627018121</v>
      </c>
      <c r="AQ1270" s="8"/>
      <c r="AR1270" s="8">
        <f t="shared" si="346"/>
        <v>330.26765454354609</v>
      </c>
      <c r="AS1270" s="8">
        <f t="shared" si="347"/>
        <v>65.137522861411881</v>
      </c>
    </row>
    <row r="1271" spans="1:45">
      <c r="A1271" s="19">
        <v>51.017633330000002</v>
      </c>
      <c r="B1271" s="19">
        <v>1119.6483940000001</v>
      </c>
      <c r="C1271" s="19">
        <v>-919.55119260000004</v>
      </c>
      <c r="E1271" s="9">
        <f t="shared" si="337"/>
        <v>-159.64839400000005</v>
      </c>
      <c r="F1271" s="9">
        <f t="shared" si="338"/>
        <v>-379.55119260000004</v>
      </c>
      <c r="I1271">
        <v>1</v>
      </c>
      <c r="J1271">
        <f t="shared" si="333"/>
        <v>0.2674082970433091</v>
      </c>
      <c r="K1271">
        <f t="shared" si="339"/>
        <v>-1.968954750962969</v>
      </c>
      <c r="O1271">
        <f t="shared" si="340"/>
        <v>-0.1024487071930722</v>
      </c>
      <c r="P1271">
        <f t="shared" si="341"/>
        <v>-0.24356354624813045</v>
      </c>
      <c r="Q1271">
        <f t="shared" si="342"/>
        <v>0.96445894745888638</v>
      </c>
      <c r="R1271">
        <f t="shared" si="332"/>
        <v>1</v>
      </c>
      <c r="AG1271" s="8">
        <f t="shared" si="334"/>
        <v>0.36565685770638573</v>
      </c>
      <c r="AH1271" s="8">
        <f t="shared" si="335"/>
        <v>-0.20879011608669143</v>
      </c>
      <c r="AI1271" s="8">
        <f t="shared" si="336"/>
        <v>0.90702907882647166</v>
      </c>
      <c r="AJ1271" s="8"/>
      <c r="AK1271" s="8"/>
      <c r="AL1271" s="8"/>
      <c r="AN1271" s="8">
        <f t="shared" si="343"/>
        <v>0.99999999999999989</v>
      </c>
      <c r="AO1271" s="8">
        <f t="shared" si="344"/>
        <v>5.7643622256880596</v>
      </c>
      <c r="AP1271" s="8">
        <f t="shared" si="345"/>
        <v>0.43462245553753553</v>
      </c>
      <c r="AQ1271" s="8"/>
      <c r="AR1271" s="8">
        <f t="shared" si="346"/>
        <v>330.27362711656355</v>
      </c>
      <c r="AS1271" s="8">
        <f t="shared" si="347"/>
        <v>65.097967616086947</v>
      </c>
    </row>
    <row r="1272" spans="1:45">
      <c r="A1272" s="19">
        <v>51.051000000000002</v>
      </c>
      <c r="B1272" s="19">
        <v>1119.6630339999999</v>
      </c>
      <c r="C1272" s="19">
        <v>-920.23042539999994</v>
      </c>
      <c r="E1272" s="9">
        <f t="shared" si="337"/>
        <v>-159.66303399999993</v>
      </c>
      <c r="F1272" s="9">
        <f t="shared" si="338"/>
        <v>-380.23042539999994</v>
      </c>
      <c r="I1272">
        <v>1</v>
      </c>
      <c r="J1272">
        <f t="shared" si="333"/>
        <v>0.26780400884441097</v>
      </c>
      <c r="K1272">
        <f t="shared" si="339"/>
        <v>-1.9683488756490763</v>
      </c>
      <c r="O1272">
        <f t="shared" si="340"/>
        <v>-0.10244887111913341</v>
      </c>
      <c r="P1272">
        <f t="shared" si="341"/>
        <v>-0.24397743717796253</v>
      </c>
      <c r="Q1272">
        <f t="shared" si="342"/>
        <v>0.96435431193855747</v>
      </c>
      <c r="R1272">
        <f t="shared" si="332"/>
        <v>1</v>
      </c>
      <c r="AG1272" s="8">
        <f t="shared" si="334"/>
        <v>0.36603965589502541</v>
      </c>
      <c r="AH1272" s="8">
        <f t="shared" si="335"/>
        <v>-0.20864493053102379</v>
      </c>
      <c r="AI1272" s="8">
        <f t="shared" si="336"/>
        <v>0.90690807873563228</v>
      </c>
      <c r="AJ1272" s="8"/>
      <c r="AK1272" s="8"/>
      <c r="AL1272" s="8"/>
      <c r="AN1272" s="8">
        <f t="shared" si="343"/>
        <v>1.0000000000000002</v>
      </c>
      <c r="AO1272" s="8">
        <f t="shared" si="344"/>
        <v>5.7651119811395626</v>
      </c>
      <c r="AP1272" s="8">
        <f t="shared" si="345"/>
        <v>0.43490973139010425</v>
      </c>
      <c r="AQ1272" s="8"/>
      <c r="AR1272" s="8">
        <f t="shared" si="346"/>
        <v>330.31658493960157</v>
      </c>
      <c r="AS1272" s="8">
        <f t="shared" si="347"/>
        <v>65.08150792217873</v>
      </c>
    </row>
    <row r="1273" spans="1:45">
      <c r="A1273" s="21">
        <v>51.084366670000001</v>
      </c>
      <c r="B1273" s="21">
        <v>1119.9660449999999</v>
      </c>
      <c r="C1273" s="21">
        <v>-920.94956660000003</v>
      </c>
      <c r="E1273" s="9">
        <f t="shared" si="337"/>
        <v>-159.96604499999989</v>
      </c>
      <c r="F1273" s="9">
        <f t="shared" si="338"/>
        <v>-380.94956660000003</v>
      </c>
      <c r="I1273">
        <v>1</v>
      </c>
      <c r="J1273">
        <f t="shared" ref="J1273:J1336" si="348">ATAN((SQRT(E1273^2+F1273^2)^$B$16)/($F$24))</f>
        <v>0.26829262485707323</v>
      </c>
      <c r="K1273">
        <f t="shared" ref="K1273:K1336" si="349">ATAN2(E1273,F1273)</f>
        <v>-1.9683511864491736</v>
      </c>
      <c r="O1273">
        <f t="shared" ref="O1273:O1336" si="350">COS(K1273)*SIN(J1273)</f>
        <v>-0.1026318544367327</v>
      </c>
      <c r="P1273">
        <f t="shared" ref="P1273:P1336" si="351">SIN(K1273)*SIN(J1273)</f>
        <v>-0.24441162164775446</v>
      </c>
      <c r="Q1273">
        <f t="shared" ref="Q1273:Q1336" si="352">COS(J1273)</f>
        <v>0.96422490201113986</v>
      </c>
      <c r="R1273">
        <f t="shared" ref="R1273:R1336" si="353">SQRT(O1273^2+P1273^2+Q1273^2)</f>
        <v>1</v>
      </c>
      <c r="AG1273" s="8">
        <f t="shared" si="334"/>
        <v>0.36649134291515051</v>
      </c>
      <c r="AH1273" s="8">
        <f t="shared" si="335"/>
        <v>-0.20865945258494481</v>
      </c>
      <c r="AI1273" s="8">
        <f t="shared" si="336"/>
        <v>0.9067222995025549</v>
      </c>
      <c r="AJ1273" s="8"/>
      <c r="AK1273" s="8"/>
      <c r="AL1273" s="8"/>
      <c r="AN1273" s="8">
        <f t="shared" ref="AN1273:AN1336" si="354">AG1273^2+AH1273^2+AI1273^2</f>
        <v>1</v>
      </c>
      <c r="AO1273" s="8">
        <f t="shared" ref="AO1273:AO1336" si="355">IF(ATAN2(AG1273,AH1273)&gt;=0,ATAN2(AG1273,AH1273),ATAN2(AG1273,AH1273)+2*PI())</f>
        <v>5.7656124510743005</v>
      </c>
      <c r="AP1273" s="8">
        <f t="shared" ref="AP1273:AP1336" si="356">ACOS(AI1273/AN1273)</f>
        <v>0.43535045909574555</v>
      </c>
      <c r="AQ1273" s="8"/>
      <c r="AR1273" s="8">
        <f t="shared" ref="AR1273:AR1336" si="357">DEGREES(AO1273)</f>
        <v>330.34525975463526</v>
      </c>
      <c r="AS1273" s="8">
        <f t="shared" ref="AS1273:AS1336" si="358">90-DEGREES(AP1273)</f>
        <v>65.056256084731004</v>
      </c>
    </row>
    <row r="1274" spans="1:45">
      <c r="A1274" s="21">
        <v>51.11773333</v>
      </c>
      <c r="B1274" s="21">
        <v>1120.7005180000001</v>
      </c>
      <c r="C1274" s="21">
        <v>-921.81903120000004</v>
      </c>
      <c r="E1274" s="9">
        <f t="shared" si="337"/>
        <v>-160.7005180000001</v>
      </c>
      <c r="F1274" s="9">
        <f t="shared" si="338"/>
        <v>-381.81903120000004</v>
      </c>
      <c r="I1274">
        <v>1</v>
      </c>
      <c r="J1274">
        <f t="shared" si="348"/>
        <v>0.26897250397475281</v>
      </c>
      <c r="K1274">
        <f t="shared" si="349"/>
        <v>-1.9691732943020488</v>
      </c>
      <c r="O1274">
        <f t="shared" si="350"/>
        <v>-0.10308703400130385</v>
      </c>
      <c r="P1274">
        <f t="shared" si="351"/>
        <v>-0.244931329043129</v>
      </c>
      <c r="Q1274">
        <f t="shared" si="352"/>
        <v>0.96404445305907993</v>
      </c>
      <c r="R1274">
        <f t="shared" si="353"/>
        <v>1</v>
      </c>
      <c r="AG1274" s="8">
        <f t="shared" si="334"/>
        <v>0.36709672580103431</v>
      </c>
      <c r="AH1274" s="8">
        <f t="shared" si="335"/>
        <v>-0.20889230559592376</v>
      </c>
      <c r="AI1274" s="8">
        <f t="shared" si="336"/>
        <v>0.90642374117681823</v>
      </c>
      <c r="AJ1274" s="8"/>
      <c r="AK1274" s="8"/>
      <c r="AL1274" s="8"/>
      <c r="AN1274" s="8">
        <f t="shared" si="354"/>
        <v>1.0000000000000002</v>
      </c>
      <c r="AO1274" s="8">
        <f t="shared" si="355"/>
        <v>5.7658425154624044</v>
      </c>
      <c r="AP1274" s="8">
        <f t="shared" si="356"/>
        <v>0.43605786135899804</v>
      </c>
      <c r="AQ1274" s="8"/>
      <c r="AR1274" s="8">
        <f t="shared" si="357"/>
        <v>330.3584414730899</v>
      </c>
      <c r="AS1274" s="8">
        <f t="shared" si="358"/>
        <v>65.015724920628628</v>
      </c>
    </row>
    <row r="1275" spans="1:45">
      <c r="A1275" s="21">
        <v>51.1511</v>
      </c>
      <c r="B1275" s="21">
        <v>1120.900136</v>
      </c>
      <c r="C1275" s="21">
        <v>-922.49398099999996</v>
      </c>
      <c r="E1275" s="9">
        <f t="shared" si="337"/>
        <v>-160.90013599999997</v>
      </c>
      <c r="F1275" s="9">
        <f t="shared" si="338"/>
        <v>-382.49398099999996</v>
      </c>
      <c r="I1275">
        <v>1</v>
      </c>
      <c r="J1275">
        <f t="shared" si="348"/>
        <v>0.26941025632529553</v>
      </c>
      <c r="K1275">
        <f t="shared" si="349"/>
        <v>-1.9689857038999043</v>
      </c>
      <c r="O1275">
        <f t="shared" si="350"/>
        <v>-0.1032047109820781</v>
      </c>
      <c r="P1275">
        <f t="shared" si="351"/>
        <v>-0.24533963576941592</v>
      </c>
      <c r="Q1275">
        <f t="shared" si="352"/>
        <v>0.9639280319358059</v>
      </c>
      <c r="R1275">
        <f t="shared" si="353"/>
        <v>1</v>
      </c>
      <c r="AG1275" s="8">
        <f t="shared" si="334"/>
        <v>0.36750651571794124</v>
      </c>
      <c r="AH1275" s="8">
        <f t="shared" si="335"/>
        <v>-0.20885620821113082</v>
      </c>
      <c r="AI1275" s="8">
        <f t="shared" si="336"/>
        <v>0.90626599031218602</v>
      </c>
      <c r="AJ1275" s="8"/>
      <c r="AK1275" s="8"/>
      <c r="AL1275" s="8"/>
      <c r="AN1275" s="8">
        <f t="shared" si="354"/>
        <v>0.99999999999999989</v>
      </c>
      <c r="AO1275" s="8">
        <f t="shared" si="355"/>
        <v>5.7663961941610884</v>
      </c>
      <c r="AP1275" s="8">
        <f t="shared" si="356"/>
        <v>0.43643120198873908</v>
      </c>
      <c r="AQ1275" s="8"/>
      <c r="AR1275" s="8">
        <f t="shared" si="357"/>
        <v>330.39016492573074</v>
      </c>
      <c r="AS1275" s="8">
        <f t="shared" si="358"/>
        <v>64.994334078223716</v>
      </c>
    </row>
    <row r="1276" spans="1:45">
      <c r="A1276" s="21">
        <v>51.184466669999999</v>
      </c>
      <c r="B1276" s="21">
        <v>1121.641216</v>
      </c>
      <c r="C1276" s="21">
        <v>-923.57277520000002</v>
      </c>
      <c r="E1276" s="9">
        <f t="shared" si="337"/>
        <v>-161.64121599999999</v>
      </c>
      <c r="F1276" s="9">
        <f t="shared" si="338"/>
        <v>-383.57277520000002</v>
      </c>
      <c r="I1276">
        <v>1</v>
      </c>
      <c r="J1276">
        <f t="shared" si="348"/>
        <v>0.27021213970969621</v>
      </c>
      <c r="K1276">
        <f t="shared" si="349"/>
        <v>-1.9696218721635308</v>
      </c>
      <c r="O1276">
        <f t="shared" si="350"/>
        <v>-0.10366090173731088</v>
      </c>
      <c r="P1276">
        <f t="shared" si="351"/>
        <v>-0.24598614600322519</v>
      </c>
      <c r="Q1276">
        <f t="shared" si="352"/>
        <v>0.96371429035035461</v>
      </c>
      <c r="R1276">
        <f t="shared" si="353"/>
        <v>1</v>
      </c>
      <c r="AG1276" s="8">
        <f t="shared" si="334"/>
        <v>0.3682293164272637</v>
      </c>
      <c r="AH1276" s="8">
        <f t="shared" si="335"/>
        <v>-0.20904523869150898</v>
      </c>
      <c r="AI1276" s="8">
        <f t="shared" si="336"/>
        <v>0.9059289479335122</v>
      </c>
      <c r="AJ1276" s="8"/>
      <c r="AK1276" s="8"/>
      <c r="AL1276" s="8"/>
      <c r="AN1276" s="8">
        <f t="shared" si="354"/>
        <v>1</v>
      </c>
      <c r="AO1276" s="8">
        <f t="shared" si="355"/>
        <v>5.7668514866974396</v>
      </c>
      <c r="AP1276" s="8">
        <f t="shared" si="356"/>
        <v>0.43722786284645743</v>
      </c>
      <c r="AQ1276" s="8"/>
      <c r="AR1276" s="8">
        <f t="shared" si="357"/>
        <v>330.41625126650752</v>
      </c>
      <c r="AS1276" s="8">
        <f t="shared" si="358"/>
        <v>64.948688773373178</v>
      </c>
    </row>
    <row r="1277" spans="1:45">
      <c r="A1277" s="21">
        <v>51.217833329999998</v>
      </c>
      <c r="B1277" s="21">
        <v>1121.9154550000001</v>
      </c>
      <c r="C1277" s="21">
        <v>-924.17960219999998</v>
      </c>
      <c r="E1277" s="9">
        <f t="shared" si="337"/>
        <v>-161.91545500000007</v>
      </c>
      <c r="F1277" s="9">
        <f t="shared" si="338"/>
        <v>-384.17960219999998</v>
      </c>
      <c r="I1277">
        <v>1</v>
      </c>
      <c r="J1277">
        <f t="shared" si="348"/>
        <v>0.27062845632215943</v>
      </c>
      <c r="K1277">
        <f t="shared" si="349"/>
        <v>-1.9696628001609702</v>
      </c>
      <c r="O1277">
        <f t="shared" si="350"/>
        <v>-0.10382678003727917</v>
      </c>
      <c r="P1277">
        <f t="shared" si="351"/>
        <v>-0.24635159782881011</v>
      </c>
      <c r="Q1277">
        <f t="shared" si="352"/>
        <v>0.96360307699502634</v>
      </c>
      <c r="R1277">
        <f t="shared" si="353"/>
        <v>1</v>
      </c>
      <c r="AG1277" s="8">
        <f t="shared" si="334"/>
        <v>0.36861264221720896</v>
      </c>
      <c r="AH1277" s="8">
        <f t="shared" si="335"/>
        <v>-0.20906808991157702</v>
      </c>
      <c r="AI1277" s="8">
        <f t="shared" si="336"/>
        <v>0.9057677703354059</v>
      </c>
      <c r="AJ1277" s="8"/>
      <c r="AK1277" s="8"/>
      <c r="AL1277" s="8"/>
      <c r="AN1277" s="8">
        <f t="shared" si="354"/>
        <v>1</v>
      </c>
      <c r="AO1277" s="8">
        <f t="shared" si="355"/>
        <v>5.7672511660880659</v>
      </c>
      <c r="AP1277" s="8">
        <f t="shared" si="356"/>
        <v>0.43760835578409552</v>
      </c>
      <c r="AQ1277" s="8"/>
      <c r="AR1277" s="8">
        <f t="shared" si="357"/>
        <v>330.43915120874874</v>
      </c>
      <c r="AS1277" s="8">
        <f t="shared" si="358"/>
        <v>64.926888133911973</v>
      </c>
    </row>
    <row r="1278" spans="1:45">
      <c r="A1278" s="21">
        <v>51.251199999999997</v>
      </c>
      <c r="B1278" s="21">
        <v>1122.6579919999999</v>
      </c>
      <c r="C1278" s="21">
        <v>-924.93372880000004</v>
      </c>
      <c r="E1278" s="9">
        <f t="shared" si="337"/>
        <v>-162.65799199999992</v>
      </c>
      <c r="F1278" s="9">
        <f t="shared" si="338"/>
        <v>-384.93372880000004</v>
      </c>
      <c r="I1278">
        <v>1</v>
      </c>
      <c r="J1278">
        <f t="shared" si="348"/>
        <v>0.27124335513354719</v>
      </c>
      <c r="K1278">
        <f t="shared" si="349"/>
        <v>-1.9705993302610414</v>
      </c>
      <c r="O1278">
        <f t="shared" si="350"/>
        <v>-0.10428806048432775</v>
      </c>
      <c r="P1278">
        <f t="shared" si="351"/>
        <v>-0.24679999733153143</v>
      </c>
      <c r="Q1278">
        <f t="shared" si="352"/>
        <v>0.9634385095882213</v>
      </c>
      <c r="R1278">
        <f t="shared" si="353"/>
        <v>1</v>
      </c>
      <c r="AG1278" s="8">
        <f t="shared" si="334"/>
        <v>0.36915359335844145</v>
      </c>
      <c r="AH1278" s="8">
        <f t="shared" si="335"/>
        <v>-0.2093312616564644</v>
      </c>
      <c r="AI1278" s="8">
        <f t="shared" si="336"/>
        <v>0.90548663568484711</v>
      </c>
      <c r="AJ1278" s="8"/>
      <c r="AK1278" s="8"/>
      <c r="AL1278" s="8"/>
      <c r="AN1278" s="8">
        <f t="shared" si="354"/>
        <v>0.99999999999999978</v>
      </c>
      <c r="AO1278" s="8">
        <f t="shared" si="355"/>
        <v>5.7673406192905441</v>
      </c>
      <c r="AP1278" s="8">
        <f t="shared" si="356"/>
        <v>0.43827129255462416</v>
      </c>
      <c r="AQ1278" s="8"/>
      <c r="AR1278" s="8">
        <f t="shared" si="357"/>
        <v>330.44427649971465</v>
      </c>
      <c r="AS1278" s="8">
        <f t="shared" si="358"/>
        <v>64.888904654876654</v>
      </c>
    </row>
    <row r="1279" spans="1:45">
      <c r="A1279" s="21">
        <v>51.284566669999997</v>
      </c>
      <c r="B1279" s="21">
        <v>1123.3812250000001</v>
      </c>
      <c r="C1279" s="21">
        <v>-925.76833569999997</v>
      </c>
      <c r="E1279" s="9">
        <f t="shared" si="337"/>
        <v>-163.38122500000009</v>
      </c>
      <c r="F1279" s="9">
        <f t="shared" si="338"/>
        <v>-385.76833569999997</v>
      </c>
      <c r="I1279">
        <v>1</v>
      </c>
      <c r="J1279">
        <f t="shared" si="348"/>
        <v>0.27189989398404174</v>
      </c>
      <c r="K1279">
        <f t="shared" si="349"/>
        <v>-1.9714140949223904</v>
      </c>
      <c r="O1279">
        <f t="shared" si="350"/>
        <v>-0.10473576774999084</v>
      </c>
      <c r="P1279">
        <f t="shared" si="351"/>
        <v>-0.24729734284447724</v>
      </c>
      <c r="Q1279">
        <f t="shared" si="352"/>
        <v>0.96326239580702055</v>
      </c>
      <c r="R1279">
        <f t="shared" si="353"/>
        <v>1</v>
      </c>
      <c r="AG1279" s="8">
        <f t="shared" si="334"/>
        <v>0.36973601842066689</v>
      </c>
      <c r="AH1279" s="8">
        <f t="shared" si="335"/>
        <v>-0.20956473741527093</v>
      </c>
      <c r="AI1279" s="8">
        <f t="shared" si="336"/>
        <v>0.90519495000497041</v>
      </c>
      <c r="AJ1279" s="8"/>
      <c r="AK1279" s="8"/>
      <c r="AL1279" s="8"/>
      <c r="AN1279" s="8">
        <f t="shared" si="354"/>
        <v>1</v>
      </c>
      <c r="AO1279" s="8">
        <f t="shared" si="355"/>
        <v>5.7675387329913415</v>
      </c>
      <c r="AP1279" s="8">
        <f t="shared" si="356"/>
        <v>0.43895811972786536</v>
      </c>
      <c r="AQ1279" s="8"/>
      <c r="AR1279" s="8">
        <f t="shared" si="357"/>
        <v>330.45562757863411</v>
      </c>
      <c r="AS1279" s="8">
        <f t="shared" si="358"/>
        <v>64.849552356595041</v>
      </c>
    </row>
    <row r="1280" spans="1:45">
      <c r="A1280" s="21">
        <v>51.317933330000002</v>
      </c>
      <c r="B1280" s="21">
        <v>1123.4097939999999</v>
      </c>
      <c r="C1280" s="21">
        <v>-926.5221421</v>
      </c>
      <c r="E1280" s="9">
        <f t="shared" si="337"/>
        <v>-163.40979399999992</v>
      </c>
      <c r="F1280" s="9">
        <f t="shared" si="338"/>
        <v>-386.5221421</v>
      </c>
      <c r="I1280">
        <v>1</v>
      </c>
      <c r="J1280">
        <f t="shared" si="348"/>
        <v>0.27234062322934655</v>
      </c>
      <c r="K1280">
        <f t="shared" si="349"/>
        <v>-1.9707762513837399</v>
      </c>
      <c r="O1280">
        <f t="shared" si="350"/>
        <v>-0.10474331427940214</v>
      </c>
      <c r="P1280">
        <f t="shared" si="351"/>
        <v>-0.24775510215702293</v>
      </c>
      <c r="Q1280">
        <f t="shared" si="352"/>
        <v>0.96314393912277174</v>
      </c>
      <c r="R1280">
        <f t="shared" si="353"/>
        <v>1</v>
      </c>
      <c r="AG1280" s="8">
        <f t="shared" si="334"/>
        <v>0.37016119865544334</v>
      </c>
      <c r="AH1280" s="8">
        <f t="shared" si="335"/>
        <v>-0.20941050925127794</v>
      </c>
      <c r="AI1280" s="8">
        <f t="shared" si="336"/>
        <v>0.90505686319981338</v>
      </c>
      <c r="AJ1280" s="8"/>
      <c r="AK1280" s="8"/>
      <c r="AL1280" s="8"/>
      <c r="AN1280" s="8">
        <f t="shared" si="354"/>
        <v>0.99999999999999989</v>
      </c>
      <c r="AO1280" s="8">
        <f t="shared" si="355"/>
        <v>5.7683471916152778</v>
      </c>
      <c r="AP1280" s="8">
        <f t="shared" si="356"/>
        <v>0.43928292012286962</v>
      </c>
      <c r="AQ1280" s="8"/>
      <c r="AR1280" s="8">
        <f t="shared" si="357"/>
        <v>330.50194884569657</v>
      </c>
      <c r="AS1280" s="8">
        <f t="shared" si="358"/>
        <v>64.830942664777112</v>
      </c>
    </row>
    <row r="1281" spans="1:45">
      <c r="A1281" s="21">
        <v>51.351300000000002</v>
      </c>
      <c r="B1281" s="21">
        <v>1123.086352</v>
      </c>
      <c r="C1281" s="21">
        <v>-927.25264170000003</v>
      </c>
      <c r="E1281" s="9">
        <f t="shared" si="337"/>
        <v>-163.08635200000003</v>
      </c>
      <c r="F1281" s="9">
        <f t="shared" si="338"/>
        <v>-387.25264170000003</v>
      </c>
      <c r="I1281">
        <v>1</v>
      </c>
      <c r="J1281">
        <f t="shared" si="348"/>
        <v>0.27268252699421658</v>
      </c>
      <c r="K1281">
        <f t="shared" si="349"/>
        <v>-1.9693902939668919</v>
      </c>
      <c r="O1281">
        <f t="shared" si="350"/>
        <v>-0.10452763952540768</v>
      </c>
      <c r="P1281">
        <f t="shared" si="351"/>
        <v>-0.24820350716336737</v>
      </c>
      <c r="Q1281">
        <f t="shared" si="352"/>
        <v>0.96305191532287115</v>
      </c>
      <c r="R1281">
        <f t="shared" si="353"/>
        <v>1</v>
      </c>
      <c r="AG1281" s="8">
        <f t="shared" si="334"/>
        <v>0.37051653857978467</v>
      </c>
      <c r="AH1281" s="8">
        <f t="shared" si="335"/>
        <v>-0.20905587902066808</v>
      </c>
      <c r="AI1281" s="8">
        <f t="shared" si="336"/>
        <v>0.90499344422252614</v>
      </c>
      <c r="AJ1281" s="8"/>
      <c r="AK1281" s="8"/>
      <c r="AL1281" s="8"/>
      <c r="AN1281" s="8">
        <f t="shared" si="354"/>
        <v>0.99999999999999978</v>
      </c>
      <c r="AO1281" s="8">
        <f t="shared" si="355"/>
        <v>5.7694840010042752</v>
      </c>
      <c r="AP1281" s="8">
        <f t="shared" si="356"/>
        <v>0.43943201563914047</v>
      </c>
      <c r="AQ1281" s="8"/>
      <c r="AR1281" s="8">
        <f t="shared" si="357"/>
        <v>330.56708322579698</v>
      </c>
      <c r="AS1281" s="8">
        <f t="shared" si="358"/>
        <v>64.822400120950462</v>
      </c>
    </row>
    <row r="1282" spans="1:45">
      <c r="A1282" s="21">
        <v>51.384666670000001</v>
      </c>
      <c r="B1282" s="21">
        <v>1124.347992</v>
      </c>
      <c r="C1282" s="21">
        <v>-928.01543279999999</v>
      </c>
      <c r="E1282" s="9">
        <f t="shared" si="337"/>
        <v>-164.34799199999998</v>
      </c>
      <c r="F1282" s="9">
        <f t="shared" si="338"/>
        <v>-388.01543279999999</v>
      </c>
      <c r="I1282">
        <v>1</v>
      </c>
      <c r="J1282">
        <f t="shared" si="348"/>
        <v>0.2734279513589386</v>
      </c>
      <c r="K1282">
        <f t="shared" si="349"/>
        <v>-1.9714470323290321</v>
      </c>
      <c r="O1282">
        <f t="shared" si="350"/>
        <v>-0.10531786530239691</v>
      </c>
      <c r="P1282">
        <f t="shared" si="351"/>
        <v>-0.24864895877086013</v>
      </c>
      <c r="Q1282">
        <f t="shared" si="352"/>
        <v>0.96285089320741313</v>
      </c>
      <c r="R1282">
        <f t="shared" si="353"/>
        <v>1</v>
      </c>
      <c r="AG1282" s="8">
        <f t="shared" si="334"/>
        <v>0.37114474697677452</v>
      </c>
      <c r="AH1282" s="8">
        <f t="shared" si="335"/>
        <v>-0.2096199092174193</v>
      </c>
      <c r="AI1282" s="8">
        <f t="shared" si="336"/>
        <v>0.90460547779196365</v>
      </c>
      <c r="AJ1282" s="8"/>
      <c r="AK1282" s="8"/>
      <c r="AL1282" s="8"/>
      <c r="AN1282" s="8">
        <f t="shared" si="354"/>
        <v>1</v>
      </c>
      <c r="AO1282" s="8">
        <f t="shared" si="355"/>
        <v>5.7690557838122247</v>
      </c>
      <c r="AP1282" s="8">
        <f t="shared" si="356"/>
        <v>0.44034308204762218</v>
      </c>
      <c r="AQ1282" s="8"/>
      <c r="AR1282" s="8">
        <f t="shared" si="357"/>
        <v>330.54254818797756</v>
      </c>
      <c r="AS1282" s="8">
        <f t="shared" si="358"/>
        <v>64.770199860888326</v>
      </c>
    </row>
    <row r="1283" spans="1:45">
      <c r="A1283" s="21">
        <v>51.41803333</v>
      </c>
      <c r="B1283" s="21">
        <v>1124.8440330000001</v>
      </c>
      <c r="C1283" s="21">
        <v>-928.89244010000004</v>
      </c>
      <c r="E1283" s="9">
        <f t="shared" si="337"/>
        <v>-164.84403300000008</v>
      </c>
      <c r="F1283" s="9">
        <f t="shared" si="338"/>
        <v>-388.89244010000004</v>
      </c>
      <c r="I1283">
        <v>1</v>
      </c>
      <c r="J1283">
        <f t="shared" si="348"/>
        <v>0.27405291752664246</v>
      </c>
      <c r="K1283">
        <f t="shared" si="349"/>
        <v>-1.9717186077085476</v>
      </c>
      <c r="O1283">
        <f t="shared" si="350"/>
        <v>-0.10562021101811041</v>
      </c>
      <c r="P1283">
        <f t="shared" si="351"/>
        <v>-0.24917433066388184</v>
      </c>
      <c r="Q1283">
        <f t="shared" si="352"/>
        <v>0.96268194330354839</v>
      </c>
      <c r="R1283">
        <f t="shared" si="353"/>
        <v>1</v>
      </c>
      <c r="AG1283" s="8">
        <f t="shared" si="334"/>
        <v>0.37171308884035664</v>
      </c>
      <c r="AH1283" s="8">
        <f t="shared" si="335"/>
        <v>-0.2097106269837925</v>
      </c>
      <c r="AI1283" s="8">
        <f t="shared" si="336"/>
        <v>0.90435105601465726</v>
      </c>
      <c r="AJ1283" s="8"/>
      <c r="AK1283" s="8"/>
      <c r="AL1283" s="8"/>
      <c r="AN1283" s="8">
        <f t="shared" si="354"/>
        <v>1</v>
      </c>
      <c r="AO1283" s="8">
        <f t="shared" si="355"/>
        <v>5.7695255884842478</v>
      </c>
      <c r="AP1283" s="8">
        <f t="shared" si="356"/>
        <v>0.44093958866812644</v>
      </c>
      <c r="AQ1283" s="8"/>
      <c r="AR1283" s="8">
        <f t="shared" si="357"/>
        <v>330.56946601288001</v>
      </c>
      <c r="AS1283" s="8">
        <f t="shared" si="358"/>
        <v>64.73602254908181</v>
      </c>
    </row>
    <row r="1284" spans="1:45">
      <c r="A1284" s="21">
        <v>51.4514</v>
      </c>
      <c r="B1284" s="21">
        <v>1125.392466</v>
      </c>
      <c r="C1284" s="21">
        <v>-929.82844539999996</v>
      </c>
      <c r="E1284" s="9">
        <f t="shared" si="337"/>
        <v>-165.39246600000001</v>
      </c>
      <c r="F1284" s="9">
        <f t="shared" si="338"/>
        <v>-389.82844539999996</v>
      </c>
      <c r="I1284">
        <v>1</v>
      </c>
      <c r="J1284">
        <f t="shared" si="348"/>
        <v>0.27472436099895636</v>
      </c>
      <c r="K1284">
        <f t="shared" si="349"/>
        <v>-1.9720483897180485</v>
      </c>
      <c r="O1284">
        <f t="shared" si="350"/>
        <v>-0.10595481463285693</v>
      </c>
      <c r="P1284">
        <f t="shared" si="351"/>
        <v>-0.24973447503329313</v>
      </c>
      <c r="Q1284">
        <f t="shared" si="352"/>
        <v>0.96250000999270768</v>
      </c>
      <c r="R1284">
        <f t="shared" si="353"/>
        <v>1</v>
      </c>
      <c r="AG1284" s="8">
        <f t="shared" si="334"/>
        <v>0.3723223522249296</v>
      </c>
      <c r="AH1284" s="8">
        <f t="shared" si="335"/>
        <v>-0.20981843092541466</v>
      </c>
      <c r="AI1284" s="8">
        <f t="shared" si="336"/>
        <v>0.90407537964358509</v>
      </c>
      <c r="AJ1284" s="8"/>
      <c r="AK1284" s="8"/>
      <c r="AL1284" s="8"/>
      <c r="AN1284" s="8">
        <f t="shared" si="354"/>
        <v>1</v>
      </c>
      <c r="AO1284" s="8">
        <f t="shared" si="355"/>
        <v>5.7700063873146794</v>
      </c>
      <c r="AP1284" s="8">
        <f t="shared" si="356"/>
        <v>0.44158507800512981</v>
      </c>
      <c r="AQ1284" s="8"/>
      <c r="AR1284" s="8">
        <f t="shared" si="357"/>
        <v>330.59701375665855</v>
      </c>
      <c r="AS1284" s="8">
        <f t="shared" si="358"/>
        <v>64.699038734350822</v>
      </c>
    </row>
    <row r="1285" spans="1:45">
      <c r="A1285" s="21">
        <v>51.484766669999999</v>
      </c>
      <c r="B1285" s="21">
        <v>1125.3947579999999</v>
      </c>
      <c r="C1285" s="21">
        <v>-930.04170260000001</v>
      </c>
      <c r="E1285" s="9">
        <f t="shared" si="337"/>
        <v>-165.39475799999991</v>
      </c>
      <c r="F1285" s="9">
        <f t="shared" si="338"/>
        <v>-390.04170260000001</v>
      </c>
      <c r="I1285">
        <v>1</v>
      </c>
      <c r="J1285">
        <f t="shared" si="348"/>
        <v>0.27484742389311245</v>
      </c>
      <c r="K1285">
        <f t="shared" si="349"/>
        <v>-1.9718567687351161</v>
      </c>
      <c r="O1285">
        <f t="shared" si="350"/>
        <v>-0.10595319902440435</v>
      </c>
      <c r="P1285">
        <f t="shared" si="351"/>
        <v>-0.24986382061392401</v>
      </c>
      <c r="Q1285">
        <f t="shared" si="352"/>
        <v>0.96246661800018174</v>
      </c>
      <c r="R1285">
        <f t="shared" si="353"/>
        <v>1</v>
      </c>
      <c r="AG1285" s="8">
        <f t="shared" si="334"/>
        <v>0.37244142961099447</v>
      </c>
      <c r="AH1285" s="8">
        <f t="shared" si="335"/>
        <v>-0.20977136897975018</v>
      </c>
      <c r="AI1285" s="8">
        <f t="shared" si="336"/>
        <v>0.90403725269796276</v>
      </c>
      <c r="AJ1285" s="8"/>
      <c r="AK1285" s="8"/>
      <c r="AL1285" s="8"/>
      <c r="AN1285" s="8">
        <f t="shared" si="354"/>
        <v>1</v>
      </c>
      <c r="AO1285" s="8">
        <f t="shared" si="355"/>
        <v>5.7702390692680652</v>
      </c>
      <c r="AP1285" s="8">
        <f t="shared" si="356"/>
        <v>0.44167428192269043</v>
      </c>
      <c r="AQ1285" s="8"/>
      <c r="AR1285" s="8">
        <f t="shared" si="357"/>
        <v>330.61034545055639</v>
      </c>
      <c r="AS1285" s="8">
        <f t="shared" si="358"/>
        <v>64.693927726358567</v>
      </c>
    </row>
    <row r="1286" spans="1:45">
      <c r="A1286" s="21">
        <v>51.518133329999998</v>
      </c>
      <c r="B1286" s="21">
        <v>1126.040225</v>
      </c>
      <c r="C1286" s="21">
        <v>-931.24190150000004</v>
      </c>
      <c r="E1286" s="9">
        <f t="shared" si="337"/>
        <v>-166.04022499999996</v>
      </c>
      <c r="F1286" s="9">
        <f t="shared" si="338"/>
        <v>-391.24190150000004</v>
      </c>
      <c r="I1286">
        <v>1</v>
      </c>
      <c r="J1286">
        <f t="shared" si="348"/>
        <v>0.27569393362020816</v>
      </c>
      <c r="K1286">
        <f t="shared" si="349"/>
        <v>-1.9721525123733741</v>
      </c>
      <c r="O1286">
        <f t="shared" si="350"/>
        <v>-0.10634534308911343</v>
      </c>
      <c r="P1286">
        <f t="shared" si="351"/>
        <v>-0.25058237692616137</v>
      </c>
      <c r="Q1286">
        <f t="shared" si="352"/>
        <v>0.9622365303693754</v>
      </c>
      <c r="R1286">
        <f t="shared" si="353"/>
        <v>1</v>
      </c>
      <c r="AG1286" s="8">
        <f t="shared" si="334"/>
        <v>0.37321275366199291</v>
      </c>
      <c r="AH1286" s="8">
        <f t="shared" si="335"/>
        <v>-0.20987568290613373</v>
      </c>
      <c r="AI1286" s="8">
        <f t="shared" si="336"/>
        <v>0.90369488115664154</v>
      </c>
      <c r="AJ1286" s="8"/>
      <c r="AK1286" s="8"/>
      <c r="AL1286" s="8"/>
      <c r="AN1286" s="8">
        <f t="shared" si="354"/>
        <v>0.99999999999999989</v>
      </c>
      <c r="AO1286" s="8">
        <f t="shared" si="355"/>
        <v>5.7709108371563849</v>
      </c>
      <c r="AP1286" s="8">
        <f t="shared" si="356"/>
        <v>0.44247456064983237</v>
      </c>
      <c r="AQ1286" s="8"/>
      <c r="AR1286" s="8">
        <f t="shared" si="357"/>
        <v>330.64883491536955</v>
      </c>
      <c r="AS1286" s="8">
        <f t="shared" si="358"/>
        <v>64.648075132859233</v>
      </c>
    </row>
    <row r="1287" spans="1:45">
      <c r="A1287" s="21">
        <v>51.551499999999997</v>
      </c>
      <c r="B1287" s="21">
        <v>1125.9997679999999</v>
      </c>
      <c r="C1287" s="21">
        <v>-931.95172400000001</v>
      </c>
      <c r="E1287" s="9">
        <f t="shared" si="337"/>
        <v>-165.9997679999999</v>
      </c>
      <c r="F1287" s="9">
        <f t="shared" si="338"/>
        <v>-391.95172400000001</v>
      </c>
      <c r="I1287">
        <v>1</v>
      </c>
      <c r="J1287">
        <f t="shared" si="348"/>
        <v>0.27609163418974753</v>
      </c>
      <c r="K1287">
        <f t="shared" si="349"/>
        <v>-1.9714135421076202</v>
      </c>
      <c r="O1287">
        <f t="shared" si="350"/>
        <v>-0.10630937366453171</v>
      </c>
      <c r="P1287">
        <f t="shared" si="351"/>
        <v>-0.2510132561460775</v>
      </c>
      <c r="Q1287">
        <f t="shared" si="352"/>
        <v>0.96212819432235674</v>
      </c>
      <c r="R1287">
        <f t="shared" si="353"/>
        <v>1</v>
      </c>
      <c r="AG1287" s="8">
        <f t="shared" si="334"/>
        <v>0.37360099944051289</v>
      </c>
      <c r="AH1287" s="8">
        <f t="shared" si="335"/>
        <v>-0.2096909212329893</v>
      </c>
      <c r="AI1287" s="8">
        <f t="shared" si="336"/>
        <v>0.90357734077914442</v>
      </c>
      <c r="AJ1287" s="8"/>
      <c r="AK1287" s="8"/>
      <c r="AL1287" s="8"/>
      <c r="AN1287" s="8">
        <f t="shared" si="354"/>
        <v>1</v>
      </c>
      <c r="AO1287" s="8">
        <f t="shared" si="355"/>
        <v>5.771730927358723</v>
      </c>
      <c r="AP1287" s="8">
        <f t="shared" si="356"/>
        <v>0.44274899468670448</v>
      </c>
      <c r="AQ1287" s="8"/>
      <c r="AR1287" s="8">
        <f t="shared" si="357"/>
        <v>330.69582262278357</v>
      </c>
      <c r="AS1287" s="8">
        <f t="shared" si="358"/>
        <v>64.632351220791719</v>
      </c>
    </row>
    <row r="1288" spans="1:45">
      <c r="A1288" s="21">
        <v>51.584866669999997</v>
      </c>
      <c r="B1288" s="21">
        <v>1127.026466</v>
      </c>
      <c r="C1288" s="21">
        <v>-932.80190130000005</v>
      </c>
      <c r="E1288" s="9">
        <f t="shared" si="337"/>
        <v>-167.02646600000003</v>
      </c>
      <c r="F1288" s="9">
        <f t="shared" si="338"/>
        <v>-392.80190130000005</v>
      </c>
      <c r="I1288">
        <v>1</v>
      </c>
      <c r="J1288">
        <f t="shared" si="348"/>
        <v>0.27682959920699807</v>
      </c>
      <c r="K1288">
        <f t="shared" si="349"/>
        <v>-1.9728516662044042</v>
      </c>
      <c r="O1288">
        <f t="shared" si="350"/>
        <v>-0.10694805991332543</v>
      </c>
      <c r="P1288">
        <f t="shared" si="351"/>
        <v>-0.25151344143448823</v>
      </c>
      <c r="Q1288">
        <f t="shared" si="352"/>
        <v>0.96192676501829177</v>
      </c>
      <c r="R1288">
        <f t="shared" si="353"/>
        <v>1</v>
      </c>
      <c r="AG1288" s="8">
        <f t="shared" si="334"/>
        <v>0.37423796817756327</v>
      </c>
      <c r="AH1288" s="8">
        <f t="shared" si="335"/>
        <v>-0.21009689014627825</v>
      </c>
      <c r="AI1288" s="8">
        <f t="shared" si="336"/>
        <v>0.90321937530435625</v>
      </c>
      <c r="AJ1288" s="8"/>
      <c r="AK1288" s="8"/>
      <c r="AL1288" s="8"/>
      <c r="AN1288" s="8">
        <f t="shared" si="354"/>
        <v>0.99999999999999978</v>
      </c>
      <c r="AO1288" s="8">
        <f t="shared" si="355"/>
        <v>5.7716324679952624</v>
      </c>
      <c r="AP1288" s="8">
        <f t="shared" si="356"/>
        <v>0.44358379811298043</v>
      </c>
      <c r="AQ1288" s="8"/>
      <c r="AR1288" s="8">
        <f t="shared" si="357"/>
        <v>330.69018131680372</v>
      </c>
      <c r="AS1288" s="8">
        <f t="shared" si="358"/>
        <v>64.584520507743051</v>
      </c>
    </row>
    <row r="1289" spans="1:45">
      <c r="A1289" s="21">
        <v>51.618233330000002</v>
      </c>
      <c r="B1289" s="21">
        <v>1127.529663</v>
      </c>
      <c r="C1289" s="21">
        <v>-933.55630619999999</v>
      </c>
      <c r="E1289" s="9">
        <f t="shared" si="337"/>
        <v>-167.52966300000003</v>
      </c>
      <c r="F1289" s="9">
        <f t="shared" si="338"/>
        <v>-393.55630619999999</v>
      </c>
      <c r="I1289">
        <v>1</v>
      </c>
      <c r="J1289">
        <f t="shared" si="348"/>
        <v>0.27738501188715214</v>
      </c>
      <c r="K1289">
        <f t="shared" si="349"/>
        <v>-1.9732441213767993</v>
      </c>
      <c r="O1289">
        <f t="shared" si="350"/>
        <v>-0.1072559999248997</v>
      </c>
      <c r="P1289">
        <f t="shared" si="351"/>
        <v>-0.25196299205968686</v>
      </c>
      <c r="Q1289">
        <f t="shared" si="352"/>
        <v>0.96177481829815037</v>
      </c>
      <c r="R1289">
        <f t="shared" si="353"/>
        <v>1</v>
      </c>
      <c r="AG1289" s="8">
        <f t="shared" si="334"/>
        <v>0.37473755760806637</v>
      </c>
      <c r="AH1289" s="8">
        <f t="shared" si="335"/>
        <v>-0.21021903494050942</v>
      </c>
      <c r="AI1289" s="8">
        <f t="shared" si="336"/>
        <v>0.9029837873775044</v>
      </c>
      <c r="AJ1289" s="8"/>
      <c r="AK1289" s="8"/>
      <c r="AL1289" s="8"/>
      <c r="AN1289" s="8">
        <f t="shared" si="354"/>
        <v>1</v>
      </c>
      <c r="AO1289" s="8">
        <f t="shared" si="355"/>
        <v>5.7719537727152002</v>
      </c>
      <c r="AP1289" s="8">
        <f t="shared" si="356"/>
        <v>0.44413240818710276</v>
      </c>
      <c r="AQ1289" s="8"/>
      <c r="AR1289" s="8">
        <f t="shared" si="357"/>
        <v>330.70859072119379</v>
      </c>
      <c r="AS1289" s="8">
        <f t="shared" si="358"/>
        <v>64.553087465897477</v>
      </c>
    </row>
    <row r="1290" spans="1:45">
      <c r="A1290" s="21">
        <v>51.651600000000002</v>
      </c>
      <c r="B1290" s="21">
        <v>1127.8178579999999</v>
      </c>
      <c r="C1290" s="21">
        <v>-934.16187950000005</v>
      </c>
      <c r="E1290" s="9">
        <f t="shared" si="337"/>
        <v>-167.81785799999989</v>
      </c>
      <c r="F1290" s="9">
        <f t="shared" si="338"/>
        <v>-394.16187950000005</v>
      </c>
      <c r="I1290">
        <v>1</v>
      </c>
      <c r="J1290">
        <f t="shared" si="348"/>
        <v>0.27780251167227571</v>
      </c>
      <c r="K1290">
        <f t="shared" si="349"/>
        <v>-1.9733094428700184</v>
      </c>
      <c r="O1290">
        <f t="shared" si="350"/>
        <v>-0.10742974525116195</v>
      </c>
      <c r="P1290">
        <f t="shared" si="351"/>
        <v>-0.25232541284375248</v>
      </c>
      <c r="Q1290">
        <f t="shared" si="352"/>
        <v>0.96166040568825562</v>
      </c>
      <c r="R1290">
        <f t="shared" si="353"/>
        <v>1</v>
      </c>
      <c r="AG1290" s="8">
        <f t="shared" si="334"/>
        <v>0.37511989926277867</v>
      </c>
      <c r="AH1290" s="8">
        <f t="shared" si="335"/>
        <v>-0.21024952541052422</v>
      </c>
      <c r="AI1290" s="8">
        <f t="shared" si="336"/>
        <v>0.9028179208687277</v>
      </c>
      <c r="AJ1290" s="8"/>
      <c r="AK1290" s="8"/>
      <c r="AL1290" s="8"/>
      <c r="AN1290" s="8">
        <f t="shared" si="354"/>
        <v>1.0000000000000002</v>
      </c>
      <c r="AO1290" s="8">
        <f t="shared" si="355"/>
        <v>5.772326937073327</v>
      </c>
      <c r="AP1290" s="8">
        <f t="shared" si="356"/>
        <v>0.44451827991211235</v>
      </c>
      <c r="AQ1290" s="8"/>
      <c r="AR1290" s="8">
        <f t="shared" si="357"/>
        <v>330.72997146397915</v>
      </c>
      <c r="AS1290" s="8">
        <f t="shared" si="358"/>
        <v>64.530978644621001</v>
      </c>
    </row>
    <row r="1291" spans="1:45">
      <c r="A1291" s="21">
        <v>51.684966670000001</v>
      </c>
      <c r="B1291" s="21">
        <v>1128.7104830000001</v>
      </c>
      <c r="C1291" s="21">
        <v>-934.9317092</v>
      </c>
      <c r="E1291" s="9">
        <f t="shared" si="337"/>
        <v>-168.71048300000007</v>
      </c>
      <c r="F1291" s="9">
        <f t="shared" si="338"/>
        <v>-394.9317092</v>
      </c>
      <c r="I1291">
        <v>1</v>
      </c>
      <c r="J1291">
        <f t="shared" si="348"/>
        <v>0.27846171205535752</v>
      </c>
      <c r="K1291">
        <f t="shared" si="349"/>
        <v>-1.9745196172543569</v>
      </c>
      <c r="O1291">
        <f t="shared" si="350"/>
        <v>-0.10798403585946077</v>
      </c>
      <c r="P1291">
        <f t="shared" si="351"/>
        <v>-0.25277812670532712</v>
      </c>
      <c r="Q1291">
        <f t="shared" si="352"/>
        <v>0.96147941561889316</v>
      </c>
      <c r="R1291">
        <f t="shared" si="353"/>
        <v>1</v>
      </c>
      <c r="AG1291" s="8">
        <f t="shared" si="334"/>
        <v>0.37568976180355756</v>
      </c>
      <c r="AH1291" s="8">
        <f t="shared" si="335"/>
        <v>-0.21059502582334239</v>
      </c>
      <c r="AI1291" s="8">
        <f t="shared" si="336"/>
        <v>0.90250038114920039</v>
      </c>
      <c r="AJ1291" s="8"/>
      <c r="AK1291" s="8"/>
      <c r="AL1291" s="8"/>
      <c r="AN1291" s="8">
        <f t="shared" si="354"/>
        <v>1</v>
      </c>
      <c r="AO1291" s="8">
        <f t="shared" si="355"/>
        <v>5.7722740730181581</v>
      </c>
      <c r="AP1291" s="8">
        <f t="shared" si="356"/>
        <v>0.44525613340027936</v>
      </c>
      <c r="AQ1291" s="8"/>
      <c r="AR1291" s="8">
        <f t="shared" si="357"/>
        <v>330.72694257673004</v>
      </c>
      <c r="AS1291" s="8">
        <f t="shared" si="358"/>
        <v>64.488702753850021</v>
      </c>
    </row>
    <row r="1292" spans="1:45">
      <c r="A1292" s="21">
        <v>51.71833333</v>
      </c>
      <c r="B1292" s="21">
        <v>1128.713886</v>
      </c>
      <c r="C1292" s="21">
        <v>-935.77114879999999</v>
      </c>
      <c r="E1292" s="9">
        <f t="shared" si="337"/>
        <v>-168.713886</v>
      </c>
      <c r="F1292" s="9">
        <f t="shared" si="338"/>
        <v>-395.77114879999999</v>
      </c>
      <c r="I1292">
        <v>1</v>
      </c>
      <c r="J1292">
        <f t="shared" si="348"/>
        <v>0.27894332102059383</v>
      </c>
      <c r="K1292">
        <f t="shared" si="349"/>
        <v>-1.973760397515641</v>
      </c>
      <c r="O1292">
        <f t="shared" si="350"/>
        <v>-0.10797366442909095</v>
      </c>
      <c r="P1292">
        <f t="shared" si="351"/>
        <v>-0.25328597559093063</v>
      </c>
      <c r="Q1292">
        <f t="shared" si="352"/>
        <v>0.96134692091809637</v>
      </c>
      <c r="R1292">
        <f t="shared" si="353"/>
        <v>1</v>
      </c>
      <c r="AG1292" s="8">
        <f t="shared" si="334"/>
        <v>0.37615599316910814</v>
      </c>
      <c r="AH1292" s="8">
        <f t="shared" si="335"/>
        <v>-0.21040621829955114</v>
      </c>
      <c r="AI1292" s="8">
        <f t="shared" si="336"/>
        <v>0.90235020480068795</v>
      </c>
      <c r="AJ1292" s="8"/>
      <c r="AK1292" s="8"/>
      <c r="AL1292" s="8"/>
      <c r="AN1292" s="8">
        <f t="shared" si="354"/>
        <v>1</v>
      </c>
      <c r="AO1292" s="8">
        <f t="shared" si="355"/>
        <v>5.7731851349034278</v>
      </c>
      <c r="AP1292" s="8">
        <f t="shared" si="356"/>
        <v>0.44560469467717589</v>
      </c>
      <c r="AQ1292" s="8"/>
      <c r="AR1292" s="8">
        <f t="shared" si="357"/>
        <v>330.77914257763121</v>
      </c>
      <c r="AS1292" s="8">
        <f t="shared" si="358"/>
        <v>64.468731663782165</v>
      </c>
    </row>
    <row r="1293" spans="1:45">
      <c r="A1293" s="21">
        <v>51.7517</v>
      </c>
      <c r="B1293" s="21">
        <v>1128.720149</v>
      </c>
      <c r="C1293" s="21">
        <v>-936.77585209999995</v>
      </c>
      <c r="E1293" s="9">
        <f t="shared" si="337"/>
        <v>-168.72014899999999</v>
      </c>
      <c r="F1293" s="9">
        <f t="shared" si="338"/>
        <v>-396.77585209999995</v>
      </c>
      <c r="I1293">
        <v>1</v>
      </c>
      <c r="J1293">
        <f t="shared" si="348"/>
        <v>0.27952032076412692</v>
      </c>
      <c r="K1293">
        <f t="shared" si="349"/>
        <v>-1.9728599632353565</v>
      </c>
      <c r="O1293">
        <f t="shared" si="350"/>
        <v>-0.1079625983943006</v>
      </c>
      <c r="P1293">
        <f t="shared" si="351"/>
        <v>-0.25389351673005406</v>
      </c>
      <c r="Q1293">
        <f t="shared" si="352"/>
        <v>0.96118788980635661</v>
      </c>
      <c r="R1293">
        <f t="shared" si="353"/>
        <v>1</v>
      </c>
      <c r="AG1293" s="8">
        <f t="shared" si="334"/>
        <v>0.37671407338327434</v>
      </c>
      <c r="AH1293" s="8">
        <f t="shared" si="335"/>
        <v>-0.21018149714298467</v>
      </c>
      <c r="AI1293" s="8">
        <f t="shared" si="336"/>
        <v>0.90216974299391939</v>
      </c>
      <c r="AJ1293" s="8"/>
      <c r="AK1293" s="8"/>
      <c r="AL1293" s="8"/>
      <c r="AN1293" s="8">
        <f t="shared" si="354"/>
        <v>1</v>
      </c>
      <c r="AO1293" s="8">
        <f t="shared" si="355"/>
        <v>5.7742713351267057</v>
      </c>
      <c r="AP1293" s="8">
        <f t="shared" si="356"/>
        <v>0.44602321272000789</v>
      </c>
      <c r="AQ1293" s="8"/>
      <c r="AR1293" s="8">
        <f t="shared" si="357"/>
        <v>330.84137726613119</v>
      </c>
      <c r="AS1293" s="8">
        <f t="shared" si="358"/>
        <v>64.444752346277809</v>
      </c>
    </row>
    <row r="1294" spans="1:45">
      <c r="A1294" s="21">
        <v>51.785066669999999</v>
      </c>
      <c r="B1294" s="21">
        <v>1129.674246</v>
      </c>
      <c r="C1294" s="21">
        <v>-937.50770360000001</v>
      </c>
      <c r="E1294" s="9">
        <f t="shared" si="337"/>
        <v>-169.67424600000004</v>
      </c>
      <c r="F1294" s="9">
        <f t="shared" si="338"/>
        <v>-397.50770360000001</v>
      </c>
      <c r="I1294">
        <v>1</v>
      </c>
      <c r="J1294">
        <f t="shared" si="348"/>
        <v>0.28017205553466579</v>
      </c>
      <c r="K1294">
        <f t="shared" si="349"/>
        <v>-1.9742288168575881</v>
      </c>
      <c r="O1294">
        <f t="shared" si="350"/>
        <v>-0.10855594330425783</v>
      </c>
      <c r="P1294">
        <f t="shared" si="351"/>
        <v>-0.25432158829223456</v>
      </c>
      <c r="Q1294">
        <f t="shared" si="352"/>
        <v>0.9610078755670205</v>
      </c>
      <c r="R1294">
        <f t="shared" si="353"/>
        <v>1</v>
      </c>
      <c r="AG1294" s="8">
        <f t="shared" si="334"/>
        <v>0.37727174026267996</v>
      </c>
      <c r="AH1294" s="8">
        <f t="shared" si="335"/>
        <v>-0.21057108534686686</v>
      </c>
      <c r="AI1294" s="8">
        <f t="shared" si="336"/>
        <v>0.90184580279281201</v>
      </c>
      <c r="AJ1294" s="8"/>
      <c r="AK1294" s="8"/>
      <c r="AL1294" s="8"/>
      <c r="AN1294" s="8">
        <f t="shared" si="354"/>
        <v>1.0000000000000002</v>
      </c>
      <c r="AO1294" s="8">
        <f t="shared" si="355"/>
        <v>5.774112778271693</v>
      </c>
      <c r="AP1294" s="8">
        <f t="shared" si="356"/>
        <v>0.44677356124523993</v>
      </c>
      <c r="AQ1294" s="8"/>
      <c r="AR1294" s="8">
        <f t="shared" si="357"/>
        <v>330.8322926275261</v>
      </c>
      <c r="AS1294" s="8">
        <f t="shared" si="358"/>
        <v>64.401760542618149</v>
      </c>
    </row>
    <row r="1295" spans="1:45">
      <c r="A1295" s="21">
        <v>51.818433329999998</v>
      </c>
      <c r="B1295" s="21">
        <v>1130.5331289999999</v>
      </c>
      <c r="C1295" s="21">
        <v>-937.94154519999995</v>
      </c>
      <c r="E1295" s="9">
        <f t="shared" si="337"/>
        <v>-170.53312899999992</v>
      </c>
      <c r="F1295" s="9">
        <f t="shared" si="338"/>
        <v>-397.94154519999995</v>
      </c>
      <c r="I1295">
        <v>1</v>
      </c>
      <c r="J1295">
        <f t="shared" si="348"/>
        <v>0.28063034933063258</v>
      </c>
      <c r="K1295">
        <f t="shared" si="349"/>
        <v>-1.9756599883452042</v>
      </c>
      <c r="O1295">
        <f t="shared" si="350"/>
        <v>-0.1090932784734942</v>
      </c>
      <c r="P1295">
        <f t="shared" si="351"/>
        <v>-0.25457075737275781</v>
      </c>
      <c r="Q1295">
        <f t="shared" si="352"/>
        <v>0.96088104679120667</v>
      </c>
      <c r="R1295">
        <f t="shared" si="353"/>
        <v>1</v>
      </c>
      <c r="AG1295" s="8">
        <f t="shared" si="334"/>
        <v>0.37764881889972879</v>
      </c>
      <c r="AH1295" s="8">
        <f t="shared" si="335"/>
        <v>-0.21097275870652865</v>
      </c>
      <c r="AI1295" s="8">
        <f t="shared" si="336"/>
        <v>0.90159406867358916</v>
      </c>
      <c r="AJ1295" s="8"/>
      <c r="AK1295" s="8"/>
      <c r="AL1295" s="8"/>
      <c r="AN1295" s="8">
        <f t="shared" si="354"/>
        <v>0.99999999999999989</v>
      </c>
      <c r="AO1295" s="8">
        <f t="shared" si="355"/>
        <v>5.7737268084273863</v>
      </c>
      <c r="AP1295" s="8">
        <f t="shared" si="356"/>
        <v>0.44735584701017328</v>
      </c>
      <c r="AQ1295" s="8"/>
      <c r="AR1295" s="8">
        <f t="shared" si="357"/>
        <v>330.81017818442803</v>
      </c>
      <c r="AS1295" s="8">
        <f t="shared" si="358"/>
        <v>64.36839802581693</v>
      </c>
    </row>
    <row r="1296" spans="1:45">
      <c r="A1296" s="21">
        <v>51.851799999999997</v>
      </c>
      <c r="B1296" s="21">
        <v>1130.894581</v>
      </c>
      <c r="C1296" s="21">
        <v>-939.13819679999995</v>
      </c>
      <c r="E1296" s="9">
        <f t="shared" si="337"/>
        <v>-170.89458100000002</v>
      </c>
      <c r="F1296" s="9">
        <f t="shared" si="338"/>
        <v>-399.13819679999995</v>
      </c>
      <c r="I1296">
        <v>1</v>
      </c>
      <c r="J1296">
        <f t="shared" si="348"/>
        <v>0.28140299154163817</v>
      </c>
      <c r="K1296">
        <f t="shared" si="349"/>
        <v>-1.9753395660723601</v>
      </c>
      <c r="O1296">
        <f t="shared" si="350"/>
        <v>-0.10930388478861568</v>
      </c>
      <c r="P1296">
        <f t="shared" si="351"/>
        <v>-0.25528811517881311</v>
      </c>
      <c r="Q1296">
        <f t="shared" si="352"/>
        <v>0.96066676793702299</v>
      </c>
      <c r="R1296">
        <f t="shared" si="353"/>
        <v>1</v>
      </c>
      <c r="AG1296" s="8">
        <f t="shared" si="334"/>
        <v>0.37836883056351084</v>
      </c>
      <c r="AH1296" s="8">
        <f t="shared" si="335"/>
        <v>-0.210911054627762</v>
      </c>
      <c r="AI1296" s="8">
        <f t="shared" si="336"/>
        <v>0.90130658218710813</v>
      </c>
      <c r="AJ1296" s="8"/>
      <c r="AK1296" s="8"/>
      <c r="AL1296" s="8"/>
      <c r="AN1296" s="8">
        <f t="shared" si="354"/>
        <v>1</v>
      </c>
      <c r="AO1296" s="8">
        <f t="shared" si="355"/>
        <v>5.7746617998691594</v>
      </c>
      <c r="AP1296" s="8">
        <f t="shared" si="356"/>
        <v>0.44801996838405111</v>
      </c>
      <c r="AQ1296" s="8"/>
      <c r="AR1296" s="8">
        <f t="shared" si="357"/>
        <v>330.8637492479225</v>
      </c>
      <c r="AS1296" s="8">
        <f t="shared" si="358"/>
        <v>64.330346674009292</v>
      </c>
    </row>
    <row r="1297" spans="1:45">
      <c r="A1297" s="21">
        <v>51.885166669999997</v>
      </c>
      <c r="B1297" s="21">
        <v>1131.392059</v>
      </c>
      <c r="C1297" s="21">
        <v>-939.87837290000004</v>
      </c>
      <c r="E1297" s="9">
        <f t="shared" si="337"/>
        <v>-171.39205900000002</v>
      </c>
      <c r="F1297" s="9">
        <f t="shared" si="338"/>
        <v>-399.87837290000004</v>
      </c>
      <c r="I1297">
        <v>1</v>
      </c>
      <c r="J1297">
        <f t="shared" si="348"/>
        <v>0.28194778885859806</v>
      </c>
      <c r="K1297">
        <f t="shared" si="349"/>
        <v>-1.9757210993722925</v>
      </c>
      <c r="O1297">
        <f t="shared" si="350"/>
        <v>-0.10960744239254587</v>
      </c>
      <c r="P1297">
        <f t="shared" si="351"/>
        <v>-0.25572740054229554</v>
      </c>
      <c r="Q1297">
        <f t="shared" si="352"/>
        <v>0.96051533313323278</v>
      </c>
      <c r="R1297">
        <f t="shared" si="353"/>
        <v>1</v>
      </c>
      <c r="AG1297" s="8">
        <f t="shared" si="334"/>
        <v>0.37885744890408113</v>
      </c>
      <c r="AH1297" s="8">
        <f t="shared" si="335"/>
        <v>-0.21103231025896096</v>
      </c>
      <c r="AI1297" s="8">
        <f t="shared" si="336"/>
        <v>0.90107291460605854</v>
      </c>
      <c r="AJ1297" s="8"/>
      <c r="AK1297" s="8"/>
      <c r="AL1297" s="8"/>
      <c r="AN1297" s="8">
        <f t="shared" si="354"/>
        <v>1</v>
      </c>
      <c r="AO1297" s="8">
        <f t="shared" si="355"/>
        <v>5.7749661573736688</v>
      </c>
      <c r="AP1297" s="8">
        <f t="shared" si="356"/>
        <v>0.44855908758751761</v>
      </c>
      <c r="AQ1297" s="8"/>
      <c r="AR1297" s="8">
        <f t="shared" si="357"/>
        <v>330.88118764839402</v>
      </c>
      <c r="AS1297" s="8">
        <f t="shared" si="358"/>
        <v>64.299457418996212</v>
      </c>
    </row>
    <row r="1298" spans="1:45">
      <c r="A1298" s="21">
        <v>51.918533330000002</v>
      </c>
      <c r="B1298" s="21">
        <v>1131.749802</v>
      </c>
      <c r="C1298" s="21">
        <v>-940.54979200000002</v>
      </c>
      <c r="E1298" s="9">
        <f t="shared" si="337"/>
        <v>-171.74980200000005</v>
      </c>
      <c r="F1298" s="9">
        <f t="shared" si="338"/>
        <v>-400.54979200000002</v>
      </c>
      <c r="I1298">
        <v>1</v>
      </c>
      <c r="J1298">
        <f t="shared" si="348"/>
        <v>0.28241896481854939</v>
      </c>
      <c r="K1298">
        <f t="shared" si="349"/>
        <v>-1.9758686555052161</v>
      </c>
      <c r="O1298">
        <f t="shared" si="350"/>
        <v>-0.10982351500692948</v>
      </c>
      <c r="P1298">
        <f t="shared" si="351"/>
        <v>-0.25612714297472366</v>
      </c>
      <c r="Q1298">
        <f t="shared" si="352"/>
        <v>0.96038413261732314</v>
      </c>
      <c r="R1298">
        <f t="shared" si="353"/>
        <v>1</v>
      </c>
      <c r="AG1298" s="8">
        <f t="shared" si="334"/>
        <v>0.3792856050094342</v>
      </c>
      <c r="AH1298" s="8">
        <f t="shared" si="335"/>
        <v>-0.21108777825354372</v>
      </c>
      <c r="AI1298" s="8">
        <f t="shared" si="336"/>
        <v>0.90087978093894971</v>
      </c>
      <c r="AJ1298" s="8"/>
      <c r="AK1298" s="8"/>
      <c r="AL1298" s="8"/>
      <c r="AN1298" s="8">
        <f t="shared" si="354"/>
        <v>0.99999999999999989</v>
      </c>
      <c r="AO1298" s="8">
        <f t="shared" si="355"/>
        <v>5.7753345155693303</v>
      </c>
      <c r="AP1298" s="8">
        <f t="shared" si="356"/>
        <v>0.44900423126563371</v>
      </c>
      <c r="AQ1298" s="8"/>
      <c r="AR1298" s="8">
        <f t="shared" si="357"/>
        <v>330.90229301835444</v>
      </c>
      <c r="AS1298" s="8">
        <f t="shared" si="358"/>
        <v>64.273952564963224</v>
      </c>
    </row>
    <row r="1299" spans="1:45">
      <c r="A1299" s="21">
        <v>51.951900000000002</v>
      </c>
      <c r="B1299" s="21">
        <v>1131.898688</v>
      </c>
      <c r="C1299" s="21">
        <v>-941.13313219999998</v>
      </c>
      <c r="E1299" s="9">
        <f t="shared" si="337"/>
        <v>-171.89868799999999</v>
      </c>
      <c r="F1299" s="9">
        <f t="shared" si="338"/>
        <v>-401.13313219999998</v>
      </c>
      <c r="I1299">
        <v>1</v>
      </c>
      <c r="J1299">
        <f t="shared" si="348"/>
        <v>0.28278859251110916</v>
      </c>
      <c r="K1299">
        <f t="shared" si="349"/>
        <v>-1.9756554437799536</v>
      </c>
      <c r="O1299">
        <f t="shared" si="350"/>
        <v>-0.10990872031299485</v>
      </c>
      <c r="P1299">
        <f t="shared" si="351"/>
        <v>-0.25647682218054746</v>
      </c>
      <c r="Q1299">
        <f t="shared" si="352"/>
        <v>0.96028105931718122</v>
      </c>
      <c r="R1299">
        <f t="shared" si="353"/>
        <v>1</v>
      </c>
      <c r="AG1299" s="8">
        <f t="shared" si="334"/>
        <v>0.37963173825703816</v>
      </c>
      <c r="AH1299" s="8">
        <f t="shared" si="335"/>
        <v>-0.21104167459113021</v>
      </c>
      <c r="AI1299" s="8">
        <f t="shared" si="336"/>
        <v>0.90074477788867091</v>
      </c>
      <c r="AJ1299" s="8"/>
      <c r="AK1299" s="8"/>
      <c r="AL1299" s="8"/>
      <c r="AN1299" s="8">
        <f t="shared" si="354"/>
        <v>0.99999999999999989</v>
      </c>
      <c r="AO1299" s="8">
        <f t="shared" si="355"/>
        <v>5.7758147972342808</v>
      </c>
      <c r="AP1299" s="8">
        <f t="shared" si="356"/>
        <v>0.4493151486718725</v>
      </c>
      <c r="AQ1299" s="8"/>
      <c r="AR1299" s="8">
        <f t="shared" si="357"/>
        <v>330.92981113073364</v>
      </c>
      <c r="AS1299" s="8">
        <f t="shared" si="358"/>
        <v>64.256138309808591</v>
      </c>
    </row>
    <row r="1300" spans="1:45">
      <c r="A1300" s="21">
        <v>51.985266670000001</v>
      </c>
      <c r="B1300" s="21">
        <v>1132.748752</v>
      </c>
      <c r="C1300" s="21">
        <v>-941.90481599999998</v>
      </c>
      <c r="E1300" s="9">
        <f t="shared" si="337"/>
        <v>-172.74875199999997</v>
      </c>
      <c r="F1300" s="9">
        <f t="shared" si="338"/>
        <v>-401.90481599999998</v>
      </c>
      <c r="I1300">
        <v>1</v>
      </c>
      <c r="J1300">
        <f t="shared" si="348"/>
        <v>0.28343741485459745</v>
      </c>
      <c r="K1300">
        <f t="shared" si="349"/>
        <v>-1.9767467143191664</v>
      </c>
      <c r="O1300">
        <f t="shared" si="350"/>
        <v>-0.11043455543130815</v>
      </c>
      <c r="P1300">
        <f t="shared" si="351"/>
        <v>-0.25692909017751814</v>
      </c>
      <c r="Q1300">
        <f t="shared" si="352"/>
        <v>0.96009981334611361</v>
      </c>
      <c r="R1300">
        <f t="shared" si="353"/>
        <v>1</v>
      </c>
      <c r="AG1300" s="8">
        <f t="shared" si="334"/>
        <v>0.38019301595184973</v>
      </c>
      <c r="AH1300" s="8">
        <f t="shared" si="335"/>
        <v>-0.2113607007271513</v>
      </c>
      <c r="AI1300" s="8">
        <f t="shared" si="336"/>
        <v>0.90043318731017696</v>
      </c>
      <c r="AJ1300" s="8"/>
      <c r="AK1300" s="8"/>
      <c r="AL1300" s="8"/>
      <c r="AN1300" s="8">
        <f t="shared" si="354"/>
        <v>1</v>
      </c>
      <c r="AO1300" s="8">
        <f t="shared" si="355"/>
        <v>5.7758007214828488</v>
      </c>
      <c r="AP1300" s="8">
        <f t="shared" si="356"/>
        <v>0.45003199007890982</v>
      </c>
      <c r="AQ1300" s="8"/>
      <c r="AR1300" s="8">
        <f t="shared" si="357"/>
        <v>330.92900464958313</v>
      </c>
      <c r="AS1300" s="8">
        <f t="shared" si="358"/>
        <v>64.215066322605139</v>
      </c>
    </row>
    <row r="1301" spans="1:45">
      <c r="A1301" s="21">
        <v>52.01863333</v>
      </c>
      <c r="B1301" s="21">
        <v>1132.913562</v>
      </c>
      <c r="C1301" s="21">
        <v>-942.81143650000001</v>
      </c>
      <c r="E1301" s="9">
        <f t="shared" si="337"/>
        <v>-172.91356199999996</v>
      </c>
      <c r="F1301" s="9">
        <f t="shared" si="338"/>
        <v>-402.81143650000001</v>
      </c>
      <c r="I1301">
        <v>1</v>
      </c>
      <c r="J1301">
        <f t="shared" si="348"/>
        <v>0.28399515377487611</v>
      </c>
      <c r="K1301">
        <f t="shared" si="349"/>
        <v>-1.9762754040257298</v>
      </c>
      <c r="O1301">
        <f t="shared" si="350"/>
        <v>-0.11052465958670472</v>
      </c>
      <c r="P1301">
        <f t="shared" si="351"/>
        <v>-0.2574731350268179</v>
      </c>
      <c r="Q1301">
        <f t="shared" si="352"/>
        <v>0.95994368812066522</v>
      </c>
      <c r="R1301">
        <f t="shared" si="353"/>
        <v>1</v>
      </c>
      <c r="AG1301" s="8">
        <f t="shared" si="334"/>
        <v>0.38071986759231441</v>
      </c>
      <c r="AH1301" s="8">
        <f t="shared" si="335"/>
        <v>-0.21125015959334845</v>
      </c>
      <c r="AI1301" s="8">
        <f t="shared" si="336"/>
        <v>0.90023649808940498</v>
      </c>
      <c r="AJ1301" s="8"/>
      <c r="AK1301" s="8"/>
      <c r="AL1301" s="8"/>
      <c r="AN1301" s="8">
        <f t="shared" si="354"/>
        <v>0.99999999999999978</v>
      </c>
      <c r="AO1301" s="8">
        <f t="shared" si="355"/>
        <v>5.7766105687987963</v>
      </c>
      <c r="AP1301" s="8">
        <f t="shared" si="356"/>
        <v>0.45048394369657063</v>
      </c>
      <c r="AQ1301" s="8"/>
      <c r="AR1301" s="8">
        <f t="shared" si="357"/>
        <v>330.97540548283689</v>
      </c>
      <c r="AS1301" s="8">
        <f t="shared" si="358"/>
        <v>64.189171287777498</v>
      </c>
    </row>
    <row r="1302" spans="1:45">
      <c r="A1302" s="21">
        <v>52.052</v>
      </c>
      <c r="B1302" s="21">
        <v>1133.2298229999999</v>
      </c>
      <c r="C1302" s="21">
        <v>-943.74054420000004</v>
      </c>
      <c r="E1302" s="9">
        <f t="shared" si="337"/>
        <v>-173.2298229999999</v>
      </c>
      <c r="F1302" s="9">
        <f t="shared" si="338"/>
        <v>-403.74054420000004</v>
      </c>
      <c r="I1302">
        <v>1</v>
      </c>
      <c r="J1302">
        <f t="shared" si="348"/>
        <v>0.28460267084188495</v>
      </c>
      <c r="K1302">
        <f t="shared" si="349"/>
        <v>-1.9761026919373093</v>
      </c>
      <c r="O1302">
        <f t="shared" si="350"/>
        <v>-0.11071011773305278</v>
      </c>
      <c r="P1302">
        <f t="shared" si="351"/>
        <v>-0.2580281062920029</v>
      </c>
      <c r="Q1302">
        <f t="shared" si="352"/>
        <v>0.9597732889567705</v>
      </c>
      <c r="R1302">
        <f t="shared" si="353"/>
        <v>1</v>
      </c>
      <c r="AG1302" s="8">
        <f t="shared" si="334"/>
        <v>0.38128282890095855</v>
      </c>
      <c r="AH1302" s="8">
        <f t="shared" si="335"/>
        <v>-0.21122255276711696</v>
      </c>
      <c r="AI1302" s="8">
        <f t="shared" si="336"/>
        <v>0.90000468753658436</v>
      </c>
      <c r="AJ1302" s="8"/>
      <c r="AK1302" s="8"/>
      <c r="AL1302" s="8"/>
      <c r="AN1302" s="8">
        <f t="shared" si="354"/>
        <v>1</v>
      </c>
      <c r="AO1302" s="8">
        <f t="shared" si="355"/>
        <v>5.777292591354076</v>
      </c>
      <c r="AP1302" s="8">
        <f t="shared" si="356"/>
        <v>0.4510160577304132</v>
      </c>
      <c r="AQ1302" s="8"/>
      <c r="AR1302" s="8">
        <f t="shared" si="357"/>
        <v>331.01448249678714</v>
      </c>
      <c r="AS1302" s="8">
        <f t="shared" si="358"/>
        <v>64.158683399418635</v>
      </c>
    </row>
    <row r="1303" spans="1:45">
      <c r="A1303" s="21">
        <v>52.085366669999999</v>
      </c>
      <c r="B1303" s="21">
        <v>1134.0215330000001</v>
      </c>
      <c r="C1303" s="21">
        <v>-944.53880160000006</v>
      </c>
      <c r="E1303" s="9">
        <f t="shared" si="337"/>
        <v>-174.02153300000009</v>
      </c>
      <c r="F1303" s="9">
        <f t="shared" si="338"/>
        <v>-404.53880160000006</v>
      </c>
      <c r="I1303">
        <v>1</v>
      </c>
      <c r="J1303">
        <f t="shared" si="348"/>
        <v>0.28525182514537895</v>
      </c>
      <c r="K1303">
        <f t="shared" si="349"/>
        <v>-1.9770400942600732</v>
      </c>
      <c r="O1303">
        <f t="shared" si="350"/>
        <v>-0.11119812367317414</v>
      </c>
      <c r="P1303">
        <f t="shared" si="351"/>
        <v>-0.25849649129866281</v>
      </c>
      <c r="Q1303">
        <f t="shared" si="352"/>
        <v>0.95959081971319726</v>
      </c>
      <c r="R1303">
        <f t="shared" si="353"/>
        <v>1</v>
      </c>
      <c r="AG1303" s="8">
        <f t="shared" si="334"/>
        <v>0.38184850826122207</v>
      </c>
      <c r="AH1303" s="8">
        <f t="shared" si="335"/>
        <v>-0.2115011629795433</v>
      </c>
      <c r="AI1303" s="8">
        <f t="shared" si="336"/>
        <v>0.8996993802359653</v>
      </c>
      <c r="AJ1303" s="8"/>
      <c r="AK1303" s="8"/>
      <c r="AL1303" s="8"/>
      <c r="AN1303" s="8">
        <f t="shared" si="354"/>
        <v>1</v>
      </c>
      <c r="AO1303" s="8">
        <f t="shared" si="355"/>
        <v>5.7773622566748815</v>
      </c>
      <c r="AP1303" s="8">
        <f t="shared" si="356"/>
        <v>0.45171599054623446</v>
      </c>
      <c r="AQ1303" s="8"/>
      <c r="AR1303" s="8">
        <f t="shared" si="357"/>
        <v>331.01847402564772</v>
      </c>
      <c r="AS1303" s="8">
        <f t="shared" si="358"/>
        <v>64.118580203129369</v>
      </c>
    </row>
    <row r="1304" spans="1:45">
      <c r="A1304" s="21">
        <v>52.118733329999998</v>
      </c>
      <c r="B1304" s="21">
        <v>1134.3711000000001</v>
      </c>
      <c r="C1304" s="21">
        <v>-945.51161720000005</v>
      </c>
      <c r="E1304" s="9">
        <f t="shared" si="337"/>
        <v>-174.37110000000007</v>
      </c>
      <c r="F1304" s="9">
        <f t="shared" si="338"/>
        <v>-405.51161720000005</v>
      </c>
      <c r="I1304">
        <v>1</v>
      </c>
      <c r="J1304">
        <f t="shared" si="348"/>
        <v>0.28589196159469388</v>
      </c>
      <c r="K1304">
        <f t="shared" si="349"/>
        <v>-1.9768966840183455</v>
      </c>
      <c r="O1304">
        <f t="shared" si="350"/>
        <v>-0.11140368331587348</v>
      </c>
      <c r="P1304">
        <f t="shared" si="351"/>
        <v>-0.25907669208634071</v>
      </c>
      <c r="Q1304">
        <f t="shared" si="352"/>
        <v>0.95941048929082284</v>
      </c>
      <c r="R1304">
        <f t="shared" si="353"/>
        <v>1</v>
      </c>
      <c r="AG1304" s="8">
        <f t="shared" si="334"/>
        <v>0.38244016108505585</v>
      </c>
      <c r="AH1304" s="8">
        <f t="shared" si="335"/>
        <v>-0.21148277081194394</v>
      </c>
      <c r="AI1304" s="8">
        <f t="shared" si="336"/>
        <v>0.89945236718735666</v>
      </c>
      <c r="AJ1304" s="8"/>
      <c r="AK1304" s="8"/>
      <c r="AL1304" s="8"/>
      <c r="AN1304" s="8">
        <f t="shared" si="354"/>
        <v>1.0000000000000002</v>
      </c>
      <c r="AO1304" s="8">
        <f t="shared" si="355"/>
        <v>5.7780550441727705</v>
      </c>
      <c r="AP1304" s="8">
        <f t="shared" si="356"/>
        <v>0.45228154264927811</v>
      </c>
      <c r="AQ1304" s="8"/>
      <c r="AR1304" s="8">
        <f t="shared" si="357"/>
        <v>331.05816782537619</v>
      </c>
      <c r="AS1304" s="8">
        <f t="shared" si="358"/>
        <v>64.086176454530218</v>
      </c>
    </row>
    <row r="1305" spans="1:45">
      <c r="A1305" s="21">
        <v>52.152099999999997</v>
      </c>
      <c r="B1305" s="21">
        <v>1134.7389820000001</v>
      </c>
      <c r="C1305" s="21">
        <v>-945.89285199999995</v>
      </c>
      <c r="E1305" s="9">
        <f t="shared" si="337"/>
        <v>-174.73898200000008</v>
      </c>
      <c r="F1305" s="9">
        <f t="shared" si="338"/>
        <v>-405.89285199999995</v>
      </c>
      <c r="I1305">
        <v>1</v>
      </c>
      <c r="J1305">
        <f t="shared" si="348"/>
        <v>0.28619935768127647</v>
      </c>
      <c r="K1305">
        <f t="shared" si="349"/>
        <v>-1.9773206690568195</v>
      </c>
      <c r="O1305">
        <f t="shared" si="350"/>
        <v>-0.11163012935506521</v>
      </c>
      <c r="P1305">
        <f t="shared" si="351"/>
        <v>-0.25930030640247365</v>
      </c>
      <c r="Q1305">
        <f t="shared" si="352"/>
        <v>0.95932375417257065</v>
      </c>
      <c r="R1305">
        <f t="shared" si="353"/>
        <v>1</v>
      </c>
      <c r="AG1305" s="8">
        <f t="shared" si="334"/>
        <v>0.38270839836478809</v>
      </c>
      <c r="AH1305" s="8">
        <f t="shared" si="335"/>
        <v>-0.21160975684617067</v>
      </c>
      <c r="AI1305" s="8">
        <f t="shared" si="336"/>
        <v>0.89930839684090746</v>
      </c>
      <c r="AJ1305" s="8"/>
      <c r="AK1305" s="8"/>
      <c r="AL1305" s="8"/>
      <c r="AN1305" s="8">
        <f t="shared" si="354"/>
        <v>0.99999999999999989</v>
      </c>
      <c r="AO1305" s="8">
        <f t="shared" si="355"/>
        <v>5.778097756722393</v>
      </c>
      <c r="AP1305" s="8">
        <f t="shared" si="356"/>
        <v>0.45261086846068643</v>
      </c>
      <c r="AQ1305" s="8"/>
      <c r="AR1305" s="8">
        <f t="shared" si="357"/>
        <v>331.06061507420179</v>
      </c>
      <c r="AS1305" s="8">
        <f t="shared" si="358"/>
        <v>64.067307475451798</v>
      </c>
    </row>
    <row r="1306" spans="1:45">
      <c r="A1306" s="21">
        <v>52.185466669999997</v>
      </c>
      <c r="B1306" s="21">
        <v>1135.4776380000001</v>
      </c>
      <c r="C1306" s="21">
        <v>-946.90910550000001</v>
      </c>
      <c r="E1306" s="9">
        <f t="shared" si="337"/>
        <v>-175.47763800000007</v>
      </c>
      <c r="F1306" s="9">
        <f t="shared" si="338"/>
        <v>-406.90910550000001</v>
      </c>
      <c r="I1306">
        <v>1</v>
      </c>
      <c r="J1306">
        <f t="shared" si="348"/>
        <v>0.28695932379858502</v>
      </c>
      <c r="K1306">
        <f t="shared" si="349"/>
        <v>-1.9779448821106873</v>
      </c>
      <c r="O1306">
        <f t="shared" si="350"/>
        <v>-0.11208063372663146</v>
      </c>
      <c r="P1306">
        <f t="shared" si="351"/>
        <v>-0.25989995610481559</v>
      </c>
      <c r="Q1306">
        <f t="shared" si="352"/>
        <v>0.95910893247855411</v>
      </c>
      <c r="R1306">
        <f t="shared" si="353"/>
        <v>1</v>
      </c>
      <c r="AG1306" s="8">
        <f t="shared" si="334"/>
        <v>0.38338483876177287</v>
      </c>
      <c r="AH1306" s="8">
        <f t="shared" si="335"/>
        <v>-0.21180743165369703</v>
      </c>
      <c r="AI1306" s="8">
        <f t="shared" si="336"/>
        <v>0.89897367998394362</v>
      </c>
      <c r="AJ1306" s="8"/>
      <c r="AK1306" s="8"/>
      <c r="AL1306" s="8"/>
      <c r="AN1306" s="8">
        <f t="shared" si="354"/>
        <v>1</v>
      </c>
      <c r="AO1306" s="8">
        <f t="shared" si="355"/>
        <v>5.7784500996967667</v>
      </c>
      <c r="AP1306" s="8">
        <f t="shared" si="356"/>
        <v>0.45337565788518153</v>
      </c>
      <c r="AQ1306" s="8"/>
      <c r="AR1306" s="8">
        <f t="shared" si="357"/>
        <v>331.08080283957452</v>
      </c>
      <c r="AS1306" s="8">
        <f t="shared" si="358"/>
        <v>64.023488269211995</v>
      </c>
    </row>
    <row r="1307" spans="1:45">
      <c r="A1307" s="21">
        <v>52.218833330000002</v>
      </c>
      <c r="B1307" s="21">
        <v>1135.780753</v>
      </c>
      <c r="C1307" s="21">
        <v>-947.81664960000001</v>
      </c>
      <c r="E1307" s="9">
        <f t="shared" si="337"/>
        <v>-175.780753</v>
      </c>
      <c r="F1307" s="9">
        <f t="shared" si="338"/>
        <v>-407.81664960000001</v>
      </c>
      <c r="I1307">
        <v>1</v>
      </c>
      <c r="J1307">
        <f t="shared" si="348"/>
        <v>0.287550285938936</v>
      </c>
      <c r="K1307">
        <f t="shared" si="349"/>
        <v>-1.9777623857466009</v>
      </c>
      <c r="O1307">
        <f t="shared" si="350"/>
        <v>-0.11225753394071736</v>
      </c>
      <c r="P1307">
        <f t="shared" si="351"/>
        <v>-0.26044086512737635</v>
      </c>
      <c r="Q1307">
        <f t="shared" si="352"/>
        <v>0.95894150074196516</v>
      </c>
      <c r="R1307">
        <f t="shared" si="353"/>
        <v>1</v>
      </c>
      <c r="AG1307" s="8">
        <f t="shared" si="334"/>
        <v>0.38393228630292564</v>
      </c>
      <c r="AH1307" s="8">
        <f t="shared" si="335"/>
        <v>-0.21177666130654285</v>
      </c>
      <c r="AI1307" s="8">
        <f t="shared" si="336"/>
        <v>0.8987472643964276</v>
      </c>
      <c r="AJ1307" s="8"/>
      <c r="AK1307" s="8"/>
      <c r="AL1307" s="8"/>
      <c r="AN1307" s="8">
        <f t="shared" si="354"/>
        <v>1</v>
      </c>
      <c r="AO1307" s="8">
        <f t="shared" si="355"/>
        <v>5.7791152938163934</v>
      </c>
      <c r="AP1307" s="8">
        <f t="shared" si="356"/>
        <v>0.45389231141436226</v>
      </c>
      <c r="AQ1307" s="8"/>
      <c r="AR1307" s="8">
        <f t="shared" si="357"/>
        <v>331.11891565518607</v>
      </c>
      <c r="AS1307" s="8">
        <f t="shared" si="358"/>
        <v>63.993886202519406</v>
      </c>
    </row>
    <row r="1308" spans="1:45">
      <c r="A1308" s="21">
        <v>52.252200000000002</v>
      </c>
      <c r="B1308" s="21">
        <v>1136.1797140000001</v>
      </c>
      <c r="C1308" s="21">
        <v>-948.61666449999996</v>
      </c>
      <c r="E1308" s="9">
        <f t="shared" si="337"/>
        <v>-176.1797140000001</v>
      </c>
      <c r="F1308" s="9">
        <f t="shared" si="338"/>
        <v>-408.61666449999996</v>
      </c>
      <c r="I1308">
        <v>1</v>
      </c>
      <c r="J1308">
        <f t="shared" si="348"/>
        <v>0.28810338875064539</v>
      </c>
      <c r="K1308">
        <f t="shared" si="349"/>
        <v>-1.9778740994870732</v>
      </c>
      <c r="O1308">
        <f t="shared" si="350"/>
        <v>-0.11249660819686257</v>
      </c>
      <c r="P1308">
        <f t="shared" si="351"/>
        <v>-0.26091533335651418</v>
      </c>
      <c r="Q1308">
        <f t="shared" si="352"/>
        <v>0.95878449192905735</v>
      </c>
      <c r="R1308">
        <f t="shared" si="353"/>
        <v>1</v>
      </c>
      <c r="AG1308" s="8">
        <f t="shared" si="334"/>
        <v>0.38443537077502726</v>
      </c>
      <c r="AH1308" s="8">
        <f t="shared" si="335"/>
        <v>-0.21182601872145795</v>
      </c>
      <c r="AI1308" s="8">
        <f t="shared" si="336"/>
        <v>0.89852055262508257</v>
      </c>
      <c r="AJ1308" s="8"/>
      <c r="AK1308" s="8"/>
      <c r="AL1308" s="8"/>
      <c r="AN1308" s="8">
        <f t="shared" si="354"/>
        <v>1</v>
      </c>
      <c r="AO1308" s="8">
        <f t="shared" si="355"/>
        <v>5.7795704170794266</v>
      </c>
      <c r="AP1308" s="8">
        <f t="shared" si="356"/>
        <v>0.45440909316505329</v>
      </c>
      <c r="AQ1308" s="8"/>
      <c r="AR1308" s="8">
        <f t="shared" si="357"/>
        <v>331.14499229731609</v>
      </c>
      <c r="AS1308" s="8">
        <f t="shared" si="358"/>
        <v>63.964276789275424</v>
      </c>
    </row>
    <row r="1309" spans="1:45">
      <c r="A1309" s="21">
        <v>52.285566670000001</v>
      </c>
      <c r="B1309" s="21">
        <v>1136.7253909999999</v>
      </c>
      <c r="C1309" s="21">
        <v>-949.08736810000005</v>
      </c>
      <c r="E1309" s="9">
        <f t="shared" si="337"/>
        <v>-176.72539099999995</v>
      </c>
      <c r="F1309" s="9">
        <f t="shared" si="338"/>
        <v>-409.08736810000005</v>
      </c>
      <c r="I1309">
        <v>1</v>
      </c>
      <c r="J1309">
        <f t="shared" si="348"/>
        <v>0.28850506757366051</v>
      </c>
      <c r="K1309">
        <f t="shared" si="349"/>
        <v>-1.9785803403065254</v>
      </c>
      <c r="O1309">
        <f t="shared" si="350"/>
        <v>-0.11283357080764291</v>
      </c>
      <c r="P1309">
        <f t="shared" si="351"/>
        <v>-0.2611893415758445</v>
      </c>
      <c r="Q1309">
        <f t="shared" si="352"/>
        <v>0.95867028385465958</v>
      </c>
      <c r="R1309">
        <f t="shared" si="353"/>
        <v>1</v>
      </c>
      <c r="AG1309" s="8">
        <f t="shared" si="334"/>
        <v>0.38478020037942351</v>
      </c>
      <c r="AH1309" s="8">
        <f t="shared" si="335"/>
        <v>-0.2120356084472847</v>
      </c>
      <c r="AI1309" s="8">
        <f t="shared" si="336"/>
        <v>0.89832349303931736</v>
      </c>
      <c r="AJ1309" s="8"/>
      <c r="AK1309" s="8"/>
      <c r="AL1309" s="8"/>
      <c r="AN1309" s="8">
        <f t="shared" si="354"/>
        <v>1</v>
      </c>
      <c r="AO1309" s="8">
        <f t="shared" si="355"/>
        <v>5.7795313696385886</v>
      </c>
      <c r="AP1309" s="8">
        <f t="shared" si="356"/>
        <v>0.45485784005662255</v>
      </c>
      <c r="AQ1309" s="8"/>
      <c r="AR1309" s="8">
        <f t="shared" si="357"/>
        <v>331.14275504375524</v>
      </c>
      <c r="AS1309" s="8">
        <f t="shared" si="358"/>
        <v>63.938565486318893</v>
      </c>
    </row>
    <row r="1310" spans="1:45">
      <c r="A1310" s="21">
        <v>52.31893333</v>
      </c>
      <c r="B1310" s="21">
        <v>1137.073805</v>
      </c>
      <c r="C1310" s="21">
        <v>-949.82596880000006</v>
      </c>
      <c r="E1310" s="9">
        <f t="shared" si="337"/>
        <v>-177.07380499999999</v>
      </c>
      <c r="F1310" s="9">
        <f t="shared" si="338"/>
        <v>-409.82596880000006</v>
      </c>
      <c r="I1310">
        <v>1</v>
      </c>
      <c r="J1310">
        <f t="shared" si="348"/>
        <v>0.28901057878683989</v>
      </c>
      <c r="K1310">
        <f t="shared" si="349"/>
        <v>-1.9786406689595923</v>
      </c>
      <c r="O1310">
        <f t="shared" si="350"/>
        <v>-0.11304152832386129</v>
      </c>
      <c r="P1310">
        <f t="shared" si="351"/>
        <v>-0.26162736978492729</v>
      </c>
      <c r="Q1310">
        <f t="shared" si="352"/>
        <v>0.9585263336255434</v>
      </c>
      <c r="R1310">
        <f t="shared" si="353"/>
        <v>1</v>
      </c>
      <c r="AG1310" s="8">
        <f t="shared" si="334"/>
        <v>0.38524110986982485</v>
      </c>
      <c r="AH1310" s="8">
        <f t="shared" si="335"/>
        <v>-0.21206946328940626</v>
      </c>
      <c r="AI1310" s="8">
        <f t="shared" si="336"/>
        <v>0.89811793769326786</v>
      </c>
      <c r="AJ1310" s="8"/>
      <c r="AK1310" s="8"/>
      <c r="AL1310" s="8"/>
      <c r="AN1310" s="8">
        <f t="shared" si="354"/>
        <v>0.99999999999999989</v>
      </c>
      <c r="AO1310" s="8">
        <f t="shared" si="355"/>
        <v>5.7799697899085389</v>
      </c>
      <c r="AP1310" s="8">
        <f t="shared" si="356"/>
        <v>0.45532549526823773</v>
      </c>
      <c r="AQ1310" s="8"/>
      <c r="AR1310" s="8">
        <f t="shared" si="357"/>
        <v>331.16787467487643</v>
      </c>
      <c r="AS1310" s="8">
        <f t="shared" si="358"/>
        <v>63.911770816426042</v>
      </c>
    </row>
    <row r="1311" spans="1:45">
      <c r="A1311" s="21">
        <v>52.3523</v>
      </c>
      <c r="B1311" s="21">
        <v>1137.6409980000001</v>
      </c>
      <c r="C1311" s="21">
        <v>-950.92477599999995</v>
      </c>
      <c r="E1311" s="9">
        <f t="shared" si="337"/>
        <v>-177.64099800000008</v>
      </c>
      <c r="F1311" s="9">
        <f t="shared" si="338"/>
        <v>-410.92477599999995</v>
      </c>
      <c r="I1311">
        <v>1</v>
      </c>
      <c r="J1311">
        <f t="shared" si="348"/>
        <v>0.2897743628477078</v>
      </c>
      <c r="K1311">
        <f t="shared" si="349"/>
        <v>-1.9788302008301581</v>
      </c>
      <c r="O1311">
        <f t="shared" si="350"/>
        <v>-0.11338158405577649</v>
      </c>
      <c r="P1311">
        <f t="shared" si="351"/>
        <v>-0.26227786690685628</v>
      </c>
      <c r="Q1311">
        <f t="shared" si="352"/>
        <v>0.95830837256479828</v>
      </c>
      <c r="R1311">
        <f t="shared" si="353"/>
        <v>1</v>
      </c>
      <c r="AG1311" s="8">
        <f t="shared" si="334"/>
        <v>0.38593405817122639</v>
      </c>
      <c r="AH1311" s="8">
        <f t="shared" si="335"/>
        <v>-0.21214807506382632</v>
      </c>
      <c r="AI1311" s="8">
        <f t="shared" si="336"/>
        <v>0.89780181387108005</v>
      </c>
      <c r="AJ1311" s="8"/>
      <c r="AK1311" s="8"/>
      <c r="AL1311" s="8"/>
      <c r="AN1311" s="8">
        <f t="shared" si="354"/>
        <v>0.99999999999999989</v>
      </c>
      <c r="AO1311" s="8">
        <f t="shared" si="355"/>
        <v>5.7805722064023914</v>
      </c>
      <c r="AP1311" s="8">
        <f t="shared" si="356"/>
        <v>0.45604383245164248</v>
      </c>
      <c r="AQ1311" s="8"/>
      <c r="AR1311" s="8">
        <f t="shared" si="357"/>
        <v>331.2023905974832</v>
      </c>
      <c r="AS1311" s="8">
        <f t="shared" si="358"/>
        <v>63.870613127549632</v>
      </c>
    </row>
    <row r="1312" spans="1:45">
      <c r="A1312" s="21">
        <v>52.385666669999999</v>
      </c>
      <c r="B1312" s="21">
        <v>1138.1245489999999</v>
      </c>
      <c r="C1312" s="21">
        <v>-951.54148599999996</v>
      </c>
      <c r="E1312" s="9">
        <f t="shared" si="337"/>
        <v>-178.12454899999989</v>
      </c>
      <c r="F1312" s="9">
        <f t="shared" si="338"/>
        <v>-411.54148599999996</v>
      </c>
      <c r="I1312">
        <v>1</v>
      </c>
      <c r="J1312">
        <f t="shared" si="348"/>
        <v>0.29024349775828034</v>
      </c>
      <c r="K1312">
        <f t="shared" si="349"/>
        <v>-1.979274275361349</v>
      </c>
      <c r="O1312">
        <f t="shared" si="350"/>
        <v>-0.11367660867668217</v>
      </c>
      <c r="P1312">
        <f t="shared" si="351"/>
        <v>-0.26264005001490448</v>
      </c>
      <c r="Q1312">
        <f t="shared" si="352"/>
        <v>0.95817421837990246</v>
      </c>
      <c r="R1312">
        <f t="shared" si="353"/>
        <v>1</v>
      </c>
      <c r="AG1312" s="8">
        <f t="shared" ref="AG1312:AG1375" si="359">$O1312*$Z$27+$P1312*$Z$31+$Q1312*$Z$35</f>
        <v>0.38634869685484496</v>
      </c>
      <c r="AH1312" s="8">
        <f t="shared" ref="AH1312:AH1375" si="360">$O1312*$AA$27+$P1312*$AA$31+$Q1312*$AA$35</f>
        <v>-0.21228801259926022</v>
      </c>
      <c r="AI1312" s="8">
        <f t="shared" ref="AI1312:AI1375" si="361">$AB$27*$O1312+$P1312*$AB$31+$AB$35*$Q1312</f>
        <v>0.89759037658902041</v>
      </c>
      <c r="AJ1312" s="8"/>
      <c r="AK1312" s="8"/>
      <c r="AL1312" s="8"/>
      <c r="AN1312" s="8">
        <f t="shared" si="354"/>
        <v>1</v>
      </c>
      <c r="AO1312" s="8">
        <f t="shared" si="355"/>
        <v>5.7807471206654721</v>
      </c>
      <c r="AP1312" s="8">
        <f t="shared" si="356"/>
        <v>0.45652370088965921</v>
      </c>
      <c r="AQ1312" s="8"/>
      <c r="AR1312" s="8">
        <f t="shared" si="357"/>
        <v>331.21241244653436</v>
      </c>
      <c r="AS1312" s="8">
        <f t="shared" si="358"/>
        <v>63.843118691329742</v>
      </c>
    </row>
    <row r="1313" spans="1:45">
      <c r="A1313" s="21">
        <v>52.419033329999998</v>
      </c>
      <c r="B1313" s="21">
        <v>1138.653102</v>
      </c>
      <c r="C1313" s="21">
        <v>-952.42708730000004</v>
      </c>
      <c r="E1313" s="9">
        <f t="shared" ref="E1313:E1376" si="362">-(B1313-($B$15/2))</f>
        <v>-178.65310199999999</v>
      </c>
      <c r="F1313" s="9">
        <f t="shared" ref="F1313:F1376" si="363">(($C$15/2)+C1313)</f>
        <v>-412.42708730000004</v>
      </c>
      <c r="I1313">
        <v>1</v>
      </c>
      <c r="J1313">
        <f t="shared" si="348"/>
        <v>0.29087627027537322</v>
      </c>
      <c r="K1313">
        <f t="shared" si="349"/>
        <v>-1.9795708427480752</v>
      </c>
      <c r="O1313">
        <f t="shared" si="350"/>
        <v>-0.11399546909230554</v>
      </c>
      <c r="P1313">
        <f t="shared" si="351"/>
        <v>-0.26316262497998361</v>
      </c>
      <c r="Q1313">
        <f t="shared" si="352"/>
        <v>0.95799293621616521</v>
      </c>
      <c r="R1313">
        <f t="shared" si="353"/>
        <v>1</v>
      </c>
      <c r="AG1313" s="8">
        <f t="shared" si="359"/>
        <v>0.38691775973381015</v>
      </c>
      <c r="AH1313" s="8">
        <f t="shared" si="360"/>
        <v>-0.21239260169190116</v>
      </c>
      <c r="AI1313" s="8">
        <f t="shared" si="361"/>
        <v>0.89732047226680101</v>
      </c>
      <c r="AJ1313" s="8"/>
      <c r="AK1313" s="8"/>
      <c r="AL1313" s="8"/>
      <c r="AN1313" s="8">
        <f t="shared" si="354"/>
        <v>0.99999999999999978</v>
      </c>
      <c r="AO1313" s="8">
        <f t="shared" si="355"/>
        <v>5.7811603184142548</v>
      </c>
      <c r="AP1313" s="8">
        <f t="shared" si="356"/>
        <v>0.45713558305267932</v>
      </c>
      <c r="AQ1313" s="8"/>
      <c r="AR1313" s="8">
        <f t="shared" si="357"/>
        <v>331.23608693364395</v>
      </c>
      <c r="AS1313" s="8">
        <f t="shared" si="358"/>
        <v>63.808060425829353</v>
      </c>
    </row>
    <row r="1314" spans="1:45">
      <c r="A1314" s="21">
        <v>52.452399999999997</v>
      </c>
      <c r="B1314" s="21">
        <v>1138.8718329999999</v>
      </c>
      <c r="C1314" s="21">
        <v>-953.16922150000005</v>
      </c>
      <c r="E1314" s="9">
        <f t="shared" si="362"/>
        <v>-178.87183299999992</v>
      </c>
      <c r="F1314" s="9">
        <f t="shared" si="363"/>
        <v>-413.16922150000005</v>
      </c>
      <c r="I1314">
        <v>1</v>
      </c>
      <c r="J1314">
        <f t="shared" si="348"/>
        <v>0.29135126667657185</v>
      </c>
      <c r="K1314">
        <f t="shared" si="349"/>
        <v>-1.9793614418445078</v>
      </c>
      <c r="O1314">
        <f t="shared" si="350"/>
        <v>-0.11412113269799383</v>
      </c>
      <c r="P1314">
        <f t="shared" si="351"/>
        <v>-0.26360404968583473</v>
      </c>
      <c r="Q1314">
        <f t="shared" si="352"/>
        <v>0.95785660307843301</v>
      </c>
      <c r="R1314">
        <f t="shared" si="353"/>
        <v>1</v>
      </c>
      <c r="AG1314" s="8">
        <f t="shared" si="359"/>
        <v>0.38735920860541656</v>
      </c>
      <c r="AH1314" s="8">
        <f t="shared" si="360"/>
        <v>-0.2123500946671536</v>
      </c>
      <c r="AI1314" s="8">
        <f t="shared" si="361"/>
        <v>0.8971400564033668</v>
      </c>
      <c r="AJ1314" s="8"/>
      <c r="AK1314" s="8"/>
      <c r="AL1314" s="8"/>
      <c r="AN1314" s="8">
        <f t="shared" si="354"/>
        <v>0.99999999999999989</v>
      </c>
      <c r="AO1314" s="8">
        <f t="shared" si="355"/>
        <v>5.78172554797254</v>
      </c>
      <c r="AP1314" s="8">
        <f t="shared" si="356"/>
        <v>0.45754416777152906</v>
      </c>
      <c r="AQ1314" s="8"/>
      <c r="AR1314" s="8">
        <f t="shared" si="357"/>
        <v>331.26847220178973</v>
      </c>
      <c r="AS1314" s="8">
        <f t="shared" si="358"/>
        <v>63.78465024586572</v>
      </c>
    </row>
    <row r="1315" spans="1:45">
      <c r="A1315" s="21">
        <v>52.485766669999997</v>
      </c>
      <c r="B1315" s="21">
        <v>1139.576755</v>
      </c>
      <c r="C1315" s="21">
        <v>-953.91641179999999</v>
      </c>
      <c r="E1315" s="9">
        <f t="shared" si="362"/>
        <v>-179.57675500000005</v>
      </c>
      <c r="F1315" s="9">
        <f t="shared" si="363"/>
        <v>-413.91641179999999</v>
      </c>
      <c r="I1315">
        <v>1</v>
      </c>
      <c r="J1315">
        <f t="shared" si="348"/>
        <v>0.29194852070352556</v>
      </c>
      <c r="K1315">
        <f t="shared" si="349"/>
        <v>-1.9801372699309105</v>
      </c>
      <c r="O1315">
        <f t="shared" si="350"/>
        <v>-0.11455328142119105</v>
      </c>
      <c r="P1315">
        <f t="shared" si="351"/>
        <v>-0.26404020501303199</v>
      </c>
      <c r="Q1315">
        <f t="shared" si="352"/>
        <v>0.95768487293697679</v>
      </c>
      <c r="R1315">
        <f t="shared" si="353"/>
        <v>1</v>
      </c>
      <c r="AG1315" s="8">
        <f t="shared" si="359"/>
        <v>0.38787939976269081</v>
      </c>
      <c r="AH1315" s="8">
        <f t="shared" si="360"/>
        <v>-0.21258838880710343</v>
      </c>
      <c r="AI1315" s="8">
        <f t="shared" si="361"/>
        <v>0.89685882288358765</v>
      </c>
      <c r="AJ1315" s="8"/>
      <c r="AK1315" s="8"/>
      <c r="AL1315" s="8"/>
      <c r="AN1315" s="8">
        <f t="shared" si="354"/>
        <v>1</v>
      </c>
      <c r="AO1315" s="8">
        <f t="shared" si="355"/>
        <v>5.7818184751575421</v>
      </c>
      <c r="AP1315" s="8">
        <f t="shared" si="356"/>
        <v>0.45818039724659343</v>
      </c>
      <c r="AQ1315" s="8"/>
      <c r="AR1315" s="8">
        <f t="shared" si="357"/>
        <v>331.27379653729236</v>
      </c>
      <c r="AS1315" s="8">
        <f t="shared" si="358"/>
        <v>63.748196982142716</v>
      </c>
    </row>
    <row r="1316" spans="1:45">
      <c r="A1316" s="21">
        <v>52.519133330000003</v>
      </c>
      <c r="B1316" s="21">
        <v>1139.899938</v>
      </c>
      <c r="C1316" s="21">
        <v>-954.53351150000003</v>
      </c>
      <c r="E1316" s="9">
        <f t="shared" si="362"/>
        <v>-179.89993800000002</v>
      </c>
      <c r="F1316" s="9">
        <f t="shared" si="363"/>
        <v>-414.53351150000003</v>
      </c>
      <c r="I1316">
        <v>1</v>
      </c>
      <c r="J1316">
        <f t="shared" si="348"/>
        <v>0.29237799376471474</v>
      </c>
      <c r="K1316">
        <f t="shared" si="349"/>
        <v>-1.9802498512403359</v>
      </c>
      <c r="O1316">
        <f t="shared" si="350"/>
        <v>-0.1147467379119036</v>
      </c>
      <c r="P1316">
        <f t="shared" si="351"/>
        <v>-0.26440458361798652</v>
      </c>
      <c r="Q1316">
        <f t="shared" si="352"/>
        <v>0.95756117418177311</v>
      </c>
      <c r="R1316">
        <f t="shared" si="353"/>
        <v>1</v>
      </c>
      <c r="AG1316" s="8">
        <f t="shared" si="359"/>
        <v>0.38826823315715547</v>
      </c>
      <c r="AH1316" s="8">
        <f t="shared" si="360"/>
        <v>-0.21263488711665707</v>
      </c>
      <c r="AI1316" s="8">
        <f t="shared" si="361"/>
        <v>0.89667953244283838</v>
      </c>
      <c r="AJ1316" s="8"/>
      <c r="AK1316" s="8"/>
      <c r="AL1316" s="8"/>
      <c r="AN1316" s="8">
        <f t="shared" si="354"/>
        <v>1</v>
      </c>
      <c r="AO1316" s="8">
        <f t="shared" si="355"/>
        <v>5.7821485266894079</v>
      </c>
      <c r="AP1316" s="8">
        <f t="shared" si="356"/>
        <v>0.45858557467065308</v>
      </c>
      <c r="AQ1316" s="8"/>
      <c r="AR1316" s="8">
        <f t="shared" si="357"/>
        <v>331.2927070970901</v>
      </c>
      <c r="AS1316" s="8">
        <f t="shared" si="358"/>
        <v>63.724982025790112</v>
      </c>
    </row>
    <row r="1317" spans="1:45">
      <c r="A1317" s="21">
        <v>52.552500000000002</v>
      </c>
      <c r="B1317" s="21">
        <v>1140.0981710000001</v>
      </c>
      <c r="C1317" s="21">
        <v>-955.5188465</v>
      </c>
      <c r="E1317" s="9">
        <f t="shared" si="362"/>
        <v>-180.09817100000009</v>
      </c>
      <c r="F1317" s="9">
        <f t="shared" si="363"/>
        <v>-415.5188465</v>
      </c>
      <c r="I1317">
        <v>1</v>
      </c>
      <c r="J1317">
        <f t="shared" si="348"/>
        <v>0.29298538854121425</v>
      </c>
      <c r="K1317">
        <f t="shared" si="349"/>
        <v>-1.979785207838384</v>
      </c>
      <c r="O1317">
        <f t="shared" si="350"/>
        <v>-0.11485514928600872</v>
      </c>
      <c r="P1317">
        <f t="shared" si="351"/>
        <v>-0.2649914703792724</v>
      </c>
      <c r="Q1317">
        <f t="shared" si="352"/>
        <v>0.9573859280920729</v>
      </c>
      <c r="R1317">
        <f t="shared" si="353"/>
        <v>1</v>
      </c>
      <c r="AG1317" s="8">
        <f t="shared" si="359"/>
        <v>0.3888390377003148</v>
      </c>
      <c r="AH1317" s="8">
        <f t="shared" si="360"/>
        <v>-0.21252478395241928</v>
      </c>
      <c r="AI1317" s="8">
        <f t="shared" si="361"/>
        <v>0.89645826392881811</v>
      </c>
      <c r="AJ1317" s="8"/>
      <c r="AK1317" s="8"/>
      <c r="AL1317" s="8"/>
      <c r="AN1317" s="8">
        <f t="shared" si="354"/>
        <v>0.99999999999999978</v>
      </c>
      <c r="AO1317" s="8">
        <f t="shared" si="355"/>
        <v>5.7829851861049342</v>
      </c>
      <c r="AP1317" s="8">
        <f t="shared" si="356"/>
        <v>0.45908516013235845</v>
      </c>
      <c r="AQ1317" s="8"/>
      <c r="AR1317" s="8">
        <f t="shared" si="357"/>
        <v>331.34064415048965</v>
      </c>
      <c r="AS1317" s="8">
        <f t="shared" si="358"/>
        <v>63.696357887328304</v>
      </c>
    </row>
    <row r="1318" spans="1:45">
      <c r="A1318" s="21">
        <v>52.585866670000001</v>
      </c>
      <c r="B1318" s="21">
        <v>1140.861842</v>
      </c>
      <c r="C1318" s="21">
        <v>-956.57684210000002</v>
      </c>
      <c r="E1318" s="9">
        <f t="shared" si="362"/>
        <v>-180.86184200000002</v>
      </c>
      <c r="F1318" s="9">
        <f t="shared" si="363"/>
        <v>-416.57684210000002</v>
      </c>
      <c r="I1318">
        <v>1</v>
      </c>
      <c r="J1318">
        <f t="shared" si="348"/>
        <v>0.29377272338015986</v>
      </c>
      <c r="K1318">
        <f t="shared" si="349"/>
        <v>-1.9804016204458084</v>
      </c>
      <c r="O1318">
        <f t="shared" si="350"/>
        <v>-0.11531862802254206</v>
      </c>
      <c r="P1318">
        <f t="shared" si="351"/>
        <v>-0.26561196859277336</v>
      </c>
      <c r="Q1318">
        <f t="shared" si="352"/>
        <v>0.95715823988056969</v>
      </c>
      <c r="R1318">
        <f t="shared" si="353"/>
        <v>1</v>
      </c>
      <c r="AG1318" s="8">
        <f t="shared" si="359"/>
        <v>0.38953764336184288</v>
      </c>
      <c r="AH1318" s="8">
        <f t="shared" si="360"/>
        <v>-0.21272577667093356</v>
      </c>
      <c r="AI1318" s="8">
        <f t="shared" si="361"/>
        <v>0.8961072303825306</v>
      </c>
      <c r="AJ1318" s="8"/>
      <c r="AK1318" s="8"/>
      <c r="AL1318" s="8"/>
      <c r="AN1318" s="8">
        <f t="shared" si="354"/>
        <v>1</v>
      </c>
      <c r="AO1318" s="8">
        <f t="shared" si="355"/>
        <v>5.7833427125047141</v>
      </c>
      <c r="AP1318" s="8">
        <f t="shared" si="356"/>
        <v>0.4598766980469231</v>
      </c>
      <c r="AQ1318" s="8"/>
      <c r="AR1318" s="8">
        <f t="shared" si="357"/>
        <v>331.36112890426153</v>
      </c>
      <c r="AS1318" s="8">
        <f t="shared" si="358"/>
        <v>63.651006105499157</v>
      </c>
    </row>
    <row r="1319" spans="1:45">
      <c r="A1319" s="21">
        <v>52.61923333</v>
      </c>
      <c r="B1319" s="21">
        <v>1141.2212050000001</v>
      </c>
      <c r="C1319" s="21">
        <v>-956.99957189999998</v>
      </c>
      <c r="E1319" s="9">
        <f t="shared" si="362"/>
        <v>-181.22120500000005</v>
      </c>
      <c r="F1319" s="9">
        <f t="shared" si="363"/>
        <v>-416.99957189999998</v>
      </c>
      <c r="I1319">
        <v>1</v>
      </c>
      <c r="J1319">
        <f t="shared" si="348"/>
        <v>0.29410058706835324</v>
      </c>
      <c r="K1319">
        <f t="shared" si="349"/>
        <v>-1.9807563455658788</v>
      </c>
      <c r="O1319">
        <f t="shared" si="350"/>
        <v>-0.11553791284551017</v>
      </c>
      <c r="P1319">
        <f t="shared" si="351"/>
        <v>-0.2658588446909248</v>
      </c>
      <c r="Q1319">
        <f t="shared" si="352"/>
        <v>0.95706325046723539</v>
      </c>
      <c r="R1319">
        <f t="shared" si="353"/>
        <v>1</v>
      </c>
      <c r="AG1319" s="8">
        <f t="shared" si="359"/>
        <v>0.38982508852139947</v>
      </c>
      <c r="AH1319" s="8">
        <f t="shared" si="360"/>
        <v>-0.21283745059695336</v>
      </c>
      <c r="AI1319" s="8">
        <f t="shared" si="361"/>
        <v>0.89595570202029107</v>
      </c>
      <c r="AJ1319" s="8"/>
      <c r="AK1319" s="8"/>
      <c r="AL1319" s="8"/>
      <c r="AN1319" s="8">
        <f t="shared" si="354"/>
        <v>1.0000000000000002</v>
      </c>
      <c r="AO1319" s="8">
        <f t="shared" si="355"/>
        <v>5.7834322271162497</v>
      </c>
      <c r="AP1319" s="8">
        <f t="shared" si="356"/>
        <v>0.46021798542516557</v>
      </c>
      <c r="AQ1319" s="8"/>
      <c r="AR1319" s="8">
        <f t="shared" si="357"/>
        <v>331.36625771370728</v>
      </c>
      <c r="AS1319" s="8">
        <f t="shared" si="358"/>
        <v>63.631451779124781</v>
      </c>
    </row>
    <row r="1320" spans="1:45">
      <c r="A1320" s="21">
        <v>52.6526</v>
      </c>
      <c r="B1320" s="21">
        <v>1141.709709</v>
      </c>
      <c r="C1320" s="21">
        <v>-957.7872744</v>
      </c>
      <c r="E1320" s="9">
        <f t="shared" si="362"/>
        <v>-181.70970899999998</v>
      </c>
      <c r="F1320" s="9">
        <f t="shared" si="363"/>
        <v>-417.7872744</v>
      </c>
      <c r="I1320">
        <v>1</v>
      </c>
      <c r="J1320">
        <f t="shared" si="348"/>
        <v>0.29466683952798733</v>
      </c>
      <c r="K1320">
        <f t="shared" si="349"/>
        <v>-1.9810506178915566</v>
      </c>
      <c r="O1320">
        <f t="shared" si="350"/>
        <v>-0.11583227268473022</v>
      </c>
      <c r="P1320">
        <f t="shared" si="351"/>
        <v>-0.26632175990393014</v>
      </c>
      <c r="Q1320">
        <f t="shared" si="352"/>
        <v>0.95689895224436505</v>
      </c>
      <c r="R1320">
        <f t="shared" si="353"/>
        <v>1</v>
      </c>
      <c r="AG1320" s="8">
        <f t="shared" si="359"/>
        <v>0.39033218389729157</v>
      </c>
      <c r="AH1320" s="8">
        <f t="shared" si="360"/>
        <v>-0.21294048946698624</v>
      </c>
      <c r="AI1320" s="8">
        <f t="shared" si="361"/>
        <v>0.89571040753110109</v>
      </c>
      <c r="AJ1320" s="8"/>
      <c r="AK1320" s="8"/>
      <c r="AL1320" s="8"/>
      <c r="AN1320" s="8">
        <f t="shared" si="354"/>
        <v>0.99999999999999989</v>
      </c>
      <c r="AO1320" s="8">
        <f t="shared" si="355"/>
        <v>5.783775354127088</v>
      </c>
      <c r="AP1320" s="8">
        <f t="shared" si="356"/>
        <v>0.4607699648052741</v>
      </c>
      <c r="AQ1320" s="8"/>
      <c r="AR1320" s="8">
        <f t="shared" si="357"/>
        <v>331.38591744326527</v>
      </c>
      <c r="AS1320" s="8">
        <f t="shared" si="358"/>
        <v>63.599825690266314</v>
      </c>
    </row>
    <row r="1321" spans="1:45">
      <c r="A1321" s="21">
        <v>52.685966669999999</v>
      </c>
      <c r="B1321" s="21">
        <v>1142.4803440000001</v>
      </c>
      <c r="C1321" s="21">
        <v>-958.77731800000004</v>
      </c>
      <c r="E1321" s="9">
        <f t="shared" si="362"/>
        <v>-182.48034400000006</v>
      </c>
      <c r="F1321" s="9">
        <f t="shared" si="363"/>
        <v>-418.77731800000004</v>
      </c>
      <c r="I1321">
        <v>1</v>
      </c>
      <c r="J1321">
        <f t="shared" si="348"/>
        <v>0.29541692390650498</v>
      </c>
      <c r="K1321">
        <f t="shared" si="349"/>
        <v>-1.9817332150023723</v>
      </c>
      <c r="O1321">
        <f t="shared" si="350"/>
        <v>-0.11630072390443549</v>
      </c>
      <c r="P1321">
        <f t="shared" si="351"/>
        <v>-0.2669005558108658</v>
      </c>
      <c r="Q1321">
        <f t="shared" si="352"/>
        <v>0.9566808427721103</v>
      </c>
      <c r="R1321">
        <f t="shared" si="353"/>
        <v>1</v>
      </c>
      <c r="AG1321" s="8">
        <f t="shared" si="359"/>
        <v>0.39099354149708132</v>
      </c>
      <c r="AH1321" s="8">
        <f t="shared" si="360"/>
        <v>-0.21316058050451453</v>
      </c>
      <c r="AI1321" s="8">
        <f t="shared" si="361"/>
        <v>0.89536954238266808</v>
      </c>
      <c r="AJ1321" s="8"/>
      <c r="AK1321" s="8"/>
      <c r="AL1321" s="8"/>
      <c r="AN1321" s="8">
        <f t="shared" si="354"/>
        <v>1</v>
      </c>
      <c r="AO1321" s="8">
        <f t="shared" si="355"/>
        <v>5.7840527228556011</v>
      </c>
      <c r="AP1321" s="8">
        <f t="shared" si="356"/>
        <v>0.46153598673407181</v>
      </c>
      <c r="AQ1321" s="8"/>
      <c r="AR1321" s="8">
        <f t="shared" si="357"/>
        <v>331.40180950077797</v>
      </c>
      <c r="AS1321" s="8">
        <f t="shared" si="358"/>
        <v>63.55593586673173</v>
      </c>
    </row>
    <row r="1322" spans="1:45">
      <c r="A1322" s="21">
        <v>52.719333329999998</v>
      </c>
      <c r="B1322" s="21">
        <v>1142.4803529999999</v>
      </c>
      <c r="C1322" s="21">
        <v>-959.16583460000004</v>
      </c>
      <c r="E1322" s="9">
        <f t="shared" si="362"/>
        <v>-182.48035299999992</v>
      </c>
      <c r="F1322" s="9">
        <f t="shared" si="363"/>
        <v>-419.16583460000004</v>
      </c>
      <c r="I1322">
        <v>1</v>
      </c>
      <c r="J1322">
        <f t="shared" si="348"/>
        <v>0.29563670101554174</v>
      </c>
      <c r="K1322">
        <f t="shared" si="349"/>
        <v>-1.9813937486466047</v>
      </c>
      <c r="O1322">
        <f t="shared" si="350"/>
        <v>-0.11629403604712531</v>
      </c>
      <c r="P1322">
        <f t="shared" si="351"/>
        <v>-0.26713279472171891</v>
      </c>
      <c r="Q1322">
        <f t="shared" si="352"/>
        <v>0.95661683403755438</v>
      </c>
      <c r="R1322">
        <f t="shared" si="353"/>
        <v>1</v>
      </c>
      <c r="AG1322" s="8">
        <f t="shared" si="359"/>
        <v>0.39120582252140523</v>
      </c>
      <c r="AH1322" s="8">
        <f t="shared" si="360"/>
        <v>-0.21307176145144491</v>
      </c>
      <c r="AI1322" s="8">
        <f t="shared" si="361"/>
        <v>0.89529795537425927</v>
      </c>
      <c r="AJ1322" s="8"/>
      <c r="AK1322" s="8"/>
      <c r="AL1322" s="8"/>
      <c r="AN1322" s="8">
        <f t="shared" si="354"/>
        <v>0.99999999999999978</v>
      </c>
      <c r="AO1322" s="8">
        <f t="shared" si="355"/>
        <v>5.784455881672331</v>
      </c>
      <c r="AP1322" s="8">
        <f t="shared" si="356"/>
        <v>0.46169671343758156</v>
      </c>
      <c r="AQ1322" s="8"/>
      <c r="AR1322" s="8">
        <f t="shared" si="357"/>
        <v>331.42490879945007</v>
      </c>
      <c r="AS1322" s="8">
        <f t="shared" si="358"/>
        <v>63.546726904965574</v>
      </c>
    </row>
    <row r="1323" spans="1:45">
      <c r="A1323" s="21">
        <v>52.752699999999997</v>
      </c>
      <c r="B1323" s="21">
        <v>1142.8256670000001</v>
      </c>
      <c r="C1323" s="21">
        <v>-960.61766399999999</v>
      </c>
      <c r="E1323" s="9">
        <f t="shared" si="362"/>
        <v>-182.82566700000007</v>
      </c>
      <c r="F1323" s="9">
        <f t="shared" si="363"/>
        <v>-420.61766399999999</v>
      </c>
      <c r="I1323">
        <v>1</v>
      </c>
      <c r="J1323">
        <f t="shared" si="348"/>
        <v>0.29654282956437272</v>
      </c>
      <c r="K1323">
        <f t="shared" si="349"/>
        <v>-1.9808205329901372</v>
      </c>
      <c r="O1323">
        <f t="shared" si="350"/>
        <v>-0.11648638543578807</v>
      </c>
      <c r="P1323">
        <f t="shared" si="351"/>
        <v>-0.2679942709018247</v>
      </c>
      <c r="Q1323">
        <f t="shared" si="352"/>
        <v>0.95635244171377765</v>
      </c>
      <c r="R1323">
        <f t="shared" si="353"/>
        <v>1</v>
      </c>
      <c r="AG1323" s="8">
        <f t="shared" si="359"/>
        <v>0.39205241011089598</v>
      </c>
      <c r="AH1323" s="8">
        <f t="shared" si="360"/>
        <v>-0.21293976051158053</v>
      </c>
      <c r="AI1323" s="8">
        <f t="shared" si="361"/>
        <v>0.89495897454548634</v>
      </c>
      <c r="AJ1323" s="8"/>
      <c r="AK1323" s="8"/>
      <c r="AL1323" s="8"/>
      <c r="AN1323" s="8">
        <f t="shared" si="354"/>
        <v>0.99999999999999989</v>
      </c>
      <c r="AO1323" s="8">
        <f t="shared" si="355"/>
        <v>5.7856233262137318</v>
      </c>
      <c r="AP1323" s="8">
        <f t="shared" si="356"/>
        <v>0.46245708722042278</v>
      </c>
      <c r="AQ1323" s="8"/>
      <c r="AR1323" s="8">
        <f t="shared" si="357"/>
        <v>331.49179844448793</v>
      </c>
      <c r="AS1323" s="8">
        <f t="shared" si="358"/>
        <v>63.503160696356375</v>
      </c>
    </row>
    <row r="1324" spans="1:45">
      <c r="A1324" s="21">
        <v>52.786066669999997</v>
      </c>
      <c r="B1324" s="21">
        <v>1143.7386839999999</v>
      </c>
      <c r="C1324" s="21">
        <v>-960.86461959999997</v>
      </c>
      <c r="E1324" s="9">
        <f t="shared" si="362"/>
        <v>-183.73868399999992</v>
      </c>
      <c r="F1324" s="9">
        <f t="shared" si="363"/>
        <v>-420.86461959999997</v>
      </c>
      <c r="I1324">
        <v>1</v>
      </c>
      <c r="J1324">
        <f t="shared" si="348"/>
        <v>0.29690725319550154</v>
      </c>
      <c r="K1324">
        <f t="shared" si="349"/>
        <v>-1.9824295379321089</v>
      </c>
      <c r="O1324">
        <f t="shared" si="350"/>
        <v>-0.11705687494411166</v>
      </c>
      <c r="P1324">
        <f t="shared" si="351"/>
        <v>-0.26812588439415597</v>
      </c>
      <c r="Q1324">
        <f t="shared" si="352"/>
        <v>0.95624588791072473</v>
      </c>
      <c r="R1324">
        <f t="shared" si="353"/>
        <v>1</v>
      </c>
      <c r="AG1324" s="8">
        <f t="shared" si="359"/>
        <v>0.39232923015342591</v>
      </c>
      <c r="AH1324" s="8">
        <f t="shared" si="360"/>
        <v>-0.21341183004418501</v>
      </c>
      <c r="AI1324" s="8">
        <f t="shared" si="361"/>
        <v>0.89472519019216845</v>
      </c>
      <c r="AJ1324" s="8"/>
      <c r="AK1324" s="8"/>
      <c r="AL1324" s="8"/>
      <c r="AN1324" s="8">
        <f t="shared" si="354"/>
        <v>1</v>
      </c>
      <c r="AO1324" s="8">
        <f t="shared" si="355"/>
        <v>5.7849903262133315</v>
      </c>
      <c r="AP1324" s="8">
        <f t="shared" si="356"/>
        <v>0.46298081788990975</v>
      </c>
      <c r="AQ1324" s="8"/>
      <c r="AR1324" s="8">
        <f t="shared" si="357"/>
        <v>331.45553021603325</v>
      </c>
      <c r="AS1324" s="8">
        <f t="shared" si="358"/>
        <v>63.473153139393212</v>
      </c>
    </row>
    <row r="1325" spans="1:45">
      <c r="A1325" s="21">
        <v>52.819433330000003</v>
      </c>
      <c r="B1325" s="21">
        <v>1144.090526</v>
      </c>
      <c r="C1325" s="21">
        <v>-961.68876869999997</v>
      </c>
      <c r="E1325" s="9">
        <f t="shared" si="362"/>
        <v>-184.09052599999995</v>
      </c>
      <c r="F1325" s="9">
        <f t="shared" si="363"/>
        <v>-421.68876869999997</v>
      </c>
      <c r="I1325">
        <v>1</v>
      </c>
      <c r="J1325">
        <f t="shared" si="348"/>
        <v>0.2974596172282804</v>
      </c>
      <c r="K1325">
        <f t="shared" si="349"/>
        <v>-1.982413682530356</v>
      </c>
      <c r="O1325">
        <f t="shared" si="350"/>
        <v>-0.11726393280790512</v>
      </c>
      <c r="P1325">
        <f t="shared" si="351"/>
        <v>-0.26861177765707001</v>
      </c>
      <c r="Q1325">
        <f t="shared" si="352"/>
        <v>0.95608414010814546</v>
      </c>
      <c r="R1325">
        <f t="shared" si="353"/>
        <v>1</v>
      </c>
      <c r="AG1325" s="8">
        <f t="shared" si="359"/>
        <v>0.39283352931900151</v>
      </c>
      <c r="AH1325" s="8">
        <f t="shared" si="360"/>
        <v>-0.21342693406280949</v>
      </c>
      <c r="AI1325" s="8">
        <f t="shared" si="361"/>
        <v>0.89450028622652</v>
      </c>
      <c r="AJ1325" s="8"/>
      <c r="AK1325" s="8"/>
      <c r="AL1325" s="8"/>
      <c r="AN1325" s="8">
        <f t="shared" si="354"/>
        <v>0.99999999999999978</v>
      </c>
      <c r="AO1325" s="8">
        <f t="shared" si="355"/>
        <v>5.7854996601953239</v>
      </c>
      <c r="AP1325" s="8">
        <f t="shared" si="356"/>
        <v>0.46348413638126251</v>
      </c>
      <c r="AQ1325" s="8"/>
      <c r="AR1325" s="8">
        <f t="shared" si="357"/>
        <v>331.484712903564</v>
      </c>
      <c r="AS1325" s="8">
        <f t="shared" si="358"/>
        <v>63.444315114087807</v>
      </c>
    </row>
    <row r="1326" spans="1:45">
      <c r="A1326" s="21">
        <v>52.852800000000002</v>
      </c>
      <c r="B1326" s="21">
        <v>1144.9584199999999</v>
      </c>
      <c r="C1326" s="21">
        <v>-962.96257800000001</v>
      </c>
      <c r="E1326" s="9">
        <f t="shared" si="362"/>
        <v>-184.95841999999993</v>
      </c>
      <c r="F1326" s="9">
        <f t="shared" si="363"/>
        <v>-422.96257800000001</v>
      </c>
      <c r="I1326">
        <v>1</v>
      </c>
      <c r="J1326">
        <f t="shared" si="348"/>
        <v>0.29839294026557239</v>
      </c>
      <c r="K1326">
        <f t="shared" si="349"/>
        <v>-1.9830327040402589</v>
      </c>
      <c r="O1326">
        <f t="shared" si="350"/>
        <v>-0.11778765810981348</v>
      </c>
      <c r="P1326">
        <f t="shared" si="351"/>
        <v>-0.26935660204444517</v>
      </c>
      <c r="Q1326">
        <f t="shared" si="352"/>
        <v>0.95581017390069467</v>
      </c>
      <c r="R1326">
        <f t="shared" si="353"/>
        <v>1</v>
      </c>
      <c r="AG1326" s="8">
        <f t="shared" si="359"/>
        <v>0.39366271761209387</v>
      </c>
      <c r="AH1326" s="8">
        <f t="shared" si="360"/>
        <v>-0.21363762645176035</v>
      </c>
      <c r="AI1326" s="8">
        <f t="shared" si="361"/>
        <v>0.89408535908285569</v>
      </c>
      <c r="AJ1326" s="8"/>
      <c r="AK1326" s="8"/>
      <c r="AL1326" s="8"/>
      <c r="AN1326" s="8">
        <f t="shared" si="354"/>
        <v>1</v>
      </c>
      <c r="AO1326" s="8">
        <f t="shared" si="355"/>
        <v>5.7859701161604855</v>
      </c>
      <c r="AP1326" s="8">
        <f t="shared" si="356"/>
        <v>0.46441138512455149</v>
      </c>
      <c r="AQ1326" s="8"/>
      <c r="AR1326" s="8">
        <f t="shared" si="357"/>
        <v>331.51166804481448</v>
      </c>
      <c r="AS1326" s="8">
        <f t="shared" si="358"/>
        <v>63.391187674538543</v>
      </c>
    </row>
    <row r="1327" spans="1:45">
      <c r="A1327" s="21">
        <v>52.886166670000001</v>
      </c>
      <c r="B1327" s="21">
        <v>1144.869381</v>
      </c>
      <c r="C1327" s="21">
        <v>-963.19015049999996</v>
      </c>
      <c r="E1327" s="9">
        <f t="shared" si="362"/>
        <v>-184.86938099999998</v>
      </c>
      <c r="F1327" s="9">
        <f t="shared" si="363"/>
        <v>-423.19015049999996</v>
      </c>
      <c r="I1327">
        <v>1</v>
      </c>
      <c r="J1327">
        <f t="shared" si="348"/>
        <v>0.29849942182739492</v>
      </c>
      <c r="K1327">
        <f t="shared" si="349"/>
        <v>-1.9826586113120626</v>
      </c>
      <c r="O1327">
        <f t="shared" si="350"/>
        <v>-0.11772762754077366</v>
      </c>
      <c r="P1327">
        <f t="shared" si="351"/>
        <v>-0.2694939104977474</v>
      </c>
      <c r="Q1327">
        <f t="shared" si="352"/>
        <v>0.95577886454883121</v>
      </c>
      <c r="R1327">
        <f t="shared" si="353"/>
        <v>1</v>
      </c>
      <c r="AG1327" s="8">
        <f t="shared" si="359"/>
        <v>0.39377290738146647</v>
      </c>
      <c r="AH1327" s="8">
        <f t="shared" si="360"/>
        <v>-0.21353403879829824</v>
      </c>
      <c r="AI1327" s="8">
        <f t="shared" si="361"/>
        <v>0.89406158159649929</v>
      </c>
      <c r="AJ1327" s="8"/>
      <c r="AK1327" s="8"/>
      <c r="AL1327" s="8"/>
      <c r="AN1327" s="8">
        <f t="shared" si="354"/>
        <v>0.99999999999999989</v>
      </c>
      <c r="AO1327" s="8">
        <f t="shared" si="355"/>
        <v>5.7862906985083624</v>
      </c>
      <c r="AP1327" s="8">
        <f t="shared" si="356"/>
        <v>0.4644644693101736</v>
      </c>
      <c r="AQ1327" s="8"/>
      <c r="AR1327" s="8">
        <f t="shared" si="357"/>
        <v>331.53003606033423</v>
      </c>
      <c r="AS1327" s="8">
        <f t="shared" si="358"/>
        <v>63.388146174743497</v>
      </c>
    </row>
    <row r="1328" spans="1:45">
      <c r="A1328" s="21">
        <v>52.91953333</v>
      </c>
      <c r="B1328" s="21">
        <v>1145.3745879999999</v>
      </c>
      <c r="C1328" s="21">
        <v>-964.07844620000003</v>
      </c>
      <c r="E1328" s="9">
        <f t="shared" si="362"/>
        <v>-185.3745879999999</v>
      </c>
      <c r="F1328" s="9">
        <f t="shared" si="363"/>
        <v>-424.07844620000003</v>
      </c>
      <c r="I1328">
        <v>1</v>
      </c>
      <c r="J1328">
        <f t="shared" si="348"/>
        <v>0.29912528873362715</v>
      </c>
      <c r="K1328">
        <f t="shared" si="349"/>
        <v>-1.9828905795854839</v>
      </c>
      <c r="O1328">
        <f t="shared" si="350"/>
        <v>-0.11802970799254844</v>
      </c>
      <c r="P1328">
        <f t="shared" si="351"/>
        <v>-0.27001465363159544</v>
      </c>
      <c r="Q1328">
        <f t="shared" si="352"/>
        <v>0.95559461847344207</v>
      </c>
      <c r="R1328">
        <f t="shared" si="353"/>
        <v>1</v>
      </c>
      <c r="AG1328" s="8">
        <f t="shared" si="359"/>
        <v>0.39433510931598503</v>
      </c>
      <c r="AH1328" s="8">
        <f t="shared" si="360"/>
        <v>-0.21362294559706801</v>
      </c>
      <c r="AI1328" s="8">
        <f t="shared" si="361"/>
        <v>0.89379251433158813</v>
      </c>
      <c r="AJ1328" s="8"/>
      <c r="AK1328" s="8"/>
      <c r="AL1328" s="8"/>
      <c r="AN1328" s="8">
        <f t="shared" si="354"/>
        <v>1</v>
      </c>
      <c r="AO1328" s="8">
        <f t="shared" si="355"/>
        <v>5.7867140065661218</v>
      </c>
      <c r="AP1328" s="8">
        <f t="shared" si="356"/>
        <v>0.46506478127237827</v>
      </c>
      <c r="AQ1328" s="8"/>
      <c r="AR1328" s="8">
        <f t="shared" si="357"/>
        <v>331.55428982547772</v>
      </c>
      <c r="AS1328" s="8">
        <f t="shared" si="358"/>
        <v>63.353750832917953</v>
      </c>
    </row>
    <row r="1329" spans="1:45">
      <c r="A1329" s="21">
        <v>52.9529</v>
      </c>
      <c r="B1329" s="21">
        <v>1145.868015</v>
      </c>
      <c r="C1329" s="21">
        <v>-964.7301592</v>
      </c>
      <c r="E1329" s="9">
        <f t="shared" si="362"/>
        <v>-185.86801500000001</v>
      </c>
      <c r="F1329" s="9">
        <f t="shared" si="363"/>
        <v>-424.7301592</v>
      </c>
      <c r="I1329">
        <v>1</v>
      </c>
      <c r="J1329">
        <f t="shared" si="348"/>
        <v>0.29961462344104295</v>
      </c>
      <c r="K1329">
        <f t="shared" si="349"/>
        <v>-1.9833027482319945</v>
      </c>
      <c r="O1329">
        <f t="shared" si="350"/>
        <v>-0.11832844163981217</v>
      </c>
      <c r="P1329">
        <f t="shared" si="351"/>
        <v>-0.27039433253518813</v>
      </c>
      <c r="Q1329">
        <f t="shared" si="352"/>
        <v>0.95545030474218995</v>
      </c>
      <c r="R1329">
        <f t="shared" si="353"/>
        <v>1</v>
      </c>
      <c r="AG1329" s="8">
        <f t="shared" si="359"/>
        <v>0.39476636615819444</v>
      </c>
      <c r="AH1329" s="8">
        <f t="shared" si="360"/>
        <v>-0.2137590904553196</v>
      </c>
      <c r="AI1329" s="8">
        <f t="shared" si="361"/>
        <v>0.89356956494610351</v>
      </c>
      <c r="AJ1329" s="8"/>
      <c r="AK1329" s="8"/>
      <c r="AL1329" s="8"/>
      <c r="AN1329" s="8">
        <f t="shared" si="354"/>
        <v>0.99999999999999989</v>
      </c>
      <c r="AO1329" s="8">
        <f t="shared" si="355"/>
        <v>5.7869049313117724</v>
      </c>
      <c r="AP1329" s="8">
        <f t="shared" si="356"/>
        <v>0.46556165674745764</v>
      </c>
      <c r="AQ1329" s="8"/>
      <c r="AR1329" s="8">
        <f t="shared" si="357"/>
        <v>331.56522900760814</v>
      </c>
      <c r="AS1329" s="8">
        <f t="shared" si="358"/>
        <v>63.325281965252351</v>
      </c>
    </row>
    <row r="1330" spans="1:45">
      <c r="A1330" s="21">
        <v>52.986266669999999</v>
      </c>
      <c r="B1330" s="21">
        <v>1146.767597</v>
      </c>
      <c r="C1330" s="21">
        <v>-965.69309820000001</v>
      </c>
      <c r="E1330" s="9">
        <f t="shared" si="362"/>
        <v>-186.76759700000002</v>
      </c>
      <c r="F1330" s="9">
        <f t="shared" si="363"/>
        <v>-425.69309820000001</v>
      </c>
      <c r="I1330">
        <v>1</v>
      </c>
      <c r="J1330">
        <f t="shared" si="348"/>
        <v>0.30037961385737005</v>
      </c>
      <c r="K1330">
        <f t="shared" si="349"/>
        <v>-1.9842451252622642</v>
      </c>
      <c r="O1330">
        <f t="shared" si="350"/>
        <v>-0.11887682552173195</v>
      </c>
      <c r="P1330">
        <f t="shared" si="351"/>
        <v>-0.27095194762572705</v>
      </c>
      <c r="Q1330">
        <f t="shared" si="352"/>
        <v>0.95522423672753454</v>
      </c>
      <c r="R1330">
        <f t="shared" si="353"/>
        <v>1</v>
      </c>
      <c r="AG1330" s="8">
        <f t="shared" si="359"/>
        <v>0.39542953924702584</v>
      </c>
      <c r="AH1330" s="8">
        <f t="shared" si="360"/>
        <v>-0.21405864764172103</v>
      </c>
      <c r="AI1330" s="8">
        <f t="shared" si="361"/>
        <v>0.89320455376172492</v>
      </c>
      <c r="AJ1330" s="8"/>
      <c r="AK1330" s="8"/>
      <c r="AL1330" s="8"/>
      <c r="AN1330" s="8">
        <f t="shared" si="354"/>
        <v>0.99999999999999978</v>
      </c>
      <c r="AO1330" s="8">
        <f t="shared" si="355"/>
        <v>5.7870213697341004</v>
      </c>
      <c r="AP1330" s="8">
        <f t="shared" si="356"/>
        <v>0.46637407872261405</v>
      </c>
      <c r="AQ1330" s="8"/>
      <c r="AR1330" s="8">
        <f t="shared" si="357"/>
        <v>331.5719004377807</v>
      </c>
      <c r="AS1330" s="8">
        <f t="shared" si="358"/>
        <v>63.278733614892204</v>
      </c>
    </row>
    <row r="1331" spans="1:45">
      <c r="A1331" s="21">
        <v>53.019633329999998</v>
      </c>
      <c r="B1331" s="21">
        <v>1146.8941540000001</v>
      </c>
      <c r="C1331" s="21">
        <v>-966.11273679999999</v>
      </c>
      <c r="E1331" s="9">
        <f t="shared" si="362"/>
        <v>-186.89415400000007</v>
      </c>
      <c r="F1331" s="9">
        <f t="shared" si="363"/>
        <v>-426.11273679999999</v>
      </c>
      <c r="I1331">
        <v>1</v>
      </c>
      <c r="J1331">
        <f t="shared" si="348"/>
        <v>0.30064732525257942</v>
      </c>
      <c r="K1331">
        <f t="shared" si="349"/>
        <v>-1.9841318540553936</v>
      </c>
      <c r="O1331">
        <f t="shared" si="350"/>
        <v>-0.11894884529482964</v>
      </c>
      <c r="P1331">
        <f t="shared" si="351"/>
        <v>-0.27119959037231128</v>
      </c>
      <c r="Q1331">
        <f t="shared" si="352"/>
        <v>0.95514499128923736</v>
      </c>
      <c r="R1331">
        <f t="shared" si="353"/>
        <v>1</v>
      </c>
      <c r="AG1331" s="8">
        <f t="shared" si="359"/>
        <v>0.39567733127818372</v>
      </c>
      <c r="AH1331" s="8">
        <f t="shared" si="360"/>
        <v>-0.21403568621351046</v>
      </c>
      <c r="AI1331" s="8">
        <f t="shared" si="361"/>
        <v>0.89310031605620099</v>
      </c>
      <c r="AJ1331" s="8"/>
      <c r="AK1331" s="8"/>
      <c r="AL1331" s="8"/>
      <c r="AN1331" s="8">
        <f t="shared" si="354"/>
        <v>1</v>
      </c>
      <c r="AO1331" s="8">
        <f t="shared" si="355"/>
        <v>5.7873284789544499</v>
      </c>
      <c r="AP1331" s="8">
        <f t="shared" si="356"/>
        <v>0.4666058447349799</v>
      </c>
      <c r="AQ1331" s="8"/>
      <c r="AR1331" s="8">
        <f t="shared" si="357"/>
        <v>331.58949649995623</v>
      </c>
      <c r="AS1331" s="8">
        <f t="shared" si="358"/>
        <v>63.265454400549068</v>
      </c>
    </row>
    <row r="1332" spans="1:45">
      <c r="A1332" s="21">
        <v>53.052999999999997</v>
      </c>
      <c r="B1332" s="21">
        <v>1147.153378</v>
      </c>
      <c r="C1332" s="21">
        <v>-966.82857820000004</v>
      </c>
      <c r="E1332" s="9">
        <f t="shared" si="362"/>
        <v>-187.15337799999998</v>
      </c>
      <c r="F1332" s="9">
        <f t="shared" si="363"/>
        <v>-426.82857820000004</v>
      </c>
      <c r="I1332">
        <v>1</v>
      </c>
      <c r="J1332">
        <f t="shared" si="348"/>
        <v>0.30111461620816893</v>
      </c>
      <c r="K1332">
        <f t="shared" si="349"/>
        <v>-1.9840242802002805</v>
      </c>
      <c r="O1332">
        <f t="shared" si="350"/>
        <v>-0.11909888957612383</v>
      </c>
      <c r="P1332">
        <f t="shared" si="351"/>
        <v>-0.27162111764274832</v>
      </c>
      <c r="Q1332">
        <f t="shared" si="352"/>
        <v>0.95500650414132704</v>
      </c>
      <c r="R1332">
        <f t="shared" si="353"/>
        <v>1</v>
      </c>
      <c r="AG1332" s="8">
        <f t="shared" si="359"/>
        <v>0.39610656954848972</v>
      </c>
      <c r="AH1332" s="8">
        <f t="shared" si="360"/>
        <v>-0.21402153110275773</v>
      </c>
      <c r="AI1332" s="8">
        <f t="shared" si="361"/>
        <v>0.89291341673476865</v>
      </c>
      <c r="AJ1332" s="8"/>
      <c r="AK1332" s="8"/>
      <c r="AL1332" s="8"/>
      <c r="AN1332" s="8">
        <f t="shared" si="354"/>
        <v>0.99999999999999978</v>
      </c>
      <c r="AO1332" s="8">
        <f t="shared" si="355"/>
        <v>5.7878097360556424</v>
      </c>
      <c r="AP1332" s="8">
        <f t="shared" si="356"/>
        <v>0.4670211368795516</v>
      </c>
      <c r="AQ1332" s="8"/>
      <c r="AR1332" s="8">
        <f t="shared" si="357"/>
        <v>331.61707050071527</v>
      </c>
      <c r="AS1332" s="8">
        <f t="shared" si="358"/>
        <v>63.24165991340017</v>
      </c>
    </row>
    <row r="1333" spans="1:45">
      <c r="A1333" s="21">
        <v>53.086366669999997</v>
      </c>
      <c r="B1333" s="21">
        <v>1148.039299</v>
      </c>
      <c r="C1333" s="21">
        <v>-967.84753450000005</v>
      </c>
      <c r="E1333" s="9">
        <f t="shared" si="362"/>
        <v>-188.03929900000003</v>
      </c>
      <c r="F1333" s="9">
        <f t="shared" si="363"/>
        <v>-427.84753450000005</v>
      </c>
      <c r="I1333">
        <v>1</v>
      </c>
      <c r="J1333">
        <f t="shared" si="348"/>
        <v>0.30190728277445572</v>
      </c>
      <c r="K1333">
        <f t="shared" si="349"/>
        <v>-1.9848848259078049</v>
      </c>
      <c r="O1333">
        <f t="shared" si="350"/>
        <v>-0.11963713422334332</v>
      </c>
      <c r="P1333">
        <f t="shared" si="351"/>
        <v>-0.27221146422218384</v>
      </c>
      <c r="Q1333">
        <f t="shared" si="352"/>
        <v>0.95477111124124425</v>
      </c>
      <c r="R1333">
        <f t="shared" si="353"/>
        <v>1</v>
      </c>
      <c r="AG1333" s="8">
        <f t="shared" si="359"/>
        <v>0.39679699999208723</v>
      </c>
      <c r="AH1333" s="8">
        <f t="shared" si="360"/>
        <v>-0.21429992757679672</v>
      </c>
      <c r="AI1333" s="8">
        <f t="shared" si="361"/>
        <v>0.8925400169392177</v>
      </c>
      <c r="AJ1333" s="8"/>
      <c r="AK1333" s="8"/>
      <c r="AL1333" s="8"/>
      <c r="AN1333" s="8">
        <f t="shared" si="354"/>
        <v>0.99999999999999978</v>
      </c>
      <c r="AO1333" s="8">
        <f t="shared" si="355"/>
        <v>5.7879943920274552</v>
      </c>
      <c r="AP1333" s="8">
        <f t="shared" si="356"/>
        <v>0.46784981236619516</v>
      </c>
      <c r="AQ1333" s="8"/>
      <c r="AR1333" s="8">
        <f t="shared" si="357"/>
        <v>331.62765050856206</v>
      </c>
      <c r="AS1333" s="8">
        <f t="shared" si="358"/>
        <v>63.194180305429548</v>
      </c>
    </row>
    <row r="1334" spans="1:45">
      <c r="A1334" s="21">
        <v>53.119733330000003</v>
      </c>
      <c r="B1334" s="21">
        <v>1148.0170869999999</v>
      </c>
      <c r="C1334" s="21">
        <v>-968.84887800000001</v>
      </c>
      <c r="E1334" s="9">
        <f t="shared" si="362"/>
        <v>-188.01708699999995</v>
      </c>
      <c r="F1334" s="9">
        <f t="shared" si="363"/>
        <v>-428.84887800000001</v>
      </c>
      <c r="I1334">
        <v>1</v>
      </c>
      <c r="J1334">
        <f t="shared" si="348"/>
        <v>0.30246536348550784</v>
      </c>
      <c r="K1334">
        <f t="shared" si="349"/>
        <v>-1.983980976721295</v>
      </c>
      <c r="O1334">
        <f t="shared" si="350"/>
        <v>-0.11960497859479916</v>
      </c>
      <c r="P1334">
        <f t="shared" si="351"/>
        <v>-0.27280744368512466</v>
      </c>
      <c r="Q1334">
        <f t="shared" si="352"/>
        <v>0.95460502186261575</v>
      </c>
      <c r="R1334">
        <f t="shared" si="353"/>
        <v>1</v>
      </c>
      <c r="AG1334" s="8">
        <f t="shared" si="359"/>
        <v>0.39733727982439992</v>
      </c>
      <c r="AH1334" s="8">
        <f t="shared" si="360"/>
        <v>-0.21405764906942223</v>
      </c>
      <c r="AI1334" s="8">
        <f t="shared" si="361"/>
        <v>0.89235778079009243</v>
      </c>
      <c r="AJ1334" s="8"/>
      <c r="AK1334" s="8"/>
      <c r="AL1334" s="8"/>
      <c r="AN1334" s="8">
        <f t="shared" si="354"/>
        <v>1</v>
      </c>
      <c r="AO1334" s="8">
        <f t="shared" si="355"/>
        <v>5.7890355764282901</v>
      </c>
      <c r="AP1334" s="8">
        <f t="shared" si="356"/>
        <v>0.46825375068729436</v>
      </c>
      <c r="AQ1334" s="8"/>
      <c r="AR1334" s="8">
        <f t="shared" si="357"/>
        <v>331.68730598042475</v>
      </c>
      <c r="AS1334" s="8">
        <f t="shared" si="358"/>
        <v>63.171036344446961</v>
      </c>
    </row>
    <row r="1335" spans="1:45">
      <c r="A1335" s="21">
        <v>53.153100000000002</v>
      </c>
      <c r="B1335" s="21">
        <v>1148.821146</v>
      </c>
      <c r="C1335" s="21">
        <v>-969.67464010000003</v>
      </c>
      <c r="E1335" s="9">
        <f t="shared" si="362"/>
        <v>-188.821146</v>
      </c>
      <c r="F1335" s="9">
        <f t="shared" si="363"/>
        <v>-429.67464010000003</v>
      </c>
      <c r="I1335">
        <v>1</v>
      </c>
      <c r="J1335">
        <f t="shared" si="348"/>
        <v>0.30312851647560518</v>
      </c>
      <c r="K1335">
        <f t="shared" si="349"/>
        <v>-1.984843537030587</v>
      </c>
      <c r="O1335">
        <f t="shared" si="350"/>
        <v>-0.12009490754787834</v>
      </c>
      <c r="P1335">
        <f t="shared" si="351"/>
        <v>-0.27328367225605876</v>
      </c>
      <c r="Q1335">
        <f t="shared" si="352"/>
        <v>0.95440727556914062</v>
      </c>
      <c r="R1335">
        <f t="shared" si="353"/>
        <v>1</v>
      </c>
      <c r="AG1335" s="8">
        <f t="shared" si="359"/>
        <v>0.39790932223120912</v>
      </c>
      <c r="AH1335" s="8">
        <f t="shared" si="360"/>
        <v>-0.21433272542082427</v>
      </c>
      <c r="AI1335" s="8">
        <f t="shared" si="361"/>
        <v>0.89203680086372061</v>
      </c>
      <c r="AJ1335" s="8"/>
      <c r="AK1335" s="8"/>
      <c r="AL1335" s="8"/>
      <c r="AN1335" s="8">
        <f t="shared" si="354"/>
        <v>0.99999999999999978</v>
      </c>
      <c r="AO1335" s="8">
        <f t="shared" si="355"/>
        <v>5.7891000519683411</v>
      </c>
      <c r="AP1335" s="8">
        <f t="shared" si="356"/>
        <v>0.46896444025998218</v>
      </c>
      <c r="AQ1335" s="8"/>
      <c r="AR1335" s="8">
        <f t="shared" si="357"/>
        <v>331.6910001567515</v>
      </c>
      <c r="AS1335" s="8">
        <f t="shared" si="358"/>
        <v>63.130316831387994</v>
      </c>
    </row>
    <row r="1336" spans="1:45">
      <c r="A1336" s="21">
        <v>53.186466670000001</v>
      </c>
      <c r="B1336" s="21">
        <v>1148.6518129999999</v>
      </c>
      <c r="C1336" s="21">
        <v>-969.86341789999994</v>
      </c>
      <c r="E1336" s="9">
        <f t="shared" si="362"/>
        <v>-188.65181299999995</v>
      </c>
      <c r="F1336" s="9">
        <f t="shared" si="363"/>
        <v>-429.86341789999994</v>
      </c>
      <c r="I1336">
        <v>1</v>
      </c>
      <c r="J1336">
        <f t="shared" si="348"/>
        <v>0.30319286876985019</v>
      </c>
      <c r="K1336">
        <f t="shared" si="349"/>
        <v>-1.9843515166965415</v>
      </c>
      <c r="O1336">
        <f t="shared" si="350"/>
        <v>-0.11998511365267395</v>
      </c>
      <c r="P1336">
        <f t="shared" si="351"/>
        <v>-0.27339896835159699</v>
      </c>
      <c r="Q1336">
        <f t="shared" si="352"/>
        <v>0.95438806394780384</v>
      </c>
      <c r="R1336">
        <f t="shared" si="353"/>
        <v>1</v>
      </c>
      <c r="AG1336" s="8">
        <f t="shared" si="359"/>
        <v>0.39798564099868661</v>
      </c>
      <c r="AH1336" s="8">
        <f t="shared" si="360"/>
        <v>-0.21419168502784447</v>
      </c>
      <c r="AI1336" s="8">
        <f t="shared" si="361"/>
        <v>0.89203663132395927</v>
      </c>
      <c r="AJ1336" s="8"/>
      <c r="AK1336" s="8"/>
      <c r="AL1336" s="8"/>
      <c r="AN1336" s="8">
        <f t="shared" si="354"/>
        <v>1</v>
      </c>
      <c r="AO1336" s="8">
        <f t="shared" si="355"/>
        <v>5.7894548702076243</v>
      </c>
      <c r="AP1336" s="8">
        <f t="shared" si="356"/>
        <v>0.46896481537870849</v>
      </c>
      <c r="AQ1336" s="8"/>
      <c r="AR1336" s="8">
        <f t="shared" si="357"/>
        <v>331.7113297443567</v>
      </c>
      <c r="AS1336" s="8">
        <f t="shared" si="358"/>
        <v>63.130295338668162</v>
      </c>
    </row>
    <row r="1337" spans="1:45">
      <c r="A1337" s="21">
        <v>53.21983333</v>
      </c>
      <c r="B1337" s="21">
        <v>1149.762252</v>
      </c>
      <c r="C1337" s="21">
        <v>-970.86236120000001</v>
      </c>
      <c r="E1337" s="9">
        <f t="shared" si="362"/>
        <v>-189.76225199999999</v>
      </c>
      <c r="F1337" s="9">
        <f t="shared" si="363"/>
        <v>-430.86236120000001</v>
      </c>
      <c r="I1337">
        <v>1</v>
      </c>
      <c r="J1337">
        <f t="shared" ref="J1337:J1400" si="364">ATAN((SQRT(E1337^2+F1337^2)^$B$16)/($F$24))</f>
        <v>0.30402894451368556</v>
      </c>
      <c r="K1337">
        <f t="shared" ref="K1337:K1400" si="365">ATAN2(E1337,F1337)</f>
        <v>-1.9856586214420084</v>
      </c>
      <c r="O1337">
        <f t="shared" ref="O1337:O1400" si="366">COS(K1337)*SIN(J1337)</f>
        <v>-0.12066395114555406</v>
      </c>
      <c r="P1337">
        <f t="shared" ref="P1337:P1400" si="367">SIN(K1337)*SIN(J1337)</f>
        <v>-0.27397205900726179</v>
      </c>
      <c r="Q1337">
        <f t="shared" ref="Q1337:Q1400" si="368">COS(J1337)</f>
        <v>0.95413810414282518</v>
      </c>
      <c r="R1337">
        <f t="shared" ref="R1337:R1400" si="369">SQRT(O1337^2+P1337^2+Q1337^2)</f>
        <v>1</v>
      </c>
      <c r="AG1337" s="8">
        <f t="shared" si="359"/>
        <v>0.39869824492373179</v>
      </c>
      <c r="AH1337" s="8">
        <f t="shared" si="360"/>
        <v>-0.21460370014018748</v>
      </c>
      <c r="AI1337" s="8">
        <f t="shared" si="361"/>
        <v>0.89161929172762755</v>
      </c>
      <c r="AJ1337" s="8"/>
      <c r="AK1337" s="8"/>
      <c r="AL1337" s="8"/>
      <c r="AN1337" s="8">
        <f t="shared" ref="AN1337:AN1400" si="370">AG1337^2+AH1337^2+AI1337^2</f>
        <v>0.99999999999999967</v>
      </c>
      <c r="AO1337" s="8">
        <f t="shared" ref="AO1337:AO1400" si="371">IF(ATAN2(AG1337,AH1337)&gt;=0,ATAN2(AG1337,AH1337),ATAN2(AG1337,AH1337)+2*PI())</f>
        <v>5.78939944544077</v>
      </c>
      <c r="AP1337" s="8">
        <f t="shared" ref="AP1337:AP1400" si="372">ACOS(AI1337/AN1337)</f>
        <v>0.46988736866363578</v>
      </c>
      <c r="AQ1337" s="8"/>
      <c r="AR1337" s="8">
        <f t="shared" ref="AR1337:AR1400" si="373">DEGREES(AO1337)</f>
        <v>331.70815413913544</v>
      </c>
      <c r="AS1337" s="8">
        <f t="shared" ref="AS1337:AS1400" si="374">90-DEGREES(AP1337)</f>
        <v>63.077436929065897</v>
      </c>
    </row>
    <row r="1338" spans="1:45">
      <c r="A1338" s="21">
        <v>53.2532</v>
      </c>
      <c r="B1338" s="21">
        <v>1149.9330259999999</v>
      </c>
      <c r="C1338" s="21">
        <v>-971.85786610000002</v>
      </c>
      <c r="E1338" s="9">
        <f t="shared" si="362"/>
        <v>-189.93302599999993</v>
      </c>
      <c r="F1338" s="9">
        <f t="shared" si="363"/>
        <v>-431.85786610000002</v>
      </c>
      <c r="I1338">
        <v>1</v>
      </c>
      <c r="J1338">
        <f t="shared" si="364"/>
        <v>0.30463051809929997</v>
      </c>
      <c r="K1338">
        <f t="shared" si="365"/>
        <v>-1.9851393860298729</v>
      </c>
      <c r="O1338">
        <f t="shared" si="366"/>
        <v>-0.12075273663527258</v>
      </c>
      <c r="P1338">
        <f t="shared" si="367"/>
        <v>-0.2745600397534031</v>
      </c>
      <c r="Q1338">
        <f t="shared" si="368"/>
        <v>0.95395784035024433</v>
      </c>
      <c r="R1338">
        <f t="shared" si="369"/>
        <v>1</v>
      </c>
      <c r="AG1338" s="8">
        <f t="shared" si="359"/>
        <v>0.39926393850228592</v>
      </c>
      <c r="AH1338" s="8">
        <f t="shared" si="360"/>
        <v>-0.21447397649983341</v>
      </c>
      <c r="AI1338" s="8">
        <f t="shared" si="361"/>
        <v>0.89139734171467644</v>
      </c>
      <c r="AJ1338" s="8"/>
      <c r="AK1338" s="8"/>
      <c r="AL1338" s="8"/>
      <c r="AN1338" s="8">
        <f t="shared" si="370"/>
        <v>0.99999999999999978</v>
      </c>
      <c r="AO1338" s="8">
        <f t="shared" si="371"/>
        <v>5.7902430601274659</v>
      </c>
      <c r="AP1338" s="8">
        <f t="shared" si="372"/>
        <v>0.47037731992288445</v>
      </c>
      <c r="AQ1338" s="8"/>
      <c r="AR1338" s="8">
        <f t="shared" si="373"/>
        <v>331.75648970021837</v>
      </c>
      <c r="AS1338" s="8">
        <f t="shared" si="374"/>
        <v>63.049364789743827</v>
      </c>
    </row>
    <row r="1339" spans="1:45">
      <c r="A1339" s="21">
        <v>53.286566669999999</v>
      </c>
      <c r="B1339" s="21">
        <v>1150.5883510000001</v>
      </c>
      <c r="C1339" s="21">
        <v>-972.68721670000002</v>
      </c>
      <c r="E1339" s="9">
        <f t="shared" si="362"/>
        <v>-190.5883510000001</v>
      </c>
      <c r="F1339" s="9">
        <f t="shared" si="363"/>
        <v>-432.68721670000002</v>
      </c>
      <c r="I1339">
        <v>1</v>
      </c>
      <c r="J1339">
        <f t="shared" si="364"/>
        <v>0.30525833451987461</v>
      </c>
      <c r="K1339">
        <f t="shared" si="365"/>
        <v>-1.9857019569691952</v>
      </c>
      <c r="O1339">
        <f t="shared" si="366"/>
        <v>-0.12114857609301884</v>
      </c>
      <c r="P1339">
        <f t="shared" si="367"/>
        <v>-0.27504010566131848</v>
      </c>
      <c r="Q1339">
        <f t="shared" si="368"/>
        <v>0.95376934464704033</v>
      </c>
      <c r="R1339">
        <f t="shared" si="369"/>
        <v>1</v>
      </c>
      <c r="AG1339" s="8">
        <f t="shared" si="359"/>
        <v>0.39981374578690182</v>
      </c>
      <c r="AH1339" s="8">
        <f t="shared" si="360"/>
        <v>-0.21466186447102717</v>
      </c>
      <c r="AI1339" s="8">
        <f t="shared" si="361"/>
        <v>0.89110563493991501</v>
      </c>
      <c r="AJ1339" s="8"/>
      <c r="AK1339" s="8"/>
      <c r="AL1339" s="8"/>
      <c r="AN1339" s="8">
        <f t="shared" si="370"/>
        <v>1</v>
      </c>
      <c r="AO1339" s="8">
        <f t="shared" si="371"/>
        <v>5.7904516580689895</v>
      </c>
      <c r="AP1339" s="8">
        <f t="shared" si="372"/>
        <v>0.47102054105988711</v>
      </c>
      <c r="AQ1339" s="8"/>
      <c r="AR1339" s="8">
        <f t="shared" si="373"/>
        <v>331.7684414818828</v>
      </c>
      <c r="AS1339" s="8">
        <f t="shared" si="374"/>
        <v>63.012510933299964</v>
      </c>
    </row>
    <row r="1340" spans="1:45">
      <c r="A1340" s="21">
        <v>53.319933329999998</v>
      </c>
      <c r="B1340" s="21">
        <v>1150.8610859999999</v>
      </c>
      <c r="C1340" s="21">
        <v>-973.53054540000005</v>
      </c>
      <c r="E1340" s="9">
        <f t="shared" si="362"/>
        <v>-190.86108599999989</v>
      </c>
      <c r="F1340" s="9">
        <f t="shared" si="363"/>
        <v>-433.53054540000005</v>
      </c>
      <c r="I1340">
        <v>1</v>
      </c>
      <c r="J1340">
        <f t="shared" si="364"/>
        <v>0.30579922555182848</v>
      </c>
      <c r="K1340">
        <f t="shared" si="365"/>
        <v>-1.9855112092296139</v>
      </c>
      <c r="O1340">
        <f t="shared" si="366"/>
        <v>-0.12130395802778129</v>
      </c>
      <c r="P1340">
        <f t="shared" si="367"/>
        <v>-0.27553532354396626</v>
      </c>
      <c r="Q1340">
        <f t="shared" si="368"/>
        <v>0.95360664597428013</v>
      </c>
      <c r="R1340">
        <f t="shared" si="369"/>
        <v>1</v>
      </c>
      <c r="AG1340" s="8">
        <f t="shared" si="359"/>
        <v>0.40031205135525905</v>
      </c>
      <c r="AH1340" s="8">
        <f t="shared" si="360"/>
        <v>-0.21462573381825656</v>
      </c>
      <c r="AI1340" s="8">
        <f t="shared" si="361"/>
        <v>0.89089059705595675</v>
      </c>
      <c r="AJ1340" s="8"/>
      <c r="AK1340" s="8"/>
      <c r="AL1340" s="8"/>
      <c r="AN1340" s="8">
        <f t="shared" si="370"/>
        <v>0.99999999999999978</v>
      </c>
      <c r="AO1340" s="8">
        <f t="shared" si="371"/>
        <v>5.791040690728436</v>
      </c>
      <c r="AP1340" s="8">
        <f t="shared" si="372"/>
        <v>0.47149418553793909</v>
      </c>
      <c r="AQ1340" s="8"/>
      <c r="AR1340" s="8">
        <f t="shared" si="373"/>
        <v>331.8021905672644</v>
      </c>
      <c r="AS1340" s="8">
        <f t="shared" si="374"/>
        <v>62.985373103717919</v>
      </c>
    </row>
    <row r="1341" spans="1:45">
      <c r="A1341" s="21">
        <v>53.353299999999997</v>
      </c>
      <c r="B1341" s="21">
        <v>1151.447811</v>
      </c>
      <c r="C1341" s="21">
        <v>-974.20216089999997</v>
      </c>
      <c r="E1341" s="9">
        <f t="shared" si="362"/>
        <v>-191.447811</v>
      </c>
      <c r="F1341" s="9">
        <f t="shared" si="363"/>
        <v>-434.20216089999997</v>
      </c>
      <c r="I1341">
        <v>1</v>
      </c>
      <c r="J1341">
        <f t="shared" si="364"/>
        <v>0.30632120702398008</v>
      </c>
      <c r="K1341">
        <f t="shared" si="365"/>
        <v>-1.9860725493129485</v>
      </c>
      <c r="O1341">
        <f t="shared" si="366"/>
        <v>-0.12165941102515386</v>
      </c>
      <c r="P1341">
        <f t="shared" si="367"/>
        <v>-0.27592260723703499</v>
      </c>
      <c r="Q1341">
        <f t="shared" si="368"/>
        <v>0.95344937071903801</v>
      </c>
      <c r="R1341">
        <f t="shared" si="369"/>
        <v>1</v>
      </c>
      <c r="AG1341" s="8">
        <f t="shared" si="359"/>
        <v>0.40076535553891984</v>
      </c>
      <c r="AH1341" s="8">
        <f t="shared" si="360"/>
        <v>-0.21481001055783855</v>
      </c>
      <c r="AI1341" s="8">
        <f t="shared" si="361"/>
        <v>0.89064234637923223</v>
      </c>
      <c r="AJ1341" s="8"/>
      <c r="AK1341" s="8"/>
      <c r="AL1341" s="8"/>
      <c r="AN1341" s="8">
        <f t="shared" si="370"/>
        <v>0.99999999999999978</v>
      </c>
      <c r="AO1341" s="8">
        <f t="shared" si="371"/>
        <v>5.7911545820695345</v>
      </c>
      <c r="AP1341" s="8">
        <f t="shared" si="372"/>
        <v>0.47204043821900332</v>
      </c>
      <c r="AQ1341" s="8"/>
      <c r="AR1341" s="8">
        <f t="shared" si="373"/>
        <v>331.80871606043246</v>
      </c>
      <c r="AS1341" s="8">
        <f t="shared" si="374"/>
        <v>62.954075130545228</v>
      </c>
    </row>
    <row r="1342" spans="1:45">
      <c r="A1342" s="21">
        <v>53.386666669999997</v>
      </c>
      <c r="B1342" s="21">
        <v>1151.8981530000001</v>
      </c>
      <c r="C1342" s="21">
        <v>-974.90429810000001</v>
      </c>
      <c r="E1342" s="9">
        <f t="shared" si="362"/>
        <v>-191.89815300000009</v>
      </c>
      <c r="F1342" s="9">
        <f t="shared" si="363"/>
        <v>-434.90429810000001</v>
      </c>
      <c r="I1342">
        <v>1</v>
      </c>
      <c r="J1342">
        <f t="shared" si="364"/>
        <v>0.30682647523421408</v>
      </c>
      <c r="K1342">
        <f t="shared" si="365"/>
        <v>-1.9863434874666792</v>
      </c>
      <c r="O1342">
        <f t="shared" si="366"/>
        <v>-0.12192862596710113</v>
      </c>
      <c r="P1342">
        <f t="shared" si="367"/>
        <v>-0.27633034849751548</v>
      </c>
      <c r="Q1342">
        <f t="shared" si="368"/>
        <v>0.95329688380326538</v>
      </c>
      <c r="R1342">
        <f t="shared" si="369"/>
        <v>1</v>
      </c>
      <c r="AG1342" s="8">
        <f t="shared" si="359"/>
        <v>0.40121401011730512</v>
      </c>
      <c r="AH1342" s="8">
        <f t="shared" si="360"/>
        <v>-0.21490854053267083</v>
      </c>
      <c r="AI1342" s="8">
        <f t="shared" si="361"/>
        <v>0.89041655268290487</v>
      </c>
      <c r="AJ1342" s="8"/>
      <c r="AK1342" s="8"/>
      <c r="AL1342" s="8"/>
      <c r="AN1342" s="8">
        <f t="shared" si="370"/>
        <v>1</v>
      </c>
      <c r="AO1342" s="8">
        <f t="shared" si="371"/>
        <v>5.7914294606339904</v>
      </c>
      <c r="AP1342" s="8">
        <f t="shared" si="372"/>
        <v>0.47253676932542743</v>
      </c>
      <c r="AQ1342" s="8"/>
      <c r="AR1342" s="8">
        <f t="shared" si="373"/>
        <v>331.82446544205442</v>
      </c>
      <c r="AS1342" s="8">
        <f t="shared" si="374"/>
        <v>62.925637452906066</v>
      </c>
    </row>
    <row r="1343" spans="1:45">
      <c r="A1343" s="21">
        <v>53.420033330000003</v>
      </c>
      <c r="B1343" s="21">
        <v>1152.3750910000001</v>
      </c>
      <c r="C1343" s="21">
        <v>-975.94037249999997</v>
      </c>
      <c r="E1343" s="9">
        <f t="shared" si="362"/>
        <v>-192.37509100000011</v>
      </c>
      <c r="F1343" s="9">
        <f t="shared" si="363"/>
        <v>-435.94037249999997</v>
      </c>
      <c r="I1343">
        <v>1</v>
      </c>
      <c r="J1343">
        <f t="shared" si="364"/>
        <v>0.30752539019171143</v>
      </c>
      <c r="K1343">
        <f t="shared" si="365"/>
        <v>-1.9863814622547225</v>
      </c>
      <c r="O1343">
        <f t="shared" si="366"/>
        <v>-0.12220808112893941</v>
      </c>
      <c r="P1343">
        <f t="shared" si="367"/>
        <v>-0.27693521096169382</v>
      </c>
      <c r="Q1343">
        <f t="shared" si="368"/>
        <v>0.95308555431104125</v>
      </c>
      <c r="R1343">
        <f t="shared" si="369"/>
        <v>1</v>
      </c>
      <c r="AG1343" s="8">
        <f t="shared" si="359"/>
        <v>0.40184690612291241</v>
      </c>
      <c r="AH1343" s="8">
        <f t="shared" si="360"/>
        <v>-0.21494566440638746</v>
      </c>
      <c r="AI1343" s="8">
        <f t="shared" si="361"/>
        <v>0.89012214071572227</v>
      </c>
      <c r="AJ1343" s="8"/>
      <c r="AK1343" s="8"/>
      <c r="AL1343" s="8"/>
      <c r="AN1343" s="8">
        <f t="shared" si="370"/>
        <v>1.0000000000000002</v>
      </c>
      <c r="AO1343" s="8">
        <f t="shared" si="371"/>
        <v>5.7920133964576754</v>
      </c>
      <c r="AP1343" s="8">
        <f t="shared" si="372"/>
        <v>0.4731832115633432</v>
      </c>
      <c r="AQ1343" s="8"/>
      <c r="AR1343" s="8">
        <f t="shared" si="373"/>
        <v>331.85792250025804</v>
      </c>
      <c r="AS1343" s="8">
        <f t="shared" si="374"/>
        <v>62.888599040974498</v>
      </c>
    </row>
    <row r="1344" spans="1:45">
      <c r="A1344" s="21">
        <v>53.453400000000002</v>
      </c>
      <c r="B1344" s="21">
        <v>1152.7440079999999</v>
      </c>
      <c r="C1344" s="21">
        <v>-976.72777799999994</v>
      </c>
      <c r="E1344" s="9">
        <f t="shared" si="362"/>
        <v>-192.74400799999989</v>
      </c>
      <c r="F1344" s="9">
        <f t="shared" si="363"/>
        <v>-436.72777799999994</v>
      </c>
      <c r="I1344">
        <v>1</v>
      </c>
      <c r="J1344">
        <f t="shared" si="364"/>
        <v>0.30805795938296854</v>
      </c>
      <c r="K1344">
        <f t="shared" si="365"/>
        <v>-1.986422561111564</v>
      </c>
      <c r="O1344">
        <f t="shared" si="366"/>
        <v>-0.1224243890075471</v>
      </c>
      <c r="P1344">
        <f t="shared" si="367"/>
        <v>-0.27739451897396317</v>
      </c>
      <c r="Q1344">
        <f t="shared" si="368"/>
        <v>0.95292420990303961</v>
      </c>
      <c r="R1344">
        <f t="shared" si="369"/>
        <v>1</v>
      </c>
      <c r="AG1344" s="8">
        <f t="shared" si="359"/>
        <v>0.40232857956019707</v>
      </c>
      <c r="AH1344" s="8">
        <f t="shared" si="360"/>
        <v>-0.21497751412783711</v>
      </c>
      <c r="AI1344" s="8">
        <f t="shared" si="361"/>
        <v>0.88989683811579512</v>
      </c>
      <c r="AJ1344" s="8"/>
      <c r="AK1344" s="8"/>
      <c r="AL1344" s="8"/>
      <c r="AN1344" s="8">
        <f t="shared" si="370"/>
        <v>0.99999999999999989</v>
      </c>
      <c r="AO1344" s="8">
        <f t="shared" si="371"/>
        <v>5.7924498674925538</v>
      </c>
      <c r="AP1344" s="8">
        <f t="shared" si="372"/>
        <v>0.47367735912525166</v>
      </c>
      <c r="AQ1344" s="8"/>
      <c r="AR1344" s="8">
        <f t="shared" si="373"/>
        <v>331.8829304484363</v>
      </c>
      <c r="AS1344" s="8">
        <f t="shared" si="374"/>
        <v>62.860286471220469</v>
      </c>
    </row>
    <row r="1345" spans="1:45">
      <c r="A1345" s="21">
        <v>53.486766670000002</v>
      </c>
      <c r="B1345" s="21">
        <v>1153.3645240000001</v>
      </c>
      <c r="C1345" s="21">
        <v>-977.77065870000001</v>
      </c>
      <c r="E1345" s="9">
        <f t="shared" si="362"/>
        <v>-193.36452400000007</v>
      </c>
      <c r="F1345" s="9">
        <f t="shared" si="363"/>
        <v>-437.77065870000001</v>
      </c>
      <c r="I1345">
        <v>1</v>
      </c>
      <c r="J1345">
        <f t="shared" si="364"/>
        <v>0.30879568360309356</v>
      </c>
      <c r="K1345">
        <f t="shared" si="365"/>
        <v>-1.986728910801107</v>
      </c>
      <c r="O1345">
        <f t="shared" si="366"/>
        <v>-0.12279337006607222</v>
      </c>
      <c r="P1345">
        <f t="shared" si="367"/>
        <v>-0.27799998358446198</v>
      </c>
      <c r="Q1345">
        <f t="shared" si="368"/>
        <v>0.95270026629305371</v>
      </c>
      <c r="R1345">
        <f t="shared" si="369"/>
        <v>1</v>
      </c>
      <c r="AG1345" s="8">
        <f t="shared" si="359"/>
        <v>0.40298626912062868</v>
      </c>
      <c r="AH1345" s="8">
        <f t="shared" si="360"/>
        <v>-0.21509557391571799</v>
      </c>
      <c r="AI1345" s="8">
        <f t="shared" si="361"/>
        <v>0.88957066103941618</v>
      </c>
      <c r="AJ1345" s="8"/>
      <c r="AK1345" s="8"/>
      <c r="AL1345" s="8"/>
      <c r="AN1345" s="8">
        <f t="shared" si="370"/>
        <v>0.99999999999999978</v>
      </c>
      <c r="AO1345" s="8">
        <f t="shared" si="371"/>
        <v>5.792900450634531</v>
      </c>
      <c r="AP1345" s="8">
        <f t="shared" si="372"/>
        <v>0.47439190799592801</v>
      </c>
      <c r="AQ1345" s="8"/>
      <c r="AR1345" s="8">
        <f t="shared" si="373"/>
        <v>331.90874696079129</v>
      </c>
      <c r="AS1345" s="8">
        <f t="shared" si="374"/>
        <v>62.81934583667487</v>
      </c>
    </row>
    <row r="1346" spans="1:45">
      <c r="A1346" s="21">
        <v>53.52013333</v>
      </c>
      <c r="B1346" s="21">
        <v>1153.734015</v>
      </c>
      <c r="C1346" s="21">
        <v>-978.16561290000004</v>
      </c>
      <c r="E1346" s="9">
        <f t="shared" si="362"/>
        <v>-193.734015</v>
      </c>
      <c r="F1346" s="9">
        <f t="shared" si="363"/>
        <v>-438.16561290000004</v>
      </c>
      <c r="I1346">
        <v>1</v>
      </c>
      <c r="J1346">
        <f t="shared" si="364"/>
        <v>0.30910827607196079</v>
      </c>
      <c r="K1346">
        <f t="shared" si="365"/>
        <v>-1.9871013077664736</v>
      </c>
      <c r="O1346">
        <f t="shared" si="366"/>
        <v>-0.12301731018932859</v>
      </c>
      <c r="P1346">
        <f t="shared" si="367"/>
        <v>-0.27822659390203935</v>
      </c>
      <c r="Q1346">
        <f t="shared" si="368"/>
        <v>0.95260521930097164</v>
      </c>
      <c r="R1346">
        <f t="shared" si="369"/>
        <v>1</v>
      </c>
      <c r="AG1346" s="8">
        <f t="shared" si="359"/>
        <v>0.4032557425161038</v>
      </c>
      <c r="AH1346" s="8">
        <f t="shared" si="360"/>
        <v>-0.21521770600557186</v>
      </c>
      <c r="AI1346" s="8">
        <f t="shared" si="361"/>
        <v>0.8894189930226839</v>
      </c>
      <c r="AJ1346" s="8"/>
      <c r="AK1346" s="8"/>
      <c r="AL1346" s="8"/>
      <c r="AN1346" s="8">
        <f t="shared" si="370"/>
        <v>1</v>
      </c>
      <c r="AO1346" s="8">
        <f t="shared" si="371"/>
        <v>5.7929423329398819</v>
      </c>
      <c r="AP1346" s="8">
        <f t="shared" si="372"/>
        <v>0.47472382528480184</v>
      </c>
      <c r="AQ1346" s="8"/>
      <c r="AR1346" s="8">
        <f t="shared" si="373"/>
        <v>331.91114664012423</v>
      </c>
      <c r="AS1346" s="8">
        <f t="shared" si="374"/>
        <v>62.80032837687498</v>
      </c>
    </row>
    <row r="1347" spans="1:45">
      <c r="A1347" s="21">
        <v>53.5535</v>
      </c>
      <c r="B1347" s="21">
        <v>1153.9048760000001</v>
      </c>
      <c r="C1347" s="21">
        <v>-978.74933710000005</v>
      </c>
      <c r="E1347" s="9">
        <f t="shared" si="362"/>
        <v>-193.90487600000006</v>
      </c>
      <c r="F1347" s="9">
        <f t="shared" si="363"/>
        <v>-438.74933710000005</v>
      </c>
      <c r="I1347">
        <v>1</v>
      </c>
      <c r="J1347">
        <f t="shared" si="364"/>
        <v>0.30947733877687666</v>
      </c>
      <c r="K1347">
        <f t="shared" si="365"/>
        <v>-1.9869349891655377</v>
      </c>
      <c r="O1347">
        <f t="shared" si="366"/>
        <v>-0.12311314201110568</v>
      </c>
      <c r="P1347">
        <f t="shared" si="367"/>
        <v>-0.27856859796383238</v>
      </c>
      <c r="Q1347">
        <f t="shared" si="368"/>
        <v>0.95249288212176053</v>
      </c>
      <c r="R1347">
        <f t="shared" si="369"/>
        <v>1</v>
      </c>
      <c r="AG1347" s="8">
        <f t="shared" si="359"/>
        <v>0.40359660151172216</v>
      </c>
      <c r="AH1347" s="8">
        <f t="shared" si="360"/>
        <v>-0.21518204619677364</v>
      </c>
      <c r="AI1347" s="8">
        <f t="shared" si="361"/>
        <v>0.88927300096357231</v>
      </c>
      <c r="AJ1347" s="8"/>
      <c r="AK1347" s="8"/>
      <c r="AL1347" s="8"/>
      <c r="AN1347" s="8">
        <f t="shared" si="370"/>
        <v>0.99999999999999989</v>
      </c>
      <c r="AO1347" s="8">
        <f t="shared" si="371"/>
        <v>5.7933620085531468</v>
      </c>
      <c r="AP1347" s="8">
        <f t="shared" si="372"/>
        <v>0.47504311868601379</v>
      </c>
      <c r="AQ1347" s="8"/>
      <c r="AR1347" s="8">
        <f t="shared" si="373"/>
        <v>331.93519228152883</v>
      </c>
      <c r="AS1347" s="8">
        <f t="shared" si="374"/>
        <v>62.782034212559154</v>
      </c>
    </row>
    <row r="1348" spans="1:45">
      <c r="A1348" s="21">
        <v>53.586866669999999</v>
      </c>
      <c r="B1348" s="21">
        <v>1154.5112059999999</v>
      </c>
      <c r="C1348" s="21">
        <v>-979.74524650000001</v>
      </c>
      <c r="E1348" s="9">
        <f t="shared" si="362"/>
        <v>-194.5112059999999</v>
      </c>
      <c r="F1348" s="9">
        <f t="shared" si="363"/>
        <v>-439.74524650000001</v>
      </c>
      <c r="I1348">
        <v>1</v>
      </c>
      <c r="J1348">
        <f t="shared" si="364"/>
        <v>0.31018469408571592</v>
      </c>
      <c r="K1348">
        <f t="shared" si="365"/>
        <v>-1.9872511120276466</v>
      </c>
      <c r="O1348">
        <f t="shared" si="366"/>
        <v>-0.12347371316829422</v>
      </c>
      <c r="P1348">
        <f t="shared" si="367"/>
        <v>-0.27914576003123376</v>
      </c>
      <c r="Q1348">
        <f t="shared" si="368"/>
        <v>0.95227721111712982</v>
      </c>
      <c r="R1348">
        <f t="shared" si="369"/>
        <v>1</v>
      </c>
      <c r="AG1348" s="8">
        <f t="shared" si="359"/>
        <v>0.40422583539099199</v>
      </c>
      <c r="AH1348" s="8">
        <f t="shared" si="360"/>
        <v>-0.21530241133728023</v>
      </c>
      <c r="AI1348" s="8">
        <f t="shared" si="361"/>
        <v>0.88895801119895823</v>
      </c>
      <c r="AJ1348" s="8"/>
      <c r="AK1348" s="8"/>
      <c r="AL1348" s="8"/>
      <c r="AN1348" s="8">
        <f t="shared" si="370"/>
        <v>0.99999999999999989</v>
      </c>
      <c r="AO1348" s="8">
        <f t="shared" si="371"/>
        <v>5.7937764806174563</v>
      </c>
      <c r="AP1348" s="8">
        <f t="shared" si="372"/>
        <v>0.47573134596374111</v>
      </c>
      <c r="AQ1348" s="8"/>
      <c r="AR1348" s="8">
        <f t="shared" si="373"/>
        <v>331.95893978153987</v>
      </c>
      <c r="AS1348" s="8">
        <f t="shared" si="374"/>
        <v>62.742601694199607</v>
      </c>
    </row>
    <row r="1349" spans="1:45">
      <c r="A1349" s="21">
        <v>53.620233329999998</v>
      </c>
      <c r="B1349" s="21">
        <v>1154.8479159999999</v>
      </c>
      <c r="C1349" s="21">
        <v>-980.25671550000004</v>
      </c>
      <c r="E1349" s="9">
        <f t="shared" si="362"/>
        <v>-194.84791599999994</v>
      </c>
      <c r="F1349" s="9">
        <f t="shared" si="363"/>
        <v>-440.25671550000004</v>
      </c>
      <c r="I1349">
        <v>1</v>
      </c>
      <c r="J1349">
        <f t="shared" si="364"/>
        <v>0.31055413154047895</v>
      </c>
      <c r="K1349">
        <f t="shared" si="365"/>
        <v>-1.9874609607539482</v>
      </c>
      <c r="O1349">
        <f t="shared" si="366"/>
        <v>-0.12367466110760376</v>
      </c>
      <c r="P1349">
        <f t="shared" si="367"/>
        <v>-0.27944153167031693</v>
      </c>
      <c r="Q1349">
        <f t="shared" si="368"/>
        <v>0.95216438106960644</v>
      </c>
      <c r="R1349">
        <f t="shared" si="369"/>
        <v>1</v>
      </c>
      <c r="AG1349" s="8">
        <f t="shared" si="359"/>
        <v>0.40455266316488747</v>
      </c>
      <c r="AH1349" s="8">
        <f t="shared" si="360"/>
        <v>-0.21537873933112328</v>
      </c>
      <c r="AI1349" s="8">
        <f t="shared" si="361"/>
        <v>0.88879083105662893</v>
      </c>
      <c r="AJ1349" s="8"/>
      <c r="AK1349" s="8"/>
      <c r="AL1349" s="8"/>
      <c r="AN1349" s="8">
        <f t="shared" si="370"/>
        <v>1</v>
      </c>
      <c r="AO1349" s="8">
        <f t="shared" si="371"/>
        <v>5.7939647257156048</v>
      </c>
      <c r="AP1349" s="8">
        <f t="shared" si="372"/>
        <v>0.47609624789286986</v>
      </c>
      <c r="AQ1349" s="8"/>
      <c r="AR1349" s="8">
        <f t="shared" si="373"/>
        <v>331.96972543117778</v>
      </c>
      <c r="AS1349" s="8">
        <f t="shared" si="374"/>
        <v>62.721694353724345</v>
      </c>
    </row>
    <row r="1350" spans="1:45">
      <c r="A1350" s="21">
        <v>53.653599999999997</v>
      </c>
      <c r="B1350" s="21">
        <v>1155.5351069999999</v>
      </c>
      <c r="C1350" s="21">
        <v>-981.11250949999999</v>
      </c>
      <c r="E1350" s="9">
        <f t="shared" si="362"/>
        <v>-195.53510699999993</v>
      </c>
      <c r="F1350" s="9">
        <f t="shared" si="363"/>
        <v>-441.11250949999999</v>
      </c>
      <c r="I1350">
        <v>1</v>
      </c>
      <c r="J1350">
        <f t="shared" si="364"/>
        <v>0.3112027885304573</v>
      </c>
      <c r="K1350">
        <f t="shared" si="365"/>
        <v>-1.9880455039499603</v>
      </c>
      <c r="O1350">
        <f t="shared" si="366"/>
        <v>-0.12408825157532649</v>
      </c>
      <c r="P1350">
        <f t="shared" si="367"/>
        <v>-0.2799337719535942</v>
      </c>
      <c r="Q1350">
        <f t="shared" si="368"/>
        <v>0.95196596007462975</v>
      </c>
      <c r="R1350">
        <f t="shared" si="369"/>
        <v>1</v>
      </c>
      <c r="AG1350" s="8">
        <f t="shared" si="359"/>
        <v>0.40511806041283283</v>
      </c>
      <c r="AH1350" s="8">
        <f t="shared" si="360"/>
        <v>-0.21557759443760327</v>
      </c>
      <c r="AI1350" s="8">
        <f t="shared" si="361"/>
        <v>0.88848503527287415</v>
      </c>
      <c r="AJ1350" s="8"/>
      <c r="AK1350" s="8"/>
      <c r="AL1350" s="8"/>
      <c r="AN1350" s="8">
        <f t="shared" si="370"/>
        <v>0.99999999999999978</v>
      </c>
      <c r="AO1350" s="8">
        <f t="shared" si="371"/>
        <v>5.7941612201401798</v>
      </c>
      <c r="AP1350" s="8">
        <f t="shared" si="372"/>
        <v>0.47676303715343904</v>
      </c>
      <c r="AQ1350" s="8"/>
      <c r="AR1350" s="8">
        <f t="shared" si="373"/>
        <v>331.98098373240379</v>
      </c>
      <c r="AS1350" s="8">
        <f t="shared" si="374"/>
        <v>62.683490143269083</v>
      </c>
    </row>
    <row r="1351" spans="1:45">
      <c r="A1351" s="21">
        <v>53.686966669999997</v>
      </c>
      <c r="B1351" s="21">
        <v>1155.933788</v>
      </c>
      <c r="C1351" s="21">
        <v>-982.12071709999998</v>
      </c>
      <c r="E1351" s="9">
        <f t="shared" si="362"/>
        <v>-195.93378800000005</v>
      </c>
      <c r="F1351" s="9">
        <f t="shared" si="363"/>
        <v>-442.12071709999998</v>
      </c>
      <c r="I1351">
        <v>1</v>
      </c>
      <c r="J1351">
        <f t="shared" si="364"/>
        <v>0.31186494501415485</v>
      </c>
      <c r="K1351">
        <f t="shared" si="365"/>
        <v>-1.9879543190440176</v>
      </c>
      <c r="O1351">
        <f t="shared" si="366"/>
        <v>-0.12431809328758427</v>
      </c>
      <c r="P1351">
        <f t="shared" si="367"/>
        <v>-0.28052131852221152</v>
      </c>
      <c r="Q1351">
        <f t="shared" si="368"/>
        <v>0.95176299651536123</v>
      </c>
      <c r="R1351">
        <f t="shared" si="369"/>
        <v>1</v>
      </c>
      <c r="AG1351" s="8">
        <f t="shared" si="359"/>
        <v>0.40572119575506294</v>
      </c>
      <c r="AH1351" s="8">
        <f t="shared" si="360"/>
        <v>-0.21557526354059442</v>
      </c>
      <c r="AI1351" s="8">
        <f t="shared" si="361"/>
        <v>0.8882103450559925</v>
      </c>
      <c r="AJ1351" s="8"/>
      <c r="AK1351" s="8"/>
      <c r="AL1351" s="8"/>
      <c r="AN1351" s="8">
        <f t="shared" si="370"/>
        <v>1</v>
      </c>
      <c r="AO1351" s="8">
        <f t="shared" si="371"/>
        <v>5.7947823919670256</v>
      </c>
      <c r="AP1351" s="8">
        <f t="shared" si="372"/>
        <v>0.47736126749300678</v>
      </c>
      <c r="AQ1351" s="8"/>
      <c r="AR1351" s="8">
        <f t="shared" si="373"/>
        <v>332.01657425643447</v>
      </c>
      <c r="AS1351" s="8">
        <f t="shared" si="374"/>
        <v>62.649214069635171</v>
      </c>
    </row>
    <row r="1352" spans="1:45">
      <c r="A1352" s="21">
        <v>53.720333330000003</v>
      </c>
      <c r="B1352" s="21">
        <v>1156.1633609999999</v>
      </c>
      <c r="C1352" s="21">
        <v>-982.7297658</v>
      </c>
      <c r="E1352" s="9">
        <f t="shared" si="362"/>
        <v>-196.1633609999999</v>
      </c>
      <c r="F1352" s="9">
        <f t="shared" si="363"/>
        <v>-442.7297658</v>
      </c>
      <c r="I1352">
        <v>1</v>
      </c>
      <c r="J1352">
        <f t="shared" si="364"/>
        <v>0.31226203184532297</v>
      </c>
      <c r="K1352">
        <f t="shared" si="365"/>
        <v>-1.9878781613114886</v>
      </c>
      <c r="O1352">
        <f t="shared" si="366"/>
        <v>-0.12444981753196145</v>
      </c>
      <c r="P1352">
        <f t="shared" si="367"/>
        <v>-0.28087629763734573</v>
      </c>
      <c r="Q1352">
        <f t="shared" si="368"/>
        <v>0.95164108168037742</v>
      </c>
      <c r="R1352">
        <f t="shared" si="369"/>
        <v>1</v>
      </c>
      <c r="AG1352" s="8">
        <f t="shared" si="359"/>
        <v>0.40608362956093352</v>
      </c>
      <c r="AH1352" s="8">
        <f t="shared" si="360"/>
        <v>-0.21556732885102217</v>
      </c>
      <c r="AI1352" s="8">
        <f t="shared" si="361"/>
        <v>0.88804662745525587</v>
      </c>
      <c r="AJ1352" s="8"/>
      <c r="AK1352" s="8"/>
      <c r="AL1352" s="8"/>
      <c r="AN1352" s="8">
        <f t="shared" si="370"/>
        <v>1.0000000000000002</v>
      </c>
      <c r="AO1352" s="8">
        <f t="shared" si="371"/>
        <v>5.7951675262246507</v>
      </c>
      <c r="AP1352" s="8">
        <f t="shared" si="372"/>
        <v>0.47771748878129094</v>
      </c>
      <c r="AQ1352" s="8"/>
      <c r="AR1352" s="8">
        <f t="shared" si="373"/>
        <v>332.03864082394233</v>
      </c>
      <c r="AS1352" s="8">
        <f t="shared" si="374"/>
        <v>62.628804093243772</v>
      </c>
    </row>
    <row r="1353" spans="1:45">
      <c r="A1353" s="21">
        <v>53.753700000000002</v>
      </c>
      <c r="B1353" s="21">
        <v>1156.503784</v>
      </c>
      <c r="C1353" s="21">
        <v>-983.72725130000003</v>
      </c>
      <c r="E1353" s="9">
        <f t="shared" si="362"/>
        <v>-196.503784</v>
      </c>
      <c r="F1353" s="9">
        <f t="shared" si="363"/>
        <v>-443.72725130000003</v>
      </c>
      <c r="I1353">
        <v>1</v>
      </c>
      <c r="J1353">
        <f t="shared" si="364"/>
        <v>0.31290337255785766</v>
      </c>
      <c r="K1353">
        <f t="shared" si="365"/>
        <v>-1.9876868631192661</v>
      </c>
      <c r="O1353">
        <f t="shared" si="366"/>
        <v>-0.12464319135373833</v>
      </c>
      <c r="P1353">
        <f t="shared" si="367"/>
        <v>-0.28145809493752177</v>
      </c>
      <c r="Q1353">
        <f t="shared" si="368"/>
        <v>0.9514438583769913</v>
      </c>
      <c r="R1353">
        <f t="shared" si="369"/>
        <v>1</v>
      </c>
      <c r="AG1353" s="8">
        <f t="shared" si="359"/>
        <v>0.40667148997748087</v>
      </c>
      <c r="AH1353" s="8">
        <f t="shared" si="360"/>
        <v>-0.21553380899268046</v>
      </c>
      <c r="AI1353" s="8">
        <f t="shared" si="361"/>
        <v>0.88778571537314244</v>
      </c>
      <c r="AJ1353" s="8"/>
      <c r="AK1353" s="8"/>
      <c r="AL1353" s="8"/>
      <c r="AN1353" s="8">
        <f t="shared" si="370"/>
        <v>0.99999999999999978</v>
      </c>
      <c r="AO1353" s="8">
        <f t="shared" si="371"/>
        <v>5.7958307220644407</v>
      </c>
      <c r="AP1353" s="8">
        <f t="shared" si="372"/>
        <v>0.47828468252199752</v>
      </c>
      <c r="AQ1353" s="8"/>
      <c r="AR1353" s="8">
        <f t="shared" si="373"/>
        <v>332.07663914655291</v>
      </c>
      <c r="AS1353" s="8">
        <f t="shared" si="374"/>
        <v>62.596306285735054</v>
      </c>
    </row>
    <row r="1354" spans="1:45">
      <c r="A1354" s="21">
        <v>53.787066670000002</v>
      </c>
      <c r="B1354" s="21">
        <v>1157.5288889999999</v>
      </c>
      <c r="C1354" s="21">
        <v>-984.48004690000005</v>
      </c>
      <c r="E1354" s="9">
        <f t="shared" si="362"/>
        <v>-197.52888899999994</v>
      </c>
      <c r="F1354" s="9">
        <f t="shared" si="363"/>
        <v>-444.48004690000005</v>
      </c>
      <c r="I1354">
        <v>1</v>
      </c>
      <c r="J1354">
        <f t="shared" si="364"/>
        <v>0.3135773872157151</v>
      </c>
      <c r="K1354">
        <f t="shared" si="365"/>
        <v>-1.9889872175387726</v>
      </c>
      <c r="O1354">
        <f t="shared" si="366"/>
        <v>-0.12526948449804848</v>
      </c>
      <c r="P1354">
        <f t="shared" si="367"/>
        <v>-0.28188173702952102</v>
      </c>
      <c r="Q1354">
        <f t="shared" si="368"/>
        <v>0.95123616551454404</v>
      </c>
      <c r="R1354">
        <f t="shared" si="369"/>
        <v>1</v>
      </c>
      <c r="AG1354" s="8">
        <f t="shared" si="359"/>
        <v>0.40723135787525244</v>
      </c>
      <c r="AH1354" s="8">
        <f t="shared" si="360"/>
        <v>-0.21595012852820639</v>
      </c>
      <c r="AI1354" s="8">
        <f t="shared" si="361"/>
        <v>0.88742783546141324</v>
      </c>
      <c r="AJ1354" s="8"/>
      <c r="AK1354" s="8"/>
      <c r="AL1354" s="8"/>
      <c r="AN1354" s="8">
        <f t="shared" si="370"/>
        <v>0.99999999999999989</v>
      </c>
      <c r="AO1354" s="8">
        <f t="shared" si="371"/>
        <v>5.7956014789725838</v>
      </c>
      <c r="AP1354" s="8">
        <f t="shared" si="372"/>
        <v>0.4790616657151483</v>
      </c>
      <c r="AQ1354" s="8"/>
      <c r="AR1354" s="8">
        <f t="shared" si="373"/>
        <v>332.06350448490696</v>
      </c>
      <c r="AS1354" s="8">
        <f t="shared" si="374"/>
        <v>62.551788428014916</v>
      </c>
    </row>
    <row r="1355" spans="1:45">
      <c r="A1355" s="21">
        <v>53.82043333</v>
      </c>
      <c r="B1355" s="21">
        <v>1157.914129</v>
      </c>
      <c r="C1355" s="21">
        <v>-985.12740699999995</v>
      </c>
      <c r="E1355" s="9">
        <f t="shared" si="362"/>
        <v>-197.914129</v>
      </c>
      <c r="F1355" s="9">
        <f t="shared" si="363"/>
        <v>-445.12740699999995</v>
      </c>
      <c r="I1355">
        <v>1</v>
      </c>
      <c r="J1355">
        <f t="shared" si="364"/>
        <v>0.31403399451727226</v>
      </c>
      <c r="K1355">
        <f t="shared" si="365"/>
        <v>-1.9891702108614358</v>
      </c>
      <c r="O1355">
        <f t="shared" si="366"/>
        <v>-0.12549751390416145</v>
      </c>
      <c r="P1355">
        <f t="shared" si="367"/>
        <v>-0.28225565921625462</v>
      </c>
      <c r="Q1355">
        <f t="shared" si="368"/>
        <v>0.95109521965167731</v>
      </c>
      <c r="R1355">
        <f t="shared" si="369"/>
        <v>1</v>
      </c>
      <c r="AG1355" s="8">
        <f t="shared" si="359"/>
        <v>0.40763729095486378</v>
      </c>
      <c r="AH1355" s="8">
        <f t="shared" si="360"/>
        <v>-0.21602267212242443</v>
      </c>
      <c r="AI1355" s="8">
        <f t="shared" si="361"/>
        <v>0.88722378470827024</v>
      </c>
      <c r="AJ1355" s="8"/>
      <c r="AK1355" s="8"/>
      <c r="AL1355" s="8"/>
      <c r="AN1355" s="8">
        <f t="shared" si="370"/>
        <v>0.99999999999999978</v>
      </c>
      <c r="AO1355" s="8">
        <f t="shared" si="371"/>
        <v>5.7958747848956413</v>
      </c>
      <c r="AP1355" s="8">
        <f t="shared" si="372"/>
        <v>0.47950415482147579</v>
      </c>
      <c r="AQ1355" s="8"/>
      <c r="AR1355" s="8">
        <f t="shared" si="373"/>
        <v>332.07916376081408</v>
      </c>
      <c r="AS1355" s="8">
        <f t="shared" si="374"/>
        <v>62.526435669741829</v>
      </c>
    </row>
    <row r="1356" spans="1:45">
      <c r="A1356" s="21">
        <v>53.8538</v>
      </c>
      <c r="B1356" s="21">
        <v>1158.54503</v>
      </c>
      <c r="C1356" s="21">
        <v>-985.92905089999999</v>
      </c>
      <c r="E1356" s="9">
        <f t="shared" si="362"/>
        <v>-198.54503</v>
      </c>
      <c r="F1356" s="9">
        <f t="shared" si="363"/>
        <v>-445.92905089999999</v>
      </c>
      <c r="I1356">
        <v>1</v>
      </c>
      <c r="J1356">
        <f t="shared" si="364"/>
        <v>0.31463742802465988</v>
      </c>
      <c r="K1356">
        <f t="shared" si="365"/>
        <v>-1.9896840028851088</v>
      </c>
      <c r="O1356">
        <f t="shared" si="366"/>
        <v>-0.1258759350905839</v>
      </c>
      <c r="P1356">
        <f t="shared" si="367"/>
        <v>-0.28271539341022089</v>
      </c>
      <c r="Q1356">
        <f t="shared" si="368"/>
        <v>0.95090864718645562</v>
      </c>
      <c r="R1356">
        <f t="shared" si="369"/>
        <v>1</v>
      </c>
      <c r="AG1356" s="8">
        <f t="shared" si="359"/>
        <v>0.4081629696140216</v>
      </c>
      <c r="AH1356" s="8">
        <f t="shared" si="360"/>
        <v>-0.21620081899846694</v>
      </c>
      <c r="AI1356" s="8">
        <f t="shared" si="361"/>
        <v>0.88693866535418076</v>
      </c>
      <c r="AJ1356" s="8"/>
      <c r="AK1356" s="8"/>
      <c r="AL1356" s="8"/>
      <c r="AN1356" s="8">
        <f t="shared" si="370"/>
        <v>1</v>
      </c>
      <c r="AO1356" s="8">
        <f t="shared" si="371"/>
        <v>5.7960669094778865</v>
      </c>
      <c r="AP1356" s="8">
        <f t="shared" si="372"/>
        <v>0.48012181329820369</v>
      </c>
      <c r="AQ1356" s="8"/>
      <c r="AR1356" s="8">
        <f t="shared" si="373"/>
        <v>332.09017168851744</v>
      </c>
      <c r="AS1356" s="8">
        <f t="shared" si="374"/>
        <v>62.491046445844844</v>
      </c>
    </row>
    <row r="1357" spans="1:45">
      <c r="A1357" s="21">
        <v>53.887166669999999</v>
      </c>
      <c r="B1357" s="21">
        <v>1158.5717299999999</v>
      </c>
      <c r="C1357" s="21">
        <v>-986.49691600000006</v>
      </c>
      <c r="E1357" s="9">
        <f t="shared" si="362"/>
        <v>-198.57172999999989</v>
      </c>
      <c r="F1357" s="9">
        <f t="shared" si="363"/>
        <v>-446.49691600000006</v>
      </c>
      <c r="I1357">
        <v>1</v>
      </c>
      <c r="J1357">
        <f t="shared" si="364"/>
        <v>0.31496055069092005</v>
      </c>
      <c r="K1357">
        <f t="shared" si="365"/>
        <v>-1.9892612472572762</v>
      </c>
      <c r="O1357">
        <f t="shared" si="366"/>
        <v>-0.12588125546479356</v>
      </c>
      <c r="P1357">
        <f t="shared" si="367"/>
        <v>-0.2830493159687863</v>
      </c>
      <c r="Q1357">
        <f t="shared" si="368"/>
        <v>0.95080860021994418</v>
      </c>
      <c r="R1357">
        <f t="shared" si="369"/>
        <v>1</v>
      </c>
      <c r="AG1357" s="8">
        <f t="shared" si="359"/>
        <v>0.40847159684683249</v>
      </c>
      <c r="AH1357" s="8">
        <f t="shared" si="360"/>
        <v>-0.216085500886947</v>
      </c>
      <c r="AI1357" s="8">
        <f t="shared" si="361"/>
        <v>0.88682467877018178</v>
      </c>
      <c r="AJ1357" s="8"/>
      <c r="AK1357" s="8"/>
      <c r="AL1357" s="8"/>
      <c r="AN1357" s="8">
        <f t="shared" si="370"/>
        <v>1.0000000000000002</v>
      </c>
      <c r="AO1357" s="8">
        <f t="shared" si="371"/>
        <v>5.7966000503302784</v>
      </c>
      <c r="AP1357" s="8">
        <f t="shared" si="372"/>
        <v>0.48036853930537271</v>
      </c>
      <c r="AQ1357" s="8"/>
      <c r="AR1357" s="8">
        <f t="shared" si="373"/>
        <v>332.12071840924551</v>
      </c>
      <c r="AS1357" s="8">
        <f t="shared" si="374"/>
        <v>62.476910086937949</v>
      </c>
    </row>
    <row r="1358" spans="1:45">
      <c r="A1358" s="21">
        <v>53.920533329999998</v>
      </c>
      <c r="B1358" s="21">
        <v>1159.6001369999999</v>
      </c>
      <c r="C1358" s="21">
        <v>-987.54912530000001</v>
      </c>
      <c r="E1358" s="9">
        <f t="shared" si="362"/>
        <v>-199.6001369999999</v>
      </c>
      <c r="F1358" s="9">
        <f t="shared" si="363"/>
        <v>-447.54912530000001</v>
      </c>
      <c r="I1358">
        <v>1</v>
      </c>
      <c r="J1358">
        <f t="shared" si="364"/>
        <v>0.31580185805479444</v>
      </c>
      <c r="K1358">
        <f t="shared" si="365"/>
        <v>-1.9903062526938673</v>
      </c>
      <c r="O1358">
        <f t="shared" si="366"/>
        <v>-0.12650274873989126</v>
      </c>
      <c r="P1358">
        <f t="shared" si="367"/>
        <v>-0.28364807458315555</v>
      </c>
      <c r="Q1358">
        <f t="shared" si="368"/>
        <v>0.95054764443794215</v>
      </c>
      <c r="R1358">
        <f t="shared" si="369"/>
        <v>1</v>
      </c>
      <c r="AG1358" s="8">
        <f t="shared" si="359"/>
        <v>0.40919106037734787</v>
      </c>
      <c r="AH1358" s="8">
        <f t="shared" si="360"/>
        <v>-0.21643410658759077</v>
      </c>
      <c r="AI1358" s="8">
        <f t="shared" si="361"/>
        <v>0.88640789347393167</v>
      </c>
      <c r="AJ1358" s="8"/>
      <c r="AK1358" s="8"/>
      <c r="AL1358" s="8"/>
      <c r="AN1358" s="8">
        <f t="shared" si="370"/>
        <v>1</v>
      </c>
      <c r="AO1358" s="8">
        <f t="shared" si="371"/>
        <v>5.7966611509657024</v>
      </c>
      <c r="AP1358" s="8">
        <f t="shared" si="372"/>
        <v>0.48126968588188035</v>
      </c>
      <c r="AQ1358" s="8"/>
      <c r="AR1358" s="8">
        <f t="shared" si="373"/>
        <v>332.12421921778088</v>
      </c>
      <c r="AS1358" s="8">
        <f t="shared" si="374"/>
        <v>62.425278191381395</v>
      </c>
    </row>
    <row r="1359" spans="1:45">
      <c r="A1359" s="21">
        <v>53.953899999999997</v>
      </c>
      <c r="B1359" s="21">
        <v>1159.9236820000001</v>
      </c>
      <c r="C1359" s="21">
        <v>-988.37943959999996</v>
      </c>
      <c r="E1359" s="9">
        <f t="shared" si="362"/>
        <v>-199.9236820000001</v>
      </c>
      <c r="F1359" s="9">
        <f t="shared" si="363"/>
        <v>-448.37943959999996</v>
      </c>
      <c r="I1359">
        <v>1</v>
      </c>
      <c r="J1359">
        <f t="shared" si="364"/>
        <v>0.31634443491281167</v>
      </c>
      <c r="K1359">
        <f t="shared" si="365"/>
        <v>-1.990219259343442</v>
      </c>
      <c r="O1359">
        <f t="shared" si="366"/>
        <v>-0.12668808282716545</v>
      </c>
      <c r="P1359">
        <f t="shared" si="367"/>
        <v>-0.28413007910710047</v>
      </c>
      <c r="Q1359">
        <f t="shared" si="368"/>
        <v>0.9503789916744636</v>
      </c>
      <c r="R1359">
        <f t="shared" si="369"/>
        <v>1</v>
      </c>
      <c r="AG1359" s="8">
        <f t="shared" si="359"/>
        <v>0.40968470028612736</v>
      </c>
      <c r="AH1359" s="8">
        <f t="shared" si="360"/>
        <v>-0.21642877229954904</v>
      </c>
      <c r="AI1359" s="8">
        <f t="shared" si="361"/>
        <v>0.88618115127347186</v>
      </c>
      <c r="AJ1359" s="8"/>
      <c r="AK1359" s="8"/>
      <c r="AL1359" s="8"/>
      <c r="AN1359" s="8">
        <f t="shared" si="370"/>
        <v>1</v>
      </c>
      <c r="AO1359" s="8">
        <f t="shared" si="371"/>
        <v>5.7971694607759803</v>
      </c>
      <c r="AP1359" s="8">
        <f t="shared" si="372"/>
        <v>0.48175928087047448</v>
      </c>
      <c r="AQ1359" s="8"/>
      <c r="AR1359" s="8">
        <f t="shared" si="373"/>
        <v>332.15334322459489</v>
      </c>
      <c r="AS1359" s="8">
        <f t="shared" si="374"/>
        <v>62.397226464864197</v>
      </c>
    </row>
    <row r="1360" spans="1:45">
      <c r="A1360" s="21">
        <v>53.987266669999997</v>
      </c>
      <c r="B1360" s="21">
        <v>1160.2429509999999</v>
      </c>
      <c r="C1360" s="21">
        <v>-989.20357920000004</v>
      </c>
      <c r="E1360" s="9">
        <f t="shared" si="362"/>
        <v>-200.24295099999995</v>
      </c>
      <c r="F1360" s="9">
        <f t="shared" si="363"/>
        <v>-449.20357920000004</v>
      </c>
      <c r="I1360">
        <v>1</v>
      </c>
      <c r="J1360">
        <f t="shared" si="364"/>
        <v>0.3168823363731087</v>
      </c>
      <c r="K1360">
        <f t="shared" si="365"/>
        <v>-1.9901297516179839</v>
      </c>
      <c r="O1360">
        <f t="shared" si="366"/>
        <v>-0.12687077227998261</v>
      </c>
      <c r="P1360">
        <f t="shared" si="367"/>
        <v>-0.28460829566997531</v>
      </c>
      <c r="Q1360">
        <f t="shared" si="368"/>
        <v>0.95021151601994003</v>
      </c>
      <c r="R1360">
        <f t="shared" si="369"/>
        <v>1</v>
      </c>
      <c r="AG1360" s="8">
        <f t="shared" si="359"/>
        <v>0.41017410516075625</v>
      </c>
      <c r="AH1360" s="8">
        <f t="shared" si="360"/>
        <v>-0.21642234224500326</v>
      </c>
      <c r="AI1360" s="8">
        <f t="shared" si="361"/>
        <v>0.88595630435860639</v>
      </c>
      <c r="AJ1360" s="8"/>
      <c r="AK1360" s="8"/>
      <c r="AL1360" s="8"/>
      <c r="AN1360" s="8">
        <f t="shared" si="370"/>
        <v>1</v>
      </c>
      <c r="AO1360" s="8">
        <f t="shared" si="371"/>
        <v>5.7976746475432455</v>
      </c>
      <c r="AP1360" s="8">
        <f t="shared" si="372"/>
        <v>0.48224433114346166</v>
      </c>
      <c r="AQ1360" s="8"/>
      <c r="AR1360" s="8">
        <f t="shared" si="373"/>
        <v>332.18228829422509</v>
      </c>
      <c r="AS1360" s="8">
        <f t="shared" si="374"/>
        <v>62.369435131370366</v>
      </c>
    </row>
    <row r="1361" spans="1:45">
      <c r="A1361" s="21">
        <v>54.020633330000003</v>
      </c>
      <c r="B1361" s="21">
        <v>1160.71009</v>
      </c>
      <c r="C1361" s="21">
        <v>-989.92082630000004</v>
      </c>
      <c r="E1361" s="9">
        <f t="shared" si="362"/>
        <v>-200.71009000000004</v>
      </c>
      <c r="F1361" s="9">
        <f t="shared" si="363"/>
        <v>-449.92082630000004</v>
      </c>
      <c r="I1361">
        <v>1</v>
      </c>
      <c r="J1361">
        <f t="shared" si="364"/>
        <v>0.31739727729884992</v>
      </c>
      <c r="K1361">
        <f t="shared" si="365"/>
        <v>-1.990403039693031</v>
      </c>
      <c r="O1361">
        <f t="shared" si="366"/>
        <v>-0.12714787335804068</v>
      </c>
      <c r="P1361">
        <f t="shared" si="367"/>
        <v>-0.28502043043046532</v>
      </c>
      <c r="Q1361">
        <f t="shared" si="368"/>
        <v>0.9500509315493354</v>
      </c>
      <c r="R1361">
        <f t="shared" si="369"/>
        <v>1</v>
      </c>
      <c r="AG1361" s="8">
        <f t="shared" si="359"/>
        <v>0.41062831974998348</v>
      </c>
      <c r="AH1361" s="8">
        <f t="shared" si="360"/>
        <v>-0.21652533707715643</v>
      </c>
      <c r="AI1361" s="8">
        <f t="shared" si="361"/>
        <v>0.88572070170168715</v>
      </c>
      <c r="AJ1361" s="8"/>
      <c r="AK1361" s="8"/>
      <c r="AL1361" s="8"/>
      <c r="AN1361" s="8">
        <f t="shared" si="370"/>
        <v>1</v>
      </c>
      <c r="AO1361" s="8">
        <f t="shared" si="371"/>
        <v>5.7979350236155041</v>
      </c>
      <c r="AP1361" s="8">
        <f t="shared" si="372"/>
        <v>0.48275210245804323</v>
      </c>
      <c r="AQ1361" s="8"/>
      <c r="AR1361" s="8">
        <f t="shared" si="373"/>
        <v>332.19720674425167</v>
      </c>
      <c r="AS1361" s="8">
        <f t="shared" si="374"/>
        <v>62.340341978087025</v>
      </c>
    </row>
    <row r="1362" spans="1:45">
      <c r="A1362" s="21">
        <v>54.054000000000002</v>
      </c>
      <c r="B1362" s="21">
        <v>1160.9278650000001</v>
      </c>
      <c r="C1362" s="21">
        <v>-990.74874869999996</v>
      </c>
      <c r="E1362" s="9">
        <f t="shared" si="362"/>
        <v>-200.92786500000011</v>
      </c>
      <c r="F1362" s="9">
        <f t="shared" si="363"/>
        <v>-450.74874869999996</v>
      </c>
      <c r="I1362">
        <v>1</v>
      </c>
      <c r="J1362">
        <f t="shared" si="364"/>
        <v>0.31791176282446143</v>
      </c>
      <c r="K1362">
        <f t="shared" si="365"/>
        <v>-1.990122568298702</v>
      </c>
      <c r="O1362">
        <f t="shared" si="366"/>
        <v>-0.12726691889991495</v>
      </c>
      <c r="P1362">
        <f t="shared" si="367"/>
        <v>-0.28550248341632961</v>
      </c>
      <c r="Q1362">
        <f t="shared" si="368"/>
        <v>0.949890237510014</v>
      </c>
      <c r="R1362">
        <f t="shared" si="369"/>
        <v>1</v>
      </c>
      <c r="AG1362" s="8">
        <f t="shared" si="359"/>
        <v>0.41110392256567668</v>
      </c>
      <c r="AH1362" s="8">
        <f t="shared" si="360"/>
        <v>-0.21645965774157533</v>
      </c>
      <c r="AI1362" s="8">
        <f t="shared" si="361"/>
        <v>0.88551611019874399</v>
      </c>
      <c r="AJ1362" s="8"/>
      <c r="AK1362" s="8"/>
      <c r="AL1362" s="8"/>
      <c r="AN1362" s="8">
        <f t="shared" si="370"/>
        <v>0.99999999999999989</v>
      </c>
      <c r="AO1362" s="8">
        <f t="shared" si="371"/>
        <v>5.7985375360955418</v>
      </c>
      <c r="AP1362" s="8">
        <f t="shared" si="372"/>
        <v>0.48319263972971283</v>
      </c>
      <c r="AQ1362" s="8"/>
      <c r="AR1362" s="8">
        <f t="shared" si="373"/>
        <v>332.23172816646178</v>
      </c>
      <c r="AS1362" s="8">
        <f t="shared" si="374"/>
        <v>62.315101051702158</v>
      </c>
    </row>
    <row r="1363" spans="1:45">
      <c r="A1363" s="21">
        <v>54.087366670000002</v>
      </c>
      <c r="B1363" s="21">
        <v>1161.710851</v>
      </c>
      <c r="C1363" s="21">
        <v>-991.30958910000004</v>
      </c>
      <c r="E1363" s="9">
        <f t="shared" si="362"/>
        <v>-201.71085100000005</v>
      </c>
      <c r="F1363" s="9">
        <f t="shared" si="363"/>
        <v>-451.30958910000004</v>
      </c>
      <c r="I1363">
        <v>1</v>
      </c>
      <c r="J1363">
        <f t="shared" si="364"/>
        <v>0.31841783042905653</v>
      </c>
      <c r="K1363">
        <f t="shared" si="365"/>
        <v>-1.9911073395824037</v>
      </c>
      <c r="O1363">
        <f t="shared" si="366"/>
        <v>-0.12774414594155414</v>
      </c>
      <c r="P1363">
        <f t="shared" si="367"/>
        <v>-0.28581584842360935</v>
      </c>
      <c r="Q1363">
        <f t="shared" si="368"/>
        <v>0.94973192742349943</v>
      </c>
      <c r="R1363">
        <f t="shared" si="369"/>
        <v>1</v>
      </c>
      <c r="AG1363" s="8">
        <f t="shared" si="359"/>
        <v>0.41152153625968746</v>
      </c>
      <c r="AH1363" s="8">
        <f t="shared" si="360"/>
        <v>-0.21677973194582129</v>
      </c>
      <c r="AI1363" s="8">
        <f t="shared" si="361"/>
        <v>0.88524379298132583</v>
      </c>
      <c r="AJ1363" s="8"/>
      <c r="AK1363" s="8"/>
      <c r="AL1363" s="8"/>
      <c r="AN1363" s="8">
        <f t="shared" si="370"/>
        <v>0.99999999999999978</v>
      </c>
      <c r="AO1363" s="8">
        <f t="shared" si="371"/>
        <v>5.7983469445787215</v>
      </c>
      <c r="AP1363" s="8">
        <f t="shared" si="372"/>
        <v>0.48377843443019097</v>
      </c>
      <c r="AQ1363" s="8"/>
      <c r="AR1363" s="8">
        <f t="shared" si="373"/>
        <v>332.22080807693698</v>
      </c>
      <c r="AS1363" s="8">
        <f t="shared" si="374"/>
        <v>62.281537487703623</v>
      </c>
    </row>
    <row r="1364" spans="1:45">
      <c r="A1364" s="21">
        <v>54.12073333</v>
      </c>
      <c r="B1364" s="21">
        <v>1161.9069959999999</v>
      </c>
      <c r="C1364" s="21">
        <v>-992.00276229999997</v>
      </c>
      <c r="E1364" s="9">
        <f t="shared" si="362"/>
        <v>-201.90699599999994</v>
      </c>
      <c r="F1364" s="9">
        <f t="shared" si="363"/>
        <v>-452.00276229999997</v>
      </c>
      <c r="I1364">
        <v>1</v>
      </c>
      <c r="J1364">
        <f t="shared" si="364"/>
        <v>0.31885169677595848</v>
      </c>
      <c r="K1364">
        <f t="shared" si="365"/>
        <v>-1.990897718655424</v>
      </c>
      <c r="O1364">
        <f t="shared" si="366"/>
        <v>-0.12785227671225252</v>
      </c>
      <c r="P1364">
        <f t="shared" si="367"/>
        <v>-0.28621882047258101</v>
      </c>
      <c r="Q1364">
        <f t="shared" si="368"/>
        <v>0.94959600996780624</v>
      </c>
      <c r="R1364">
        <f t="shared" si="369"/>
        <v>1</v>
      </c>
      <c r="AG1364" s="8">
        <f t="shared" si="359"/>
        <v>0.41192140665455768</v>
      </c>
      <c r="AH1364" s="8">
        <f t="shared" si="360"/>
        <v>-0.21673256099750016</v>
      </c>
      <c r="AI1364" s="8">
        <f t="shared" si="361"/>
        <v>0.88506934855026775</v>
      </c>
      <c r="AJ1364" s="8"/>
      <c r="AK1364" s="8"/>
      <c r="AL1364" s="8"/>
      <c r="AN1364" s="8">
        <f t="shared" si="370"/>
        <v>1</v>
      </c>
      <c r="AO1364" s="8">
        <f t="shared" si="371"/>
        <v>5.7988369988468351</v>
      </c>
      <c r="AP1364" s="8">
        <f t="shared" si="372"/>
        <v>0.4841533473015307</v>
      </c>
      <c r="AQ1364" s="8"/>
      <c r="AR1364" s="8">
        <f t="shared" si="373"/>
        <v>332.24888611823229</v>
      </c>
      <c r="AS1364" s="8">
        <f t="shared" si="374"/>
        <v>62.260056562490732</v>
      </c>
    </row>
    <row r="1365" spans="1:45">
      <c r="A1365" s="21">
        <v>54.1541</v>
      </c>
      <c r="B1365" s="21">
        <v>1162.3735999999999</v>
      </c>
      <c r="C1365" s="21">
        <v>-992.92400520000001</v>
      </c>
      <c r="E1365" s="9">
        <f t="shared" si="362"/>
        <v>-202.3735999999999</v>
      </c>
      <c r="F1365" s="9">
        <f t="shared" si="363"/>
        <v>-452.92400520000001</v>
      </c>
      <c r="I1365">
        <v>1</v>
      </c>
      <c r="J1365">
        <f t="shared" si="364"/>
        <v>0.31947923301058967</v>
      </c>
      <c r="K1365">
        <f t="shared" si="365"/>
        <v>-1.9909991135191385</v>
      </c>
      <c r="O1365">
        <f t="shared" si="366"/>
        <v>-0.12812436917331177</v>
      </c>
      <c r="P1365">
        <f t="shared" si="367"/>
        <v>-0.28674986485243048</v>
      </c>
      <c r="Q1365">
        <f t="shared" si="368"/>
        <v>0.94939910524028504</v>
      </c>
      <c r="R1365">
        <f t="shared" si="369"/>
        <v>1</v>
      </c>
      <c r="AG1365" s="8">
        <f t="shared" si="359"/>
        <v>0.41248347514535827</v>
      </c>
      <c r="AH1365" s="8">
        <f t="shared" si="360"/>
        <v>-0.21678791357493199</v>
      </c>
      <c r="AI1365" s="8">
        <f t="shared" si="361"/>
        <v>0.88479397786142078</v>
      </c>
      <c r="AJ1365" s="8"/>
      <c r="AK1365" s="8"/>
      <c r="AL1365" s="8"/>
      <c r="AN1365" s="8">
        <f t="shared" si="370"/>
        <v>0.99999999999999989</v>
      </c>
      <c r="AO1365" s="8">
        <f t="shared" si="371"/>
        <v>5.7992935205376837</v>
      </c>
      <c r="AP1365" s="8">
        <f t="shared" si="372"/>
        <v>0.4847446257681709</v>
      </c>
      <c r="AQ1365" s="8"/>
      <c r="AR1365" s="8">
        <f t="shared" si="373"/>
        <v>332.2750428843741</v>
      </c>
      <c r="AS1365" s="8">
        <f t="shared" si="374"/>
        <v>62.226178801835275</v>
      </c>
    </row>
    <row r="1366" spans="1:45">
      <c r="A1366" s="21">
        <v>54.187466669999999</v>
      </c>
      <c r="B1366" s="21">
        <v>1162.772152</v>
      </c>
      <c r="C1366" s="21">
        <v>-993.77216229999999</v>
      </c>
      <c r="E1366" s="9">
        <f t="shared" si="362"/>
        <v>-202.77215200000001</v>
      </c>
      <c r="F1366" s="9">
        <f t="shared" si="363"/>
        <v>-453.77216229999999</v>
      </c>
      <c r="I1366">
        <v>1</v>
      </c>
      <c r="J1366">
        <f t="shared" si="364"/>
        <v>0.32004907116840836</v>
      </c>
      <c r="K1366">
        <f t="shared" si="365"/>
        <v>-1.9910350851331244</v>
      </c>
      <c r="O1366">
        <f t="shared" si="366"/>
        <v>-0.12835538103666719</v>
      </c>
      <c r="P1366">
        <f t="shared" si="367"/>
        <v>-0.28723914118073224</v>
      </c>
      <c r="Q1366">
        <f t="shared" si="368"/>
        <v>0.94921998079090564</v>
      </c>
      <c r="R1366">
        <f t="shared" si="369"/>
        <v>1</v>
      </c>
      <c r="AG1366" s="8">
        <f t="shared" si="359"/>
        <v>0.41299595935016353</v>
      </c>
      <c r="AH1366" s="8">
        <f t="shared" si="360"/>
        <v>-0.21682098810382799</v>
      </c>
      <c r="AI1366" s="8">
        <f t="shared" si="361"/>
        <v>0.88454677472597099</v>
      </c>
      <c r="AJ1366" s="8"/>
      <c r="AK1366" s="8"/>
      <c r="AL1366" s="8"/>
      <c r="AN1366" s="8">
        <f t="shared" si="370"/>
        <v>0.99999999999999989</v>
      </c>
      <c r="AO1366" s="8">
        <f t="shared" si="371"/>
        <v>5.7997418941814747</v>
      </c>
      <c r="AP1366" s="8">
        <f t="shared" si="372"/>
        <v>0.48527485772060475</v>
      </c>
      <c r="AQ1366" s="8"/>
      <c r="AR1366" s="8">
        <f t="shared" si="373"/>
        <v>332.30073280180818</v>
      </c>
      <c r="AS1366" s="8">
        <f t="shared" si="374"/>
        <v>62.195798748797834</v>
      </c>
    </row>
    <row r="1367" spans="1:45">
      <c r="A1367" s="21">
        <v>54.220833329999998</v>
      </c>
      <c r="B1367" s="21">
        <v>1163.5906520000001</v>
      </c>
      <c r="C1367" s="21">
        <v>-994.52657569999997</v>
      </c>
      <c r="E1367" s="9">
        <f t="shared" si="362"/>
        <v>-203.59065200000009</v>
      </c>
      <c r="F1367" s="9">
        <f t="shared" si="363"/>
        <v>-454.52657569999997</v>
      </c>
      <c r="I1367">
        <v>1</v>
      </c>
      <c r="J1367">
        <f t="shared" si="364"/>
        <v>0.32067094314224509</v>
      </c>
      <c r="K1367">
        <f t="shared" si="365"/>
        <v>-1.9919175433423639</v>
      </c>
      <c r="O1367">
        <f t="shared" si="366"/>
        <v>-0.1288500851191135</v>
      </c>
      <c r="P1367">
        <f t="shared" si="367"/>
        <v>-0.28766442561343225</v>
      </c>
      <c r="Q1367">
        <f t="shared" si="368"/>
        <v>0.94902414816552028</v>
      </c>
      <c r="R1367">
        <f t="shared" si="369"/>
        <v>1</v>
      </c>
      <c r="AG1367" s="8">
        <f t="shared" si="359"/>
        <v>0.41352106743615652</v>
      </c>
      <c r="AH1367" s="8">
        <f t="shared" si="360"/>
        <v>-0.21711628702840929</v>
      </c>
      <c r="AI1367" s="8">
        <f t="shared" si="361"/>
        <v>0.88422895490560538</v>
      </c>
      <c r="AJ1367" s="8"/>
      <c r="AK1367" s="8"/>
      <c r="AL1367" s="8"/>
      <c r="AN1367" s="8">
        <f t="shared" si="370"/>
        <v>1</v>
      </c>
      <c r="AO1367" s="8">
        <f t="shared" si="371"/>
        <v>5.7997047010906444</v>
      </c>
      <c r="AP1367" s="8">
        <f t="shared" si="372"/>
        <v>0.48595577478197849</v>
      </c>
      <c r="AQ1367" s="8"/>
      <c r="AR1367" s="8">
        <f t="shared" si="373"/>
        <v>332.29860179467659</v>
      </c>
      <c r="AS1367" s="8">
        <f t="shared" si="374"/>
        <v>62.156785074982665</v>
      </c>
    </row>
    <row r="1368" spans="1:45">
      <c r="A1368" s="21">
        <v>54.254199999999997</v>
      </c>
      <c r="B1368" s="21">
        <v>1164.227504</v>
      </c>
      <c r="C1368" s="21">
        <v>-995.83098299999995</v>
      </c>
      <c r="E1368" s="9">
        <f t="shared" si="362"/>
        <v>-204.22750399999995</v>
      </c>
      <c r="F1368" s="9">
        <f t="shared" si="363"/>
        <v>-455.83098299999995</v>
      </c>
      <c r="I1368">
        <v>1</v>
      </c>
      <c r="J1368">
        <f t="shared" si="364"/>
        <v>0.32155253280576518</v>
      </c>
      <c r="K1368">
        <f t="shared" si="365"/>
        <v>-1.992013621648087</v>
      </c>
      <c r="O1368">
        <f t="shared" si="366"/>
        <v>-0.12921975512474432</v>
      </c>
      <c r="P1368">
        <f t="shared" si="367"/>
        <v>-0.28841545260980872</v>
      </c>
      <c r="Q1368">
        <f t="shared" si="368"/>
        <v>0.94874589937526488</v>
      </c>
      <c r="R1368">
        <f t="shared" si="369"/>
        <v>1</v>
      </c>
      <c r="AG1368" s="8">
        <f t="shared" si="359"/>
        <v>0.41431166853948259</v>
      </c>
      <c r="AH1368" s="8">
        <f t="shared" si="360"/>
        <v>-0.21718048532362677</v>
      </c>
      <c r="AI1368" s="8">
        <f t="shared" si="361"/>
        <v>0.88384301666451137</v>
      </c>
      <c r="AJ1368" s="8"/>
      <c r="AK1368" s="8"/>
      <c r="AL1368" s="8"/>
      <c r="AN1368" s="8">
        <f t="shared" si="370"/>
        <v>1</v>
      </c>
      <c r="AO1368" s="8">
        <f t="shared" si="371"/>
        <v>5.8003688579527104</v>
      </c>
      <c r="AP1368" s="8">
        <f t="shared" si="372"/>
        <v>0.48678145473596346</v>
      </c>
      <c r="AQ1368" s="8"/>
      <c r="AR1368" s="8">
        <f t="shared" si="373"/>
        <v>332.33665517980762</v>
      </c>
      <c r="AS1368" s="8">
        <f t="shared" si="374"/>
        <v>62.109477098390776</v>
      </c>
    </row>
    <row r="1369" spans="1:45">
      <c r="A1369" s="21">
        <v>54.287566669999997</v>
      </c>
      <c r="B1369" s="21">
        <v>1164.1463779999999</v>
      </c>
      <c r="C1369" s="21">
        <v>-995.99917270000003</v>
      </c>
      <c r="E1369" s="9">
        <f t="shared" si="362"/>
        <v>-204.14637799999991</v>
      </c>
      <c r="F1369" s="9">
        <f t="shared" si="363"/>
        <v>-455.99917270000003</v>
      </c>
      <c r="I1369">
        <v>1</v>
      </c>
      <c r="J1369">
        <f t="shared" si="364"/>
        <v>0.32162563678172795</v>
      </c>
      <c r="K1369">
        <f t="shared" si="365"/>
        <v>-1.9917277933161315</v>
      </c>
      <c r="O1369">
        <f t="shared" si="366"/>
        <v>-0.12916565225277657</v>
      </c>
      <c r="P1369">
        <f t="shared" si="367"/>
        <v>-0.28851567755232005</v>
      </c>
      <c r="Q1369">
        <f t="shared" si="368"/>
        <v>0.94872279306688978</v>
      </c>
      <c r="R1369">
        <f t="shared" si="369"/>
        <v>1</v>
      </c>
      <c r="AG1369" s="8">
        <f t="shared" si="359"/>
        <v>0.41438913201046707</v>
      </c>
      <c r="AH1369" s="8">
        <f t="shared" si="360"/>
        <v>-0.21709522537311471</v>
      </c>
      <c r="AI1369" s="8">
        <f t="shared" si="361"/>
        <v>0.8838276474470621</v>
      </c>
      <c r="AJ1369" s="8"/>
      <c r="AK1369" s="8"/>
      <c r="AL1369" s="8"/>
      <c r="AN1369" s="8">
        <f t="shared" si="370"/>
        <v>1</v>
      </c>
      <c r="AO1369" s="8">
        <f t="shared" si="371"/>
        <v>5.8006071549434726</v>
      </c>
      <c r="AP1369" s="8">
        <f t="shared" si="372"/>
        <v>0.48681430911466173</v>
      </c>
      <c r="AQ1369" s="8"/>
      <c r="AR1369" s="8">
        <f t="shared" si="373"/>
        <v>332.35030859164897</v>
      </c>
      <c r="AS1369" s="8">
        <f t="shared" si="374"/>
        <v>62.10759468115284</v>
      </c>
    </row>
    <row r="1370" spans="1:45">
      <c r="A1370" s="21">
        <v>54.320933330000003</v>
      </c>
      <c r="B1370" s="21">
        <v>1164.745776</v>
      </c>
      <c r="C1370" s="21">
        <v>-996.91160760000002</v>
      </c>
      <c r="E1370" s="9">
        <f t="shared" si="362"/>
        <v>-204.74577599999998</v>
      </c>
      <c r="F1370" s="9">
        <f t="shared" si="363"/>
        <v>-456.91160760000002</v>
      </c>
      <c r="I1370">
        <v>1</v>
      </c>
      <c r="J1370">
        <f t="shared" si="364"/>
        <v>0.3222801964999939</v>
      </c>
      <c r="K1370">
        <f t="shared" si="365"/>
        <v>-1.9920758041463773</v>
      </c>
      <c r="O1370">
        <f t="shared" si="366"/>
        <v>-0.12951996608460292</v>
      </c>
      <c r="P1370">
        <f t="shared" si="367"/>
        <v>-0.28903734707578743</v>
      </c>
      <c r="Q1370">
        <f t="shared" si="368"/>
        <v>0.94851567745653742</v>
      </c>
      <c r="R1370">
        <f t="shared" si="369"/>
        <v>1</v>
      </c>
      <c r="AG1370" s="8">
        <f t="shared" si="359"/>
        <v>0.41496466715221914</v>
      </c>
      <c r="AH1370" s="8">
        <f t="shared" si="360"/>
        <v>-0.21722817643949463</v>
      </c>
      <c r="AI1370" s="8">
        <f t="shared" si="361"/>
        <v>0.88352489742848772</v>
      </c>
      <c r="AJ1370" s="8"/>
      <c r="AK1370" s="8"/>
      <c r="AL1370" s="8"/>
      <c r="AN1370" s="8">
        <f t="shared" si="370"/>
        <v>1</v>
      </c>
      <c r="AO1370" s="8">
        <f t="shared" si="371"/>
        <v>5.8009259469832735</v>
      </c>
      <c r="AP1370" s="8">
        <f t="shared" si="372"/>
        <v>0.48746107481194922</v>
      </c>
      <c r="AQ1370" s="8"/>
      <c r="AR1370" s="8">
        <f t="shared" si="373"/>
        <v>332.3685740300719</v>
      </c>
      <c r="AS1370" s="8">
        <f t="shared" si="374"/>
        <v>62.070537736364429</v>
      </c>
    </row>
    <row r="1371" spans="1:45">
      <c r="A1371" s="21">
        <v>54.354300000000002</v>
      </c>
      <c r="B1371" s="21">
        <v>1165.182329</v>
      </c>
      <c r="C1371" s="21">
        <v>-997.72061269999995</v>
      </c>
      <c r="E1371" s="9">
        <f t="shared" si="362"/>
        <v>-205.18232899999998</v>
      </c>
      <c r="F1371" s="9">
        <f t="shared" si="363"/>
        <v>-457.72061269999995</v>
      </c>
      <c r="I1371">
        <v>1</v>
      </c>
      <c r="J1371">
        <f t="shared" si="364"/>
        <v>0.32283679591540859</v>
      </c>
      <c r="K1371">
        <f t="shared" si="365"/>
        <v>-1.9922104886574385</v>
      </c>
      <c r="O1371">
        <f t="shared" si="366"/>
        <v>-0.12977482956531056</v>
      </c>
      <c r="P1371">
        <f t="shared" si="367"/>
        <v>-0.28950160957414633</v>
      </c>
      <c r="Q1371">
        <f t="shared" si="368"/>
        <v>0.94833923870378423</v>
      </c>
      <c r="R1371">
        <f t="shared" si="369"/>
        <v>1</v>
      </c>
      <c r="AG1371" s="8">
        <f t="shared" si="359"/>
        <v>0.41546044221602813</v>
      </c>
      <c r="AH1371" s="8">
        <f t="shared" si="360"/>
        <v>-0.21729159244946636</v>
      </c>
      <c r="AI1371" s="8">
        <f t="shared" si="361"/>
        <v>0.88327627886434101</v>
      </c>
      <c r="AJ1371" s="8"/>
      <c r="AK1371" s="8"/>
      <c r="AL1371" s="8"/>
      <c r="AN1371" s="8">
        <f t="shared" si="370"/>
        <v>0.99999999999999978</v>
      </c>
      <c r="AO1371" s="8">
        <f t="shared" si="371"/>
        <v>5.8012965284839941</v>
      </c>
      <c r="AP1371" s="8">
        <f t="shared" si="372"/>
        <v>0.48799160986386769</v>
      </c>
      <c r="AQ1371" s="8"/>
      <c r="AR1371" s="8">
        <f t="shared" si="373"/>
        <v>332.38980678602883</v>
      </c>
      <c r="AS1371" s="8">
        <f t="shared" si="374"/>
        <v>62.040140317005751</v>
      </c>
    </row>
    <row r="1372" spans="1:45">
      <c r="A1372" s="21">
        <v>54.387666670000002</v>
      </c>
      <c r="B1372" s="21">
        <v>1165.732945</v>
      </c>
      <c r="C1372" s="21">
        <v>-998.53070000000002</v>
      </c>
      <c r="E1372" s="9">
        <f t="shared" si="362"/>
        <v>-205.73294499999997</v>
      </c>
      <c r="F1372" s="9">
        <f t="shared" si="363"/>
        <v>-458.53070000000002</v>
      </c>
      <c r="I1372">
        <v>1</v>
      </c>
      <c r="J1372">
        <f t="shared" si="364"/>
        <v>0.32342213134643238</v>
      </c>
      <c r="K1372">
        <f t="shared" si="365"/>
        <v>-1.9925508913149534</v>
      </c>
      <c r="O1372">
        <f t="shared" si="366"/>
        <v>-0.13010058228066812</v>
      </c>
      <c r="P1372">
        <f t="shared" si="367"/>
        <v>-0.28996382209743998</v>
      </c>
      <c r="Q1372">
        <f t="shared" si="368"/>
        <v>0.94815337386146303</v>
      </c>
      <c r="R1372">
        <f t="shared" si="369"/>
        <v>1</v>
      </c>
      <c r="AG1372" s="8">
        <f t="shared" si="359"/>
        <v>0.41597350457455429</v>
      </c>
      <c r="AH1372" s="8">
        <f t="shared" si="360"/>
        <v>-0.21741996833027299</v>
      </c>
      <c r="AI1372" s="8">
        <f t="shared" si="361"/>
        <v>0.88300317149103513</v>
      </c>
      <c r="AJ1372" s="8"/>
      <c r="AK1372" s="8"/>
      <c r="AL1372" s="8"/>
      <c r="AN1372" s="8">
        <f t="shared" si="370"/>
        <v>1</v>
      </c>
      <c r="AO1372" s="8">
        <f t="shared" si="371"/>
        <v>5.8015607653312804</v>
      </c>
      <c r="AP1372" s="8">
        <f t="shared" si="372"/>
        <v>0.48857379186222971</v>
      </c>
      <c r="AQ1372" s="8"/>
      <c r="AR1372" s="8">
        <f t="shared" si="373"/>
        <v>332.40494644217017</v>
      </c>
      <c r="AS1372" s="8">
        <f t="shared" si="374"/>
        <v>62.006783745591108</v>
      </c>
    </row>
    <row r="1373" spans="1:45">
      <c r="A1373" s="21">
        <v>54.42103333</v>
      </c>
      <c r="B1373" s="21">
        <v>1165.8591300000001</v>
      </c>
      <c r="C1373" s="21">
        <v>-999.07096019999994</v>
      </c>
      <c r="E1373" s="9">
        <f t="shared" si="362"/>
        <v>-205.85913000000005</v>
      </c>
      <c r="F1373" s="9">
        <f t="shared" si="363"/>
        <v>-459.07096019999994</v>
      </c>
      <c r="I1373">
        <v>1</v>
      </c>
      <c r="J1373">
        <f t="shared" si="364"/>
        <v>0.32375254254096314</v>
      </c>
      <c r="K1373">
        <f t="shared" si="365"/>
        <v>-1.9923401355441623</v>
      </c>
      <c r="O1373">
        <f t="shared" si="366"/>
        <v>-0.13016764559496471</v>
      </c>
      <c r="P1373">
        <f t="shared" si="367"/>
        <v>-0.29027707466874919</v>
      </c>
      <c r="Q1373">
        <f t="shared" si="368"/>
        <v>0.94804831309486393</v>
      </c>
      <c r="R1373">
        <f t="shared" si="369"/>
        <v>1</v>
      </c>
      <c r="AG1373" s="8">
        <f t="shared" si="359"/>
        <v>0.41627955401561878</v>
      </c>
      <c r="AH1373" s="8">
        <f t="shared" si="360"/>
        <v>-0.21736755454503182</v>
      </c>
      <c r="AI1373" s="8">
        <f t="shared" si="361"/>
        <v>0.88287183619122778</v>
      </c>
      <c r="AJ1373" s="8"/>
      <c r="AK1373" s="8"/>
      <c r="AL1373" s="8"/>
      <c r="AN1373" s="8">
        <f t="shared" si="370"/>
        <v>1</v>
      </c>
      <c r="AO1373" s="8">
        <f t="shared" si="371"/>
        <v>5.8019615614261308</v>
      </c>
      <c r="AP1373" s="8">
        <f t="shared" si="372"/>
        <v>0.48885353190901526</v>
      </c>
      <c r="AQ1373" s="8"/>
      <c r="AR1373" s="8">
        <f t="shared" si="373"/>
        <v>332.42791036685043</v>
      </c>
      <c r="AS1373" s="8">
        <f t="shared" si="374"/>
        <v>61.990755821549513</v>
      </c>
    </row>
    <row r="1374" spans="1:45">
      <c r="A1374" s="21">
        <v>54.4544</v>
      </c>
      <c r="B1374" s="21">
        <v>1166.16948</v>
      </c>
      <c r="C1374" s="21">
        <v>-999.89103350000005</v>
      </c>
      <c r="E1374" s="9">
        <f t="shared" si="362"/>
        <v>-206.16948000000002</v>
      </c>
      <c r="F1374" s="9">
        <f t="shared" si="363"/>
        <v>-459.89103350000005</v>
      </c>
      <c r="I1374">
        <v>1</v>
      </c>
      <c r="J1374">
        <f t="shared" si="364"/>
        <v>0.32428344369443945</v>
      </c>
      <c r="K1374">
        <f t="shared" si="365"/>
        <v>-1.9922362294188347</v>
      </c>
      <c r="O1374">
        <f t="shared" si="366"/>
        <v>-0.13034336047605335</v>
      </c>
      <c r="P1374">
        <f t="shared" si="367"/>
        <v>-0.29074983726590015</v>
      </c>
      <c r="Q1374">
        <f t="shared" si="368"/>
        <v>0.94787928583214764</v>
      </c>
      <c r="R1374">
        <f t="shared" si="369"/>
        <v>1</v>
      </c>
      <c r="AG1374" s="8">
        <f t="shared" si="359"/>
        <v>0.41676160450487498</v>
      </c>
      <c r="AH1374" s="8">
        <f t="shared" si="360"/>
        <v>-0.21735596232730359</v>
      </c>
      <c r="AI1374" s="8">
        <f t="shared" si="361"/>
        <v>0.8826472402105463</v>
      </c>
      <c r="AJ1374" s="8"/>
      <c r="AK1374" s="8"/>
      <c r="AL1374" s="8"/>
      <c r="AN1374" s="8">
        <f t="shared" si="370"/>
        <v>0.99999999999999989</v>
      </c>
      <c r="AO1374" s="8">
        <f t="shared" si="371"/>
        <v>5.8024581183718942</v>
      </c>
      <c r="AP1374" s="8">
        <f t="shared" si="372"/>
        <v>0.48933157367209179</v>
      </c>
      <c r="AQ1374" s="8"/>
      <c r="AR1374" s="8">
        <f t="shared" si="373"/>
        <v>332.45636098413058</v>
      </c>
      <c r="AS1374" s="8">
        <f t="shared" si="374"/>
        <v>61.963366046094229</v>
      </c>
    </row>
    <row r="1375" spans="1:45">
      <c r="A1375" s="21">
        <v>54.487766669999999</v>
      </c>
      <c r="B1375" s="21">
        <v>1167.1209080000001</v>
      </c>
      <c r="C1375" s="21">
        <v>-1001.130271</v>
      </c>
      <c r="E1375" s="9">
        <f t="shared" si="362"/>
        <v>-207.1209080000001</v>
      </c>
      <c r="F1375" s="9">
        <f t="shared" si="363"/>
        <v>-461.13027099999999</v>
      </c>
      <c r="I1375">
        <v>1</v>
      </c>
      <c r="J1375">
        <f t="shared" si="364"/>
        <v>0.32520506966951579</v>
      </c>
      <c r="K1375">
        <f t="shared" si="365"/>
        <v>-1.992950830898067</v>
      </c>
      <c r="O1375">
        <f t="shared" si="366"/>
        <v>-0.13090897521604858</v>
      </c>
      <c r="P1375">
        <f t="shared" si="367"/>
        <v>-0.29145339213030474</v>
      </c>
      <c r="Q1375">
        <f t="shared" si="368"/>
        <v>0.94758522594203776</v>
      </c>
      <c r="R1375">
        <f t="shared" si="369"/>
        <v>1</v>
      </c>
      <c r="AG1375" s="8">
        <f t="shared" si="359"/>
        <v>0.41756129363631206</v>
      </c>
      <c r="AH1375" s="8">
        <f t="shared" si="360"/>
        <v>-0.21761433319337409</v>
      </c>
      <c r="AI1375" s="8">
        <f t="shared" si="361"/>
        <v>0.88220551349760479</v>
      </c>
      <c r="AJ1375" s="8"/>
      <c r="AK1375" s="8"/>
      <c r="AL1375" s="8"/>
      <c r="AN1375" s="8">
        <f t="shared" si="370"/>
        <v>0.99999999999999978</v>
      </c>
      <c r="AO1375" s="8">
        <f t="shared" si="371"/>
        <v>5.8027569488420045</v>
      </c>
      <c r="AP1375" s="8">
        <f t="shared" si="372"/>
        <v>0.49027051811786615</v>
      </c>
      <c r="AQ1375" s="8"/>
      <c r="AR1375" s="8">
        <f t="shared" si="373"/>
        <v>332.47348270885783</v>
      </c>
      <c r="AS1375" s="8">
        <f t="shared" si="374"/>
        <v>61.909568492154108</v>
      </c>
    </row>
    <row r="1376" spans="1:45">
      <c r="A1376" s="21">
        <v>54.521133329999998</v>
      </c>
      <c r="B1376" s="21">
        <v>1167.0395189999999</v>
      </c>
      <c r="C1376" s="21">
        <v>-1001.434922</v>
      </c>
      <c r="E1376" s="9">
        <f t="shared" si="362"/>
        <v>-207.03951899999993</v>
      </c>
      <c r="F1376" s="9">
        <f t="shared" si="363"/>
        <v>-461.43492200000003</v>
      </c>
      <c r="I1376">
        <v>1</v>
      </c>
      <c r="J1376">
        <f t="shared" si="364"/>
        <v>0.32535331298582509</v>
      </c>
      <c r="K1376">
        <f t="shared" si="365"/>
        <v>-1.9925572260591891</v>
      </c>
      <c r="O1376">
        <f t="shared" si="366"/>
        <v>-0.13085175135364821</v>
      </c>
      <c r="P1376">
        <f t="shared" si="367"/>
        <v>-0.29163305619655205</v>
      </c>
      <c r="Q1376">
        <f t="shared" si="368"/>
        <v>0.94753785132898083</v>
      </c>
      <c r="R1376">
        <f t="shared" si="369"/>
        <v>1</v>
      </c>
      <c r="AG1376" s="8">
        <f t="shared" ref="AG1376:AG1439" si="375">$O1376*$Z$27+$P1376*$Z$31+$Q1376*$Z$35</f>
        <v>0.41771087420063047</v>
      </c>
      <c r="AH1376" s="8">
        <f t="shared" ref="AH1376:AH1439" si="376">$O1376*$AA$27+$P1376*$AA$31+$Q1376*$AA$35</f>
        <v>-0.21749745450593258</v>
      </c>
      <c r="AI1376" s="8">
        <f t="shared" ref="AI1376:AI1439" si="377">$AB$27*$O1376+$P1376*$AB$31+$AB$35*$Q1376</f>
        <v>0.88216352387637575</v>
      </c>
      <c r="AJ1376" s="8"/>
      <c r="AK1376" s="8"/>
      <c r="AL1376" s="8"/>
      <c r="AN1376" s="8">
        <f t="shared" si="370"/>
        <v>1</v>
      </c>
      <c r="AO1376" s="8">
        <f t="shared" si="371"/>
        <v>5.8031238246911556</v>
      </c>
      <c r="AP1376" s="8">
        <f t="shared" si="372"/>
        <v>0.49035968625206805</v>
      </c>
      <c r="AQ1376" s="8"/>
      <c r="AR1376" s="8">
        <f t="shared" si="373"/>
        <v>332.49450314661942</v>
      </c>
      <c r="AS1376" s="8">
        <f t="shared" si="374"/>
        <v>61.904459534397283</v>
      </c>
    </row>
    <row r="1377" spans="1:45">
      <c r="A1377" s="21">
        <v>54.554499999999997</v>
      </c>
      <c r="B1377" s="21">
        <v>1167.7289069999999</v>
      </c>
      <c r="C1377" s="21">
        <v>-1002.317777</v>
      </c>
      <c r="E1377" s="9">
        <f t="shared" ref="E1377:E1440" si="378">-(B1377-($B$15/2))</f>
        <v>-207.72890699999994</v>
      </c>
      <c r="F1377" s="9">
        <f t="shared" ref="F1377:F1440" si="379">(($C$15/2)+C1377)</f>
        <v>-462.31777699999998</v>
      </c>
      <c r="I1377">
        <v>1</v>
      </c>
      <c r="J1377">
        <f t="shared" si="364"/>
        <v>0.3260124123836986</v>
      </c>
      <c r="K1377">
        <f t="shared" si="365"/>
        <v>-1.9930851305844233</v>
      </c>
      <c r="O1377">
        <f t="shared" si="366"/>
        <v>-0.13126161877939824</v>
      </c>
      <c r="P1377">
        <f t="shared" si="367"/>
        <v>-0.29213353440266698</v>
      </c>
      <c r="Q1377">
        <f t="shared" si="368"/>
        <v>0.9473269686400877</v>
      </c>
      <c r="R1377">
        <f t="shared" si="369"/>
        <v>1</v>
      </c>
      <c r="AG1377" s="8">
        <f t="shared" si="375"/>
        <v>0.41828170129078746</v>
      </c>
      <c r="AH1377" s="8">
        <f t="shared" si="376"/>
        <v>-0.21768793193328528</v>
      </c>
      <c r="AI1377" s="8">
        <f t="shared" si="377"/>
        <v>0.88184600847080652</v>
      </c>
      <c r="AJ1377" s="8"/>
      <c r="AK1377" s="8"/>
      <c r="AL1377" s="8"/>
      <c r="AN1377" s="8">
        <f t="shared" si="370"/>
        <v>1</v>
      </c>
      <c r="AO1377" s="8">
        <f t="shared" si="371"/>
        <v>5.8033246148501467</v>
      </c>
      <c r="AP1377" s="8">
        <f t="shared" si="372"/>
        <v>0.49103347275050435</v>
      </c>
      <c r="AQ1377" s="8"/>
      <c r="AR1377" s="8">
        <f t="shared" si="373"/>
        <v>332.50600757529742</v>
      </c>
      <c r="AS1377" s="8">
        <f t="shared" si="374"/>
        <v>61.865854411743982</v>
      </c>
    </row>
    <row r="1378" spans="1:45">
      <c r="A1378" s="21">
        <v>54.587866669999997</v>
      </c>
      <c r="B1378" s="21">
        <v>1167.871075</v>
      </c>
      <c r="C1378" s="21">
        <v>-1003.052003</v>
      </c>
      <c r="E1378" s="9">
        <f t="shared" si="378"/>
        <v>-207.87107500000002</v>
      </c>
      <c r="F1378" s="9">
        <f t="shared" si="379"/>
        <v>-463.05200300000001</v>
      </c>
      <c r="I1378">
        <v>1</v>
      </c>
      <c r="J1378">
        <f t="shared" si="364"/>
        <v>0.32645337856677398</v>
      </c>
      <c r="K1378">
        <f t="shared" si="365"/>
        <v>-1.9927477526752737</v>
      </c>
      <c r="O1378">
        <f t="shared" si="366"/>
        <v>-0.13133412067349176</v>
      </c>
      <c r="P1378">
        <f t="shared" si="367"/>
        <v>-0.29255887400449571</v>
      </c>
      <c r="Q1378">
        <f t="shared" si="368"/>
        <v>0.947185649167122</v>
      </c>
      <c r="R1378">
        <f t="shared" si="369"/>
        <v>1</v>
      </c>
      <c r="AG1378" s="8">
        <f t="shared" si="375"/>
        <v>0.41869210100447196</v>
      </c>
      <c r="AH1378" s="8">
        <f t="shared" si="376"/>
        <v>-0.21759970064479656</v>
      </c>
      <c r="AI1378" s="8">
        <f t="shared" si="377"/>
        <v>0.88167300902077972</v>
      </c>
      <c r="AJ1378" s="8"/>
      <c r="AK1378" s="8"/>
      <c r="AL1378" s="8"/>
      <c r="AN1378" s="8">
        <f t="shared" si="370"/>
        <v>1</v>
      </c>
      <c r="AO1378" s="8">
        <f t="shared" si="371"/>
        <v>5.8038920060561834</v>
      </c>
      <c r="AP1378" s="8">
        <f t="shared" si="372"/>
        <v>0.49140023073558159</v>
      </c>
      <c r="AQ1378" s="8"/>
      <c r="AR1378" s="8">
        <f t="shared" si="373"/>
        <v>332.53851669673611</v>
      </c>
      <c r="AS1378" s="8">
        <f t="shared" si="374"/>
        <v>61.84484072709634</v>
      </c>
    </row>
    <row r="1379" spans="1:45">
      <c r="A1379" s="21">
        <v>54.621233330000003</v>
      </c>
      <c r="B1379" s="21">
        <v>1168.7139259999999</v>
      </c>
      <c r="C1379" s="21">
        <v>-1003.884175</v>
      </c>
      <c r="E1379" s="9">
        <f t="shared" si="378"/>
        <v>-208.7139259999999</v>
      </c>
      <c r="F1379" s="9">
        <f t="shared" si="379"/>
        <v>-463.88417500000003</v>
      </c>
      <c r="I1379">
        <v>1</v>
      </c>
      <c r="J1379">
        <f t="shared" si="364"/>
        <v>0.32712216924654863</v>
      </c>
      <c r="K1379">
        <f t="shared" si="365"/>
        <v>-1.9935893844826411</v>
      </c>
      <c r="O1379">
        <f t="shared" si="366"/>
        <v>-0.13184018964955913</v>
      </c>
      <c r="P1379">
        <f t="shared" si="367"/>
        <v>-0.29302585974751549</v>
      </c>
      <c r="Q1379">
        <f t="shared" si="368"/>
        <v>0.94697096571774453</v>
      </c>
      <c r="R1379">
        <f t="shared" si="369"/>
        <v>1</v>
      </c>
      <c r="AG1379" s="8">
        <f t="shared" si="375"/>
        <v>0.41925812110106708</v>
      </c>
      <c r="AH1379" s="8">
        <f t="shared" si="376"/>
        <v>-0.21788935476902599</v>
      </c>
      <c r="AI1379" s="8">
        <f t="shared" si="377"/>
        <v>0.88133243272282935</v>
      </c>
      <c r="AJ1379" s="8"/>
      <c r="AK1379" s="8"/>
      <c r="AL1379" s="8"/>
      <c r="AN1379" s="8">
        <f t="shared" si="370"/>
        <v>1</v>
      </c>
      <c r="AO1379" s="8">
        <f t="shared" si="371"/>
        <v>5.8039004827848961</v>
      </c>
      <c r="AP1379" s="8">
        <f t="shared" si="372"/>
        <v>0.49212151741815746</v>
      </c>
      <c r="AQ1379" s="8"/>
      <c r="AR1379" s="8">
        <f t="shared" si="373"/>
        <v>332.53900237751543</v>
      </c>
      <c r="AS1379" s="8">
        <f t="shared" si="374"/>
        <v>61.803514044365748</v>
      </c>
    </row>
    <row r="1380" spans="1:45">
      <c r="A1380" s="21">
        <v>54.654600000000002</v>
      </c>
      <c r="B1380" s="21">
        <v>1169.4587899999999</v>
      </c>
      <c r="C1380" s="21">
        <v>-1004.7765439999999</v>
      </c>
      <c r="E1380" s="9">
        <f t="shared" si="378"/>
        <v>-209.45878999999991</v>
      </c>
      <c r="F1380" s="9">
        <f t="shared" si="379"/>
        <v>-464.77654399999994</v>
      </c>
      <c r="I1380">
        <v>1</v>
      </c>
      <c r="J1380">
        <f t="shared" si="364"/>
        <v>0.32779973070708812</v>
      </c>
      <c r="K1380">
        <f t="shared" si="365"/>
        <v>-1.9942036105448335</v>
      </c>
      <c r="O1380">
        <f t="shared" si="366"/>
        <v>-0.13228374501311579</v>
      </c>
      <c r="P1380">
        <f t="shared" si="367"/>
        <v>-0.29352972885297979</v>
      </c>
      <c r="Q1380">
        <f t="shared" si="368"/>
        <v>0.94675303489600771</v>
      </c>
      <c r="R1380">
        <f t="shared" si="369"/>
        <v>1</v>
      </c>
      <c r="AG1380" s="8">
        <f t="shared" si="375"/>
        <v>0.41984104142206125</v>
      </c>
      <c r="AH1380" s="8">
        <f t="shared" si="376"/>
        <v>-0.21810888584767532</v>
      </c>
      <c r="AI1380" s="8">
        <f t="shared" si="377"/>
        <v>0.88100057539818033</v>
      </c>
      <c r="AJ1380" s="8"/>
      <c r="AK1380" s="8"/>
      <c r="AL1380" s="8"/>
      <c r="AN1380" s="8">
        <f t="shared" si="370"/>
        <v>1</v>
      </c>
      <c r="AO1380" s="8">
        <f t="shared" si="371"/>
        <v>5.8040569250529117</v>
      </c>
      <c r="AP1380" s="8">
        <f t="shared" si="372"/>
        <v>0.49282340644703271</v>
      </c>
      <c r="AQ1380" s="8"/>
      <c r="AR1380" s="8">
        <f t="shared" si="373"/>
        <v>332.54796585921019</v>
      </c>
      <c r="AS1380" s="8">
        <f t="shared" si="374"/>
        <v>61.763298765324663</v>
      </c>
    </row>
    <row r="1381" spans="1:45">
      <c r="A1381" s="21">
        <v>54.687966670000002</v>
      </c>
      <c r="B1381" s="21">
        <v>1169.8267949999999</v>
      </c>
      <c r="C1381" s="21">
        <v>-1005.574438</v>
      </c>
      <c r="E1381" s="9">
        <f t="shared" si="378"/>
        <v>-209.82679499999995</v>
      </c>
      <c r="F1381" s="9">
        <f t="shared" si="379"/>
        <v>-465.57443799999999</v>
      </c>
      <c r="I1381">
        <v>1</v>
      </c>
      <c r="J1381">
        <f t="shared" si="364"/>
        <v>0.32833130102646518</v>
      </c>
      <c r="K1381">
        <f t="shared" si="365"/>
        <v>-1.9942186455305375</v>
      </c>
      <c r="O1381">
        <f t="shared" si="366"/>
        <v>-0.13249492285069639</v>
      </c>
      <c r="P1381">
        <f t="shared" si="367"/>
        <v>-0.2939865199011707</v>
      </c>
      <c r="Q1381">
        <f t="shared" si="368"/>
        <v>0.94658175639254039</v>
      </c>
      <c r="R1381">
        <f t="shared" si="369"/>
        <v>1</v>
      </c>
      <c r="AG1381" s="8">
        <f t="shared" si="375"/>
        <v>0.42031777612505355</v>
      </c>
      <c r="AH1381" s="8">
        <f t="shared" si="376"/>
        <v>-0.21813478418628277</v>
      </c>
      <c r="AI1381" s="8">
        <f t="shared" si="377"/>
        <v>0.88076681533836942</v>
      </c>
      <c r="AJ1381" s="8"/>
      <c r="AK1381" s="8"/>
      <c r="AL1381" s="8"/>
      <c r="AN1381" s="8">
        <f t="shared" si="370"/>
        <v>1.0000000000000002</v>
      </c>
      <c r="AO1381" s="8">
        <f t="shared" si="371"/>
        <v>5.8044724995488615</v>
      </c>
      <c r="AP1381" s="8">
        <f t="shared" si="372"/>
        <v>0.49331726636875683</v>
      </c>
      <c r="AQ1381" s="8"/>
      <c r="AR1381" s="8">
        <f t="shared" si="373"/>
        <v>332.57177652390141</v>
      </c>
      <c r="AS1381" s="8">
        <f t="shared" si="374"/>
        <v>61.735002676139203</v>
      </c>
    </row>
    <row r="1382" spans="1:45">
      <c r="A1382" s="21">
        <v>54.72133333</v>
      </c>
      <c r="B1382" s="21">
        <v>1170.06945</v>
      </c>
      <c r="C1382" s="21">
        <v>-1006.102136</v>
      </c>
      <c r="E1382" s="9">
        <f t="shared" si="378"/>
        <v>-210.06944999999996</v>
      </c>
      <c r="F1382" s="9">
        <f t="shared" si="379"/>
        <v>-466.10213599999997</v>
      </c>
      <c r="I1382">
        <v>1</v>
      </c>
      <c r="J1382">
        <f t="shared" si="364"/>
        <v>0.32868258118585547</v>
      </c>
      <c r="K1382">
        <f t="shared" si="365"/>
        <v>-1.9942272588121372</v>
      </c>
      <c r="O1382">
        <f t="shared" si="366"/>
        <v>-0.13263407436911992</v>
      </c>
      <c r="P1382">
        <f t="shared" si="367"/>
        <v>-0.2942885096801543</v>
      </c>
      <c r="Q1382">
        <f t="shared" si="368"/>
        <v>0.94646842281529941</v>
      </c>
      <c r="R1382">
        <f t="shared" si="369"/>
        <v>1</v>
      </c>
      <c r="AG1382" s="8">
        <f t="shared" si="375"/>
        <v>0.42063280848601581</v>
      </c>
      <c r="AH1382" s="8">
        <f t="shared" si="376"/>
        <v>-0.21815145675011108</v>
      </c>
      <c r="AI1382" s="8">
        <f t="shared" si="377"/>
        <v>0.88061227696584554</v>
      </c>
      <c r="AJ1382" s="8"/>
      <c r="AK1382" s="8"/>
      <c r="AL1382" s="8"/>
      <c r="AN1382" s="8">
        <f t="shared" si="370"/>
        <v>0.99999999999999989</v>
      </c>
      <c r="AO1382" s="8">
        <f t="shared" si="371"/>
        <v>5.804747524621666</v>
      </c>
      <c r="AP1382" s="8">
        <f t="shared" si="372"/>
        <v>0.49364350737807783</v>
      </c>
      <c r="AQ1382" s="8"/>
      <c r="AR1382" s="8">
        <f t="shared" si="373"/>
        <v>332.58753429983335</v>
      </c>
      <c r="AS1382" s="8">
        <f t="shared" si="374"/>
        <v>61.716310443201024</v>
      </c>
    </row>
    <row r="1383" spans="1:45">
      <c r="A1383" s="21">
        <v>54.7547</v>
      </c>
      <c r="B1383" s="21">
        <v>1170.6481960000001</v>
      </c>
      <c r="C1383" s="21">
        <v>-1006.846797</v>
      </c>
      <c r="E1383" s="9">
        <f t="shared" si="378"/>
        <v>-210.6481960000001</v>
      </c>
      <c r="F1383" s="9">
        <f t="shared" si="379"/>
        <v>-466.84679700000004</v>
      </c>
      <c r="I1383">
        <v>1</v>
      </c>
      <c r="J1383">
        <f t="shared" si="364"/>
        <v>0.32923688780778571</v>
      </c>
      <c r="K1383">
        <f t="shared" si="365"/>
        <v>-1.9946600433396044</v>
      </c>
      <c r="O1383">
        <f t="shared" si="366"/>
        <v>-0.13297717919423702</v>
      </c>
      <c r="P1383">
        <f t="shared" si="367"/>
        <v>-0.2947092420431866</v>
      </c>
      <c r="Q1383">
        <f t="shared" si="368"/>
        <v>0.94628934923091801</v>
      </c>
      <c r="R1383">
        <f t="shared" si="369"/>
        <v>1</v>
      </c>
      <c r="AG1383" s="8">
        <f t="shared" si="375"/>
        <v>0.42111207046944743</v>
      </c>
      <c r="AH1383" s="8">
        <f t="shared" si="376"/>
        <v>-0.21830987876553215</v>
      </c>
      <c r="AI1383" s="8">
        <f t="shared" si="377"/>
        <v>0.88034392196363453</v>
      </c>
      <c r="AJ1383" s="8"/>
      <c r="AK1383" s="8"/>
      <c r="AL1383" s="8"/>
      <c r="AN1383" s="8">
        <f t="shared" si="370"/>
        <v>1</v>
      </c>
      <c r="AO1383" s="8">
        <f t="shared" si="371"/>
        <v>5.804916213493156</v>
      </c>
      <c r="AP1383" s="8">
        <f t="shared" si="372"/>
        <v>0.49420955357357621</v>
      </c>
      <c r="AQ1383" s="8"/>
      <c r="AR1383" s="8">
        <f t="shared" si="373"/>
        <v>332.59719946022057</v>
      </c>
      <c r="AS1383" s="8">
        <f t="shared" si="374"/>
        <v>61.68387838518953</v>
      </c>
    </row>
    <row r="1384" spans="1:45">
      <c r="A1384" s="21">
        <v>54.788066669999999</v>
      </c>
      <c r="B1384" s="21">
        <v>1170.869373</v>
      </c>
      <c r="C1384" s="21">
        <v>-1007.5479340000001</v>
      </c>
      <c r="E1384" s="9">
        <f t="shared" si="378"/>
        <v>-210.869373</v>
      </c>
      <c r="F1384" s="9">
        <f t="shared" si="379"/>
        <v>-467.54793400000005</v>
      </c>
      <c r="I1384">
        <v>1</v>
      </c>
      <c r="J1384">
        <f t="shared" si="364"/>
        <v>0.32967817741823136</v>
      </c>
      <c r="K1384">
        <f t="shared" si="365"/>
        <v>-1.9944908817977782</v>
      </c>
      <c r="O1384">
        <f t="shared" si="366"/>
        <v>-0.13309899415517684</v>
      </c>
      <c r="P1384">
        <f t="shared" si="367"/>
        <v>-0.29511236671970859</v>
      </c>
      <c r="Q1384">
        <f t="shared" si="368"/>
        <v>0.94614657889989351</v>
      </c>
      <c r="R1384">
        <f t="shared" si="369"/>
        <v>1</v>
      </c>
      <c r="AG1384" s="8">
        <f t="shared" si="375"/>
        <v>0.42151525484770752</v>
      </c>
      <c r="AH1384" s="8">
        <f t="shared" si="376"/>
        <v>-0.21827410700020544</v>
      </c>
      <c r="AI1384" s="8">
        <f t="shared" si="377"/>
        <v>0.88015981738769178</v>
      </c>
      <c r="AJ1384" s="8"/>
      <c r="AK1384" s="8"/>
      <c r="AL1384" s="8"/>
      <c r="AN1384" s="8">
        <f t="shared" si="370"/>
        <v>1</v>
      </c>
      <c r="AO1384" s="8">
        <f t="shared" si="371"/>
        <v>5.8053740418137645</v>
      </c>
      <c r="AP1384" s="8">
        <f t="shared" si="372"/>
        <v>0.4945975450890856</v>
      </c>
      <c r="AQ1384" s="8"/>
      <c r="AR1384" s="8">
        <f t="shared" si="373"/>
        <v>332.62343109073299</v>
      </c>
      <c r="AS1384" s="8">
        <f t="shared" si="374"/>
        <v>61.661648108863957</v>
      </c>
    </row>
    <row r="1385" spans="1:45">
      <c r="A1385" s="21">
        <v>54.821433329999998</v>
      </c>
      <c r="B1385" s="21">
        <v>1171.810688</v>
      </c>
      <c r="C1385" s="21">
        <v>-1008.785114</v>
      </c>
      <c r="E1385" s="9">
        <f t="shared" si="378"/>
        <v>-211.81068800000003</v>
      </c>
      <c r="F1385" s="9">
        <f t="shared" si="379"/>
        <v>-468.78511400000002</v>
      </c>
      <c r="I1385">
        <v>1</v>
      </c>
      <c r="J1385">
        <f t="shared" si="364"/>
        <v>0.33059346495499509</v>
      </c>
      <c r="K1385">
        <f t="shared" si="365"/>
        <v>-1.9951701716583641</v>
      </c>
      <c r="O1385">
        <f t="shared" si="366"/>
        <v>-0.133655948523909</v>
      </c>
      <c r="P1385">
        <f t="shared" si="367"/>
        <v>-0.29581094163463001</v>
      </c>
      <c r="Q1385">
        <f t="shared" si="368"/>
        <v>0.94584986876005206</v>
      </c>
      <c r="R1385">
        <f t="shared" si="369"/>
        <v>1</v>
      </c>
      <c r="AG1385" s="8">
        <f t="shared" si="375"/>
        <v>0.42230744012166205</v>
      </c>
      <c r="AH1385" s="8">
        <f t="shared" si="376"/>
        <v>-0.2185253862296728</v>
      </c>
      <c r="AI1385" s="8">
        <f t="shared" si="377"/>
        <v>0.87971761468727061</v>
      </c>
      <c r="AJ1385" s="8"/>
      <c r="AK1385" s="8"/>
      <c r="AL1385" s="8"/>
      <c r="AN1385" s="8">
        <f t="shared" si="370"/>
        <v>1</v>
      </c>
      <c r="AO1385" s="8">
        <f t="shared" si="371"/>
        <v>5.8056708663064391</v>
      </c>
      <c r="AP1385" s="8">
        <f t="shared" si="372"/>
        <v>0.49552832763263077</v>
      </c>
      <c r="AQ1385" s="8"/>
      <c r="AR1385" s="8">
        <f t="shared" si="373"/>
        <v>332.64043788141936</v>
      </c>
      <c r="AS1385" s="8">
        <f t="shared" si="374"/>
        <v>61.608318197474368</v>
      </c>
    </row>
    <row r="1386" spans="1:45">
      <c r="A1386" s="21">
        <v>54.854799999999997</v>
      </c>
      <c r="B1386" s="21">
        <v>1172.044987</v>
      </c>
      <c r="C1386" s="21">
        <v>-1009.288965</v>
      </c>
      <c r="E1386" s="9">
        <f t="shared" si="378"/>
        <v>-212.04498699999999</v>
      </c>
      <c r="F1386" s="9">
        <f t="shared" si="379"/>
        <v>-469.28896499999996</v>
      </c>
      <c r="I1386">
        <v>1</v>
      </c>
      <c r="J1386">
        <f t="shared" si="364"/>
        <v>0.33092903406830915</v>
      </c>
      <c r="K1386">
        <f t="shared" si="365"/>
        <v>-1.9951819298680786</v>
      </c>
      <c r="O1386">
        <f t="shared" si="366"/>
        <v>-0.13379011130120091</v>
      </c>
      <c r="P1386">
        <f t="shared" si="367"/>
        <v>-0.29609859562383989</v>
      </c>
      <c r="Q1386">
        <f t="shared" si="368"/>
        <v>0.94574088829213787</v>
      </c>
      <c r="R1386">
        <f t="shared" si="369"/>
        <v>1</v>
      </c>
      <c r="AG1386" s="8">
        <f t="shared" si="375"/>
        <v>0.42260786842972142</v>
      </c>
      <c r="AH1386" s="8">
        <f t="shared" si="376"/>
        <v>-0.21854257765029028</v>
      </c>
      <c r="AI1386" s="8">
        <f t="shared" si="377"/>
        <v>0.87956905999202473</v>
      </c>
      <c r="AJ1386" s="8"/>
      <c r="AK1386" s="8"/>
      <c r="AL1386" s="8"/>
      <c r="AN1386" s="8">
        <f t="shared" si="370"/>
        <v>1</v>
      </c>
      <c r="AO1386" s="8">
        <f t="shared" si="371"/>
        <v>5.8059289743324829</v>
      </c>
      <c r="AP1386" s="8">
        <f t="shared" si="372"/>
        <v>0.49584065756662343</v>
      </c>
      <c r="AQ1386" s="8"/>
      <c r="AR1386" s="8">
        <f t="shared" si="373"/>
        <v>332.65522638197012</v>
      </c>
      <c r="AS1386" s="8">
        <f t="shared" si="374"/>
        <v>61.590423010440986</v>
      </c>
    </row>
    <row r="1387" spans="1:45">
      <c r="A1387" s="21">
        <v>54.888166669999997</v>
      </c>
      <c r="B1387" s="21">
        <v>1172.0086670000001</v>
      </c>
      <c r="C1387" s="21">
        <v>-1009.921395</v>
      </c>
      <c r="E1387" s="9">
        <f t="shared" si="378"/>
        <v>-212.00866700000006</v>
      </c>
      <c r="F1387" s="9">
        <f t="shared" si="379"/>
        <v>-469.92139499999996</v>
      </c>
      <c r="I1387">
        <v>1</v>
      </c>
      <c r="J1387">
        <f t="shared" si="364"/>
        <v>0.33126804773564322</v>
      </c>
      <c r="K1387">
        <f t="shared" si="365"/>
        <v>-1.9946125998928863</v>
      </c>
      <c r="O1387">
        <f t="shared" si="366"/>
        <v>-0.13375335619760181</v>
      </c>
      <c r="P1387">
        <f t="shared" si="367"/>
        <v>-0.29646695401518147</v>
      </c>
      <c r="Q1387">
        <f t="shared" si="368"/>
        <v>0.9456306810181434</v>
      </c>
      <c r="R1387">
        <f t="shared" si="369"/>
        <v>1</v>
      </c>
      <c r="AG1387" s="8">
        <f t="shared" si="375"/>
        <v>0.42293615791306088</v>
      </c>
      <c r="AH1387" s="8">
        <f t="shared" si="376"/>
        <v>-0.21837561371713085</v>
      </c>
      <c r="AI1387" s="8">
        <f t="shared" si="377"/>
        <v>0.87945272622432902</v>
      </c>
      <c r="AJ1387" s="8"/>
      <c r="AK1387" s="8"/>
      <c r="AL1387" s="8"/>
      <c r="AN1387" s="8">
        <f t="shared" si="370"/>
        <v>0.99999999999999978</v>
      </c>
      <c r="AO1387" s="8">
        <f t="shared" si="371"/>
        <v>5.8065573641485928</v>
      </c>
      <c r="AP1387" s="8">
        <f t="shared" si="372"/>
        <v>0.49608511851360659</v>
      </c>
      <c r="AQ1387" s="8"/>
      <c r="AR1387" s="8">
        <f t="shared" si="373"/>
        <v>332.69123046632222</v>
      </c>
      <c r="AS1387" s="8">
        <f t="shared" si="374"/>
        <v>61.576416429923086</v>
      </c>
    </row>
    <row r="1388" spans="1:45">
      <c r="A1388" s="21">
        <v>54.921533330000003</v>
      </c>
      <c r="B1388" s="21">
        <v>1173.0347489999999</v>
      </c>
      <c r="C1388" s="21">
        <v>-1010.7361990000001</v>
      </c>
      <c r="E1388" s="9">
        <f t="shared" si="378"/>
        <v>-213.03474899999992</v>
      </c>
      <c r="F1388" s="9">
        <f t="shared" si="379"/>
        <v>-470.73619900000006</v>
      </c>
      <c r="I1388">
        <v>1</v>
      </c>
      <c r="J1388">
        <f t="shared" si="364"/>
        <v>0.3319712685339557</v>
      </c>
      <c r="K1388">
        <f t="shared" si="365"/>
        <v>-1.9957742447042326</v>
      </c>
      <c r="O1388">
        <f t="shared" si="366"/>
        <v>-0.134371796643456</v>
      </c>
      <c r="P1388">
        <f t="shared" si="367"/>
        <v>-0.29691714192946744</v>
      </c>
      <c r="Q1388">
        <f t="shared" si="368"/>
        <v>0.945401730004365</v>
      </c>
      <c r="R1388">
        <f t="shared" si="369"/>
        <v>1</v>
      </c>
      <c r="AG1388" s="8">
        <f t="shared" si="375"/>
        <v>0.42351675440100445</v>
      </c>
      <c r="AH1388" s="8">
        <f t="shared" si="376"/>
        <v>-0.21877246507096648</v>
      </c>
      <c r="AI1388" s="8">
        <f t="shared" si="377"/>
        <v>0.87907460847667085</v>
      </c>
      <c r="AJ1388" s="8"/>
      <c r="AK1388" s="8"/>
      <c r="AL1388" s="8"/>
      <c r="AN1388" s="8">
        <f t="shared" si="370"/>
        <v>1</v>
      </c>
      <c r="AO1388" s="8">
        <f t="shared" si="371"/>
        <v>5.8063764229631447</v>
      </c>
      <c r="AP1388" s="8">
        <f t="shared" si="372"/>
        <v>0.49687892444827186</v>
      </c>
      <c r="AQ1388" s="8"/>
      <c r="AR1388" s="8">
        <f t="shared" si="373"/>
        <v>332.68086330005599</v>
      </c>
      <c r="AS1388" s="8">
        <f t="shared" si="374"/>
        <v>61.530934700114329</v>
      </c>
    </row>
    <row r="1389" spans="1:45">
      <c r="A1389" s="21">
        <v>54.954900000000002</v>
      </c>
      <c r="B1389" s="21">
        <v>1173.0125</v>
      </c>
      <c r="C1389" s="21">
        <v>-1011.659097</v>
      </c>
      <c r="E1389" s="9">
        <f t="shared" si="378"/>
        <v>-213.01250000000005</v>
      </c>
      <c r="F1389" s="9">
        <f t="shared" si="379"/>
        <v>-471.65909699999997</v>
      </c>
      <c r="I1389">
        <v>1</v>
      </c>
      <c r="J1389">
        <f t="shared" si="364"/>
        <v>0.33247314319486193</v>
      </c>
      <c r="K1389">
        <f t="shared" si="365"/>
        <v>-1.9949998318115407</v>
      </c>
      <c r="O1389">
        <f t="shared" si="366"/>
        <v>-0.13433709380115055</v>
      </c>
      <c r="P1389">
        <f t="shared" si="367"/>
        <v>-0.29745349383653535</v>
      </c>
      <c r="Q1389">
        <f t="shared" si="368"/>
        <v>0.94523804633198039</v>
      </c>
      <c r="R1389">
        <f t="shared" si="369"/>
        <v>1</v>
      </c>
      <c r="AG1389" s="8">
        <f t="shared" si="375"/>
        <v>0.4239997925829645</v>
      </c>
      <c r="AH1389" s="8">
        <f t="shared" si="376"/>
        <v>-0.21854629405678352</v>
      </c>
      <c r="AI1389" s="8">
        <f t="shared" si="377"/>
        <v>0.87889799933988288</v>
      </c>
      <c r="AJ1389" s="8"/>
      <c r="AK1389" s="8"/>
      <c r="AL1389" s="8"/>
      <c r="AN1389" s="8">
        <f t="shared" si="370"/>
        <v>0.99999999999999978</v>
      </c>
      <c r="AO1389" s="8">
        <f t="shared" si="371"/>
        <v>5.8072624288614403</v>
      </c>
      <c r="AP1389" s="8">
        <f t="shared" si="372"/>
        <v>0.49724929301894871</v>
      </c>
      <c r="AQ1389" s="8"/>
      <c r="AR1389" s="8">
        <f t="shared" si="373"/>
        <v>332.73162769865201</v>
      </c>
      <c r="AS1389" s="8">
        <f t="shared" si="374"/>
        <v>61.509714144150252</v>
      </c>
    </row>
    <row r="1390" spans="1:45">
      <c r="A1390" s="21">
        <v>54.988266670000002</v>
      </c>
      <c r="B1390" s="21">
        <v>1173.825153</v>
      </c>
      <c r="C1390" s="21">
        <v>-1012.704128</v>
      </c>
      <c r="E1390" s="9">
        <f t="shared" si="378"/>
        <v>-213.825153</v>
      </c>
      <c r="F1390" s="9">
        <f t="shared" si="379"/>
        <v>-472.70412799999997</v>
      </c>
      <c r="I1390">
        <v>1</v>
      </c>
      <c r="J1390">
        <f t="shared" si="364"/>
        <v>0.33324934652499583</v>
      </c>
      <c r="K1390">
        <f t="shared" si="365"/>
        <v>-1.995598300785747</v>
      </c>
      <c r="O1390">
        <f t="shared" si="366"/>
        <v>-0.13481743198357349</v>
      </c>
      <c r="P1390">
        <f t="shared" si="367"/>
        <v>-0.29804144054555837</v>
      </c>
      <c r="Q1390">
        <f t="shared" si="368"/>
        <v>0.94498442302023311</v>
      </c>
      <c r="R1390">
        <f t="shared" si="369"/>
        <v>1</v>
      </c>
      <c r="AG1390" s="8">
        <f t="shared" si="375"/>
        <v>0.42466941360291421</v>
      </c>
      <c r="AH1390" s="8">
        <f t="shared" si="376"/>
        <v>-0.21876783729714408</v>
      </c>
      <c r="AI1390" s="8">
        <f t="shared" si="377"/>
        <v>0.87851950605236251</v>
      </c>
      <c r="AJ1390" s="8"/>
      <c r="AK1390" s="8"/>
      <c r="AL1390" s="8"/>
      <c r="AN1390" s="8">
        <f t="shared" si="370"/>
        <v>0.99999999999999978</v>
      </c>
      <c r="AO1390" s="8">
        <f t="shared" si="371"/>
        <v>5.8074924229610279</v>
      </c>
      <c r="AP1390" s="8">
        <f t="shared" si="372"/>
        <v>0.49804218467643913</v>
      </c>
      <c r="AQ1390" s="8"/>
      <c r="AR1390" s="8">
        <f t="shared" si="373"/>
        <v>332.74480538987126</v>
      </c>
      <c r="AS1390" s="8">
        <f t="shared" si="374"/>
        <v>61.464284798564918</v>
      </c>
    </row>
    <row r="1391" spans="1:45">
      <c r="A1391" s="21">
        <v>55.02163333</v>
      </c>
      <c r="B1391" s="21">
        <v>1174.0857719999999</v>
      </c>
      <c r="C1391" s="21">
        <v>-1013.082456</v>
      </c>
      <c r="E1391" s="9">
        <f t="shared" si="378"/>
        <v>-214.08577199999991</v>
      </c>
      <c r="F1391" s="9">
        <f t="shared" si="379"/>
        <v>-473.08245599999998</v>
      </c>
      <c r="I1391">
        <v>1</v>
      </c>
      <c r="J1391">
        <f t="shared" si="364"/>
        <v>0.33352193516926981</v>
      </c>
      <c r="K1391">
        <f t="shared" si="365"/>
        <v>-1.9957553121319214</v>
      </c>
      <c r="O1391">
        <f t="shared" si="366"/>
        <v>-0.13497042211647442</v>
      </c>
      <c r="P1391">
        <f t="shared" si="367"/>
        <v>-0.29825493859637942</v>
      </c>
      <c r="Q1391">
        <f t="shared" si="368"/>
        <v>0.94489521998821158</v>
      </c>
      <c r="R1391">
        <f t="shared" si="369"/>
        <v>1</v>
      </c>
      <c r="AG1391" s="8">
        <f t="shared" si="375"/>
        <v>0.42490675763688507</v>
      </c>
      <c r="AH1391" s="8">
        <f t="shared" si="376"/>
        <v>-0.21882884105850586</v>
      </c>
      <c r="AI1391" s="8">
        <f t="shared" si="377"/>
        <v>0.87838954094154642</v>
      </c>
      <c r="AJ1391" s="8"/>
      <c r="AK1391" s="8"/>
      <c r="AL1391" s="8"/>
      <c r="AN1391" s="8">
        <f t="shared" si="370"/>
        <v>1</v>
      </c>
      <c r="AO1391" s="8">
        <f t="shared" si="371"/>
        <v>5.8076063730354761</v>
      </c>
      <c r="AP1391" s="8">
        <f t="shared" si="372"/>
        <v>0.49831417725441041</v>
      </c>
      <c r="AQ1391" s="8"/>
      <c r="AR1391" s="8">
        <f t="shared" si="373"/>
        <v>332.75133424821234</v>
      </c>
      <c r="AS1391" s="8">
        <f t="shared" si="374"/>
        <v>61.448700771788282</v>
      </c>
    </row>
    <row r="1392" spans="1:45">
      <c r="A1392" s="21">
        <v>55.055</v>
      </c>
      <c r="B1392" s="21">
        <v>1174.6818350000001</v>
      </c>
      <c r="C1392" s="21">
        <v>-1013.842841</v>
      </c>
      <c r="E1392" s="9">
        <f t="shared" si="378"/>
        <v>-214.68183500000009</v>
      </c>
      <c r="F1392" s="9">
        <f t="shared" si="379"/>
        <v>-473.84284100000002</v>
      </c>
      <c r="I1392">
        <v>1</v>
      </c>
      <c r="J1392">
        <f t="shared" si="364"/>
        <v>0.33408764298678556</v>
      </c>
      <c r="K1392">
        <f t="shared" si="365"/>
        <v>-1.996196583472498</v>
      </c>
      <c r="O1392">
        <f t="shared" si="366"/>
        <v>-0.13532259332764571</v>
      </c>
      <c r="P1392">
        <f t="shared" si="367"/>
        <v>-0.29868219672083235</v>
      </c>
      <c r="Q1392">
        <f t="shared" si="368"/>
        <v>0.94470987138755913</v>
      </c>
      <c r="R1392">
        <f t="shared" si="369"/>
        <v>1</v>
      </c>
      <c r="AG1392" s="8">
        <f t="shared" si="375"/>
        <v>0.4253941445892267</v>
      </c>
      <c r="AH1392" s="8">
        <f t="shared" si="376"/>
        <v>-0.21899253812381542</v>
      </c>
      <c r="AI1392" s="8">
        <f t="shared" si="377"/>
        <v>0.87811280026844452</v>
      </c>
      <c r="AJ1392" s="8"/>
      <c r="AK1392" s="8"/>
      <c r="AL1392" s="8"/>
      <c r="AN1392" s="8">
        <f t="shared" si="370"/>
        <v>0.99999999999999978</v>
      </c>
      <c r="AO1392" s="8">
        <f t="shared" si="371"/>
        <v>5.807768604919799</v>
      </c>
      <c r="AP1392" s="8">
        <f t="shared" si="372"/>
        <v>0.49889289104167633</v>
      </c>
      <c r="AQ1392" s="8"/>
      <c r="AR1392" s="8">
        <f t="shared" si="373"/>
        <v>332.76062945048653</v>
      </c>
      <c r="AS1392" s="8">
        <f t="shared" si="374"/>
        <v>61.415542914231906</v>
      </c>
    </row>
    <row r="1393" spans="1:45">
      <c r="A1393" s="21">
        <v>55.088366669999999</v>
      </c>
      <c r="B1393" s="21">
        <v>1175.6985970000001</v>
      </c>
      <c r="C1393" s="21">
        <v>-1014.8476900000001</v>
      </c>
      <c r="E1393" s="9">
        <f t="shared" si="378"/>
        <v>-215.69859700000006</v>
      </c>
      <c r="F1393" s="9">
        <f t="shared" si="379"/>
        <v>-474.84769000000006</v>
      </c>
      <c r="I1393">
        <v>1</v>
      </c>
      <c r="J1393">
        <f t="shared" si="364"/>
        <v>0.33489203439593151</v>
      </c>
      <c r="K1393">
        <f t="shared" si="365"/>
        <v>-1.9971772429699624</v>
      </c>
      <c r="O1393">
        <f t="shared" si="366"/>
        <v>-0.13592967493061847</v>
      </c>
      <c r="P1393">
        <f t="shared" si="367"/>
        <v>-0.29924113110135392</v>
      </c>
      <c r="Q1393">
        <f t="shared" si="368"/>
        <v>0.9444457998903053</v>
      </c>
      <c r="R1393">
        <f t="shared" si="369"/>
        <v>1</v>
      </c>
      <c r="AG1393" s="8">
        <f t="shared" si="375"/>
        <v>0.42607123321495399</v>
      </c>
      <c r="AH1393" s="8">
        <f t="shared" si="376"/>
        <v>-0.21933912370990047</v>
      </c>
      <c r="AI1393" s="8">
        <f t="shared" si="377"/>
        <v>0.87769792812610714</v>
      </c>
      <c r="AJ1393" s="8"/>
      <c r="AK1393" s="8"/>
      <c r="AL1393" s="8"/>
      <c r="AN1393" s="8">
        <f t="shared" si="370"/>
        <v>0.99999999999999978</v>
      </c>
      <c r="AO1393" s="8">
        <f t="shared" si="371"/>
        <v>5.8077722767228783</v>
      </c>
      <c r="AP1393" s="8">
        <f t="shared" si="372"/>
        <v>0.4997593126629496</v>
      </c>
      <c r="AQ1393" s="8"/>
      <c r="AR1393" s="8">
        <f t="shared" si="373"/>
        <v>332.76083982930618</v>
      </c>
      <c r="AS1393" s="8">
        <f t="shared" si="374"/>
        <v>61.36590061205407</v>
      </c>
    </row>
    <row r="1394" spans="1:45">
      <c r="A1394" s="21">
        <v>55.121733329999998</v>
      </c>
      <c r="B1394" s="21">
        <v>1175.6932340000001</v>
      </c>
      <c r="C1394" s="21">
        <v>-1015.705139</v>
      </c>
      <c r="E1394" s="9">
        <f t="shared" si="378"/>
        <v>-215.69323400000007</v>
      </c>
      <c r="F1394" s="9">
        <f t="shared" si="379"/>
        <v>-475.70513900000003</v>
      </c>
      <c r="I1394">
        <v>1</v>
      </c>
      <c r="J1394">
        <f t="shared" si="364"/>
        <v>0.33536091695799186</v>
      </c>
      <c r="K1394">
        <f t="shared" si="365"/>
        <v>-1.9964889583961132</v>
      </c>
      <c r="O1394">
        <f t="shared" si="366"/>
        <v>-0.13590653388943155</v>
      </c>
      <c r="P1394">
        <f t="shared" si="367"/>
        <v>-0.29973789810616053</v>
      </c>
      <c r="Q1394">
        <f t="shared" si="368"/>
        <v>0.94429158975660787</v>
      </c>
      <c r="R1394">
        <f t="shared" si="369"/>
        <v>1</v>
      </c>
      <c r="AG1394" s="8">
        <f t="shared" si="375"/>
        <v>0.42652091125306424</v>
      </c>
      <c r="AH1394" s="8">
        <f t="shared" si="376"/>
        <v>-0.21913754103655539</v>
      </c>
      <c r="AI1394" s="8">
        <f t="shared" si="377"/>
        <v>0.87752985725404686</v>
      </c>
      <c r="AJ1394" s="8"/>
      <c r="AK1394" s="8"/>
      <c r="AL1394" s="8"/>
      <c r="AN1394" s="8">
        <f t="shared" si="370"/>
        <v>1.0000000000000002</v>
      </c>
      <c r="AO1394" s="8">
        <f t="shared" si="371"/>
        <v>5.8085752600240781</v>
      </c>
      <c r="AP1394" s="8">
        <f t="shared" si="372"/>
        <v>0.50010992183427283</v>
      </c>
      <c r="AQ1394" s="8"/>
      <c r="AR1394" s="8">
        <f t="shared" si="373"/>
        <v>332.80684738348441</v>
      </c>
      <c r="AS1394" s="8">
        <f t="shared" si="374"/>
        <v>61.345812186278664</v>
      </c>
    </row>
    <row r="1395" spans="1:45">
      <c r="A1395" s="21">
        <v>55.155099999999997</v>
      </c>
      <c r="B1395" s="21">
        <v>1175.811915</v>
      </c>
      <c r="C1395" s="21">
        <v>-1016.305235</v>
      </c>
      <c r="E1395" s="9">
        <f t="shared" si="378"/>
        <v>-215.811915</v>
      </c>
      <c r="F1395" s="9">
        <f t="shared" si="379"/>
        <v>-476.30523500000004</v>
      </c>
      <c r="I1395">
        <v>1</v>
      </c>
      <c r="J1395">
        <f t="shared" si="364"/>
        <v>0.33571948371471011</v>
      </c>
      <c r="K1395">
        <f t="shared" si="365"/>
        <v>-1.9962217615344424</v>
      </c>
      <c r="O1395">
        <f t="shared" si="366"/>
        <v>-0.13596617084180898</v>
      </c>
      <c r="P1395">
        <f t="shared" si="367"/>
        <v>-0.30008259254294639</v>
      </c>
      <c r="Q1395">
        <f t="shared" si="368"/>
        <v>0.94417352114922182</v>
      </c>
      <c r="R1395">
        <f t="shared" si="369"/>
        <v>1</v>
      </c>
      <c r="AG1395" s="8">
        <f t="shared" si="375"/>
        <v>0.42685336654663714</v>
      </c>
      <c r="AH1395" s="8">
        <f t="shared" si="376"/>
        <v>-0.21906617514715415</v>
      </c>
      <c r="AI1395" s="8">
        <f t="shared" si="377"/>
        <v>0.87738601218289236</v>
      </c>
      <c r="AJ1395" s="8"/>
      <c r="AK1395" s="8"/>
      <c r="AL1395" s="8"/>
      <c r="AN1395" s="8">
        <f t="shared" si="370"/>
        <v>0.99999999999999989</v>
      </c>
      <c r="AO1395" s="8">
        <f t="shared" si="371"/>
        <v>5.8090242259509051</v>
      </c>
      <c r="AP1395" s="8">
        <f t="shared" si="372"/>
        <v>0.50040981550358588</v>
      </c>
      <c r="AQ1395" s="8"/>
      <c r="AR1395" s="8">
        <f t="shared" si="373"/>
        <v>332.83257123623679</v>
      </c>
      <c r="AS1395" s="8">
        <f t="shared" si="374"/>
        <v>61.328629544724336</v>
      </c>
    </row>
    <row r="1396" spans="1:45">
      <c r="A1396" s="21">
        <v>55.188466669999997</v>
      </c>
      <c r="B1396" s="21">
        <v>1176.6842449999999</v>
      </c>
      <c r="C1396" s="21">
        <v>-1016.96555</v>
      </c>
      <c r="E1396" s="9">
        <f t="shared" si="378"/>
        <v>-216.68424499999992</v>
      </c>
      <c r="F1396" s="9">
        <f t="shared" si="379"/>
        <v>-476.96555000000001</v>
      </c>
      <c r="I1396">
        <v>1</v>
      </c>
      <c r="J1396">
        <f t="shared" si="364"/>
        <v>0.33629832573502105</v>
      </c>
      <c r="K1396">
        <f t="shared" si="365"/>
        <v>-1.9972182833826537</v>
      </c>
      <c r="O1396">
        <f t="shared" si="366"/>
        <v>-0.13649117164201535</v>
      </c>
      <c r="P1396">
        <f t="shared" si="367"/>
        <v>-0.30044448664174128</v>
      </c>
      <c r="Q1396">
        <f t="shared" si="368"/>
        <v>0.94398266430606148</v>
      </c>
      <c r="R1396">
        <f t="shared" si="369"/>
        <v>1</v>
      </c>
      <c r="AG1396" s="8">
        <f t="shared" si="375"/>
        <v>0.42732731546590041</v>
      </c>
      <c r="AH1396" s="8">
        <f t="shared" si="376"/>
        <v>-0.21940987185156063</v>
      </c>
      <c r="AI1396" s="8">
        <f t="shared" si="377"/>
        <v>0.87706936646469902</v>
      </c>
      <c r="AJ1396" s="8"/>
      <c r="AK1396" s="8"/>
      <c r="AL1396" s="8"/>
      <c r="AN1396" s="8">
        <f t="shared" si="370"/>
        <v>0.99999999999999989</v>
      </c>
      <c r="AO1396" s="8">
        <f t="shared" si="371"/>
        <v>5.8088381641629701</v>
      </c>
      <c r="AP1396" s="8">
        <f t="shared" si="372"/>
        <v>0.50106939176368348</v>
      </c>
      <c r="AQ1396" s="8"/>
      <c r="AR1396" s="8">
        <f t="shared" si="373"/>
        <v>332.82191068105942</v>
      </c>
      <c r="AS1396" s="8">
        <f t="shared" si="374"/>
        <v>61.290838608753724</v>
      </c>
    </row>
    <row r="1397" spans="1:45">
      <c r="A1397" s="21">
        <v>55.221833330000003</v>
      </c>
      <c r="B1397" s="21">
        <v>1176.969233</v>
      </c>
      <c r="C1397" s="21">
        <v>-1017.828989</v>
      </c>
      <c r="E1397" s="9">
        <f t="shared" si="378"/>
        <v>-216.96923300000003</v>
      </c>
      <c r="F1397" s="9">
        <f t="shared" si="379"/>
        <v>-477.82898899999998</v>
      </c>
      <c r="I1397">
        <v>1</v>
      </c>
      <c r="J1397">
        <f t="shared" si="364"/>
        <v>0.33684221935895614</v>
      </c>
      <c r="K1397">
        <f t="shared" si="365"/>
        <v>-1.9970321789245746</v>
      </c>
      <c r="O1397">
        <f t="shared" si="366"/>
        <v>-0.13664750921151533</v>
      </c>
      <c r="P1397">
        <f t="shared" si="367"/>
        <v>-0.30093732771736603</v>
      </c>
      <c r="Q1397">
        <f t="shared" si="368"/>
        <v>0.94380304248959668</v>
      </c>
      <c r="R1397">
        <f t="shared" si="369"/>
        <v>1</v>
      </c>
      <c r="AG1397" s="8">
        <f t="shared" si="375"/>
        <v>0.42782179799903541</v>
      </c>
      <c r="AH1397" s="8">
        <f t="shared" si="376"/>
        <v>-0.2193720741829342</v>
      </c>
      <c r="AI1397" s="8">
        <f t="shared" si="377"/>
        <v>0.87683772855959474</v>
      </c>
      <c r="AJ1397" s="8"/>
      <c r="AK1397" s="8"/>
      <c r="AL1397" s="8"/>
      <c r="AN1397" s="8">
        <f t="shared" si="370"/>
        <v>0.99999999999999978</v>
      </c>
      <c r="AO1397" s="8">
        <f t="shared" si="371"/>
        <v>5.8093778699475704</v>
      </c>
      <c r="AP1397" s="8">
        <f t="shared" si="372"/>
        <v>0.50155139323502707</v>
      </c>
      <c r="AQ1397" s="8"/>
      <c r="AR1397" s="8">
        <f t="shared" si="373"/>
        <v>332.85283354469584</v>
      </c>
      <c r="AS1397" s="8">
        <f t="shared" si="374"/>
        <v>61.263221958726639</v>
      </c>
    </row>
    <row r="1398" spans="1:45">
      <c r="A1398" s="21">
        <v>55.255200000000002</v>
      </c>
      <c r="B1398" s="21">
        <v>1177.739961</v>
      </c>
      <c r="C1398" s="21">
        <v>-1018.78721</v>
      </c>
      <c r="E1398" s="9">
        <f t="shared" si="378"/>
        <v>-217.73996099999999</v>
      </c>
      <c r="F1398" s="9">
        <f t="shared" si="379"/>
        <v>-478.78720999999996</v>
      </c>
      <c r="I1398">
        <v>1</v>
      </c>
      <c r="J1398">
        <f t="shared" si="364"/>
        <v>0.33755862384774832</v>
      </c>
      <c r="K1398">
        <f t="shared" si="365"/>
        <v>-1.9976131909649877</v>
      </c>
      <c r="O1398">
        <f t="shared" si="366"/>
        <v>-0.13710220645607066</v>
      </c>
      <c r="P1398">
        <f t="shared" si="367"/>
        <v>-0.30147329232756703</v>
      </c>
      <c r="Q1398">
        <f t="shared" si="368"/>
        <v>0.94356602259622213</v>
      </c>
      <c r="R1398">
        <f t="shared" si="369"/>
        <v>1</v>
      </c>
      <c r="AG1398" s="8">
        <f t="shared" si="375"/>
        <v>0.42843639464176164</v>
      </c>
      <c r="AH1398" s="8">
        <f t="shared" si="376"/>
        <v>-0.21958860899044491</v>
      </c>
      <c r="AI1398" s="8">
        <f t="shared" si="377"/>
        <v>0.87648337037733359</v>
      </c>
      <c r="AJ1398" s="8"/>
      <c r="AK1398" s="8"/>
      <c r="AL1398" s="8"/>
      <c r="AN1398" s="8">
        <f t="shared" si="370"/>
        <v>1</v>
      </c>
      <c r="AO1398" s="8">
        <f t="shared" si="371"/>
        <v>5.809560130073705</v>
      </c>
      <c r="AP1398" s="8">
        <f t="shared" si="372"/>
        <v>0.50228793725177945</v>
      </c>
      <c r="AQ1398" s="8"/>
      <c r="AR1398" s="8">
        <f t="shared" si="373"/>
        <v>332.86327628069688</v>
      </c>
      <c r="AS1398" s="8">
        <f t="shared" si="374"/>
        <v>61.221021095141111</v>
      </c>
    </row>
    <row r="1399" spans="1:45">
      <c r="A1399" s="21">
        <v>55.288566670000002</v>
      </c>
      <c r="B1399" s="21">
        <v>1177.8567619999999</v>
      </c>
      <c r="C1399" s="21">
        <v>-1019.631286</v>
      </c>
      <c r="E1399" s="9">
        <f t="shared" si="378"/>
        <v>-217.85676199999989</v>
      </c>
      <c r="F1399" s="9">
        <f t="shared" si="379"/>
        <v>-479.63128600000005</v>
      </c>
      <c r="I1399">
        <v>1</v>
      </c>
      <c r="J1399">
        <f t="shared" si="364"/>
        <v>0.33804962594449106</v>
      </c>
      <c r="K1399">
        <f t="shared" si="365"/>
        <v>-1.9971517090140054</v>
      </c>
      <c r="O1399">
        <f t="shared" si="366"/>
        <v>-0.13715464805135777</v>
      </c>
      <c r="P1399">
        <f t="shared" si="367"/>
        <v>-0.30195831252531968</v>
      </c>
      <c r="Q1399">
        <f t="shared" si="368"/>
        <v>0.94340329658888178</v>
      </c>
      <c r="R1399">
        <f t="shared" si="369"/>
        <v>1</v>
      </c>
      <c r="AG1399" s="8">
        <f t="shared" si="375"/>
        <v>0.42889556712925103</v>
      </c>
      <c r="AH1399" s="8">
        <f t="shared" si="376"/>
        <v>-0.2194594734556661</v>
      </c>
      <c r="AI1399" s="8">
        <f t="shared" si="377"/>
        <v>0.87629112286239663</v>
      </c>
      <c r="AJ1399" s="8"/>
      <c r="AK1399" s="8"/>
      <c r="AL1399" s="8"/>
      <c r="AN1399" s="8">
        <f t="shared" si="370"/>
        <v>1</v>
      </c>
      <c r="AO1399" s="8">
        <f t="shared" si="371"/>
        <v>5.8102333724576214</v>
      </c>
      <c r="AP1399" s="8">
        <f t="shared" si="372"/>
        <v>0.50268711643930786</v>
      </c>
      <c r="AQ1399" s="8"/>
      <c r="AR1399" s="8">
        <f t="shared" si="373"/>
        <v>332.90185022788461</v>
      </c>
      <c r="AS1399" s="8">
        <f t="shared" si="374"/>
        <v>61.19814981242628</v>
      </c>
    </row>
    <row r="1400" spans="1:45">
      <c r="A1400" s="21">
        <v>55.32193333</v>
      </c>
      <c r="B1400" s="21">
        <v>1178.4538869999999</v>
      </c>
      <c r="C1400" s="21">
        <v>-1020.263183</v>
      </c>
      <c r="E1400" s="9">
        <f t="shared" si="378"/>
        <v>-218.4538869999999</v>
      </c>
      <c r="F1400" s="9">
        <f t="shared" si="379"/>
        <v>-480.26318300000003</v>
      </c>
      <c r="I1400">
        <v>1</v>
      </c>
      <c r="J1400">
        <f t="shared" si="364"/>
        <v>0.33854382505380448</v>
      </c>
      <c r="K1400">
        <f t="shared" si="365"/>
        <v>-1.9976868471699332</v>
      </c>
      <c r="O1400">
        <f t="shared" si="366"/>
        <v>-0.13750923963693612</v>
      </c>
      <c r="P1400">
        <f t="shared" si="367"/>
        <v>-0.30230922428010981</v>
      </c>
      <c r="Q1400">
        <f t="shared" si="368"/>
        <v>0.9432392813754259</v>
      </c>
      <c r="R1400">
        <f t="shared" si="369"/>
        <v>1</v>
      </c>
      <c r="AG1400" s="8">
        <f t="shared" si="375"/>
        <v>0.42931326360514455</v>
      </c>
      <c r="AH1400" s="8">
        <f t="shared" si="376"/>
        <v>-0.21965263235408319</v>
      </c>
      <c r="AI1400" s="8">
        <f t="shared" si="377"/>
        <v>0.87603815144810993</v>
      </c>
      <c r="AJ1400" s="8"/>
      <c r="AK1400" s="8"/>
      <c r="AL1400" s="8"/>
      <c r="AN1400" s="8">
        <f t="shared" si="370"/>
        <v>0.99999999999999989</v>
      </c>
      <c r="AO1400" s="8">
        <f t="shared" si="371"/>
        <v>5.8102713453757486</v>
      </c>
      <c r="AP1400" s="8">
        <f t="shared" si="372"/>
        <v>0.50321194044264606</v>
      </c>
      <c r="AQ1400" s="8"/>
      <c r="AR1400" s="8">
        <f t="shared" si="373"/>
        <v>332.9040259158291</v>
      </c>
      <c r="AS1400" s="8">
        <f t="shared" si="374"/>
        <v>61.168079612047833</v>
      </c>
    </row>
    <row r="1401" spans="1:45">
      <c r="A1401" s="21">
        <v>55.3553</v>
      </c>
      <c r="B1401" s="21">
        <v>1178.853674</v>
      </c>
      <c r="C1401" s="21">
        <v>-1020.870448</v>
      </c>
      <c r="E1401" s="9">
        <f t="shared" si="378"/>
        <v>-218.85367399999996</v>
      </c>
      <c r="F1401" s="9">
        <f t="shared" si="379"/>
        <v>-480.87044800000001</v>
      </c>
      <c r="I1401">
        <v>1</v>
      </c>
      <c r="J1401">
        <f t="shared" ref="J1401:J1464" si="380">ATAN((SQRT(E1401^2+F1401^2)^$B$16)/($F$24))</f>
        <v>0.33897536690052654</v>
      </c>
      <c r="K1401">
        <f t="shared" ref="K1401:K1464" si="381">ATAN2(E1401,F1401)</f>
        <v>-1.9978997360163253</v>
      </c>
      <c r="O1401">
        <f t="shared" ref="O1401:O1464" si="382">COS(K1401)*SIN(J1401)</f>
        <v>-0.13774219564318702</v>
      </c>
      <c r="P1401">
        <f t="shared" ref="P1401:P1464" si="383">SIN(K1401)*SIN(J1401)</f>
        <v>-0.30265039702940072</v>
      </c>
      <c r="Q1401">
        <f t="shared" ref="Q1401:Q1464" si="384">COS(J1401)</f>
        <v>0.9430958724951245</v>
      </c>
      <c r="R1401">
        <f t="shared" ref="R1401:R1464" si="385">SQRT(O1401^2+P1401^2+Q1401^2)</f>
        <v>1</v>
      </c>
      <c r="AG1401" s="8">
        <f t="shared" si="375"/>
        <v>0.42968915562101256</v>
      </c>
      <c r="AH1401" s="8">
        <f t="shared" si="376"/>
        <v>-0.21973919400231937</v>
      </c>
      <c r="AI1401" s="8">
        <f t="shared" si="377"/>
        <v>0.87583212784238063</v>
      </c>
      <c r="AJ1401" s="8"/>
      <c r="AK1401" s="8"/>
      <c r="AL1401" s="8"/>
      <c r="AN1401" s="8">
        <f t="shared" ref="AN1401:AN1464" si="386">AG1401^2+AH1401^2+AI1401^2</f>
        <v>0.99999999999999989</v>
      </c>
      <c r="AO1401" s="8">
        <f t="shared" ref="AO1401:AO1464" si="387">IF(ATAN2(AG1401,AH1401)&gt;=0,ATAN2(AG1401,AH1401),ATAN2(AG1401,AH1401)+2*PI())</f>
        <v>5.8104664303856151</v>
      </c>
      <c r="AP1401" s="8">
        <f t="shared" ref="AP1401:AP1464" si="388">ACOS(AI1401/AN1401)</f>
        <v>0.50363899534809597</v>
      </c>
      <c r="AQ1401" s="8"/>
      <c r="AR1401" s="8">
        <f t="shared" ref="AR1401:AR1464" si="389">DEGREES(AO1401)</f>
        <v>332.91520346354071</v>
      </c>
      <c r="AS1401" s="8">
        <f t="shared" ref="AS1401:AS1464" si="390">90-DEGREES(AP1401)</f>
        <v>61.143611168345203</v>
      </c>
    </row>
    <row r="1402" spans="1:45">
      <c r="A1402" s="21">
        <v>55.388666669999999</v>
      </c>
      <c r="B1402" s="21">
        <v>1179.516378</v>
      </c>
      <c r="C1402" s="21">
        <v>-1021.813824</v>
      </c>
      <c r="E1402" s="9">
        <f t="shared" si="378"/>
        <v>-219.51637800000003</v>
      </c>
      <c r="F1402" s="9">
        <f t="shared" si="379"/>
        <v>-481.81382399999995</v>
      </c>
      <c r="I1402">
        <v>1</v>
      </c>
      <c r="J1402">
        <f t="shared" si="380"/>
        <v>0.3396559070663045</v>
      </c>
      <c r="K1402">
        <f t="shared" si="381"/>
        <v>-1.9983008823338837</v>
      </c>
      <c r="O1402">
        <f t="shared" si="382"/>
        <v>-0.13812965683788461</v>
      </c>
      <c r="P1402">
        <f t="shared" si="383"/>
        <v>-0.30317910114601537</v>
      </c>
      <c r="Q1402">
        <f t="shared" si="384"/>
        <v>0.94286936026691548</v>
      </c>
      <c r="R1402">
        <f t="shared" si="385"/>
        <v>1</v>
      </c>
      <c r="AG1402" s="8">
        <f t="shared" si="375"/>
        <v>0.43027876126527326</v>
      </c>
      <c r="AH1402" s="8">
        <f t="shared" si="376"/>
        <v>-0.21989720172857746</v>
      </c>
      <c r="AI1402" s="8">
        <f t="shared" si="377"/>
        <v>0.87550294589793554</v>
      </c>
      <c r="AJ1402" s="8"/>
      <c r="AK1402" s="8"/>
      <c r="AL1402" s="8"/>
      <c r="AN1402" s="8">
        <f t="shared" si="386"/>
        <v>1.0000000000000002</v>
      </c>
      <c r="AO1402" s="8">
        <f t="shared" si="387"/>
        <v>5.8107308542043814</v>
      </c>
      <c r="AP1402" s="8">
        <f t="shared" si="388"/>
        <v>0.50432065234654422</v>
      </c>
      <c r="AQ1402" s="8"/>
      <c r="AR1402" s="8">
        <f t="shared" si="389"/>
        <v>332.93035383235872</v>
      </c>
      <c r="AS1402" s="8">
        <f t="shared" si="390"/>
        <v>61.104555099258562</v>
      </c>
    </row>
    <row r="1403" spans="1:45">
      <c r="A1403" s="21">
        <v>55.422033329999998</v>
      </c>
      <c r="B1403" s="21">
        <v>1179.83969</v>
      </c>
      <c r="C1403" s="21">
        <v>-1022.662992</v>
      </c>
      <c r="E1403" s="9">
        <f t="shared" si="378"/>
        <v>-219.83969000000002</v>
      </c>
      <c r="F1403" s="9">
        <f t="shared" si="379"/>
        <v>-482.66299200000003</v>
      </c>
      <c r="I1403">
        <v>1</v>
      </c>
      <c r="J1403">
        <f t="shared" si="380"/>
        <v>0.34020026141548732</v>
      </c>
      <c r="K1403">
        <f t="shared" si="381"/>
        <v>-1.998191805513762</v>
      </c>
      <c r="O1403">
        <f t="shared" si="382"/>
        <v>-0.13830931095715709</v>
      </c>
      <c r="P1403">
        <f t="shared" si="383"/>
        <v>-0.30366120807411917</v>
      </c>
      <c r="Q1403">
        <f t="shared" si="384"/>
        <v>0.94268786202725818</v>
      </c>
      <c r="R1403">
        <f t="shared" si="385"/>
        <v>1</v>
      </c>
      <c r="AG1403" s="8">
        <f t="shared" si="375"/>
        <v>0.43076948393993209</v>
      </c>
      <c r="AH1403" s="8">
        <f t="shared" si="376"/>
        <v>-0.21988404741477804</v>
      </c>
      <c r="AI1403" s="8">
        <f t="shared" si="377"/>
        <v>0.87526490698451986</v>
      </c>
      <c r="AJ1403" s="8"/>
      <c r="AK1403" s="8"/>
      <c r="AL1403" s="8"/>
      <c r="AN1403" s="8">
        <f t="shared" si="386"/>
        <v>1</v>
      </c>
      <c r="AO1403" s="8">
        <f t="shared" si="387"/>
        <v>5.8112168070179946</v>
      </c>
      <c r="AP1403" s="8">
        <f t="shared" si="388"/>
        <v>0.50481304989313802</v>
      </c>
      <c r="AQ1403" s="8"/>
      <c r="AR1403" s="8">
        <f t="shared" si="389"/>
        <v>332.95819687762128</v>
      </c>
      <c r="AS1403" s="8">
        <f t="shared" si="390"/>
        <v>61.076342797996134</v>
      </c>
    </row>
    <row r="1404" spans="1:45">
      <c r="A1404" s="21">
        <v>55.455399999999997</v>
      </c>
      <c r="B1404" s="21">
        <v>1180.1761590000001</v>
      </c>
      <c r="C1404" s="21">
        <v>-1023.392641</v>
      </c>
      <c r="E1404" s="9">
        <f t="shared" si="378"/>
        <v>-220.1761590000001</v>
      </c>
      <c r="F1404" s="9">
        <f t="shared" si="379"/>
        <v>-483.39264100000003</v>
      </c>
      <c r="I1404">
        <v>1</v>
      </c>
      <c r="J1404">
        <f t="shared" si="380"/>
        <v>0.34068243144843297</v>
      </c>
      <c r="K1404">
        <f t="shared" si="381"/>
        <v>-1.9981988881844071</v>
      </c>
      <c r="O1404">
        <f t="shared" si="382"/>
        <v>-0.13849985453089916</v>
      </c>
      <c r="P1404">
        <f t="shared" si="383"/>
        <v>-0.30407384143624361</v>
      </c>
      <c r="Q1404">
        <f t="shared" si="384"/>
        <v>0.94252686394029428</v>
      </c>
      <c r="R1404">
        <f t="shared" si="385"/>
        <v>1</v>
      </c>
      <c r="AG1404" s="8">
        <f t="shared" si="375"/>
        <v>0.43119939027627074</v>
      </c>
      <c r="AH1404" s="8">
        <f t="shared" si="376"/>
        <v>-0.21990602142543819</v>
      </c>
      <c r="AI1404" s="8">
        <f t="shared" si="377"/>
        <v>0.87504767159635766</v>
      </c>
      <c r="AJ1404" s="8"/>
      <c r="AK1404" s="8"/>
      <c r="AL1404" s="8"/>
      <c r="AN1404" s="8">
        <f t="shared" si="386"/>
        <v>1</v>
      </c>
      <c r="AO1404" s="8">
        <f t="shared" si="387"/>
        <v>5.8115801701633396</v>
      </c>
      <c r="AP1404" s="8">
        <f t="shared" si="388"/>
        <v>0.50526203149387183</v>
      </c>
      <c r="AQ1404" s="8"/>
      <c r="AR1404" s="8">
        <f t="shared" si="389"/>
        <v>332.97901605228014</v>
      </c>
      <c r="AS1404" s="8">
        <f t="shared" si="390"/>
        <v>61.050618047195059</v>
      </c>
    </row>
    <row r="1405" spans="1:45">
      <c r="A1405" s="21">
        <v>55.488766669999997</v>
      </c>
      <c r="B1405" s="21">
        <v>1180.80422</v>
      </c>
      <c r="C1405" s="21">
        <v>-1024.6387950000001</v>
      </c>
      <c r="E1405" s="9">
        <f t="shared" si="378"/>
        <v>-220.80421999999999</v>
      </c>
      <c r="F1405" s="9">
        <f t="shared" si="379"/>
        <v>-484.63879500000007</v>
      </c>
      <c r="I1405">
        <v>1</v>
      </c>
      <c r="J1405">
        <f t="shared" si="380"/>
        <v>0.3415188379806709</v>
      </c>
      <c r="K1405">
        <f t="shared" si="381"/>
        <v>-1.998302203996362</v>
      </c>
      <c r="O1405">
        <f t="shared" si="382"/>
        <v>-0.13885806680363549</v>
      </c>
      <c r="P1405">
        <f t="shared" si="383"/>
        <v>-0.30477681165578913</v>
      </c>
      <c r="Q1405">
        <f t="shared" si="384"/>
        <v>0.94224706545602399</v>
      </c>
      <c r="R1405">
        <f t="shared" si="385"/>
        <v>1</v>
      </c>
      <c r="AG1405" s="8">
        <f t="shared" si="375"/>
        <v>0.4319407917448892</v>
      </c>
      <c r="AH1405" s="8">
        <f t="shared" si="376"/>
        <v>-0.21997374781368112</v>
      </c>
      <c r="AI1405" s="8">
        <f t="shared" si="377"/>
        <v>0.87466490880771086</v>
      </c>
      <c r="AJ1405" s="8"/>
      <c r="AK1405" s="8"/>
      <c r="AL1405" s="8"/>
      <c r="AN1405" s="8">
        <f t="shared" si="386"/>
        <v>0.99999999999999989</v>
      </c>
      <c r="AO1405" s="8">
        <f t="shared" si="387"/>
        <v>5.8121505884692217</v>
      </c>
      <c r="AP1405" s="8">
        <f t="shared" si="388"/>
        <v>0.50605223932113863</v>
      </c>
      <c r="AQ1405" s="8"/>
      <c r="AR1405" s="8">
        <f t="shared" si="389"/>
        <v>333.01169861376422</v>
      </c>
      <c r="AS1405" s="8">
        <f t="shared" si="390"/>
        <v>61.005342473754467</v>
      </c>
    </row>
    <row r="1406" spans="1:45">
      <c r="A1406" s="21">
        <v>55.522133330000003</v>
      </c>
      <c r="B1406" s="21">
        <v>1180.8583590000001</v>
      </c>
      <c r="C1406" s="21">
        <v>-1024.8310240000001</v>
      </c>
      <c r="E1406" s="9">
        <f t="shared" si="378"/>
        <v>-220.85835900000006</v>
      </c>
      <c r="F1406" s="9">
        <f t="shared" si="379"/>
        <v>-484.83102400000007</v>
      </c>
      <c r="I1406">
        <v>1</v>
      </c>
      <c r="J1406">
        <f t="shared" si="380"/>
        <v>0.34163719279613075</v>
      </c>
      <c r="K1406">
        <f t="shared" si="381"/>
        <v>-1.9982450832674163</v>
      </c>
      <c r="O1406">
        <f t="shared" si="382"/>
        <v>-0.13888688698111909</v>
      </c>
      <c r="P1406">
        <f t="shared" si="383"/>
        <v>-0.30488622635844292</v>
      </c>
      <c r="Q1406">
        <f t="shared" si="384"/>
        <v>0.94220741962776022</v>
      </c>
      <c r="R1406">
        <f t="shared" si="385"/>
        <v>1</v>
      </c>
      <c r="AG1406" s="8">
        <f t="shared" si="375"/>
        <v>0.43204891315613769</v>
      </c>
      <c r="AH1406" s="8">
        <f t="shared" si="376"/>
        <v>-0.21995990559023934</v>
      </c>
      <c r="AI1406" s="8">
        <f t="shared" si="377"/>
        <v>0.87461498762217271</v>
      </c>
      <c r="AJ1406" s="8"/>
      <c r="AK1406" s="8"/>
      <c r="AL1406" s="8"/>
      <c r="AN1406" s="8">
        <f t="shared" si="386"/>
        <v>1.0000000000000002</v>
      </c>
      <c r="AO1406" s="8">
        <f t="shared" si="387"/>
        <v>5.8122772364069997</v>
      </c>
      <c r="AP1406" s="8">
        <f t="shared" si="388"/>
        <v>0.50615521777747219</v>
      </c>
      <c r="AQ1406" s="8"/>
      <c r="AR1406" s="8">
        <f t="shared" si="389"/>
        <v>333.01895500608293</v>
      </c>
      <c r="AS1406" s="8">
        <f t="shared" si="390"/>
        <v>60.999442242825786</v>
      </c>
    </row>
    <row r="1407" spans="1:45">
      <c r="A1407" s="21">
        <v>55.555500000000002</v>
      </c>
      <c r="B1407" s="21">
        <v>1181.3935719999999</v>
      </c>
      <c r="C1407" s="21">
        <v>-1025.839843</v>
      </c>
      <c r="E1407" s="9">
        <f t="shared" si="378"/>
        <v>-221.39357199999995</v>
      </c>
      <c r="F1407" s="9">
        <f t="shared" si="379"/>
        <v>-485.83984299999997</v>
      </c>
      <c r="I1407">
        <v>1</v>
      </c>
      <c r="J1407">
        <f t="shared" si="380"/>
        <v>0.34232055700805186</v>
      </c>
      <c r="K1407">
        <f t="shared" si="381"/>
        <v>-1.9983740414816837</v>
      </c>
      <c r="O1407">
        <f t="shared" si="382"/>
        <v>-0.13919316345586213</v>
      </c>
      <c r="P1407">
        <f t="shared" si="383"/>
        <v>-0.30545414697075951</v>
      </c>
      <c r="Q1407">
        <f t="shared" si="384"/>
        <v>0.94197825205548946</v>
      </c>
      <c r="R1407">
        <f t="shared" si="385"/>
        <v>1</v>
      </c>
      <c r="AG1407" s="8">
        <f t="shared" si="375"/>
        <v>0.4326523684245005</v>
      </c>
      <c r="AH1407" s="8">
        <f t="shared" si="376"/>
        <v>-0.22002977283625663</v>
      </c>
      <c r="AI1407" s="8">
        <f t="shared" si="377"/>
        <v>0.87429904904574585</v>
      </c>
      <c r="AJ1407" s="8"/>
      <c r="AK1407" s="8"/>
      <c r="AL1407" s="8"/>
      <c r="AN1407" s="8">
        <f t="shared" si="386"/>
        <v>0.99999999999999989</v>
      </c>
      <c r="AO1407" s="8">
        <f t="shared" si="387"/>
        <v>5.8127130167722836</v>
      </c>
      <c r="AP1407" s="8">
        <f t="shared" si="388"/>
        <v>0.50680649932959598</v>
      </c>
      <c r="AQ1407" s="8"/>
      <c r="AR1407" s="8">
        <f t="shared" si="389"/>
        <v>333.04392338180833</v>
      </c>
      <c r="AS1407" s="8">
        <f t="shared" si="390"/>
        <v>60.962126558614365</v>
      </c>
    </row>
    <row r="1408" spans="1:45">
      <c r="A1408" s="21">
        <v>55.588866670000002</v>
      </c>
      <c r="B1408" s="21">
        <v>1181.6743469999999</v>
      </c>
      <c r="C1408" s="21">
        <v>-1026.325112</v>
      </c>
      <c r="E1408" s="9">
        <f t="shared" si="378"/>
        <v>-221.6743469999999</v>
      </c>
      <c r="F1408" s="9">
        <f t="shared" si="379"/>
        <v>-486.32511199999999</v>
      </c>
      <c r="I1408">
        <v>1</v>
      </c>
      <c r="J1408">
        <f t="shared" si="380"/>
        <v>0.34265495937588053</v>
      </c>
      <c r="K1408">
        <f t="shared" si="381"/>
        <v>-1.9984755866021711</v>
      </c>
      <c r="O1408">
        <f t="shared" si="382"/>
        <v>-0.13935482169476185</v>
      </c>
      <c r="P1408">
        <f t="shared" si="383"/>
        <v>-0.30572662189209082</v>
      </c>
      <c r="Q1408">
        <f t="shared" si="384"/>
        <v>0.94186594923952505</v>
      </c>
      <c r="R1408">
        <f t="shared" si="385"/>
        <v>1</v>
      </c>
      <c r="AG1408" s="8">
        <f t="shared" si="375"/>
        <v>0.43294584236942985</v>
      </c>
      <c r="AH1408" s="8">
        <f t="shared" si="376"/>
        <v>-0.22007657129703587</v>
      </c>
      <c r="AI1408" s="8">
        <f t="shared" si="377"/>
        <v>0.87414197950971639</v>
      </c>
      <c r="AJ1408" s="8"/>
      <c r="AK1408" s="8"/>
      <c r="AL1408" s="8"/>
      <c r="AN1408" s="8">
        <f t="shared" si="386"/>
        <v>1</v>
      </c>
      <c r="AO1408" s="8">
        <f t="shared" si="387"/>
        <v>5.8129010452483616</v>
      </c>
      <c r="AP1408" s="8">
        <f t="shared" si="388"/>
        <v>0.50713000115104556</v>
      </c>
      <c r="AQ1408" s="8"/>
      <c r="AR1408" s="8">
        <f t="shared" si="389"/>
        <v>333.05469661991589</v>
      </c>
      <c r="AS1408" s="8">
        <f t="shared" si="390"/>
        <v>60.943591269580509</v>
      </c>
    </row>
    <row r="1409" spans="1:45">
      <c r="A1409" s="21">
        <v>55.62223333</v>
      </c>
      <c r="B1409" s="21">
        <v>1182.196445</v>
      </c>
      <c r="C1409" s="21">
        <v>-1026.9879249999999</v>
      </c>
      <c r="E1409" s="9">
        <f t="shared" si="378"/>
        <v>-222.19644500000004</v>
      </c>
      <c r="F1409" s="9">
        <f t="shared" si="379"/>
        <v>-486.9879249999999</v>
      </c>
      <c r="I1409">
        <v>1</v>
      </c>
      <c r="J1409">
        <f t="shared" si="380"/>
        <v>0.34314604508749047</v>
      </c>
      <c r="K1409">
        <f t="shared" si="381"/>
        <v>-1.9988495277856801</v>
      </c>
      <c r="O1409">
        <f t="shared" si="382"/>
        <v>-0.13966111817332225</v>
      </c>
      <c r="P1409">
        <f t="shared" si="383"/>
        <v>-0.30609525792550829</v>
      </c>
      <c r="Q1409">
        <f t="shared" si="384"/>
        <v>0.94170083633078183</v>
      </c>
      <c r="R1409">
        <f t="shared" si="385"/>
        <v>1</v>
      </c>
      <c r="AG1409" s="8">
        <f t="shared" si="375"/>
        <v>0.43336649330089816</v>
      </c>
      <c r="AH1409" s="8">
        <f t="shared" si="376"/>
        <v>-0.22021908431450049</v>
      </c>
      <c r="AI1409" s="8">
        <f t="shared" si="377"/>
        <v>0.87389761264564947</v>
      </c>
      <c r="AJ1409" s="8"/>
      <c r="AK1409" s="8"/>
      <c r="AL1409" s="8"/>
      <c r="AN1409" s="8">
        <f t="shared" si="386"/>
        <v>1</v>
      </c>
      <c r="AO1409" s="8">
        <f t="shared" si="387"/>
        <v>5.8130318220282806</v>
      </c>
      <c r="AP1409" s="8">
        <f t="shared" si="388"/>
        <v>0.50763292719259945</v>
      </c>
      <c r="AQ1409" s="8"/>
      <c r="AR1409" s="8">
        <f t="shared" si="389"/>
        <v>333.06218957746358</v>
      </c>
      <c r="AS1409" s="8">
        <f t="shared" si="390"/>
        <v>60.91477572999225</v>
      </c>
    </row>
    <row r="1410" spans="1:45">
      <c r="A1410" s="21">
        <v>55.6556</v>
      </c>
      <c r="B1410" s="21">
        <v>1183.1838580000001</v>
      </c>
      <c r="C1410" s="21">
        <v>-1027.9800540000001</v>
      </c>
      <c r="E1410" s="9">
        <f t="shared" si="378"/>
        <v>-223.1838580000001</v>
      </c>
      <c r="F1410" s="9">
        <f t="shared" si="379"/>
        <v>-487.98005400000011</v>
      </c>
      <c r="I1410">
        <v>1</v>
      </c>
      <c r="J1410">
        <f t="shared" si="380"/>
        <v>0.34393215858500864</v>
      </c>
      <c r="K1410">
        <f t="shared" si="381"/>
        <v>-1.999756151900451</v>
      </c>
      <c r="O1410">
        <f t="shared" si="382"/>
        <v>-0.14024643339132387</v>
      </c>
      <c r="P1410">
        <f t="shared" si="383"/>
        <v>-0.30664163059501204</v>
      </c>
      <c r="Q1410">
        <f t="shared" si="384"/>
        <v>0.94143605640906125</v>
      </c>
      <c r="R1410">
        <f t="shared" si="385"/>
        <v>1</v>
      </c>
      <c r="AG1410" s="8">
        <f t="shared" si="375"/>
        <v>0.43402532374030262</v>
      </c>
      <c r="AH1410" s="8">
        <f t="shared" si="376"/>
        <v>-0.220549012730751</v>
      </c>
      <c r="AI1410" s="8">
        <f t="shared" si="377"/>
        <v>0.8734873504153432</v>
      </c>
      <c r="AJ1410" s="8"/>
      <c r="AK1410" s="8"/>
      <c r="AL1410" s="8"/>
      <c r="AN1410" s="8">
        <f t="shared" si="386"/>
        <v>1</v>
      </c>
      <c r="AO1410" s="8">
        <f t="shared" si="387"/>
        <v>5.8130407255404712</v>
      </c>
      <c r="AP1410" s="8">
        <f t="shared" si="388"/>
        <v>0.50847625790280504</v>
      </c>
      <c r="AQ1410" s="8"/>
      <c r="AR1410" s="8">
        <f t="shared" si="389"/>
        <v>333.06269971113494</v>
      </c>
      <c r="AS1410" s="8">
        <f t="shared" si="390"/>
        <v>60.866456439563699</v>
      </c>
    </row>
    <row r="1411" spans="1:45">
      <c r="A1411" s="21">
        <v>55.688966669999999</v>
      </c>
      <c r="B1411" s="21">
        <v>1183.699746</v>
      </c>
      <c r="C1411" s="21">
        <v>-1028.7585140000001</v>
      </c>
      <c r="E1411" s="9">
        <f t="shared" si="378"/>
        <v>-223.699746</v>
      </c>
      <c r="F1411" s="9">
        <f t="shared" si="379"/>
        <v>-488.7585140000001</v>
      </c>
      <c r="I1411">
        <v>1</v>
      </c>
      <c r="J1411">
        <f t="shared" si="380"/>
        <v>0.34448435706825797</v>
      </c>
      <c r="K1411">
        <f t="shared" si="381"/>
        <v>-2.0000265925261642</v>
      </c>
      <c r="O1411">
        <f t="shared" si="382"/>
        <v>-0.14054568569299736</v>
      </c>
      <c r="P1411">
        <f t="shared" si="383"/>
        <v>-0.3070763454886557</v>
      </c>
      <c r="Q1411">
        <f t="shared" si="384"/>
        <v>0.94124971621478692</v>
      </c>
      <c r="R1411">
        <f t="shared" si="385"/>
        <v>1</v>
      </c>
      <c r="AG1411" s="8">
        <f t="shared" si="375"/>
        <v>0.43450457897018696</v>
      </c>
      <c r="AH1411" s="8">
        <f t="shared" si="376"/>
        <v>-0.22066087153339053</v>
      </c>
      <c r="AI1411" s="8">
        <f t="shared" si="377"/>
        <v>0.87322079145429476</v>
      </c>
      <c r="AJ1411" s="8"/>
      <c r="AK1411" s="8"/>
      <c r="AL1411" s="8"/>
      <c r="AN1411" s="8">
        <f t="shared" si="386"/>
        <v>0.99999999999999989</v>
      </c>
      <c r="AO1411" s="8">
        <f t="shared" si="387"/>
        <v>5.8132816069092144</v>
      </c>
      <c r="AP1411" s="8">
        <f t="shared" si="388"/>
        <v>0.50902351045209637</v>
      </c>
      <c r="AQ1411" s="8"/>
      <c r="AR1411" s="8">
        <f t="shared" si="389"/>
        <v>333.07650119692727</v>
      </c>
      <c r="AS1411" s="8">
        <f t="shared" si="390"/>
        <v>60.83510117816153</v>
      </c>
    </row>
    <row r="1412" spans="1:45">
      <c r="A1412" s="21">
        <v>55.722333329999998</v>
      </c>
      <c r="B1412" s="21">
        <v>1183.788796</v>
      </c>
      <c r="C1412" s="21">
        <v>-1029.7743660000001</v>
      </c>
      <c r="E1412" s="9">
        <f t="shared" si="378"/>
        <v>-223.78879600000005</v>
      </c>
      <c r="F1412" s="9">
        <f t="shared" si="379"/>
        <v>-489.7743660000001</v>
      </c>
      <c r="I1412">
        <v>1</v>
      </c>
      <c r="J1412">
        <f t="shared" si="380"/>
        <v>0.34505928913911926</v>
      </c>
      <c r="K1412">
        <f t="shared" si="381"/>
        <v>-1.99939184946785</v>
      </c>
      <c r="O1412">
        <f t="shared" si="382"/>
        <v>-0.14057562010642738</v>
      </c>
      <c r="P1412">
        <f t="shared" si="383"/>
        <v>-0.3076576506210898</v>
      </c>
      <c r="Q1412">
        <f t="shared" si="384"/>
        <v>0.94105539956264261</v>
      </c>
      <c r="R1412">
        <f t="shared" si="385"/>
        <v>1</v>
      </c>
      <c r="AG1412" s="8">
        <f t="shared" si="375"/>
        <v>0.43504557452066422</v>
      </c>
      <c r="AH1412" s="8">
        <f t="shared" si="376"/>
        <v>-0.2204755140932764</v>
      </c>
      <c r="AI1412" s="8">
        <f t="shared" si="377"/>
        <v>0.87299822209171229</v>
      </c>
      <c r="AJ1412" s="8"/>
      <c r="AK1412" s="8"/>
      <c r="AL1412" s="8"/>
      <c r="AN1412" s="8">
        <f t="shared" si="386"/>
        <v>1</v>
      </c>
      <c r="AO1412" s="8">
        <f t="shared" si="387"/>
        <v>5.8141227188423539</v>
      </c>
      <c r="AP1412" s="8">
        <f t="shared" si="388"/>
        <v>0.50948004042439665</v>
      </c>
      <c r="AQ1412" s="8"/>
      <c r="AR1412" s="8">
        <f t="shared" si="389"/>
        <v>333.12469336079425</v>
      </c>
      <c r="AS1412" s="8">
        <f t="shared" si="390"/>
        <v>60.808943937527502</v>
      </c>
    </row>
    <row r="1413" spans="1:45">
      <c r="A1413" s="21">
        <v>55.755699999999997</v>
      </c>
      <c r="B1413" s="21">
        <v>1183.976451</v>
      </c>
      <c r="C1413" s="21">
        <v>-1030.138371</v>
      </c>
      <c r="E1413" s="9">
        <f t="shared" si="378"/>
        <v>-223.976451</v>
      </c>
      <c r="F1413" s="9">
        <f t="shared" si="379"/>
        <v>-490.13837100000001</v>
      </c>
      <c r="I1413">
        <v>1</v>
      </c>
      <c r="J1413">
        <f t="shared" si="380"/>
        <v>0.34530398589394462</v>
      </c>
      <c r="K1413">
        <f t="shared" si="381"/>
        <v>-1.9994278558958174</v>
      </c>
      <c r="O1413">
        <f t="shared" si="382"/>
        <v>-0.14068240110805538</v>
      </c>
      <c r="P1413">
        <f t="shared" si="383"/>
        <v>-0.30786202120628692</v>
      </c>
      <c r="Q1413">
        <f t="shared" si="384"/>
        <v>0.94097260210765532</v>
      </c>
      <c r="R1413">
        <f t="shared" si="385"/>
        <v>1</v>
      </c>
      <c r="AG1413" s="8">
        <f t="shared" si="375"/>
        <v>0.43526171509969652</v>
      </c>
      <c r="AH1413" s="8">
        <f t="shared" si="376"/>
        <v>-0.22049738643993017</v>
      </c>
      <c r="AI1413" s="8">
        <f t="shared" si="377"/>
        <v>0.87288495343981642</v>
      </c>
      <c r="AJ1413" s="8"/>
      <c r="AK1413" s="8"/>
      <c r="AL1413" s="8"/>
      <c r="AN1413" s="8">
        <f t="shared" si="386"/>
        <v>0.99999999999999978</v>
      </c>
      <c r="AO1413" s="8">
        <f t="shared" si="387"/>
        <v>5.8142829817467172</v>
      </c>
      <c r="AP1413" s="8">
        <f t="shared" si="388"/>
        <v>0.50971223170857582</v>
      </c>
      <c r="AQ1413" s="8"/>
      <c r="AR1413" s="8">
        <f t="shared" si="389"/>
        <v>333.13387574882677</v>
      </c>
      <c r="AS1413" s="8">
        <f t="shared" si="390"/>
        <v>60.795640356904315</v>
      </c>
    </row>
    <row r="1414" spans="1:45">
      <c r="A1414" s="21">
        <v>55.789066669999997</v>
      </c>
      <c r="B1414" s="21">
        <v>1184.5799890000001</v>
      </c>
      <c r="C1414" s="21">
        <v>-1030.911081</v>
      </c>
      <c r="E1414" s="9">
        <f t="shared" si="378"/>
        <v>-224.57998900000007</v>
      </c>
      <c r="F1414" s="9">
        <f t="shared" si="379"/>
        <v>-490.91108099999997</v>
      </c>
      <c r="I1414">
        <v>1</v>
      </c>
      <c r="J1414">
        <f t="shared" si="380"/>
        <v>0.34587431145874448</v>
      </c>
      <c r="K1414">
        <f t="shared" si="381"/>
        <v>-1.9998497945622242</v>
      </c>
      <c r="O1414">
        <f t="shared" si="382"/>
        <v>-0.14103552092366947</v>
      </c>
      <c r="P1414">
        <f t="shared" si="383"/>
        <v>-0.30829060213390913</v>
      </c>
      <c r="Q1414">
        <f t="shared" si="384"/>
        <v>0.94077940372528401</v>
      </c>
      <c r="R1414">
        <f t="shared" si="385"/>
        <v>1</v>
      </c>
      <c r="AG1414" s="8">
        <f t="shared" si="375"/>
        <v>0.4357497823932408</v>
      </c>
      <c r="AH1414" s="8">
        <f t="shared" si="376"/>
        <v>-0.2206600490183234</v>
      </c>
      <c r="AI1414" s="8">
        <f t="shared" si="377"/>
        <v>0.87260029217934265</v>
      </c>
      <c r="AJ1414" s="8"/>
      <c r="AK1414" s="8"/>
      <c r="AL1414" s="8"/>
      <c r="AN1414" s="8">
        <f t="shared" si="386"/>
        <v>0.99999999999999978</v>
      </c>
      <c r="AO1414" s="8">
        <f t="shared" si="387"/>
        <v>5.8144374662402569</v>
      </c>
      <c r="AP1414" s="8">
        <f t="shared" si="388"/>
        <v>0.51029533823421347</v>
      </c>
      <c r="AQ1414" s="8"/>
      <c r="AR1414" s="8">
        <f t="shared" si="389"/>
        <v>333.14272705830678</v>
      </c>
      <c r="AS1414" s="8">
        <f t="shared" si="390"/>
        <v>60.762230813978732</v>
      </c>
    </row>
    <row r="1415" spans="1:45">
      <c r="A1415" s="21">
        <v>55.822433330000003</v>
      </c>
      <c r="B1415" s="21">
        <v>1185.4352719999999</v>
      </c>
      <c r="C1415" s="21">
        <v>-1031.8477230000001</v>
      </c>
      <c r="E1415" s="9">
        <f t="shared" si="378"/>
        <v>-225.43527199999994</v>
      </c>
      <c r="F1415" s="9">
        <f t="shared" si="379"/>
        <v>-491.84772300000009</v>
      </c>
      <c r="I1415">
        <v>1</v>
      </c>
      <c r="J1415">
        <f t="shared" si="380"/>
        <v>0.3465962066219973</v>
      </c>
      <c r="K1415">
        <f t="shared" si="381"/>
        <v>-2.0005671170834836</v>
      </c>
      <c r="O1415">
        <f t="shared" si="382"/>
        <v>-0.14153956542395249</v>
      </c>
      <c r="P1415">
        <f t="shared" si="383"/>
        <v>-0.30880665811772612</v>
      </c>
      <c r="Q1415">
        <f t="shared" si="384"/>
        <v>0.94053442218866212</v>
      </c>
      <c r="R1415">
        <f t="shared" si="385"/>
        <v>1</v>
      </c>
      <c r="AG1415" s="8">
        <f t="shared" si="375"/>
        <v>0.4363586641720672</v>
      </c>
      <c r="AH1415" s="8">
        <f t="shared" si="376"/>
        <v>-0.2209271174704758</v>
      </c>
      <c r="AI1415" s="8">
        <f t="shared" si="377"/>
        <v>0.87222836744063514</v>
      </c>
      <c r="AJ1415" s="8"/>
      <c r="AK1415" s="8"/>
      <c r="AL1415" s="8"/>
      <c r="AN1415" s="8">
        <f t="shared" si="386"/>
        <v>1</v>
      </c>
      <c r="AO1415" s="8">
        <f t="shared" si="387"/>
        <v>5.8145127336805293</v>
      </c>
      <c r="AP1415" s="8">
        <f t="shared" si="388"/>
        <v>0.51105628320224583</v>
      </c>
      <c r="AQ1415" s="8"/>
      <c r="AR1415" s="8">
        <f t="shared" si="389"/>
        <v>333.14703956496919</v>
      </c>
      <c r="AS1415" s="8">
        <f t="shared" si="390"/>
        <v>60.718631878868763</v>
      </c>
    </row>
    <row r="1416" spans="1:45">
      <c r="A1416" s="21">
        <v>55.855800000000002</v>
      </c>
      <c r="B1416" s="21">
        <v>1185.727533</v>
      </c>
      <c r="C1416" s="21">
        <v>-1032.720699</v>
      </c>
      <c r="E1416" s="9">
        <f t="shared" si="378"/>
        <v>-225.72753299999999</v>
      </c>
      <c r="F1416" s="9">
        <f t="shared" si="379"/>
        <v>-492.72069899999997</v>
      </c>
      <c r="I1416">
        <v>1</v>
      </c>
      <c r="J1416">
        <f t="shared" si="380"/>
        <v>0.34714313097168553</v>
      </c>
      <c r="K1416">
        <f t="shared" si="381"/>
        <v>-2.0003861956794848</v>
      </c>
      <c r="O1416">
        <f t="shared" si="382"/>
        <v>-0.14169791924943631</v>
      </c>
      <c r="P1416">
        <f t="shared" si="383"/>
        <v>-0.30929987534762887</v>
      </c>
      <c r="Q1416">
        <f t="shared" si="384"/>
        <v>0.94034849220399219</v>
      </c>
      <c r="R1416">
        <f t="shared" si="385"/>
        <v>1</v>
      </c>
      <c r="AG1416" s="8">
        <f t="shared" si="375"/>
        <v>0.43685339781727994</v>
      </c>
      <c r="AH1416" s="8">
        <f t="shared" si="376"/>
        <v>-0.22088986643863098</v>
      </c>
      <c r="AI1416" s="8">
        <f t="shared" si="377"/>
        <v>0.87199012363685702</v>
      </c>
      <c r="AJ1416" s="8"/>
      <c r="AK1416" s="8"/>
      <c r="AL1416" s="8"/>
      <c r="AN1416" s="8">
        <f t="shared" si="386"/>
        <v>1</v>
      </c>
      <c r="AO1416" s="8">
        <f t="shared" si="387"/>
        <v>5.815037134665717</v>
      </c>
      <c r="AP1416" s="8">
        <f t="shared" si="388"/>
        <v>0.51154317952076789</v>
      </c>
      <c r="AQ1416" s="8"/>
      <c r="AR1416" s="8">
        <f t="shared" si="389"/>
        <v>333.17708552819295</v>
      </c>
      <c r="AS1416" s="8">
        <f t="shared" si="390"/>
        <v>60.69073477475699</v>
      </c>
    </row>
    <row r="1417" spans="1:45">
      <c r="A1417" s="21">
        <v>55.889166670000002</v>
      </c>
      <c r="B1417" s="21">
        <v>1186.210513</v>
      </c>
      <c r="C1417" s="21">
        <v>-1033.6019980000001</v>
      </c>
      <c r="E1417" s="9">
        <f t="shared" si="378"/>
        <v>-226.21051299999999</v>
      </c>
      <c r="F1417" s="9">
        <f t="shared" si="379"/>
        <v>-493.60199800000009</v>
      </c>
      <c r="I1417">
        <v>1</v>
      </c>
      <c r="J1417">
        <f t="shared" si="380"/>
        <v>0.34774180999601562</v>
      </c>
      <c r="K1417">
        <f t="shared" si="381"/>
        <v>-2.0005188657175719</v>
      </c>
      <c r="O1417">
        <f t="shared" si="382"/>
        <v>-0.1419734698937383</v>
      </c>
      <c r="P1417">
        <f t="shared" si="383"/>
        <v>-0.30979280084362004</v>
      </c>
      <c r="Q1417">
        <f t="shared" si="384"/>
        <v>0.94014464546249321</v>
      </c>
      <c r="R1417">
        <f t="shared" si="385"/>
        <v>1</v>
      </c>
      <c r="AG1417" s="8">
        <f t="shared" si="375"/>
        <v>0.43737940790704527</v>
      </c>
      <c r="AH1417" s="8">
        <f t="shared" si="376"/>
        <v>-0.22095862173698599</v>
      </c>
      <c r="AI1417" s="8">
        <f t="shared" si="377"/>
        <v>0.87170897725042051</v>
      </c>
      <c r="AJ1417" s="8"/>
      <c r="AK1417" s="8"/>
      <c r="AL1417" s="8"/>
      <c r="AN1417" s="8">
        <f t="shared" si="386"/>
        <v>1.0000000000000002</v>
      </c>
      <c r="AO1417" s="8">
        <f t="shared" si="387"/>
        <v>5.8153962932250742</v>
      </c>
      <c r="AP1417" s="8">
        <f t="shared" si="388"/>
        <v>0.51211721274807509</v>
      </c>
      <c r="AQ1417" s="8"/>
      <c r="AR1417" s="8">
        <f t="shared" si="389"/>
        <v>333.1976637978201</v>
      </c>
      <c r="AS1417" s="8">
        <f t="shared" si="390"/>
        <v>60.657845093532018</v>
      </c>
    </row>
    <row r="1418" spans="1:45">
      <c r="A1418" s="21">
        <v>55.92253333</v>
      </c>
      <c r="B1418" s="21">
        <v>1186.727877</v>
      </c>
      <c r="C1418" s="21">
        <v>-1034.418694</v>
      </c>
      <c r="E1418" s="9">
        <f t="shared" si="378"/>
        <v>-226.72787700000003</v>
      </c>
      <c r="F1418" s="9">
        <f t="shared" si="379"/>
        <v>-494.41869399999996</v>
      </c>
      <c r="I1418">
        <v>1</v>
      </c>
      <c r="J1418">
        <f t="shared" si="380"/>
        <v>0.34831375014362143</v>
      </c>
      <c r="K1418">
        <f t="shared" si="381"/>
        <v>-2.0007580072101474</v>
      </c>
      <c r="O1418">
        <f t="shared" si="382"/>
        <v>-0.14227166229835281</v>
      </c>
      <c r="P1418">
        <f t="shared" si="383"/>
        <v>-0.31024755489930639</v>
      </c>
      <c r="Q1418">
        <f t="shared" si="384"/>
        <v>0.93994958842794618</v>
      </c>
      <c r="R1418">
        <f t="shared" si="385"/>
        <v>1</v>
      </c>
      <c r="AG1418" s="8">
        <f t="shared" si="375"/>
        <v>0.43787649626578895</v>
      </c>
      <c r="AH1418" s="8">
        <f t="shared" si="376"/>
        <v>-0.22106174749430157</v>
      </c>
      <c r="AI1418" s="8">
        <f t="shared" si="377"/>
        <v>0.87143323198783407</v>
      </c>
      <c r="AJ1418" s="8"/>
      <c r="AK1418" s="8"/>
      <c r="AL1418" s="8"/>
      <c r="AN1418" s="8">
        <f t="shared" si="386"/>
        <v>1</v>
      </c>
      <c r="AO1418" s="8">
        <f t="shared" si="387"/>
        <v>5.815665597137019</v>
      </c>
      <c r="AP1418" s="8">
        <f t="shared" si="388"/>
        <v>0.51267964935621335</v>
      </c>
      <c r="AQ1418" s="8"/>
      <c r="AR1418" s="8">
        <f t="shared" si="389"/>
        <v>333.21309377538091</v>
      </c>
      <c r="AS1418" s="8">
        <f t="shared" si="390"/>
        <v>60.625619849642042</v>
      </c>
    </row>
    <row r="1419" spans="1:45">
      <c r="A1419" s="21">
        <v>55.9559</v>
      </c>
      <c r="B1419" s="21">
        <v>1186.857362</v>
      </c>
      <c r="C1419" s="21">
        <v>-1034.880521</v>
      </c>
      <c r="E1419" s="9">
        <f t="shared" si="378"/>
        <v>-226.85736199999997</v>
      </c>
      <c r="F1419" s="9">
        <f t="shared" si="379"/>
        <v>-494.88052100000004</v>
      </c>
      <c r="I1419">
        <v>1</v>
      </c>
      <c r="J1419">
        <f t="shared" si="380"/>
        <v>0.34859651478776355</v>
      </c>
      <c r="K1419">
        <f t="shared" si="381"/>
        <v>-2.0006205960160139</v>
      </c>
      <c r="O1419">
        <f t="shared" si="382"/>
        <v>-0.1423397791268077</v>
      </c>
      <c r="P1419">
        <f t="shared" si="383"/>
        <v>-0.31050869776621803</v>
      </c>
      <c r="Q1419">
        <f t="shared" si="384"/>
        <v>0.93985303951716781</v>
      </c>
      <c r="R1419">
        <f t="shared" si="385"/>
        <v>1</v>
      </c>
      <c r="AG1419" s="8">
        <f t="shared" si="375"/>
        <v>0.43813415265888067</v>
      </c>
      <c r="AH1419" s="8">
        <f t="shared" si="376"/>
        <v>-0.22102771263605536</v>
      </c>
      <c r="AI1419" s="8">
        <f t="shared" si="377"/>
        <v>0.87131235186972866</v>
      </c>
      <c r="AJ1419" s="8"/>
      <c r="AK1419" s="8"/>
      <c r="AL1419" s="8"/>
      <c r="AN1419" s="8">
        <f t="shared" si="386"/>
        <v>0.99999999999999978</v>
      </c>
      <c r="AO1419" s="8">
        <f t="shared" si="387"/>
        <v>5.8159641356605078</v>
      </c>
      <c r="AP1419" s="8">
        <f t="shared" si="388"/>
        <v>0.51292603097829259</v>
      </c>
      <c r="AQ1419" s="8"/>
      <c r="AR1419" s="8">
        <f t="shared" si="389"/>
        <v>333.23019877279887</v>
      </c>
      <c r="AS1419" s="8">
        <f t="shared" si="390"/>
        <v>60.611503222547313</v>
      </c>
    </row>
    <row r="1420" spans="1:45">
      <c r="A1420" s="21">
        <v>55.989266669999999</v>
      </c>
      <c r="B1420" s="21">
        <v>1187.4559400000001</v>
      </c>
      <c r="C1420" s="21">
        <v>-1036.0773529999999</v>
      </c>
      <c r="E1420" s="9">
        <f t="shared" si="378"/>
        <v>-227.45594000000006</v>
      </c>
      <c r="F1420" s="9">
        <f t="shared" si="379"/>
        <v>-496.0773529999999</v>
      </c>
      <c r="I1420">
        <v>1</v>
      </c>
      <c r="J1420">
        <f t="shared" si="380"/>
        <v>0.34939442951811128</v>
      </c>
      <c r="K1420">
        <f t="shared" si="381"/>
        <v>-2.0007037818768101</v>
      </c>
      <c r="O1420">
        <f t="shared" si="382"/>
        <v>-0.14267812095927934</v>
      </c>
      <c r="P1420">
        <f t="shared" si="383"/>
        <v>-0.31117843999366718</v>
      </c>
      <c r="Q1420">
        <f t="shared" si="384"/>
        <v>0.93958018938387422</v>
      </c>
      <c r="R1420">
        <f t="shared" si="385"/>
        <v>1</v>
      </c>
      <c r="AG1420" s="8">
        <f t="shared" si="375"/>
        <v>0.43883898982103398</v>
      </c>
      <c r="AH1420" s="8">
        <f t="shared" si="376"/>
        <v>-0.2210882794664456</v>
      </c>
      <c r="AI1420" s="8">
        <f t="shared" si="377"/>
        <v>0.87094219882574375</v>
      </c>
      <c r="AJ1420" s="8"/>
      <c r="AK1420" s="8"/>
      <c r="AL1420" s="8"/>
      <c r="AN1420" s="8">
        <f t="shared" si="386"/>
        <v>1.0000000000000002</v>
      </c>
      <c r="AO1420" s="8">
        <f t="shared" si="387"/>
        <v>5.8165001469077549</v>
      </c>
      <c r="AP1420" s="8">
        <f t="shared" si="388"/>
        <v>0.51367981905316196</v>
      </c>
      <c r="AQ1420" s="8"/>
      <c r="AR1420" s="8">
        <f t="shared" si="389"/>
        <v>333.26090995503768</v>
      </c>
      <c r="AS1420" s="8">
        <f t="shared" si="390"/>
        <v>60.568314347210006</v>
      </c>
    </row>
    <row r="1421" spans="1:45">
      <c r="A1421" s="21">
        <v>56.022633329999998</v>
      </c>
      <c r="B1421" s="21">
        <v>1187.838524</v>
      </c>
      <c r="C1421" s="21">
        <v>-1036.7650470000001</v>
      </c>
      <c r="E1421" s="9">
        <f t="shared" si="378"/>
        <v>-227.83852400000001</v>
      </c>
      <c r="F1421" s="9">
        <f t="shared" si="379"/>
        <v>-496.7650470000001</v>
      </c>
      <c r="I1421">
        <v>1</v>
      </c>
      <c r="J1421">
        <f t="shared" si="380"/>
        <v>0.34986231464466933</v>
      </c>
      <c r="K1421">
        <f t="shared" si="381"/>
        <v>-2.0008156691411041</v>
      </c>
      <c r="O1421">
        <f t="shared" si="382"/>
        <v>-0.14289619197796505</v>
      </c>
      <c r="P1421">
        <f t="shared" si="383"/>
        <v>-0.31156203208222527</v>
      </c>
      <c r="Q1421">
        <f t="shared" si="384"/>
        <v>0.9394199159497264</v>
      </c>
      <c r="R1421">
        <f t="shared" si="385"/>
        <v>1</v>
      </c>
      <c r="AG1421" s="8">
        <f t="shared" si="375"/>
        <v>0.43924919043261895</v>
      </c>
      <c r="AH1421" s="8">
        <f t="shared" si="376"/>
        <v>-0.22114486316664089</v>
      </c>
      <c r="AI1421" s="8">
        <f t="shared" si="377"/>
        <v>0.8707210220267434</v>
      </c>
      <c r="AJ1421" s="8"/>
      <c r="AK1421" s="8"/>
      <c r="AL1421" s="8"/>
      <c r="AN1421" s="8">
        <f t="shared" si="386"/>
        <v>1</v>
      </c>
      <c r="AO1421" s="8">
        <f t="shared" si="387"/>
        <v>5.8167726849178347</v>
      </c>
      <c r="AP1421" s="8">
        <f t="shared" si="388"/>
        <v>0.51412974820654056</v>
      </c>
      <c r="AQ1421" s="8"/>
      <c r="AR1421" s="8">
        <f t="shared" si="389"/>
        <v>333.27652523277214</v>
      </c>
      <c r="AS1421" s="8">
        <f t="shared" si="390"/>
        <v>60.542535305641522</v>
      </c>
    </row>
    <row r="1422" spans="1:45">
      <c r="A1422" s="21">
        <v>56.055999999999997</v>
      </c>
      <c r="B1422" s="21">
        <v>1188.5258670000001</v>
      </c>
      <c r="C1422" s="21">
        <v>-1037.435043</v>
      </c>
      <c r="E1422" s="9">
        <f t="shared" si="378"/>
        <v>-228.52586700000006</v>
      </c>
      <c r="F1422" s="9">
        <f t="shared" si="379"/>
        <v>-497.43504299999995</v>
      </c>
      <c r="I1422">
        <v>1</v>
      </c>
      <c r="J1422">
        <f t="shared" si="380"/>
        <v>0.35039625511561973</v>
      </c>
      <c r="K1422">
        <f t="shared" si="381"/>
        <v>-2.0014467273483154</v>
      </c>
      <c r="O1422">
        <f t="shared" si="382"/>
        <v>-0.14330215339963068</v>
      </c>
      <c r="P1422">
        <f t="shared" si="383"/>
        <v>-0.31192754577029075</v>
      </c>
      <c r="Q1422">
        <f t="shared" si="384"/>
        <v>0.93923676409132961</v>
      </c>
      <c r="R1422">
        <f t="shared" si="385"/>
        <v>1</v>
      </c>
      <c r="AG1422" s="8">
        <f t="shared" si="375"/>
        <v>0.43969339879102298</v>
      </c>
      <c r="AH1422" s="8">
        <f t="shared" si="376"/>
        <v>-0.22137785054520612</v>
      </c>
      <c r="AI1422" s="8">
        <f t="shared" si="377"/>
        <v>0.87043756947157491</v>
      </c>
      <c r="AJ1422" s="8"/>
      <c r="AK1422" s="8"/>
      <c r="AL1422" s="8"/>
      <c r="AN1422" s="8">
        <f t="shared" si="386"/>
        <v>1</v>
      </c>
      <c r="AO1422" s="8">
        <f t="shared" si="387"/>
        <v>5.8167557280232973</v>
      </c>
      <c r="AP1422" s="8">
        <f t="shared" si="388"/>
        <v>0.51470583842027162</v>
      </c>
      <c r="AQ1422" s="8"/>
      <c r="AR1422" s="8">
        <f t="shared" si="389"/>
        <v>333.27555367428147</v>
      </c>
      <c r="AS1422" s="8">
        <f t="shared" si="390"/>
        <v>60.509527767775936</v>
      </c>
    </row>
    <row r="1423" spans="1:45">
      <c r="A1423" s="21">
        <v>56.089366669999997</v>
      </c>
      <c r="B1423" s="21">
        <v>1189.221039</v>
      </c>
      <c r="C1423" s="21">
        <v>-1038.0667659999999</v>
      </c>
      <c r="E1423" s="9">
        <f t="shared" si="378"/>
        <v>-229.22103900000002</v>
      </c>
      <c r="F1423" s="9">
        <f t="shared" si="379"/>
        <v>-498.06676599999992</v>
      </c>
      <c r="I1423">
        <v>1</v>
      </c>
      <c r="J1423">
        <f t="shared" si="380"/>
        <v>0.35091136180487187</v>
      </c>
      <c r="K1423">
        <f t="shared" si="381"/>
        <v>-2.0021178762877376</v>
      </c>
      <c r="O1423">
        <f t="shared" si="382"/>
        <v>-0.14371371796703666</v>
      </c>
      <c r="P1423">
        <f t="shared" si="383"/>
        <v>-0.3122707542464202</v>
      </c>
      <c r="Q1423">
        <f t="shared" si="384"/>
        <v>0.93905981881372336</v>
      </c>
      <c r="R1423">
        <f t="shared" si="385"/>
        <v>1</v>
      </c>
      <c r="AG1423" s="8">
        <f t="shared" si="375"/>
        <v>0.44011864296315889</v>
      </c>
      <c r="AH1423" s="8">
        <f t="shared" si="376"/>
        <v>-0.22162401016016808</v>
      </c>
      <c r="AI1423" s="8">
        <f t="shared" si="377"/>
        <v>0.87015997278477086</v>
      </c>
      <c r="AJ1423" s="8"/>
      <c r="AK1423" s="8"/>
      <c r="AL1423" s="8"/>
      <c r="AN1423" s="8">
        <f t="shared" si="386"/>
        <v>1</v>
      </c>
      <c r="AO1423" s="8">
        <f t="shared" si="387"/>
        <v>5.8166976229765686</v>
      </c>
      <c r="AP1423" s="8">
        <f t="shared" si="388"/>
        <v>0.51526945894285547</v>
      </c>
      <c r="AQ1423" s="8"/>
      <c r="AR1423" s="8">
        <f t="shared" si="389"/>
        <v>333.27222450033554</v>
      </c>
      <c r="AS1423" s="8">
        <f t="shared" si="390"/>
        <v>60.477234690584929</v>
      </c>
    </row>
    <row r="1424" spans="1:45">
      <c r="A1424" s="21">
        <v>56.122733330000003</v>
      </c>
      <c r="B1424" s="21">
        <v>1189.5560889999999</v>
      </c>
      <c r="C1424" s="21">
        <v>-1038.8817529999999</v>
      </c>
      <c r="E1424" s="9">
        <f t="shared" si="378"/>
        <v>-229.55608899999993</v>
      </c>
      <c r="F1424" s="9">
        <f t="shared" si="379"/>
        <v>-498.88175299999989</v>
      </c>
      <c r="I1424">
        <v>1</v>
      </c>
      <c r="J1424">
        <f t="shared" si="380"/>
        <v>0.351435841931658</v>
      </c>
      <c r="K1424">
        <f t="shared" si="381"/>
        <v>-2.0020516684018688</v>
      </c>
      <c r="O1424">
        <f t="shared" si="382"/>
        <v>-0.14389890138741895</v>
      </c>
      <c r="P1424">
        <f t="shared" si="383"/>
        <v>-0.31272764966356342</v>
      </c>
      <c r="Q1424">
        <f t="shared" si="384"/>
        <v>0.93887939764135708</v>
      </c>
      <c r="R1424">
        <f t="shared" si="385"/>
        <v>1</v>
      </c>
      <c r="AG1424" s="8">
        <f t="shared" si="375"/>
        <v>0.44058705750108518</v>
      </c>
      <c r="AH1424" s="8">
        <f t="shared" si="376"/>
        <v>-0.22162384407523866</v>
      </c>
      <c r="AI1424" s="8">
        <f t="shared" si="377"/>
        <v>0.86992293710411495</v>
      </c>
      <c r="AJ1424" s="8"/>
      <c r="AK1424" s="8"/>
      <c r="AL1424" s="8"/>
      <c r="AN1424" s="8">
        <f t="shared" si="386"/>
        <v>1.0000000000000002</v>
      </c>
      <c r="AO1424" s="8">
        <f t="shared" si="387"/>
        <v>5.8171250844581603</v>
      </c>
      <c r="AP1424" s="8">
        <f t="shared" si="388"/>
        <v>0.51575028249291255</v>
      </c>
      <c r="AQ1424" s="8"/>
      <c r="AR1424" s="8">
        <f t="shared" si="389"/>
        <v>333.29671623913515</v>
      </c>
      <c r="AS1424" s="8">
        <f t="shared" si="390"/>
        <v>60.44968553047616</v>
      </c>
    </row>
    <row r="1425" spans="1:45">
      <c r="A1425" s="21">
        <v>56.156100000000002</v>
      </c>
      <c r="B1425" s="21">
        <v>1189.7321979999999</v>
      </c>
      <c r="C1425" s="21">
        <v>-1039.8130960000001</v>
      </c>
      <c r="E1425" s="9">
        <f t="shared" si="378"/>
        <v>-229.73219799999993</v>
      </c>
      <c r="F1425" s="9">
        <f t="shared" si="379"/>
        <v>-499.81309600000009</v>
      </c>
      <c r="I1425">
        <v>1</v>
      </c>
      <c r="J1425">
        <f t="shared" si="380"/>
        <v>0.35198353649537201</v>
      </c>
      <c r="K1425">
        <f t="shared" si="381"/>
        <v>-2.0016347715840381</v>
      </c>
      <c r="O1425">
        <f t="shared" si="382"/>
        <v>-0.14398324691681008</v>
      </c>
      <c r="P1425">
        <f t="shared" si="383"/>
        <v>-0.31325479423490893</v>
      </c>
      <c r="Q1425">
        <f t="shared" si="384"/>
        <v>0.9386907150367142</v>
      </c>
      <c r="R1425">
        <f t="shared" si="385"/>
        <v>1</v>
      </c>
      <c r="AG1425" s="8">
        <f t="shared" si="375"/>
        <v>0.44109264520465818</v>
      </c>
      <c r="AH1425" s="8">
        <f t="shared" si="376"/>
        <v>-0.22150673032561635</v>
      </c>
      <c r="AI1425" s="8">
        <f t="shared" si="377"/>
        <v>0.86969652567249689</v>
      </c>
      <c r="AJ1425" s="8"/>
      <c r="AK1425" s="8"/>
      <c r="AL1425" s="8"/>
      <c r="AN1425" s="8">
        <f t="shared" si="386"/>
        <v>0.99999999999999978</v>
      </c>
      <c r="AO1425" s="8">
        <f t="shared" si="387"/>
        <v>5.8177973453709182</v>
      </c>
      <c r="AP1425" s="8">
        <f t="shared" si="388"/>
        <v>0.51620917442335856</v>
      </c>
      <c r="AQ1425" s="8"/>
      <c r="AR1425" s="8">
        <f t="shared" si="389"/>
        <v>333.33523395216775</v>
      </c>
      <c r="AS1425" s="8">
        <f t="shared" si="390"/>
        <v>60.423392959608989</v>
      </c>
    </row>
    <row r="1426" spans="1:45">
      <c r="A1426" s="21">
        <v>56.189466670000002</v>
      </c>
      <c r="B1426" s="21">
        <v>1190.0531940000001</v>
      </c>
      <c r="C1426" s="21">
        <v>-1040.3928519999999</v>
      </c>
      <c r="E1426" s="9">
        <f t="shared" si="378"/>
        <v>-230.05319400000008</v>
      </c>
      <c r="F1426" s="9">
        <f t="shared" si="379"/>
        <v>-500.39285199999995</v>
      </c>
      <c r="I1426">
        <v>1</v>
      </c>
      <c r="J1426">
        <f t="shared" si="380"/>
        <v>0.35237693011253257</v>
      </c>
      <c r="K1426">
        <f t="shared" si="381"/>
        <v>-2.0017247173411397</v>
      </c>
      <c r="O1426">
        <f t="shared" si="382"/>
        <v>-0.14416566262087338</v>
      </c>
      <c r="P1426">
        <f t="shared" si="383"/>
        <v>-0.31357733324636461</v>
      </c>
      <c r="Q1426">
        <f t="shared" si="384"/>
        <v>0.93855501585958345</v>
      </c>
      <c r="R1426">
        <f t="shared" si="385"/>
        <v>1</v>
      </c>
      <c r="AG1426" s="8">
        <f t="shared" si="375"/>
        <v>0.44143718579998137</v>
      </c>
      <c r="AH1426" s="8">
        <f t="shared" si="376"/>
        <v>-0.22155324327106901</v>
      </c>
      <c r="AI1426" s="8">
        <f t="shared" si="377"/>
        <v>0.86950984548138566</v>
      </c>
      <c r="AJ1426" s="8"/>
      <c r="AK1426" s="8"/>
      <c r="AL1426" s="8"/>
      <c r="AN1426" s="8">
        <f t="shared" si="386"/>
        <v>1</v>
      </c>
      <c r="AO1426" s="8">
        <f t="shared" si="387"/>
        <v>5.8180262369942728</v>
      </c>
      <c r="AP1426" s="8">
        <f t="shared" si="388"/>
        <v>0.51658725995025989</v>
      </c>
      <c r="AQ1426" s="8"/>
      <c r="AR1426" s="8">
        <f t="shared" si="389"/>
        <v>333.3483484761519</v>
      </c>
      <c r="AS1426" s="8">
        <f t="shared" si="390"/>
        <v>60.401730254622564</v>
      </c>
    </row>
    <row r="1427" spans="1:45">
      <c r="A1427" s="21">
        <v>56.22283333</v>
      </c>
      <c r="B1427" s="21">
        <v>1190.8219630000001</v>
      </c>
      <c r="C1427" s="21">
        <v>-1041.3832640000001</v>
      </c>
      <c r="E1427" s="9">
        <f t="shared" si="378"/>
        <v>-230.8219630000001</v>
      </c>
      <c r="F1427" s="9">
        <f t="shared" si="379"/>
        <v>-501.38326400000005</v>
      </c>
      <c r="I1427">
        <v>1</v>
      </c>
      <c r="J1427">
        <f t="shared" si="380"/>
        <v>0.35310354234059538</v>
      </c>
      <c r="K1427">
        <f t="shared" si="381"/>
        <v>-2.002240652371952</v>
      </c>
      <c r="O1427">
        <f t="shared" si="382"/>
        <v>-0.14461257737518043</v>
      </c>
      <c r="P1427">
        <f t="shared" si="383"/>
        <v>-0.31412230065741414</v>
      </c>
      <c r="Q1427">
        <f t="shared" si="384"/>
        <v>0.93830399268819087</v>
      </c>
      <c r="R1427">
        <f t="shared" si="385"/>
        <v>1</v>
      </c>
      <c r="AG1427" s="8">
        <f t="shared" si="375"/>
        <v>0.44205661338699176</v>
      </c>
      <c r="AH1427" s="8">
        <f t="shared" si="376"/>
        <v>-0.22175708176272668</v>
      </c>
      <c r="AI1427" s="8">
        <f t="shared" si="377"/>
        <v>0.86914311091379137</v>
      </c>
      <c r="AJ1427" s="8"/>
      <c r="AK1427" s="8"/>
      <c r="AL1427" s="8"/>
      <c r="AN1427" s="8">
        <f t="shared" si="386"/>
        <v>1</v>
      </c>
      <c r="AO1427" s="8">
        <f t="shared" si="387"/>
        <v>5.8182196871215934</v>
      </c>
      <c r="AP1427" s="8">
        <f t="shared" si="388"/>
        <v>0.51732927988532595</v>
      </c>
      <c r="AQ1427" s="8"/>
      <c r="AR1427" s="8">
        <f t="shared" si="389"/>
        <v>333.35943235199363</v>
      </c>
      <c r="AS1427" s="8">
        <f t="shared" si="390"/>
        <v>60.359215644028708</v>
      </c>
    </row>
    <row r="1428" spans="1:45">
      <c r="A1428" s="21">
        <v>56.2562</v>
      </c>
      <c r="B1428" s="21">
        <v>1191.524895</v>
      </c>
      <c r="C1428" s="21">
        <v>-1042.1423259999999</v>
      </c>
      <c r="E1428" s="9">
        <f t="shared" si="378"/>
        <v>-231.52489500000001</v>
      </c>
      <c r="F1428" s="9">
        <f t="shared" si="379"/>
        <v>-502.14232599999991</v>
      </c>
      <c r="I1428">
        <v>1</v>
      </c>
      <c r="J1428">
        <f t="shared" si="380"/>
        <v>0.35368854916192882</v>
      </c>
      <c r="K1428">
        <f t="shared" si="381"/>
        <v>-2.0028213410919653</v>
      </c>
      <c r="O1428">
        <f t="shared" si="382"/>
        <v>-0.14502477168754538</v>
      </c>
      <c r="P1428">
        <f t="shared" si="383"/>
        <v>-0.31453669888416524</v>
      </c>
      <c r="Q1428">
        <f t="shared" si="384"/>
        <v>0.93810153003394425</v>
      </c>
      <c r="R1428">
        <f t="shared" si="385"/>
        <v>1</v>
      </c>
      <c r="AG1428" s="8">
        <f t="shared" si="375"/>
        <v>0.4425470566967239</v>
      </c>
      <c r="AH1428" s="8">
        <f t="shared" si="376"/>
        <v>-0.22197737448498064</v>
      </c>
      <c r="AI1428" s="8">
        <f t="shared" si="377"/>
        <v>0.86883723897276699</v>
      </c>
      <c r="AJ1428" s="8"/>
      <c r="AK1428" s="8"/>
      <c r="AL1428" s="8"/>
      <c r="AN1428" s="8">
        <f t="shared" si="386"/>
        <v>0.99999999999999967</v>
      </c>
      <c r="AO1428" s="8">
        <f t="shared" si="387"/>
        <v>5.8182661529082305</v>
      </c>
      <c r="AP1428" s="8">
        <f t="shared" si="388"/>
        <v>0.51794741621262741</v>
      </c>
      <c r="AQ1428" s="8"/>
      <c r="AR1428" s="8">
        <f t="shared" si="389"/>
        <v>333.36209464545971</v>
      </c>
      <c r="AS1428" s="8">
        <f t="shared" si="390"/>
        <v>60.323799041310622</v>
      </c>
    </row>
    <row r="1429" spans="1:45">
      <c r="A1429" s="21">
        <v>56.289566669999999</v>
      </c>
      <c r="B1429" s="21">
        <v>1191.578143</v>
      </c>
      <c r="C1429" s="21">
        <v>-1042.777867</v>
      </c>
      <c r="E1429" s="9">
        <f t="shared" si="378"/>
        <v>-231.57814299999995</v>
      </c>
      <c r="F1429" s="9">
        <f t="shared" si="379"/>
        <v>-502.77786700000001</v>
      </c>
      <c r="I1429">
        <v>1</v>
      </c>
      <c r="J1429">
        <f t="shared" si="380"/>
        <v>0.35404499970898984</v>
      </c>
      <c r="K1429">
        <f t="shared" si="381"/>
        <v>-2.0024279647340468</v>
      </c>
      <c r="O1429">
        <f t="shared" si="382"/>
        <v>-0.14504091179989415</v>
      </c>
      <c r="P1429">
        <f t="shared" si="383"/>
        <v>-0.31489742217375816</v>
      </c>
      <c r="Q1429">
        <f t="shared" si="384"/>
        <v>0.93797801009009651</v>
      </c>
      <c r="R1429">
        <f t="shared" si="385"/>
        <v>1</v>
      </c>
      <c r="AG1429" s="8">
        <f t="shared" si="375"/>
        <v>0.44288175191938062</v>
      </c>
      <c r="AH1429" s="8">
        <f t="shared" si="376"/>
        <v>-0.22185951051435759</v>
      </c>
      <c r="AI1429" s="8">
        <f t="shared" si="377"/>
        <v>0.86869678911064807</v>
      </c>
      <c r="AJ1429" s="8"/>
      <c r="AK1429" s="8"/>
      <c r="AL1429" s="8"/>
      <c r="AN1429" s="8">
        <f t="shared" si="386"/>
        <v>0.99999999999999989</v>
      </c>
      <c r="AO1429" s="8">
        <f t="shared" si="387"/>
        <v>5.8187817830894302</v>
      </c>
      <c r="AP1429" s="8">
        <f t="shared" si="388"/>
        <v>0.51823102667440524</v>
      </c>
      <c r="AQ1429" s="8"/>
      <c r="AR1429" s="8">
        <f t="shared" si="389"/>
        <v>333.39163807863201</v>
      </c>
      <c r="AS1429" s="8">
        <f t="shared" si="390"/>
        <v>60.307549358824993</v>
      </c>
    </row>
    <row r="1430" spans="1:45">
      <c r="A1430" s="21">
        <v>56.322933329999998</v>
      </c>
      <c r="B1430" s="21">
        <v>1192.1568380000001</v>
      </c>
      <c r="C1430" s="21">
        <v>-1043.915049</v>
      </c>
      <c r="E1430" s="9">
        <f t="shared" si="378"/>
        <v>-232.15683800000011</v>
      </c>
      <c r="F1430" s="9">
        <f t="shared" si="379"/>
        <v>-503.91504899999995</v>
      </c>
      <c r="I1430">
        <v>1</v>
      </c>
      <c r="J1430">
        <f t="shared" si="380"/>
        <v>0.35480280170119488</v>
      </c>
      <c r="K1430">
        <f t="shared" si="381"/>
        <v>-2.0025178597632571</v>
      </c>
      <c r="O1430">
        <f t="shared" si="382"/>
        <v>-0.14536660151264535</v>
      </c>
      <c r="P1430">
        <f t="shared" si="383"/>
        <v>-0.31552987521396292</v>
      </c>
      <c r="Q1430">
        <f t="shared" si="384"/>
        <v>0.93771501481640185</v>
      </c>
      <c r="R1430">
        <f t="shared" si="385"/>
        <v>1</v>
      </c>
      <c r="AG1430" s="8">
        <f t="shared" si="375"/>
        <v>0.44354853574644165</v>
      </c>
      <c r="AH1430" s="8">
        <f t="shared" si="376"/>
        <v>-0.2219214452667389</v>
      </c>
      <c r="AI1430" s="8">
        <f t="shared" si="377"/>
        <v>0.86834069844036987</v>
      </c>
      <c r="AJ1430" s="8"/>
      <c r="AK1430" s="8"/>
      <c r="AL1430" s="8"/>
      <c r="AN1430" s="8">
        <f t="shared" si="386"/>
        <v>1</v>
      </c>
      <c r="AO1430" s="8">
        <f t="shared" si="387"/>
        <v>5.8192722790034681</v>
      </c>
      <c r="AP1430" s="8">
        <f t="shared" si="388"/>
        <v>0.51894944936185139</v>
      </c>
      <c r="AQ1430" s="8"/>
      <c r="AR1430" s="8">
        <f t="shared" si="389"/>
        <v>333.41974142437476</v>
      </c>
      <c r="AS1430" s="8">
        <f t="shared" si="390"/>
        <v>60.26638677092788</v>
      </c>
    </row>
    <row r="1431" spans="1:45">
      <c r="A1431" s="21">
        <v>56.356299999999997</v>
      </c>
      <c r="B1431" s="21">
        <v>1192.4266889999999</v>
      </c>
      <c r="C1431" s="21">
        <v>-1044.4803400000001</v>
      </c>
      <c r="E1431" s="9">
        <f t="shared" si="378"/>
        <v>-232.4266889999999</v>
      </c>
      <c r="F1431" s="9">
        <f t="shared" si="379"/>
        <v>-504.48034000000007</v>
      </c>
      <c r="I1431">
        <v>1</v>
      </c>
      <c r="J1431">
        <f t="shared" si="380"/>
        <v>0.35517492507846421</v>
      </c>
      <c r="K1431">
        <f t="shared" si="381"/>
        <v>-2.0025332594994416</v>
      </c>
      <c r="O1431">
        <f t="shared" si="382"/>
        <v>-0.14551746646858299</v>
      </c>
      <c r="P1431">
        <f t="shared" si="383"/>
        <v>-0.31584454124375277</v>
      </c>
      <c r="Q1431">
        <f t="shared" si="384"/>
        <v>0.93758567220232636</v>
      </c>
      <c r="R1431">
        <f t="shared" si="385"/>
        <v>1</v>
      </c>
      <c r="AG1431" s="8">
        <f t="shared" si="375"/>
        <v>0.44387725140744483</v>
      </c>
      <c r="AH1431" s="8">
        <f t="shared" si="376"/>
        <v>-0.22194211988100584</v>
      </c>
      <c r="AI1431" s="8">
        <f t="shared" si="377"/>
        <v>0.86816742688590731</v>
      </c>
      <c r="AJ1431" s="8"/>
      <c r="AK1431" s="8"/>
      <c r="AL1431" s="8"/>
      <c r="AN1431" s="8">
        <f t="shared" si="386"/>
        <v>1</v>
      </c>
      <c r="AO1431" s="8">
        <f t="shared" si="387"/>
        <v>5.8195314006426573</v>
      </c>
      <c r="AP1431" s="8">
        <f t="shared" si="388"/>
        <v>0.51929870281642221</v>
      </c>
      <c r="AQ1431" s="8"/>
      <c r="AR1431" s="8">
        <f t="shared" si="389"/>
        <v>333.43458800068083</v>
      </c>
      <c r="AS1431" s="8">
        <f t="shared" si="390"/>
        <v>60.246376022000611</v>
      </c>
    </row>
    <row r="1432" spans="1:45">
      <c r="A1432" s="21">
        <v>56.389666669999997</v>
      </c>
      <c r="B1432" s="21">
        <v>1192.9868280000001</v>
      </c>
      <c r="C1432" s="21">
        <v>-1045.0300910000001</v>
      </c>
      <c r="E1432" s="9">
        <f t="shared" si="378"/>
        <v>-232.98682800000006</v>
      </c>
      <c r="F1432" s="9">
        <f t="shared" si="379"/>
        <v>-505.03009100000008</v>
      </c>
      <c r="I1432">
        <v>1</v>
      </c>
      <c r="J1432">
        <f t="shared" si="380"/>
        <v>0.35561074899518896</v>
      </c>
      <c r="K1432">
        <f t="shared" si="381"/>
        <v>-2.0030343511411468</v>
      </c>
      <c r="O1432">
        <f t="shared" si="382"/>
        <v>-0.14584687492927217</v>
      </c>
      <c r="P1432">
        <f t="shared" si="383"/>
        <v>-0.31614259548439355</v>
      </c>
      <c r="Q1432">
        <f t="shared" si="384"/>
        <v>0.93743402348845672</v>
      </c>
      <c r="R1432">
        <f t="shared" si="385"/>
        <v>1</v>
      </c>
      <c r="AG1432" s="8">
        <f t="shared" si="375"/>
        <v>0.44423876188916389</v>
      </c>
      <c r="AH1432" s="8">
        <f t="shared" si="376"/>
        <v>-0.22213014170447104</v>
      </c>
      <c r="AI1432" s="8">
        <f t="shared" si="377"/>
        <v>0.86793439992981858</v>
      </c>
      <c r="AJ1432" s="8"/>
      <c r="AK1432" s="8"/>
      <c r="AL1432" s="8"/>
      <c r="AN1432" s="8">
        <f t="shared" si="386"/>
        <v>1</v>
      </c>
      <c r="AO1432" s="8">
        <f t="shared" si="387"/>
        <v>5.8195183200307223</v>
      </c>
      <c r="AP1432" s="8">
        <f t="shared" si="388"/>
        <v>0.51976806560381883</v>
      </c>
      <c r="AQ1432" s="8"/>
      <c r="AR1432" s="8">
        <f t="shared" si="389"/>
        <v>333.43383853682354</v>
      </c>
      <c r="AS1432" s="8">
        <f t="shared" si="390"/>
        <v>60.219483515222294</v>
      </c>
    </row>
    <row r="1433" spans="1:45">
      <c r="A1433" s="21">
        <v>56.423033330000003</v>
      </c>
      <c r="B1433" s="21">
        <v>1193.6626739999999</v>
      </c>
      <c r="C1433" s="21">
        <v>-1045.925432</v>
      </c>
      <c r="E1433" s="9">
        <f t="shared" si="378"/>
        <v>-233.66267399999992</v>
      </c>
      <c r="F1433" s="9">
        <f t="shared" si="379"/>
        <v>-505.925432</v>
      </c>
      <c r="I1433">
        <v>1</v>
      </c>
      <c r="J1433">
        <f t="shared" si="380"/>
        <v>0.35626157076014842</v>
      </c>
      <c r="K1433">
        <f t="shared" si="381"/>
        <v>-2.0034625518243656</v>
      </c>
      <c r="O1433">
        <f t="shared" si="382"/>
        <v>-0.14623801468117784</v>
      </c>
      <c r="P1433">
        <f t="shared" si="383"/>
        <v>-0.31663392995492828</v>
      </c>
      <c r="Q1433">
        <f t="shared" si="384"/>
        <v>0.93720723293378672</v>
      </c>
      <c r="R1433">
        <f t="shared" si="385"/>
        <v>1</v>
      </c>
      <c r="AG1433" s="8">
        <f t="shared" si="375"/>
        <v>0.44479380729927709</v>
      </c>
      <c r="AH1433" s="8">
        <f t="shared" si="376"/>
        <v>-0.22230282187545419</v>
      </c>
      <c r="AI1433" s="8">
        <f t="shared" si="377"/>
        <v>0.86760585773404242</v>
      </c>
      <c r="AJ1433" s="8"/>
      <c r="AK1433" s="8"/>
      <c r="AL1433" s="8"/>
      <c r="AN1433" s="8">
        <f t="shared" si="386"/>
        <v>0.99999999999999989</v>
      </c>
      <c r="AO1433" s="8">
        <f t="shared" si="387"/>
        <v>5.8197069266750416</v>
      </c>
      <c r="AP1433" s="8">
        <f t="shared" si="388"/>
        <v>0.5204291619174648</v>
      </c>
      <c r="AQ1433" s="8"/>
      <c r="AR1433" s="8">
        <f t="shared" si="389"/>
        <v>333.44464490153115</v>
      </c>
      <c r="AS1433" s="8">
        <f t="shared" si="390"/>
        <v>60.181605486598713</v>
      </c>
    </row>
    <row r="1434" spans="1:45">
      <c r="A1434" s="21">
        <v>56.456400000000002</v>
      </c>
      <c r="B1434" s="21">
        <v>1193.8777809999999</v>
      </c>
      <c r="C1434" s="21">
        <v>-1046.747985</v>
      </c>
      <c r="E1434" s="9">
        <f t="shared" si="378"/>
        <v>-233.87778099999991</v>
      </c>
      <c r="F1434" s="9">
        <f t="shared" si="379"/>
        <v>-506.74798499999997</v>
      </c>
      <c r="I1434">
        <v>1</v>
      </c>
      <c r="J1434">
        <f t="shared" si="380"/>
        <v>0.35675830005461645</v>
      </c>
      <c r="K1434">
        <f t="shared" si="381"/>
        <v>-2.0031944969228945</v>
      </c>
      <c r="O1434">
        <f t="shared" si="382"/>
        <v>-0.14634819967871476</v>
      </c>
      <c r="P1434">
        <f t="shared" si="383"/>
        <v>-0.31709577104105663</v>
      </c>
      <c r="Q1434">
        <f t="shared" si="384"/>
        <v>0.93703387155357243</v>
      </c>
      <c r="R1434">
        <f t="shared" si="385"/>
        <v>1</v>
      </c>
      <c r="AG1434" s="8">
        <f t="shared" si="375"/>
        <v>0.44524626094871111</v>
      </c>
      <c r="AH1434" s="8">
        <f t="shared" si="376"/>
        <v>-0.22223252722790396</v>
      </c>
      <c r="AI1434" s="8">
        <f t="shared" si="377"/>
        <v>0.8673917632495084</v>
      </c>
      <c r="AJ1434" s="8"/>
      <c r="AK1434" s="8"/>
      <c r="AL1434" s="8"/>
      <c r="AN1434" s="8">
        <f t="shared" si="386"/>
        <v>1</v>
      </c>
      <c r="AO1434" s="8">
        <f t="shared" si="387"/>
        <v>5.8202397641250494</v>
      </c>
      <c r="AP1434" s="8">
        <f t="shared" si="388"/>
        <v>0.52085955517355398</v>
      </c>
      <c r="AQ1434" s="8"/>
      <c r="AR1434" s="8">
        <f t="shared" si="389"/>
        <v>333.47517423858312</v>
      </c>
      <c r="AS1434" s="8">
        <f t="shared" si="390"/>
        <v>60.156945769493916</v>
      </c>
    </row>
    <row r="1435" spans="1:45">
      <c r="A1435" s="21">
        <v>56.489766670000002</v>
      </c>
      <c r="B1435" s="21">
        <v>1194.5274919999999</v>
      </c>
      <c r="C1435" s="21">
        <v>-1047.7636030000001</v>
      </c>
      <c r="E1435" s="9">
        <f t="shared" si="378"/>
        <v>-234.52749199999994</v>
      </c>
      <c r="F1435" s="9">
        <f t="shared" si="379"/>
        <v>-507.7636030000001</v>
      </c>
      <c r="I1435">
        <v>1</v>
      </c>
      <c r="J1435">
        <f t="shared" si="380"/>
        <v>0.35746687437966895</v>
      </c>
      <c r="K1435">
        <f t="shared" si="381"/>
        <v>-2.0034882871622783</v>
      </c>
      <c r="O1435">
        <f t="shared" si="382"/>
        <v>-0.14671972461632207</v>
      </c>
      <c r="P1435">
        <f t="shared" si="383"/>
        <v>-0.31765544997322337</v>
      </c>
      <c r="Q1435">
        <f t="shared" si="384"/>
        <v>0.93678617491443561</v>
      </c>
      <c r="R1435">
        <f t="shared" si="385"/>
        <v>1</v>
      </c>
      <c r="AG1435" s="8">
        <f t="shared" si="375"/>
        <v>0.44585850993956855</v>
      </c>
      <c r="AH1435" s="8">
        <f t="shared" si="376"/>
        <v>-0.22236219769699317</v>
      </c>
      <c r="AI1435" s="8">
        <f t="shared" si="377"/>
        <v>0.86704396782967752</v>
      </c>
      <c r="AJ1435" s="8"/>
      <c r="AK1435" s="8"/>
      <c r="AL1435" s="8"/>
      <c r="AN1435" s="8">
        <f t="shared" si="386"/>
        <v>0.99999999999999989</v>
      </c>
      <c r="AO1435" s="8">
        <f t="shared" si="387"/>
        <v>5.8205556815824133</v>
      </c>
      <c r="AP1435" s="8">
        <f t="shared" si="388"/>
        <v>0.52155803943967594</v>
      </c>
      <c r="AQ1435" s="8"/>
      <c r="AR1435" s="8">
        <f t="shared" si="389"/>
        <v>333.49327497556453</v>
      </c>
      <c r="AS1435" s="8">
        <f t="shared" si="390"/>
        <v>60.116925568988833</v>
      </c>
    </row>
    <row r="1436" spans="1:45">
      <c r="A1436" s="21">
        <v>56.52313333</v>
      </c>
      <c r="B1436" s="21">
        <v>1194.8724890000001</v>
      </c>
      <c r="C1436" s="21">
        <v>-1048.0652170000001</v>
      </c>
      <c r="E1436" s="9">
        <f t="shared" si="378"/>
        <v>-234.87248900000009</v>
      </c>
      <c r="F1436" s="9">
        <f t="shared" si="379"/>
        <v>-508.06521700000008</v>
      </c>
      <c r="I1436">
        <v>1</v>
      </c>
      <c r="J1436">
        <f t="shared" si="380"/>
        <v>0.35771506456463131</v>
      </c>
      <c r="K1436">
        <f t="shared" si="381"/>
        <v>-2.0038218966310382</v>
      </c>
      <c r="O1436">
        <f t="shared" si="382"/>
        <v>-0.14692324669278053</v>
      </c>
      <c r="P1436">
        <f t="shared" si="383"/>
        <v>-0.31781751677742059</v>
      </c>
      <c r="Q1436">
        <f t="shared" si="384"/>
        <v>0.93669930373129151</v>
      </c>
      <c r="R1436">
        <f t="shared" si="385"/>
        <v>1</v>
      </c>
      <c r="AG1436" s="8">
        <f t="shared" si="375"/>
        <v>0.44606157847855449</v>
      </c>
      <c r="AH1436" s="8">
        <f t="shared" si="376"/>
        <v>-0.2224863601845623</v>
      </c>
      <c r="AI1436" s="8">
        <f t="shared" si="377"/>
        <v>0.86690765813726978</v>
      </c>
      <c r="AJ1436" s="8"/>
      <c r="AK1436" s="8"/>
      <c r="AL1436" s="8"/>
      <c r="AN1436" s="8">
        <f t="shared" si="386"/>
        <v>0.99999999999999978</v>
      </c>
      <c r="AO1436" s="8">
        <f t="shared" si="387"/>
        <v>5.8205145943440373</v>
      </c>
      <c r="AP1436" s="8">
        <f t="shared" si="388"/>
        <v>0.52183156133610309</v>
      </c>
      <c r="AQ1436" s="8"/>
      <c r="AR1436" s="8">
        <f t="shared" si="389"/>
        <v>333.49092085021374</v>
      </c>
      <c r="AS1436" s="8">
        <f t="shared" si="390"/>
        <v>60.101253918719138</v>
      </c>
    </row>
    <row r="1437" spans="1:45">
      <c r="A1437" s="21">
        <v>56.5565</v>
      </c>
      <c r="B1437" s="21">
        <v>1195.2561490000001</v>
      </c>
      <c r="C1437" s="21">
        <v>-1048.936242</v>
      </c>
      <c r="E1437" s="9">
        <f t="shared" si="378"/>
        <v>-235.25614900000005</v>
      </c>
      <c r="F1437" s="9">
        <f t="shared" si="379"/>
        <v>-508.93624199999999</v>
      </c>
      <c r="I1437">
        <v>1</v>
      </c>
      <c r="J1437">
        <f t="shared" si="380"/>
        <v>0.35827924219993618</v>
      </c>
      <c r="K1437">
        <f t="shared" si="381"/>
        <v>-2.0037911297504873</v>
      </c>
      <c r="O1437">
        <f t="shared" si="382"/>
        <v>-0.14713518410405577</v>
      </c>
      <c r="P1437">
        <f t="shared" si="383"/>
        <v>-0.31830168087932237</v>
      </c>
      <c r="Q1437">
        <f t="shared" si="384"/>
        <v>0.93650161641508323</v>
      </c>
      <c r="R1437">
        <f t="shared" si="385"/>
        <v>1</v>
      </c>
      <c r="AG1437" s="8">
        <f t="shared" si="375"/>
        <v>0.44656173290079759</v>
      </c>
      <c r="AH1437" s="8">
        <f t="shared" si="376"/>
        <v>-0.22249958133477638</v>
      </c>
      <c r="AI1437" s="8">
        <f t="shared" si="377"/>
        <v>0.86664673022777039</v>
      </c>
      <c r="AJ1437" s="8"/>
      <c r="AK1437" s="8"/>
      <c r="AL1437" s="8"/>
      <c r="AN1437" s="8">
        <f t="shared" si="386"/>
        <v>0.99999999999999978</v>
      </c>
      <c r="AO1437" s="8">
        <f t="shared" si="387"/>
        <v>5.8209383228911014</v>
      </c>
      <c r="AP1437" s="8">
        <f t="shared" si="388"/>
        <v>0.52235478219969145</v>
      </c>
      <c r="AQ1437" s="8"/>
      <c r="AR1437" s="8">
        <f t="shared" si="389"/>
        <v>333.51519870761973</v>
      </c>
      <c r="AS1437" s="8">
        <f t="shared" si="390"/>
        <v>60.071275571482339</v>
      </c>
    </row>
    <row r="1438" spans="1:45">
      <c r="A1438" s="21">
        <v>56.589866669999999</v>
      </c>
      <c r="B1438" s="21">
        <v>1195.7243719999999</v>
      </c>
      <c r="C1438" s="21">
        <v>-1049.8893579999999</v>
      </c>
      <c r="E1438" s="9">
        <f t="shared" si="378"/>
        <v>-235.7243719999999</v>
      </c>
      <c r="F1438" s="9">
        <f t="shared" si="379"/>
        <v>-509.8893579999999</v>
      </c>
      <c r="I1438">
        <v>1</v>
      </c>
      <c r="J1438">
        <f t="shared" si="380"/>
        <v>0.35890836545660282</v>
      </c>
      <c r="K1438">
        <f t="shared" si="381"/>
        <v>-2.0038358001787389</v>
      </c>
      <c r="O1438">
        <f t="shared" si="382"/>
        <v>-0.14739660994768883</v>
      </c>
      <c r="P1438">
        <f t="shared" si="383"/>
        <v>-0.31882983579484742</v>
      </c>
      <c r="Q1438">
        <f t="shared" si="384"/>
        <v>0.93628082068520424</v>
      </c>
      <c r="R1438">
        <f t="shared" si="385"/>
        <v>1</v>
      </c>
      <c r="AG1438" s="8">
        <f t="shared" si="375"/>
        <v>0.44711541383727793</v>
      </c>
      <c r="AH1438" s="8">
        <f t="shared" si="376"/>
        <v>-0.22254122462132961</v>
      </c>
      <c r="AI1438" s="8">
        <f t="shared" si="377"/>
        <v>0.86635051223691129</v>
      </c>
      <c r="AJ1438" s="8"/>
      <c r="AK1438" s="8"/>
      <c r="AL1438" s="8"/>
      <c r="AN1438" s="8">
        <f t="shared" si="386"/>
        <v>1</v>
      </c>
      <c r="AO1438" s="8">
        <f t="shared" si="387"/>
        <v>5.821358089676588</v>
      </c>
      <c r="AP1438" s="8">
        <f t="shared" si="388"/>
        <v>0.52294819209451648</v>
      </c>
      <c r="AQ1438" s="8"/>
      <c r="AR1438" s="8">
        <f t="shared" si="389"/>
        <v>333.53924957280788</v>
      </c>
      <c r="AS1438" s="8">
        <f t="shared" si="390"/>
        <v>60.037275688987563</v>
      </c>
    </row>
    <row r="1439" spans="1:45">
      <c r="A1439" s="21">
        <v>56.623233329999998</v>
      </c>
      <c r="B1439" s="21">
        <v>1196.140163</v>
      </c>
      <c r="C1439" s="21">
        <v>-1050.4291700000001</v>
      </c>
      <c r="E1439" s="9">
        <f t="shared" si="378"/>
        <v>-236.14016300000003</v>
      </c>
      <c r="F1439" s="9">
        <f t="shared" si="379"/>
        <v>-510.42917000000011</v>
      </c>
      <c r="I1439">
        <v>1</v>
      </c>
      <c r="J1439">
        <f t="shared" si="380"/>
        <v>0.35930199971264082</v>
      </c>
      <c r="K1439">
        <f t="shared" si="381"/>
        <v>-2.004104092290715</v>
      </c>
      <c r="O1439">
        <f t="shared" si="382"/>
        <v>-0.14763687865825337</v>
      </c>
      <c r="P1439">
        <f t="shared" si="383"/>
        <v>-0.31912474556445114</v>
      </c>
      <c r="Q1439">
        <f t="shared" si="384"/>
        <v>0.93614248318750737</v>
      </c>
      <c r="R1439">
        <f t="shared" si="385"/>
        <v>1</v>
      </c>
      <c r="AG1439" s="8">
        <f t="shared" si="375"/>
        <v>0.44744989596510293</v>
      </c>
      <c r="AH1439" s="8">
        <f t="shared" si="376"/>
        <v>-0.22264957421955101</v>
      </c>
      <c r="AI1439" s="8">
        <f t="shared" si="377"/>
        <v>0.86614996259347099</v>
      </c>
      <c r="AJ1439" s="8"/>
      <c r="AK1439" s="8"/>
      <c r="AL1439" s="8"/>
      <c r="AN1439" s="8">
        <f t="shared" si="386"/>
        <v>1</v>
      </c>
      <c r="AO1439" s="8">
        <f t="shared" si="387"/>
        <v>5.8214622170732939</v>
      </c>
      <c r="AP1439" s="8">
        <f t="shared" si="388"/>
        <v>0.52334960420927268</v>
      </c>
      <c r="AQ1439" s="8"/>
      <c r="AR1439" s="8">
        <f t="shared" si="389"/>
        <v>333.54521563317081</v>
      </c>
      <c r="AS1439" s="8">
        <f t="shared" si="390"/>
        <v>60.014276468966614</v>
      </c>
    </row>
    <row r="1440" spans="1:45">
      <c r="A1440" s="21">
        <v>56.656599999999997</v>
      </c>
      <c r="B1440" s="21">
        <v>1196.800342</v>
      </c>
      <c r="C1440" s="21">
        <v>-1051.777632</v>
      </c>
      <c r="E1440" s="9">
        <f t="shared" si="378"/>
        <v>-236.800342</v>
      </c>
      <c r="F1440" s="9">
        <f t="shared" si="379"/>
        <v>-511.77763200000004</v>
      </c>
      <c r="I1440">
        <v>1</v>
      </c>
      <c r="J1440">
        <f t="shared" si="380"/>
        <v>0.36019079070274779</v>
      </c>
      <c r="K1440">
        <f t="shared" si="381"/>
        <v>-2.0041625785454857</v>
      </c>
      <c r="O1440">
        <f t="shared" si="382"/>
        <v>-0.14800487944766866</v>
      </c>
      <c r="P1440">
        <f t="shared" si="383"/>
        <v>-0.31987110359905369</v>
      </c>
      <c r="Q1440">
        <f t="shared" si="384"/>
        <v>0.93582959599598281</v>
      </c>
      <c r="R1440">
        <f t="shared" si="385"/>
        <v>0.99999999999999989</v>
      </c>
      <c r="AG1440" s="8">
        <f t="shared" ref="AG1440:AG1476" si="391">$O1440*$Z$27+$P1440*$Z$31+$Q1440*$Z$35</f>
        <v>0.44823182249384691</v>
      </c>
      <c r="AH1440" s="8">
        <f t="shared" ref="AH1440:AH1476" si="392">$O1440*$AA$27+$P1440*$AA$31+$Q1440*$AA$35</f>
        <v>-0.22270691759310393</v>
      </c>
      <c r="AI1440" s="8">
        <f t="shared" ref="AI1440:AI1476" si="393">$AB$27*$O1440+$P1440*$AB$31+$AB$35*$Q1440</f>
        <v>0.86573082546483393</v>
      </c>
      <c r="AJ1440" s="8"/>
      <c r="AK1440" s="8"/>
      <c r="AL1440" s="8"/>
      <c r="AN1440" s="8">
        <f t="shared" si="386"/>
        <v>0.99999999999999978</v>
      </c>
      <c r="AO1440" s="8">
        <f t="shared" si="387"/>
        <v>5.8220556176510971</v>
      </c>
      <c r="AP1440" s="8">
        <f t="shared" si="388"/>
        <v>0.52418763197565132</v>
      </c>
      <c r="AQ1440" s="8"/>
      <c r="AR1440" s="8">
        <f t="shared" si="389"/>
        <v>333.57921498183958</v>
      </c>
      <c r="AS1440" s="8">
        <f t="shared" si="390"/>
        <v>59.966261014838338</v>
      </c>
    </row>
    <row r="1441" spans="1:45">
      <c r="A1441" s="21">
        <v>56.689966669999997</v>
      </c>
      <c r="B1441" s="21">
        <v>1197.0258470000001</v>
      </c>
      <c r="C1441" s="21">
        <v>-1052.1588710000001</v>
      </c>
      <c r="E1441" s="9">
        <f t="shared" ref="E1441:E1476" si="394">-(B1441-($B$15/2))</f>
        <v>-237.02584700000011</v>
      </c>
      <c r="F1441" s="9">
        <f t="shared" ref="F1441:F1476" si="395">(($C$15/2)+C1441)</f>
        <v>-512.15887100000009</v>
      </c>
      <c r="I1441">
        <v>1</v>
      </c>
      <c r="J1441">
        <f t="shared" si="380"/>
        <v>0.36045162663287489</v>
      </c>
      <c r="K1441">
        <f t="shared" si="381"/>
        <v>-2.0042415470850576</v>
      </c>
      <c r="O1441">
        <f t="shared" si="382"/>
        <v>-0.14813265483406077</v>
      </c>
      <c r="P1441">
        <f t="shared" si="383"/>
        <v>-0.32008092880286293</v>
      </c>
      <c r="Q1441">
        <f t="shared" si="384"/>
        <v>0.93573763181166847</v>
      </c>
      <c r="R1441">
        <f t="shared" si="385"/>
        <v>1</v>
      </c>
      <c r="AG1441" s="8">
        <f t="shared" si="391"/>
        <v>0.44845816396050164</v>
      </c>
      <c r="AH1441" s="8">
        <f t="shared" si="392"/>
        <v>-0.22274496190973131</v>
      </c>
      <c r="AI1441" s="8">
        <f t="shared" si="393"/>
        <v>0.86560381071308146</v>
      </c>
      <c r="AJ1441" s="8"/>
      <c r="AK1441" s="8"/>
      <c r="AL1441" s="8"/>
      <c r="AN1441" s="8">
        <f t="shared" si="386"/>
        <v>1</v>
      </c>
      <c r="AO1441" s="8">
        <f t="shared" si="387"/>
        <v>5.822188708099854</v>
      </c>
      <c r="AP1441" s="8">
        <f t="shared" si="388"/>
        <v>0.52444134702626344</v>
      </c>
      <c r="AQ1441" s="8"/>
      <c r="AR1441" s="8">
        <f t="shared" si="389"/>
        <v>333.58684050284683</v>
      </c>
      <c r="AS1441" s="8">
        <f t="shared" si="390"/>
        <v>59.951724213239316</v>
      </c>
    </row>
    <row r="1442" spans="1:45">
      <c r="A1442" s="21">
        <v>56.723333330000003</v>
      </c>
      <c r="B1442" s="21">
        <v>1197.67912</v>
      </c>
      <c r="C1442" s="21">
        <v>-1052.898866</v>
      </c>
      <c r="E1442" s="9">
        <f t="shared" si="394"/>
        <v>-237.67912000000001</v>
      </c>
      <c r="F1442" s="9">
        <f t="shared" si="395"/>
        <v>-512.898866</v>
      </c>
      <c r="I1442">
        <v>1</v>
      </c>
      <c r="J1442">
        <f t="shared" si="380"/>
        <v>0.36101138080215939</v>
      </c>
      <c r="K1442">
        <f t="shared" si="381"/>
        <v>-2.0047405148917479</v>
      </c>
      <c r="O1442">
        <f t="shared" si="382"/>
        <v>-0.14851254920742799</v>
      </c>
      <c r="P1442">
        <f t="shared" si="383"/>
        <v>-0.32048216130747659</v>
      </c>
      <c r="Q1442">
        <f t="shared" si="384"/>
        <v>0.93554006168180737</v>
      </c>
      <c r="R1442">
        <f t="shared" si="385"/>
        <v>1</v>
      </c>
      <c r="AG1442" s="8">
        <f t="shared" si="391"/>
        <v>0.44892737016420536</v>
      </c>
      <c r="AH1442" s="8">
        <f t="shared" si="392"/>
        <v>-0.22294003294887343</v>
      </c>
      <c r="AI1442" s="8">
        <f t="shared" si="393"/>
        <v>0.86531032469640956</v>
      </c>
      <c r="AJ1442" s="8"/>
      <c r="AK1442" s="8"/>
      <c r="AL1442" s="8"/>
      <c r="AN1442" s="8">
        <f t="shared" si="386"/>
        <v>1</v>
      </c>
      <c r="AO1442" s="8">
        <f t="shared" si="387"/>
        <v>5.8222565694925006</v>
      </c>
      <c r="AP1442" s="8">
        <f t="shared" si="388"/>
        <v>0.52502716730626453</v>
      </c>
      <c r="AQ1442" s="8"/>
      <c r="AR1442" s="8">
        <f t="shared" si="389"/>
        <v>333.59072867423737</v>
      </c>
      <c r="AS1442" s="8">
        <f t="shared" si="390"/>
        <v>59.918159183642082</v>
      </c>
    </row>
    <row r="1443" spans="1:45">
      <c r="A1443" s="21">
        <v>56.756700000000002</v>
      </c>
      <c r="B1443" s="21">
        <v>1197.947183</v>
      </c>
      <c r="C1443" s="21">
        <v>-1053.7245559999999</v>
      </c>
      <c r="E1443" s="9">
        <f t="shared" si="394"/>
        <v>-237.947183</v>
      </c>
      <c r="F1443" s="9">
        <f t="shared" si="395"/>
        <v>-513.72455599999989</v>
      </c>
      <c r="I1443">
        <v>1</v>
      </c>
      <c r="J1443">
        <f t="shared" si="380"/>
        <v>0.36152115878059832</v>
      </c>
      <c r="K1443">
        <f t="shared" si="381"/>
        <v>-2.0045569148355122</v>
      </c>
      <c r="O1443">
        <f t="shared" si="382"/>
        <v>-0.14865412874905992</v>
      </c>
      <c r="P1443">
        <f t="shared" si="383"/>
        <v>-0.32094213230999968</v>
      </c>
      <c r="Q1443">
        <f t="shared" si="384"/>
        <v>0.93535987604459947</v>
      </c>
      <c r="R1443">
        <f t="shared" si="385"/>
        <v>1</v>
      </c>
      <c r="AG1443" s="8">
        <f t="shared" si="391"/>
        <v>0.44938627660832381</v>
      </c>
      <c r="AH1443" s="8">
        <f t="shared" si="392"/>
        <v>-0.22289828456468452</v>
      </c>
      <c r="AI1443" s="8">
        <f t="shared" si="393"/>
        <v>0.86508284524329104</v>
      </c>
      <c r="AJ1443" s="8"/>
      <c r="AK1443" s="8"/>
      <c r="AL1443" s="8"/>
      <c r="AN1443" s="8">
        <f t="shared" si="386"/>
        <v>0.99999999999999978</v>
      </c>
      <c r="AO1443" s="8">
        <f t="shared" si="387"/>
        <v>5.8227380089141461</v>
      </c>
      <c r="AP1443" s="8">
        <f t="shared" si="388"/>
        <v>0.52548082623135794</v>
      </c>
      <c r="AQ1443" s="8"/>
      <c r="AR1443" s="8">
        <f t="shared" si="389"/>
        <v>333.61831312118886</v>
      </c>
      <c r="AS1443" s="8">
        <f t="shared" si="390"/>
        <v>59.892166441895789</v>
      </c>
    </row>
    <row r="1444" spans="1:45">
      <c r="A1444" s="21">
        <v>56.790066670000002</v>
      </c>
      <c r="B1444" s="21">
        <v>1198.4465829999999</v>
      </c>
      <c r="C1444" s="21">
        <v>-1054.6389260000001</v>
      </c>
      <c r="E1444" s="9">
        <f t="shared" si="394"/>
        <v>-238.44658299999992</v>
      </c>
      <c r="F1444" s="9">
        <f t="shared" si="395"/>
        <v>-514.63892600000008</v>
      </c>
      <c r="I1444">
        <v>1</v>
      </c>
      <c r="J1444">
        <f t="shared" si="380"/>
        <v>0.36213579786150502</v>
      </c>
      <c r="K1444">
        <f t="shared" si="381"/>
        <v>-2.0046783094396927</v>
      </c>
      <c r="O1444">
        <f t="shared" si="382"/>
        <v>-0.14893474966615544</v>
      </c>
      <c r="P1444">
        <f t="shared" si="383"/>
        <v>-0.3214456615311157</v>
      </c>
      <c r="Q1444">
        <f t="shared" si="384"/>
        <v>0.93514230308798618</v>
      </c>
      <c r="R1444">
        <f t="shared" si="385"/>
        <v>1</v>
      </c>
      <c r="AG1444" s="8">
        <f t="shared" si="391"/>
        <v>0.44992234529795394</v>
      </c>
      <c r="AH1444" s="8">
        <f t="shared" si="392"/>
        <v>-0.22296590977553654</v>
      </c>
      <c r="AI1444" s="8">
        <f t="shared" si="393"/>
        <v>0.86478672878320462</v>
      </c>
      <c r="AJ1444" s="8"/>
      <c r="AK1444" s="8"/>
      <c r="AL1444" s="8"/>
      <c r="AN1444" s="8">
        <f t="shared" si="386"/>
        <v>0.99999999999999989</v>
      </c>
      <c r="AO1444" s="8">
        <f t="shared" si="387"/>
        <v>5.8230917338673258</v>
      </c>
      <c r="AP1444" s="8">
        <f t="shared" si="388"/>
        <v>0.526070835769473</v>
      </c>
      <c r="AQ1444" s="8"/>
      <c r="AR1444" s="8">
        <f t="shared" si="389"/>
        <v>333.63858006811455</v>
      </c>
      <c r="AS1444" s="8">
        <f t="shared" si="390"/>
        <v>59.858361385489331</v>
      </c>
    </row>
    <row r="1445" spans="1:45">
      <c r="A1445" s="21">
        <v>56.82343333</v>
      </c>
      <c r="B1445" s="21">
        <v>1199.0429610000001</v>
      </c>
      <c r="C1445" s="21">
        <v>-1055.5689910000001</v>
      </c>
      <c r="E1445" s="9">
        <f t="shared" si="394"/>
        <v>-239.0429610000001</v>
      </c>
      <c r="F1445" s="9">
        <f t="shared" si="395"/>
        <v>-515.5689910000001</v>
      </c>
      <c r="I1445">
        <v>1</v>
      </c>
      <c r="J1445">
        <f t="shared" si="380"/>
        <v>0.36278268022522309</v>
      </c>
      <c r="K1445">
        <f t="shared" si="381"/>
        <v>-2.0049424743822137</v>
      </c>
      <c r="O1445">
        <f t="shared" si="382"/>
        <v>-0.14927408199505088</v>
      </c>
      <c r="P1445">
        <f t="shared" si="383"/>
        <v>-0.32195504738848868</v>
      </c>
      <c r="Q1445">
        <f t="shared" si="384"/>
        <v>0.93491293493330752</v>
      </c>
      <c r="R1445">
        <f t="shared" si="385"/>
        <v>1</v>
      </c>
      <c r="AG1445" s="8">
        <f t="shared" si="391"/>
        <v>0.45047949249600805</v>
      </c>
      <c r="AH1445" s="8">
        <f t="shared" si="392"/>
        <v>-0.2230842803408771</v>
      </c>
      <c r="AI1445" s="8">
        <f t="shared" si="393"/>
        <v>0.864466095752362</v>
      </c>
      <c r="AJ1445" s="8"/>
      <c r="AK1445" s="8"/>
      <c r="AL1445" s="8"/>
      <c r="AN1445" s="8">
        <f t="shared" si="386"/>
        <v>1</v>
      </c>
      <c r="AO1445" s="8">
        <f t="shared" si="387"/>
        <v>5.8233728803387841</v>
      </c>
      <c r="AP1445" s="8">
        <f t="shared" si="388"/>
        <v>0.52670901908779388</v>
      </c>
      <c r="AQ1445" s="8"/>
      <c r="AR1445" s="8">
        <f t="shared" si="389"/>
        <v>333.65468857435411</v>
      </c>
      <c r="AS1445" s="8">
        <f t="shared" si="390"/>
        <v>59.821796174793889</v>
      </c>
    </row>
    <row r="1446" spans="1:45">
      <c r="A1446" s="21">
        <v>56.8568</v>
      </c>
      <c r="B1446" s="21">
        <v>1199.4877349999999</v>
      </c>
      <c r="C1446" s="21">
        <v>-1055.9994730000001</v>
      </c>
      <c r="E1446" s="9">
        <f t="shared" si="394"/>
        <v>-239.48773499999993</v>
      </c>
      <c r="F1446" s="9">
        <f t="shared" si="395"/>
        <v>-515.99947300000008</v>
      </c>
      <c r="I1446">
        <v>1</v>
      </c>
      <c r="J1446">
        <f t="shared" si="380"/>
        <v>0.36312394531995557</v>
      </c>
      <c r="K1446">
        <f t="shared" si="381"/>
        <v>-2.0053334899745483</v>
      </c>
      <c r="O1446">
        <f t="shared" si="382"/>
        <v>-0.14953426970666683</v>
      </c>
      <c r="P1446">
        <f t="shared" si="383"/>
        <v>-0.3221860374773684</v>
      </c>
      <c r="Q1446">
        <f t="shared" si="384"/>
        <v>0.9347917733045823</v>
      </c>
      <c r="R1446">
        <f t="shared" si="385"/>
        <v>1</v>
      </c>
      <c r="AG1446" s="8">
        <f t="shared" si="391"/>
        <v>0.45076066697422024</v>
      </c>
      <c r="AH1446" s="8">
        <f t="shared" si="392"/>
        <v>-0.22323386404495221</v>
      </c>
      <c r="AI1446" s="8">
        <f t="shared" si="393"/>
        <v>0.8642808936060753</v>
      </c>
      <c r="AJ1446" s="8"/>
      <c r="AK1446" s="8"/>
      <c r="AL1446" s="8"/>
      <c r="AN1446" s="8">
        <f t="shared" si="386"/>
        <v>1</v>
      </c>
      <c r="AO1446" s="8">
        <f t="shared" si="387"/>
        <v>5.8233544558572152</v>
      </c>
      <c r="AP1446" s="8">
        <f t="shared" si="388"/>
        <v>0.52707732381563099</v>
      </c>
      <c r="AQ1446" s="8"/>
      <c r="AR1446" s="8">
        <f t="shared" si="389"/>
        <v>333.65363292932051</v>
      </c>
      <c r="AS1446" s="8">
        <f t="shared" si="390"/>
        <v>59.800693868314113</v>
      </c>
    </row>
    <row r="1447" spans="1:45">
      <c r="A1447" s="21">
        <v>56.890166669999999</v>
      </c>
      <c r="B1447" s="21">
        <v>1200.7822060000001</v>
      </c>
      <c r="C1447" s="21">
        <v>-1057.033905</v>
      </c>
      <c r="E1447" s="9">
        <f t="shared" si="394"/>
        <v>-240.78220600000009</v>
      </c>
      <c r="F1447" s="9">
        <f t="shared" si="395"/>
        <v>-517.033905</v>
      </c>
      <c r="I1447">
        <v>1</v>
      </c>
      <c r="J1447">
        <f t="shared" si="380"/>
        <v>0.36400008112690024</v>
      </c>
      <c r="K1447">
        <f t="shared" si="381"/>
        <v>-2.0066286284235186</v>
      </c>
      <c r="O1447">
        <f t="shared" si="382"/>
        <v>-0.15029711719530883</v>
      </c>
      <c r="P1447">
        <f t="shared" si="383"/>
        <v>-0.32273441922752844</v>
      </c>
      <c r="Q1447">
        <f t="shared" si="384"/>
        <v>0.93448021445542095</v>
      </c>
      <c r="R1447">
        <f t="shared" si="385"/>
        <v>1</v>
      </c>
      <c r="AG1447" s="8">
        <f t="shared" si="391"/>
        <v>0.45146708218673776</v>
      </c>
      <c r="AH1447" s="8">
        <f t="shared" si="392"/>
        <v>-0.22371982943698071</v>
      </c>
      <c r="AI1447" s="8">
        <f t="shared" si="393"/>
        <v>0.86378638077853576</v>
      </c>
      <c r="AJ1447" s="8"/>
      <c r="AK1447" s="8"/>
      <c r="AL1447" s="8"/>
      <c r="AN1447" s="8">
        <f t="shared" si="386"/>
        <v>0.99999999999999989</v>
      </c>
      <c r="AO1447" s="8">
        <f t="shared" si="387"/>
        <v>5.8231123592375242</v>
      </c>
      <c r="AP1447" s="8">
        <f t="shared" si="388"/>
        <v>0.52805960340669933</v>
      </c>
      <c r="AQ1447" s="8"/>
      <c r="AR1447" s="8">
        <f t="shared" si="389"/>
        <v>333.63976181477778</v>
      </c>
      <c r="AS1447" s="8">
        <f t="shared" si="390"/>
        <v>59.744413393444063</v>
      </c>
    </row>
    <row r="1448" spans="1:45">
      <c r="A1448" s="21">
        <v>56.923533329999998</v>
      </c>
      <c r="B1448" s="21">
        <v>1200.4562940000001</v>
      </c>
      <c r="C1448" s="21">
        <v>-1057.8036199999999</v>
      </c>
      <c r="E1448" s="9">
        <f t="shared" si="394"/>
        <v>-240.45629400000007</v>
      </c>
      <c r="F1448" s="9">
        <f t="shared" si="395"/>
        <v>-517.80361999999991</v>
      </c>
      <c r="I1448">
        <v>1</v>
      </c>
      <c r="J1448">
        <f t="shared" si="380"/>
        <v>0.36433091335636686</v>
      </c>
      <c r="K1448">
        <f t="shared" si="381"/>
        <v>-2.0055419583835672</v>
      </c>
      <c r="O1448">
        <f t="shared" si="382"/>
        <v>-0.15007652479937034</v>
      </c>
      <c r="P1448">
        <f t="shared" si="383"/>
        <v>-0.32317793194522781</v>
      </c>
      <c r="Q1448">
        <f t="shared" si="384"/>
        <v>0.93436238205941791</v>
      </c>
      <c r="R1448">
        <f t="shared" si="385"/>
        <v>1</v>
      </c>
      <c r="AG1448" s="8">
        <f t="shared" si="391"/>
        <v>0.4518135629229979</v>
      </c>
      <c r="AH1448" s="8">
        <f t="shared" si="392"/>
        <v>-0.2233570897207498</v>
      </c>
      <c r="AI1448" s="8">
        <f t="shared" si="393"/>
        <v>0.86369908812635843</v>
      </c>
      <c r="AJ1448" s="8"/>
      <c r="AK1448" s="8"/>
      <c r="AL1448" s="8"/>
      <c r="AN1448" s="8">
        <f t="shared" si="386"/>
        <v>0.99999999999999989</v>
      </c>
      <c r="AO1448" s="8">
        <f t="shared" si="387"/>
        <v>5.8240624720044814</v>
      </c>
      <c r="AP1448" s="8">
        <f t="shared" si="388"/>
        <v>0.52823282613626454</v>
      </c>
      <c r="AQ1448" s="8"/>
      <c r="AR1448" s="8">
        <f t="shared" si="389"/>
        <v>333.69419926638597</v>
      </c>
      <c r="AS1448" s="8">
        <f t="shared" si="390"/>
        <v>59.734488462124233</v>
      </c>
    </row>
    <row r="1449" spans="1:45">
      <c r="A1449" s="21">
        <v>56.956899999999997</v>
      </c>
      <c r="B1449" s="21">
        <v>1200.872611</v>
      </c>
      <c r="C1449" s="21">
        <v>-1058.6269910000001</v>
      </c>
      <c r="E1449" s="9">
        <f t="shared" si="394"/>
        <v>-240.87261100000001</v>
      </c>
      <c r="F1449" s="9">
        <f t="shared" si="395"/>
        <v>-518.62699100000009</v>
      </c>
      <c r="I1449">
        <v>1</v>
      </c>
      <c r="J1449">
        <f t="shared" si="380"/>
        <v>0.36487500964056213</v>
      </c>
      <c r="K1449">
        <f t="shared" si="381"/>
        <v>-2.0055958252362478</v>
      </c>
      <c r="O1449">
        <f t="shared" si="382"/>
        <v>-0.150308056415418</v>
      </c>
      <c r="P1449">
        <f t="shared" si="383"/>
        <v>-0.32363087981716021</v>
      </c>
      <c r="Q1449">
        <f t="shared" si="384"/>
        <v>0.93416836908845846</v>
      </c>
      <c r="R1449">
        <f t="shared" si="385"/>
        <v>1</v>
      </c>
      <c r="AG1449" s="8">
        <f t="shared" si="391"/>
        <v>0.45228999292096689</v>
      </c>
      <c r="AH1449" s="8">
        <f t="shared" si="392"/>
        <v>-0.22339874440285629</v>
      </c>
      <c r="AI1449" s="8">
        <f t="shared" si="393"/>
        <v>0.8634389169494151</v>
      </c>
      <c r="AJ1449" s="8"/>
      <c r="AK1449" s="8"/>
      <c r="AL1449" s="8"/>
      <c r="AN1449" s="8">
        <f t="shared" si="386"/>
        <v>1</v>
      </c>
      <c r="AO1449" s="8">
        <f t="shared" si="387"/>
        <v>5.8244069927485889</v>
      </c>
      <c r="AP1449" s="8">
        <f t="shared" si="388"/>
        <v>0.52874880268420799</v>
      </c>
      <c r="AQ1449" s="8"/>
      <c r="AR1449" s="8">
        <f t="shared" si="389"/>
        <v>333.71393885097802</v>
      </c>
      <c r="AS1449" s="8">
        <f t="shared" si="390"/>
        <v>59.70492518359935</v>
      </c>
    </row>
    <row r="1450" spans="1:45">
      <c r="A1450" s="21">
        <v>56.990266669999997</v>
      </c>
      <c r="B1450" s="21">
        <v>1200.8043379999999</v>
      </c>
      <c r="C1450" s="21">
        <v>-1059.0291609999999</v>
      </c>
      <c r="E1450" s="9">
        <f t="shared" si="394"/>
        <v>-240.80433799999992</v>
      </c>
      <c r="F1450" s="9">
        <f t="shared" si="395"/>
        <v>-519.02916099999993</v>
      </c>
      <c r="I1450">
        <v>1</v>
      </c>
      <c r="J1450">
        <f t="shared" si="380"/>
        <v>0.3650732343086856</v>
      </c>
      <c r="K1450">
        <f t="shared" si="381"/>
        <v>-2.0051915289890401</v>
      </c>
      <c r="O1450">
        <f t="shared" si="382"/>
        <v>-0.150255131617263</v>
      </c>
      <c r="P1450">
        <f t="shared" si="383"/>
        <v>-0.3238595930080489</v>
      </c>
      <c r="Q1450">
        <f t="shared" si="384"/>
        <v>0.93409761772490352</v>
      </c>
      <c r="R1450">
        <f t="shared" si="385"/>
        <v>1</v>
      </c>
      <c r="AG1450" s="8">
        <f t="shared" si="391"/>
        <v>0.45248497204080568</v>
      </c>
      <c r="AH1450" s="8">
        <f t="shared" si="392"/>
        <v>-0.22326652896148275</v>
      </c>
      <c r="AI1450" s="8">
        <f t="shared" si="393"/>
        <v>0.8633709556863276</v>
      </c>
      <c r="AJ1450" s="8"/>
      <c r="AK1450" s="8"/>
      <c r="AL1450" s="8"/>
      <c r="AN1450" s="8">
        <f t="shared" si="386"/>
        <v>1</v>
      </c>
      <c r="AO1450" s="8">
        <f t="shared" si="387"/>
        <v>5.8248130629157542</v>
      </c>
      <c r="AP1450" s="8">
        <f t="shared" si="388"/>
        <v>0.52888350973304998</v>
      </c>
      <c r="AQ1450" s="8"/>
      <c r="AR1450" s="8">
        <f t="shared" si="389"/>
        <v>333.73720495774279</v>
      </c>
      <c r="AS1450" s="8">
        <f t="shared" si="390"/>
        <v>59.69720703823004</v>
      </c>
    </row>
    <row r="1451" spans="1:45">
      <c r="A1451" s="21">
        <v>57.023633330000003</v>
      </c>
      <c r="B1451" s="21">
        <v>1201.7540839999999</v>
      </c>
      <c r="C1451" s="21">
        <v>-1059.8801089999999</v>
      </c>
      <c r="E1451" s="9">
        <f t="shared" si="394"/>
        <v>-241.75408399999992</v>
      </c>
      <c r="F1451" s="9">
        <f t="shared" si="395"/>
        <v>-519.88010899999995</v>
      </c>
      <c r="I1451">
        <v>1</v>
      </c>
      <c r="J1451">
        <f t="shared" si="380"/>
        <v>0.36576426911943799</v>
      </c>
      <c r="K1451">
        <f t="shared" si="381"/>
        <v>-2.0060695514179709</v>
      </c>
      <c r="O1451">
        <f t="shared" si="382"/>
        <v>-0.15081157148750229</v>
      </c>
      <c r="P1451">
        <f t="shared" si="383"/>
        <v>-0.32431276827316796</v>
      </c>
      <c r="Q1451">
        <f t="shared" si="384"/>
        <v>0.93385068305402252</v>
      </c>
      <c r="R1451">
        <f t="shared" si="385"/>
        <v>1</v>
      </c>
      <c r="AG1451" s="8">
        <f t="shared" si="391"/>
        <v>0.45304874516350213</v>
      </c>
      <c r="AH1451" s="8">
        <f t="shared" si="392"/>
        <v>-0.22360112556493605</v>
      </c>
      <c r="AI1451" s="8">
        <f t="shared" si="393"/>
        <v>0.86298862747539717</v>
      </c>
      <c r="AJ1451" s="8"/>
      <c r="AK1451" s="8"/>
      <c r="AL1451" s="8"/>
      <c r="AN1451" s="8">
        <f t="shared" si="386"/>
        <v>1</v>
      </c>
      <c r="AO1451" s="8">
        <f t="shared" si="387"/>
        <v>5.824712920805311</v>
      </c>
      <c r="AP1451" s="8">
        <f t="shared" si="388"/>
        <v>0.52964075041784064</v>
      </c>
      <c r="AQ1451" s="8"/>
      <c r="AR1451" s="8">
        <f t="shared" si="389"/>
        <v>333.73146723746282</v>
      </c>
      <c r="AS1451" s="8">
        <f t="shared" si="390"/>
        <v>59.653820342915935</v>
      </c>
    </row>
    <row r="1452" spans="1:45">
      <c r="A1452" s="21">
        <v>57.057000000000002</v>
      </c>
      <c r="B1452" s="21">
        <v>1202.2136680000001</v>
      </c>
      <c r="C1452" s="21">
        <v>-1060.8086519999999</v>
      </c>
      <c r="E1452" s="9">
        <f t="shared" si="394"/>
        <v>-242.2136680000001</v>
      </c>
      <c r="F1452" s="9">
        <f t="shared" si="395"/>
        <v>-520.80865199999994</v>
      </c>
      <c r="I1452">
        <v>1</v>
      </c>
      <c r="J1452">
        <f t="shared" si="380"/>
        <v>0.3663747559865283</v>
      </c>
      <c r="K1452">
        <f t="shared" si="381"/>
        <v>-2.0061134290202389</v>
      </c>
      <c r="O1452">
        <f t="shared" si="382"/>
        <v>-0.15106618479854275</v>
      </c>
      <c r="P1452">
        <f t="shared" si="383"/>
        <v>-0.32482302389191331</v>
      </c>
      <c r="Q1452">
        <f t="shared" si="384"/>
        <v>0.93363216041443542</v>
      </c>
      <c r="R1452">
        <f t="shared" si="385"/>
        <v>1</v>
      </c>
      <c r="AG1452" s="8">
        <f t="shared" si="391"/>
        <v>0.45358368251746128</v>
      </c>
      <c r="AH1452" s="8">
        <f t="shared" si="392"/>
        <v>-0.2236422595064981</v>
      </c>
      <c r="AI1452" s="8">
        <f t="shared" si="393"/>
        <v>0.86269692402182985</v>
      </c>
      <c r="AJ1452" s="8"/>
      <c r="AK1452" s="8"/>
      <c r="AL1452" s="8"/>
      <c r="AN1452" s="8">
        <f t="shared" si="386"/>
        <v>0.99999999999999978</v>
      </c>
      <c r="AO1452" s="8">
        <f t="shared" si="387"/>
        <v>5.8251081303840557</v>
      </c>
      <c r="AP1452" s="8">
        <f t="shared" si="388"/>
        <v>0.53021784126317795</v>
      </c>
      <c r="AQ1452" s="8"/>
      <c r="AR1452" s="8">
        <f t="shared" si="389"/>
        <v>333.75411107834805</v>
      </c>
      <c r="AS1452" s="8">
        <f t="shared" si="390"/>
        <v>59.620755473082475</v>
      </c>
    </row>
    <row r="1453" spans="1:45">
      <c r="A1453" s="21">
        <v>57.090366670000002</v>
      </c>
      <c r="B1453" s="21">
        <v>1202.9920910000001</v>
      </c>
      <c r="C1453" s="21">
        <v>-1061.7590520000001</v>
      </c>
      <c r="E1453" s="9">
        <f t="shared" si="394"/>
        <v>-242.99209100000007</v>
      </c>
      <c r="F1453" s="9">
        <f t="shared" si="395"/>
        <v>-521.75905200000011</v>
      </c>
      <c r="I1453">
        <v>1</v>
      </c>
      <c r="J1453">
        <f t="shared" si="380"/>
        <v>0.36707588470665536</v>
      </c>
      <c r="K1453">
        <f t="shared" si="381"/>
        <v>-2.0066434152592532</v>
      </c>
      <c r="O1453">
        <f t="shared" si="382"/>
        <v>-0.1515146345714691</v>
      </c>
      <c r="P1453">
        <f t="shared" si="383"/>
        <v>-0.32533623531860645</v>
      </c>
      <c r="Q1453">
        <f t="shared" si="384"/>
        <v>0.93338076340761944</v>
      </c>
      <c r="R1453">
        <f t="shared" si="385"/>
        <v>1</v>
      </c>
      <c r="AG1453" s="8">
        <f t="shared" si="391"/>
        <v>0.45417327193496898</v>
      </c>
      <c r="AH1453" s="8">
        <f t="shared" si="392"/>
        <v>-0.22385705481917556</v>
      </c>
      <c r="AI1453" s="8">
        <f t="shared" si="393"/>
        <v>0.86233094463063853</v>
      </c>
      <c r="AJ1453" s="8"/>
      <c r="AK1453" s="8"/>
      <c r="AL1453" s="8"/>
      <c r="AN1453" s="8">
        <f t="shared" si="386"/>
        <v>1</v>
      </c>
      <c r="AO1453" s="8">
        <f t="shared" si="387"/>
        <v>5.8252425839707387</v>
      </c>
      <c r="AP1453" s="8">
        <f t="shared" si="388"/>
        <v>0.53094107323197481</v>
      </c>
      <c r="AQ1453" s="8"/>
      <c r="AR1453" s="8">
        <f t="shared" si="389"/>
        <v>333.7618147014054</v>
      </c>
      <c r="AS1453" s="8">
        <f t="shared" si="390"/>
        <v>59.579317333661479</v>
      </c>
    </row>
    <row r="1454" spans="1:45">
      <c r="A1454" s="21">
        <v>57.12373333</v>
      </c>
      <c r="B1454" s="21">
        <v>1202.9568529999999</v>
      </c>
      <c r="C1454" s="21">
        <v>-1062.0757679999999</v>
      </c>
      <c r="E1454" s="9">
        <f t="shared" si="394"/>
        <v>-242.95685299999991</v>
      </c>
      <c r="F1454" s="9">
        <f t="shared" si="395"/>
        <v>-522.07576799999993</v>
      </c>
      <c r="I1454">
        <v>1</v>
      </c>
      <c r="J1454">
        <f t="shared" si="380"/>
        <v>0.36723622801260075</v>
      </c>
      <c r="K1454">
        <f t="shared" si="381"/>
        <v>-2.0063557407152572</v>
      </c>
      <c r="O1454">
        <f t="shared" si="382"/>
        <v>-0.15148418017175289</v>
      </c>
      <c r="P1454">
        <f t="shared" si="383"/>
        <v>-0.32551549267481772</v>
      </c>
      <c r="Q1454">
        <f t="shared" si="384"/>
        <v>0.93332320617584696</v>
      </c>
      <c r="R1454">
        <f t="shared" si="385"/>
        <v>1</v>
      </c>
      <c r="AG1454" s="8">
        <f t="shared" si="391"/>
        <v>0.45432901301846629</v>
      </c>
      <c r="AH1454" s="8">
        <f t="shared" si="392"/>
        <v>-0.22376331290676327</v>
      </c>
      <c r="AI1454" s="8">
        <f t="shared" si="393"/>
        <v>0.86227323263954803</v>
      </c>
      <c r="AJ1454" s="8"/>
      <c r="AK1454" s="8"/>
      <c r="AL1454" s="8"/>
      <c r="AN1454" s="8">
        <f t="shared" si="386"/>
        <v>0.99999999999999978</v>
      </c>
      <c r="AO1454" s="8">
        <f t="shared" si="387"/>
        <v>5.8255445660778449</v>
      </c>
      <c r="AP1454" s="8">
        <f t="shared" si="388"/>
        <v>0.53105503976022805</v>
      </c>
      <c r="AQ1454" s="8"/>
      <c r="AR1454" s="8">
        <f t="shared" si="389"/>
        <v>333.77911700163105</v>
      </c>
      <c r="AS1454" s="8">
        <f t="shared" si="390"/>
        <v>59.572787532586808</v>
      </c>
    </row>
    <row r="1455" spans="1:45">
      <c r="A1455" s="21">
        <v>57.1571</v>
      </c>
      <c r="B1455" s="21">
        <v>1203.740268</v>
      </c>
      <c r="C1455" s="21">
        <v>-1062.9643410000001</v>
      </c>
      <c r="E1455" s="9">
        <f t="shared" si="394"/>
        <v>-243.74026800000001</v>
      </c>
      <c r="F1455" s="9">
        <f t="shared" si="395"/>
        <v>-522.9643410000001</v>
      </c>
      <c r="I1455">
        <v>1</v>
      </c>
      <c r="J1455">
        <f t="shared" si="380"/>
        <v>0.36790521223316319</v>
      </c>
      <c r="K1455">
        <f t="shared" si="381"/>
        <v>-2.006936989030021</v>
      </c>
      <c r="O1455">
        <f t="shared" si="382"/>
        <v>-0.15193709124292432</v>
      </c>
      <c r="P1455">
        <f t="shared" si="383"/>
        <v>-0.32599324456028272</v>
      </c>
      <c r="Q1455">
        <f t="shared" si="384"/>
        <v>0.93308280704645874</v>
      </c>
      <c r="R1455">
        <f t="shared" si="385"/>
        <v>1</v>
      </c>
      <c r="AG1455" s="8">
        <f t="shared" si="391"/>
        <v>0.4548873060300862</v>
      </c>
      <c r="AH1455" s="8">
        <f t="shared" si="392"/>
        <v>-0.2239951177080437</v>
      </c>
      <c r="AI1455" s="8">
        <f t="shared" si="393"/>
        <v>0.86191863076258557</v>
      </c>
      <c r="AJ1455" s="8"/>
      <c r="AK1455" s="8"/>
      <c r="AL1455" s="8"/>
      <c r="AN1455" s="8">
        <f t="shared" si="386"/>
        <v>1</v>
      </c>
      <c r="AO1455" s="8">
        <f t="shared" si="387"/>
        <v>5.825620931268948</v>
      </c>
      <c r="AP1455" s="8">
        <f t="shared" si="388"/>
        <v>0.53175480368764383</v>
      </c>
      <c r="AQ1455" s="8"/>
      <c r="AR1455" s="8">
        <f t="shared" si="389"/>
        <v>333.78349240478298</v>
      </c>
      <c r="AS1455" s="8">
        <f t="shared" si="390"/>
        <v>59.532694012890389</v>
      </c>
    </row>
    <row r="1456" spans="1:45">
      <c r="A1456" s="21">
        <v>57.190466669999999</v>
      </c>
      <c r="B1456" s="21">
        <v>1203.8750930000001</v>
      </c>
      <c r="C1456" s="21">
        <v>-1063.823132</v>
      </c>
      <c r="E1456" s="9">
        <f t="shared" si="394"/>
        <v>-243.87509300000011</v>
      </c>
      <c r="F1456" s="9">
        <f t="shared" si="395"/>
        <v>-523.82313199999999</v>
      </c>
      <c r="I1456">
        <v>1</v>
      </c>
      <c r="J1456">
        <f t="shared" si="380"/>
        <v>0.36839686168330454</v>
      </c>
      <c r="K1456">
        <f t="shared" si="381"/>
        <v>-2.0065206112501568</v>
      </c>
      <c r="O1456">
        <f t="shared" si="382"/>
        <v>-0.15199494652265547</v>
      </c>
      <c r="P1456">
        <f t="shared" si="383"/>
        <v>-0.32647232628905598</v>
      </c>
      <c r="Q1456">
        <f t="shared" si="384"/>
        <v>0.93290586684776899</v>
      </c>
      <c r="R1456">
        <f t="shared" si="385"/>
        <v>1</v>
      </c>
      <c r="AG1456" s="8">
        <f t="shared" si="391"/>
        <v>0.45534083179686552</v>
      </c>
      <c r="AH1456" s="8">
        <f t="shared" si="392"/>
        <v>-0.22387007707375658</v>
      </c>
      <c r="AI1456" s="8">
        <f t="shared" si="393"/>
        <v>0.86171161967883936</v>
      </c>
      <c r="AJ1456" s="8"/>
      <c r="AK1456" s="8"/>
      <c r="AL1456" s="8"/>
      <c r="AN1456" s="8">
        <f t="shared" si="386"/>
        <v>0.99999999999999978</v>
      </c>
      <c r="AO1456" s="8">
        <f t="shared" si="387"/>
        <v>5.8262368760769832</v>
      </c>
      <c r="AP1456" s="8">
        <f t="shared" si="388"/>
        <v>0.53216293047104357</v>
      </c>
      <c r="AQ1456" s="8"/>
      <c r="AR1456" s="8">
        <f t="shared" si="389"/>
        <v>333.81878344269637</v>
      </c>
      <c r="AS1456" s="8">
        <f t="shared" si="390"/>
        <v>59.509310070695328</v>
      </c>
    </row>
    <row r="1457" spans="1:45">
      <c r="A1457" s="21">
        <v>57.223833329999998</v>
      </c>
      <c r="B1457" s="21">
        <v>1204.813789</v>
      </c>
      <c r="C1457" s="21">
        <v>-1064.7767799999999</v>
      </c>
      <c r="E1457" s="9">
        <f t="shared" si="394"/>
        <v>-244.81378900000004</v>
      </c>
      <c r="F1457" s="9">
        <f t="shared" si="395"/>
        <v>-524.77677999999992</v>
      </c>
      <c r="I1457">
        <v>1</v>
      </c>
      <c r="J1457">
        <f t="shared" si="380"/>
        <v>0.36913859079914518</v>
      </c>
      <c r="K1457">
        <f t="shared" si="381"/>
        <v>-2.0072951005587498</v>
      </c>
      <c r="O1457">
        <f t="shared" si="382"/>
        <v>-0.15254024910710071</v>
      </c>
      <c r="P1457">
        <f t="shared" si="383"/>
        <v>-0.32698150326337266</v>
      </c>
      <c r="Q1457">
        <f t="shared" si="384"/>
        <v>0.93263849852232061</v>
      </c>
      <c r="R1457">
        <f t="shared" si="385"/>
        <v>1</v>
      </c>
      <c r="AG1457" s="8">
        <f t="shared" si="391"/>
        <v>0.45595253043379702</v>
      </c>
      <c r="AH1457" s="8">
        <f t="shared" si="392"/>
        <v>-0.22417339803083694</v>
      </c>
      <c r="AI1457" s="8">
        <f t="shared" si="393"/>
        <v>0.86130922298923818</v>
      </c>
      <c r="AJ1457" s="8"/>
      <c r="AK1457" s="8"/>
      <c r="AL1457" s="8"/>
      <c r="AN1457" s="8">
        <f t="shared" si="386"/>
        <v>0.99999999999999978</v>
      </c>
      <c r="AO1457" s="8">
        <f t="shared" si="387"/>
        <v>5.8262323244940282</v>
      </c>
      <c r="AP1457" s="8">
        <f t="shared" si="388"/>
        <v>0.53295545593643667</v>
      </c>
      <c r="AQ1457" s="8"/>
      <c r="AR1457" s="8">
        <f t="shared" si="389"/>
        <v>333.81852265620296</v>
      </c>
      <c r="AS1457" s="8">
        <f t="shared" si="390"/>
        <v>59.463901706371658</v>
      </c>
    </row>
    <row r="1458" spans="1:45">
      <c r="A1458" s="21">
        <v>57.257199999999997</v>
      </c>
      <c r="B1458" s="21">
        <v>1205.009969</v>
      </c>
      <c r="C1458" s="21">
        <v>-1065.488454</v>
      </c>
      <c r="E1458" s="9">
        <f t="shared" si="394"/>
        <v>-245.00996899999996</v>
      </c>
      <c r="F1458" s="9">
        <f t="shared" si="395"/>
        <v>-525.48845400000005</v>
      </c>
      <c r="I1458">
        <v>1</v>
      </c>
      <c r="J1458">
        <f t="shared" si="380"/>
        <v>0.36956659102686573</v>
      </c>
      <c r="K1458">
        <f t="shared" si="381"/>
        <v>-2.0070828064206574</v>
      </c>
      <c r="O1458">
        <f t="shared" si="382"/>
        <v>-0.15263949517810069</v>
      </c>
      <c r="P1458">
        <f t="shared" si="383"/>
        <v>-0.32737562748102156</v>
      </c>
      <c r="Q1458">
        <f t="shared" si="384"/>
        <v>0.93248398540842614</v>
      </c>
      <c r="R1458">
        <f t="shared" si="385"/>
        <v>1</v>
      </c>
      <c r="AG1458" s="8">
        <f t="shared" si="391"/>
        <v>0.45633942288487567</v>
      </c>
      <c r="AH1458" s="8">
        <f t="shared" si="392"/>
        <v>-0.22411700702615428</v>
      </c>
      <c r="AI1458" s="8">
        <f t="shared" si="393"/>
        <v>0.86111898032893064</v>
      </c>
      <c r="AJ1458" s="8"/>
      <c r="AK1458" s="8"/>
      <c r="AL1458" s="8"/>
      <c r="AN1458" s="8">
        <f t="shared" si="386"/>
        <v>0.99999999999999989</v>
      </c>
      <c r="AO1458" s="8">
        <f t="shared" si="387"/>
        <v>5.8266676252133411</v>
      </c>
      <c r="AP1458" s="8">
        <f t="shared" si="388"/>
        <v>0.5333297708210456</v>
      </c>
      <c r="AQ1458" s="8"/>
      <c r="AR1458" s="8">
        <f t="shared" si="389"/>
        <v>333.8434635502386</v>
      </c>
      <c r="AS1458" s="8">
        <f t="shared" si="390"/>
        <v>59.442455043274649</v>
      </c>
    </row>
    <row r="1459" spans="1:45">
      <c r="A1459" s="21">
        <v>57.290566669999997</v>
      </c>
      <c r="B1459" s="21">
        <v>1205.2345660000001</v>
      </c>
      <c r="C1459" s="21">
        <v>-1066.064856</v>
      </c>
      <c r="E1459" s="9">
        <f t="shared" si="394"/>
        <v>-245.23456600000009</v>
      </c>
      <c r="F1459" s="9">
        <f t="shared" si="395"/>
        <v>-526.06485599999996</v>
      </c>
      <c r="I1459">
        <v>1</v>
      </c>
      <c r="J1459">
        <f t="shared" si="380"/>
        <v>0.36992946586075354</v>
      </c>
      <c r="K1459">
        <f t="shared" si="381"/>
        <v>-2.0070138634229764</v>
      </c>
      <c r="O1459">
        <f t="shared" si="382"/>
        <v>-0.15275988274950442</v>
      </c>
      <c r="P1459">
        <f t="shared" si="383"/>
        <v>-0.32769281684864465</v>
      </c>
      <c r="Q1459">
        <f t="shared" si="384"/>
        <v>0.93235284952005071</v>
      </c>
      <c r="R1459">
        <f t="shared" si="385"/>
        <v>1</v>
      </c>
      <c r="AG1459" s="8">
        <f t="shared" si="391"/>
        <v>0.45666163643470281</v>
      </c>
      <c r="AH1459" s="8">
        <f t="shared" si="392"/>
        <v>-0.22410812519666024</v>
      </c>
      <c r="AI1459" s="8">
        <f t="shared" si="393"/>
        <v>0.86095046200673897</v>
      </c>
      <c r="AJ1459" s="8"/>
      <c r="AK1459" s="8"/>
      <c r="AL1459" s="8"/>
      <c r="AN1459" s="8">
        <f t="shared" si="386"/>
        <v>1</v>
      </c>
      <c r="AO1459" s="8">
        <f t="shared" si="387"/>
        <v>5.8269625247332595</v>
      </c>
      <c r="AP1459" s="8">
        <f t="shared" si="388"/>
        <v>0.53366114354373773</v>
      </c>
      <c r="AQ1459" s="8"/>
      <c r="AR1459" s="8">
        <f t="shared" si="389"/>
        <v>333.86036004811035</v>
      </c>
      <c r="AS1459" s="8">
        <f t="shared" si="390"/>
        <v>59.423468784818624</v>
      </c>
    </row>
    <row r="1460" spans="1:45">
      <c r="A1460" s="21">
        <v>57.323933330000003</v>
      </c>
      <c r="B1460" s="21">
        <v>1205.8465490000001</v>
      </c>
      <c r="C1460" s="21">
        <v>-1066.8971690000001</v>
      </c>
      <c r="E1460" s="9">
        <f t="shared" si="394"/>
        <v>-245.8465490000001</v>
      </c>
      <c r="F1460" s="9">
        <f t="shared" si="395"/>
        <v>-526.89716900000008</v>
      </c>
      <c r="I1460">
        <v>1</v>
      </c>
      <c r="J1460">
        <f t="shared" si="380"/>
        <v>0.37052470730982479</v>
      </c>
      <c r="K1460">
        <f t="shared" si="381"/>
        <v>-2.0073630206049096</v>
      </c>
      <c r="O1460">
        <f t="shared" si="382"/>
        <v>-0.15310892311730326</v>
      </c>
      <c r="P1460">
        <f t="shared" si="383"/>
        <v>-0.32814232482533556</v>
      </c>
      <c r="Q1460">
        <f t="shared" si="384"/>
        <v>0.93213747501110777</v>
      </c>
      <c r="R1460">
        <f t="shared" si="385"/>
        <v>1</v>
      </c>
      <c r="AG1460" s="8">
        <f t="shared" si="391"/>
        <v>0.45716606138085891</v>
      </c>
      <c r="AH1460" s="8">
        <f t="shared" si="392"/>
        <v>-0.22425636161846813</v>
      </c>
      <c r="AI1460" s="8">
        <f t="shared" si="393"/>
        <v>0.86064410565294613</v>
      </c>
      <c r="AJ1460" s="8"/>
      <c r="AK1460" s="8"/>
      <c r="AL1460" s="8"/>
      <c r="AN1460" s="8">
        <f t="shared" si="386"/>
        <v>0.99999999999999989</v>
      </c>
      <c r="AO1460" s="8">
        <f t="shared" si="387"/>
        <v>5.8271376095253933</v>
      </c>
      <c r="AP1460" s="8">
        <f t="shared" si="388"/>
        <v>0.53426308404881317</v>
      </c>
      <c r="AQ1460" s="8"/>
      <c r="AR1460" s="8">
        <f t="shared" si="389"/>
        <v>333.87039166775651</v>
      </c>
      <c r="AS1460" s="8">
        <f t="shared" si="390"/>
        <v>59.388980134359826</v>
      </c>
    </row>
    <row r="1461" spans="1:45">
      <c r="A1461" s="21">
        <v>57.357300000000002</v>
      </c>
      <c r="B1461" s="21">
        <v>1205.857755</v>
      </c>
      <c r="C1461" s="21">
        <v>-1067.775144</v>
      </c>
      <c r="E1461" s="9">
        <f t="shared" si="394"/>
        <v>-245.857755</v>
      </c>
      <c r="F1461" s="9">
        <f t="shared" si="395"/>
        <v>-527.77514399999995</v>
      </c>
      <c r="I1461">
        <v>1</v>
      </c>
      <c r="J1461">
        <f t="shared" si="380"/>
        <v>0.37099489463808283</v>
      </c>
      <c r="K1461">
        <f t="shared" si="381"/>
        <v>-2.0067428544402035</v>
      </c>
      <c r="O1461">
        <f t="shared" si="382"/>
        <v>-0.1530904455633352</v>
      </c>
      <c r="P1461">
        <f t="shared" si="383"/>
        <v>-0.32863446569831983</v>
      </c>
      <c r="Q1461">
        <f t="shared" si="384"/>
        <v>0.93196711499515872</v>
      </c>
      <c r="R1461">
        <f t="shared" si="385"/>
        <v>1</v>
      </c>
      <c r="AG1461" s="8">
        <f t="shared" si="391"/>
        <v>0.45761091815949456</v>
      </c>
      <c r="AH1461" s="8">
        <f t="shared" si="392"/>
        <v>-0.22405740220024245</v>
      </c>
      <c r="AI1461" s="8">
        <f t="shared" si="393"/>
        <v>0.86045948661195149</v>
      </c>
      <c r="AJ1461" s="8"/>
      <c r="AK1461" s="8"/>
      <c r="AL1461" s="8"/>
      <c r="AN1461" s="8">
        <f t="shared" si="386"/>
        <v>1</v>
      </c>
      <c r="AO1461" s="8">
        <f t="shared" si="387"/>
        <v>5.827872699407175</v>
      </c>
      <c r="AP1461" s="8">
        <f t="shared" si="388"/>
        <v>0.53462553493720155</v>
      </c>
      <c r="AQ1461" s="8"/>
      <c r="AR1461" s="8">
        <f t="shared" si="389"/>
        <v>333.91250921554541</v>
      </c>
      <c r="AS1461" s="8">
        <f t="shared" si="390"/>
        <v>59.368213228174412</v>
      </c>
    </row>
    <row r="1462" spans="1:45">
      <c r="A1462" s="21">
        <v>57.390666670000002</v>
      </c>
      <c r="B1462" s="21">
        <v>1206.738895</v>
      </c>
      <c r="C1462" s="21">
        <v>-1068.7933860000001</v>
      </c>
      <c r="E1462" s="9">
        <f t="shared" si="394"/>
        <v>-246.73889499999996</v>
      </c>
      <c r="F1462" s="9">
        <f t="shared" si="395"/>
        <v>-528.79338600000005</v>
      </c>
      <c r="I1462">
        <v>1</v>
      </c>
      <c r="J1462">
        <f t="shared" si="380"/>
        <v>0.3717553253000408</v>
      </c>
      <c r="K1462">
        <f t="shared" si="381"/>
        <v>-2.0073747990173043</v>
      </c>
      <c r="O1462">
        <f t="shared" si="382"/>
        <v>-0.15359771552409743</v>
      </c>
      <c r="P1462">
        <f t="shared" si="383"/>
        <v>-0.32917978364883382</v>
      </c>
      <c r="Q1462">
        <f t="shared" si="384"/>
        <v>0.93169115688767024</v>
      </c>
      <c r="R1462">
        <f t="shared" si="385"/>
        <v>1</v>
      </c>
      <c r="AG1462" s="8">
        <f t="shared" si="391"/>
        <v>0.45824522816222335</v>
      </c>
      <c r="AH1462" s="8">
        <f t="shared" si="392"/>
        <v>-0.22431263966214204</v>
      </c>
      <c r="AI1462" s="8">
        <f t="shared" si="393"/>
        <v>0.86005531831060367</v>
      </c>
      <c r="AJ1462" s="8"/>
      <c r="AK1462" s="8"/>
      <c r="AL1462" s="8"/>
      <c r="AN1462" s="8">
        <f t="shared" si="386"/>
        <v>0.99999999999999989</v>
      </c>
      <c r="AO1462" s="8">
        <f t="shared" si="387"/>
        <v>5.8279701093986374</v>
      </c>
      <c r="AP1462" s="8">
        <f t="shared" si="388"/>
        <v>0.53541823963332891</v>
      </c>
      <c r="AQ1462" s="8"/>
      <c r="AR1462" s="8">
        <f t="shared" si="389"/>
        <v>333.91809039693857</v>
      </c>
      <c r="AS1462" s="8">
        <f t="shared" si="390"/>
        <v>59.322794594686115</v>
      </c>
    </row>
    <row r="1463" spans="1:45">
      <c r="A1463" s="21">
        <v>57.42403333</v>
      </c>
      <c r="B1463" s="21">
        <v>1207.017032</v>
      </c>
      <c r="C1463" s="21">
        <v>-1069.1642939999999</v>
      </c>
      <c r="E1463" s="9">
        <f t="shared" si="394"/>
        <v>-247.01703199999997</v>
      </c>
      <c r="F1463" s="9">
        <f t="shared" si="395"/>
        <v>-529.16429399999993</v>
      </c>
      <c r="I1463">
        <v>1</v>
      </c>
      <c r="J1463">
        <f t="shared" si="380"/>
        <v>0.37202161703072567</v>
      </c>
      <c r="K1463">
        <f t="shared" si="381"/>
        <v>-2.0075378415902012</v>
      </c>
      <c r="O1463">
        <f t="shared" si="382"/>
        <v>-0.15375632264335801</v>
      </c>
      <c r="P1463">
        <f t="shared" si="383"/>
        <v>-0.32937953816726617</v>
      </c>
      <c r="Q1463">
        <f t="shared" si="384"/>
        <v>0.93159439300798186</v>
      </c>
      <c r="R1463">
        <f t="shared" si="385"/>
        <v>1</v>
      </c>
      <c r="AG1463" s="8">
        <f t="shared" si="391"/>
        <v>0.4584702726850271</v>
      </c>
      <c r="AH1463" s="8">
        <f t="shared" si="392"/>
        <v>-0.22438157517127555</v>
      </c>
      <c r="AI1463" s="8">
        <f t="shared" si="393"/>
        <v>0.85991739009498702</v>
      </c>
      <c r="AJ1463" s="8"/>
      <c r="AK1463" s="8"/>
      <c r="AL1463" s="8"/>
      <c r="AN1463" s="8">
        <f t="shared" si="386"/>
        <v>1</v>
      </c>
      <c r="AO1463" s="8">
        <f t="shared" si="387"/>
        <v>5.8280426488096166</v>
      </c>
      <c r="AP1463" s="8">
        <f t="shared" si="388"/>
        <v>0.53568851910989634</v>
      </c>
      <c r="AQ1463" s="8"/>
      <c r="AR1463" s="8">
        <f t="shared" si="389"/>
        <v>333.92224659903604</v>
      </c>
      <c r="AS1463" s="8">
        <f t="shared" si="390"/>
        <v>59.307308721389788</v>
      </c>
    </row>
    <row r="1464" spans="1:45">
      <c r="A1464" s="21">
        <v>57.4574</v>
      </c>
      <c r="B1464" s="21">
        <v>1207.783443</v>
      </c>
      <c r="C1464" s="21">
        <v>-1069.9045779999999</v>
      </c>
      <c r="E1464" s="9">
        <f t="shared" si="394"/>
        <v>-247.78344300000003</v>
      </c>
      <c r="F1464" s="9">
        <f t="shared" si="395"/>
        <v>-529.9045779999999</v>
      </c>
      <c r="I1464">
        <v>1</v>
      </c>
      <c r="J1464">
        <f t="shared" si="380"/>
        <v>0.37260544884033464</v>
      </c>
      <c r="K1464">
        <f t="shared" si="381"/>
        <v>-2.0081897323083608</v>
      </c>
      <c r="O1464">
        <f t="shared" si="382"/>
        <v>-0.15420136581111951</v>
      </c>
      <c r="P1464">
        <f t="shared" si="383"/>
        <v>-0.32977187130765989</v>
      </c>
      <c r="Q1464">
        <f t="shared" si="384"/>
        <v>0.93138201167739409</v>
      </c>
      <c r="R1464">
        <f t="shared" si="385"/>
        <v>1</v>
      </c>
      <c r="AG1464" s="8">
        <f t="shared" si="391"/>
        <v>0.45894802062627299</v>
      </c>
      <c r="AH1464" s="8">
        <f t="shared" si="392"/>
        <v>-0.22463727513373655</v>
      </c>
      <c r="AI1464" s="8">
        <f t="shared" si="393"/>
        <v>0.85959572415392804</v>
      </c>
      <c r="AJ1464" s="8"/>
      <c r="AK1464" s="8"/>
      <c r="AL1464" s="8"/>
      <c r="AN1464" s="8">
        <f t="shared" si="386"/>
        <v>0.99999999999999978</v>
      </c>
      <c r="AO1464" s="8">
        <f t="shared" si="387"/>
        <v>5.8280041814604413</v>
      </c>
      <c r="AP1464" s="8">
        <f t="shared" si="388"/>
        <v>0.53631836719805848</v>
      </c>
      <c r="AQ1464" s="8"/>
      <c r="AR1464" s="8">
        <f t="shared" si="389"/>
        <v>333.92004258227928</v>
      </c>
      <c r="AS1464" s="8">
        <f t="shared" si="390"/>
        <v>59.271221084203717</v>
      </c>
    </row>
    <row r="1465" spans="1:45">
      <c r="A1465" s="21">
        <v>57.490766669999999</v>
      </c>
      <c r="B1465" s="21">
        <v>1208.6145859999999</v>
      </c>
      <c r="C1465" s="21">
        <v>-1071.364779</v>
      </c>
      <c r="E1465" s="9">
        <f t="shared" si="394"/>
        <v>-248.61458599999992</v>
      </c>
      <c r="F1465" s="9">
        <f t="shared" si="395"/>
        <v>-531.364779</v>
      </c>
      <c r="I1465">
        <v>1</v>
      </c>
      <c r="J1465">
        <f t="shared" ref="J1465:J1476" si="396">ATAN((SQRT(E1465^2+F1465^2)^$B$16)/($F$24))</f>
        <v>0.3735874897048771</v>
      </c>
      <c r="K1465">
        <f t="shared" ref="K1465:K1476" si="397">ATAN2(E1465,F1465)</f>
        <v>-2.0084188072718892</v>
      </c>
      <c r="O1465">
        <f t="shared" ref="O1465:O1476" si="398">COS(K1465)*SIN(J1465)</f>
        <v>-0.154664448952126</v>
      </c>
      <c r="P1465">
        <f t="shared" ref="P1465:P1476" si="399">SIN(K1465)*SIN(J1465)</f>
        <v>-0.33056483957302174</v>
      </c>
      <c r="Q1465">
        <f t="shared" ref="Q1465:Q1476" si="400">COS(J1465)</f>
        <v>0.9310240571910039</v>
      </c>
      <c r="R1465">
        <f t="shared" ref="R1465:R1476" si="401">SQRT(O1465^2+P1465^2+Q1465^2)</f>
        <v>1</v>
      </c>
      <c r="AG1465" s="8">
        <f t="shared" si="391"/>
        <v>0.45979661996668098</v>
      </c>
      <c r="AH1465" s="8">
        <f t="shared" si="392"/>
        <v>-0.22476055257599054</v>
      </c>
      <c r="AI1465" s="8">
        <f t="shared" si="393"/>
        <v>0.85910986624118746</v>
      </c>
      <c r="AJ1465" s="8"/>
      <c r="AK1465" s="8"/>
      <c r="AL1465" s="8"/>
      <c r="AN1465" s="8">
        <f t="shared" ref="AN1465:AN1476" si="402">AG1465^2+AH1465^2+AI1465^2</f>
        <v>1</v>
      </c>
      <c r="AO1465" s="8">
        <f t="shared" ref="AO1465:AO1476" si="403">IF(ATAN2(AG1465,AH1465)&gt;=0,ATAN2(AG1465,AH1465),ATAN2(AG1465,AH1465)+2*PI())</f>
        <v>5.8285167732953731</v>
      </c>
      <c r="AP1465" s="8">
        <f t="shared" ref="AP1465:AP1476" si="404">ACOS(AI1465/AN1465)</f>
        <v>0.53726845333582229</v>
      </c>
      <c r="AQ1465" s="8"/>
      <c r="AR1465" s="8">
        <f t="shared" ref="AR1465:AR1476" si="405">DEGREES(AO1465)</f>
        <v>333.94941193103375</v>
      </c>
      <c r="AS1465" s="8">
        <f t="shared" ref="AS1465:AS1476" si="406">90-DEGREES(AP1465)</f>
        <v>59.216785158335966</v>
      </c>
    </row>
    <row r="1466" spans="1:45">
      <c r="A1466" s="21">
        <v>57.524133329999998</v>
      </c>
      <c r="B1466" s="21">
        <v>1208.649435</v>
      </c>
      <c r="C1466" s="21">
        <v>-1071.8086310000001</v>
      </c>
      <c r="E1466" s="9">
        <f t="shared" si="394"/>
        <v>-248.64943500000004</v>
      </c>
      <c r="F1466" s="9">
        <f t="shared" si="395"/>
        <v>-531.8086310000001</v>
      </c>
      <c r="I1466">
        <v>1</v>
      </c>
      <c r="J1466">
        <f t="shared" si="396"/>
        <v>0.37383178069575618</v>
      </c>
      <c r="K1466">
        <f t="shared" si="397"/>
        <v>-2.0081521697939801</v>
      </c>
      <c r="O1466">
        <f t="shared" si="398"/>
        <v>-0.15467262942905349</v>
      </c>
      <c r="P1466">
        <f t="shared" si="399"/>
        <v>-0.33081209016153712</v>
      </c>
      <c r="Q1466">
        <f t="shared" si="400"/>
        <v>0.93093487350536919</v>
      </c>
      <c r="R1466">
        <f t="shared" si="401"/>
        <v>1</v>
      </c>
      <c r="AG1466" s="8">
        <f t="shared" si="391"/>
        <v>0.46002471679817286</v>
      </c>
      <c r="AH1466" s="8">
        <f t="shared" si="392"/>
        <v>-0.22467619948686457</v>
      </c>
      <c r="AI1466" s="8">
        <f t="shared" si="393"/>
        <v>0.859009816776793</v>
      </c>
      <c r="AJ1466" s="8"/>
      <c r="AK1466" s="8"/>
      <c r="AL1466" s="8"/>
      <c r="AN1466" s="8">
        <f t="shared" si="402"/>
        <v>1</v>
      </c>
      <c r="AO1466" s="8">
        <f t="shared" si="403"/>
        <v>5.8288604636721901</v>
      </c>
      <c r="AP1466" s="8">
        <f t="shared" si="404"/>
        <v>0.53746391010330319</v>
      </c>
      <c r="AQ1466" s="8"/>
      <c r="AR1466" s="8">
        <f t="shared" si="405"/>
        <v>333.96910393908462</v>
      </c>
      <c r="AS1466" s="8">
        <f t="shared" si="406"/>
        <v>59.20558631048204</v>
      </c>
    </row>
    <row r="1467" spans="1:45">
      <c r="A1467" s="21">
        <v>57.557499999999997</v>
      </c>
      <c r="B1467" s="21">
        <v>1208.6735630000001</v>
      </c>
      <c r="C1467" s="21">
        <v>-1072.810892</v>
      </c>
      <c r="E1467" s="9">
        <f t="shared" si="394"/>
        <v>-248.67356300000006</v>
      </c>
      <c r="F1467" s="9">
        <f t="shared" si="395"/>
        <v>-532.81089199999997</v>
      </c>
      <c r="I1467">
        <v>1</v>
      </c>
      <c r="J1467">
        <f t="shared" si="396"/>
        <v>0.37436981917910794</v>
      </c>
      <c r="K1467">
        <f t="shared" si="397"/>
        <v>-2.007467379173991</v>
      </c>
      <c r="O1467">
        <f t="shared" si="398"/>
        <v>-0.15465786808052903</v>
      </c>
      <c r="P1467">
        <f t="shared" si="399"/>
        <v>-0.33137176164884496</v>
      </c>
      <c r="Q1467">
        <f t="shared" si="400"/>
        <v>0.93073825505483909</v>
      </c>
      <c r="R1467">
        <f t="shared" si="401"/>
        <v>1</v>
      </c>
      <c r="AG1467" s="8">
        <f t="shared" si="391"/>
        <v>0.46053209051879995</v>
      </c>
      <c r="AH1467" s="8">
        <f t="shared" si="392"/>
        <v>-0.22445521624233872</v>
      </c>
      <c r="AI1467" s="8">
        <f t="shared" si="393"/>
        <v>0.85879569718530191</v>
      </c>
      <c r="AJ1467" s="8"/>
      <c r="AK1467" s="8"/>
      <c r="AL1467" s="8"/>
      <c r="AN1467" s="8">
        <f t="shared" si="402"/>
        <v>1</v>
      </c>
      <c r="AO1467" s="8">
        <f t="shared" si="403"/>
        <v>5.8296826676634188</v>
      </c>
      <c r="AP1467" s="8">
        <f t="shared" si="404"/>
        <v>0.53788199919470592</v>
      </c>
      <c r="AQ1467" s="8"/>
      <c r="AR1467" s="8">
        <f t="shared" si="405"/>
        <v>334.01621275768082</v>
      </c>
      <c r="AS1467" s="8">
        <f t="shared" si="406"/>
        <v>59.181631570084207</v>
      </c>
    </row>
    <row r="1468" spans="1:45">
      <c r="A1468" s="21">
        <v>57.590866669999997</v>
      </c>
      <c r="B1468" s="21">
        <v>1209.6971679999999</v>
      </c>
      <c r="C1468" s="21">
        <v>-1073.3359760000001</v>
      </c>
      <c r="E1468" s="9">
        <f t="shared" si="394"/>
        <v>-249.69716799999992</v>
      </c>
      <c r="F1468" s="9">
        <f t="shared" si="395"/>
        <v>-533.33597600000007</v>
      </c>
      <c r="I1468">
        <v>1</v>
      </c>
      <c r="J1468">
        <f t="shared" si="396"/>
        <v>0.37490229026628846</v>
      </c>
      <c r="K1468">
        <f t="shared" si="397"/>
        <v>-2.0086653599522046</v>
      </c>
      <c r="O1468">
        <f t="shared" si="398"/>
        <v>-0.15526484789512068</v>
      </c>
      <c r="P1468">
        <f t="shared" si="399"/>
        <v>-0.33163503556690649</v>
      </c>
      <c r="Q1468">
        <f t="shared" si="400"/>
        <v>0.93054340586167272</v>
      </c>
      <c r="R1468">
        <f t="shared" si="401"/>
        <v>1</v>
      </c>
      <c r="AG1468" s="8">
        <f t="shared" si="391"/>
        <v>0.46093513567864686</v>
      </c>
      <c r="AH1468" s="8">
        <f t="shared" si="392"/>
        <v>-0.22490445889991742</v>
      </c>
      <c r="AI1468" s="8">
        <f t="shared" si="393"/>
        <v>0.85846187164244092</v>
      </c>
      <c r="AJ1468" s="8"/>
      <c r="AK1468" s="8"/>
      <c r="AL1468" s="8"/>
      <c r="AN1468" s="8">
        <f t="shared" si="402"/>
        <v>0.99999999999999989</v>
      </c>
      <c r="AO1468" s="8">
        <f t="shared" si="403"/>
        <v>5.8292395764052873</v>
      </c>
      <c r="AP1468" s="8">
        <f t="shared" si="404"/>
        <v>0.53853324180845474</v>
      </c>
      <c r="AQ1468" s="8"/>
      <c r="AR1468" s="8">
        <f t="shared" si="405"/>
        <v>333.99082549865074</v>
      </c>
      <c r="AS1468" s="8">
        <f t="shared" si="406"/>
        <v>59.144318116877329</v>
      </c>
    </row>
    <row r="1469" spans="1:45">
      <c r="A1469" s="21">
        <v>57.624233330000003</v>
      </c>
      <c r="B1469" s="21">
        <v>1209.8455120000001</v>
      </c>
      <c r="C1469" s="21">
        <v>-1073.924334</v>
      </c>
      <c r="E1469" s="9">
        <f t="shared" si="394"/>
        <v>-249.8455120000001</v>
      </c>
      <c r="F1469" s="9">
        <f t="shared" si="395"/>
        <v>-533.92433400000004</v>
      </c>
      <c r="I1469">
        <v>1</v>
      </c>
      <c r="J1469">
        <f t="shared" si="396"/>
        <v>0.37525110273775181</v>
      </c>
      <c r="K1469">
        <f t="shared" si="397"/>
        <v>-2.0084700704123284</v>
      </c>
      <c r="O1469">
        <f t="shared" si="398"/>
        <v>-0.15533764073727196</v>
      </c>
      <c r="P1469">
        <f t="shared" si="399"/>
        <v>-0.33195932042909437</v>
      </c>
      <c r="Q1469">
        <f t="shared" si="400"/>
        <v>0.93041562054300875</v>
      </c>
      <c r="R1469">
        <f t="shared" si="401"/>
        <v>1</v>
      </c>
      <c r="AG1469" s="8">
        <f t="shared" si="391"/>
        <v>0.46125086550900662</v>
      </c>
      <c r="AH1469" s="8">
        <f t="shared" si="392"/>
        <v>-0.22484965828191289</v>
      </c>
      <c r="AI1469" s="8">
        <f t="shared" si="393"/>
        <v>0.85830662949653325</v>
      </c>
      <c r="AJ1469" s="8"/>
      <c r="AK1469" s="8"/>
      <c r="AL1469" s="8"/>
      <c r="AN1469" s="8">
        <f t="shared" si="402"/>
        <v>0.99999999999999989</v>
      </c>
      <c r="AO1469" s="8">
        <f t="shared" si="403"/>
        <v>5.8296053712294942</v>
      </c>
      <c r="AP1469" s="8">
        <f t="shared" si="404"/>
        <v>0.53883585378855869</v>
      </c>
      <c r="AQ1469" s="8"/>
      <c r="AR1469" s="8">
        <f t="shared" si="405"/>
        <v>334.01178399824551</v>
      </c>
      <c r="AS1469" s="8">
        <f t="shared" si="406"/>
        <v>59.126979727587276</v>
      </c>
    </row>
    <row r="1470" spans="1:45">
      <c r="A1470" s="21">
        <v>57.657600000000002</v>
      </c>
      <c r="B1470" s="21">
        <v>1210.462982</v>
      </c>
      <c r="C1470" s="21">
        <v>-1074.9844539999999</v>
      </c>
      <c r="E1470" s="9">
        <f t="shared" si="394"/>
        <v>-250.46298200000001</v>
      </c>
      <c r="F1470" s="9">
        <f t="shared" si="395"/>
        <v>-534.98445399999991</v>
      </c>
      <c r="I1470">
        <v>1</v>
      </c>
      <c r="J1470">
        <f t="shared" si="396"/>
        <v>0.37596623127389556</v>
      </c>
      <c r="K1470">
        <f t="shared" si="397"/>
        <v>-2.0086562066352593</v>
      </c>
      <c r="O1470">
        <f t="shared" si="398"/>
        <v>-0.15568150491922084</v>
      </c>
      <c r="P1470">
        <f t="shared" si="399"/>
        <v>-0.33253291261663431</v>
      </c>
      <c r="Q1470">
        <f t="shared" si="400"/>
        <v>0.93015328363274863</v>
      </c>
      <c r="R1470">
        <f t="shared" si="401"/>
        <v>1</v>
      </c>
      <c r="AG1470" s="8">
        <f t="shared" si="391"/>
        <v>0.46186687070223165</v>
      </c>
      <c r="AH1470" s="8">
        <f t="shared" si="392"/>
        <v>-0.22494647142065999</v>
      </c>
      <c r="AI1470" s="8">
        <f t="shared" si="393"/>
        <v>0.85794992787640134</v>
      </c>
      <c r="AJ1470" s="8"/>
      <c r="AK1470" s="8"/>
      <c r="AL1470" s="8"/>
      <c r="AN1470" s="8">
        <f t="shared" si="402"/>
        <v>1</v>
      </c>
      <c r="AO1470" s="8">
        <f t="shared" si="403"/>
        <v>5.8299613949174773</v>
      </c>
      <c r="AP1470" s="8">
        <f t="shared" si="404"/>
        <v>0.53953058913996776</v>
      </c>
      <c r="AQ1470" s="8"/>
      <c r="AR1470" s="8">
        <f t="shared" si="405"/>
        <v>334.03218265297363</v>
      </c>
      <c r="AS1470" s="8">
        <f t="shared" si="406"/>
        <v>59.087174324073004</v>
      </c>
    </row>
    <row r="1471" spans="1:45">
      <c r="A1471" s="21">
        <v>57.690966670000002</v>
      </c>
      <c r="B1471" s="21">
        <v>1211.064253</v>
      </c>
      <c r="C1471" s="21">
        <v>-1076.4562780000001</v>
      </c>
      <c r="E1471" s="9">
        <f t="shared" si="394"/>
        <v>-251.06425300000001</v>
      </c>
      <c r="F1471" s="9">
        <f t="shared" si="395"/>
        <v>-536.45627800000011</v>
      </c>
      <c r="I1471">
        <v>1</v>
      </c>
      <c r="J1471">
        <f t="shared" si="396"/>
        <v>0.37689499358752304</v>
      </c>
      <c r="K1471">
        <f t="shared" si="397"/>
        <v>-2.0085219690420479</v>
      </c>
      <c r="O1471">
        <f t="shared" si="398"/>
        <v>-0.15600298472062163</v>
      </c>
      <c r="P1471">
        <f t="shared" si="399"/>
        <v>-0.3333361063556729</v>
      </c>
      <c r="Q1471">
        <f t="shared" si="400"/>
        <v>0.9298118675075604</v>
      </c>
      <c r="R1471">
        <f t="shared" si="401"/>
        <v>1</v>
      </c>
      <c r="AG1471" s="8">
        <f t="shared" si="391"/>
        <v>0.46268652727952214</v>
      </c>
      <c r="AH1471" s="8">
        <f t="shared" si="392"/>
        <v>-0.22493769340357872</v>
      </c>
      <c r="AI1471" s="8">
        <f t="shared" si="393"/>
        <v>0.85751047314904183</v>
      </c>
      <c r="AJ1471" s="8"/>
      <c r="AK1471" s="8"/>
      <c r="AL1471" s="8"/>
      <c r="AN1471" s="8">
        <f t="shared" si="402"/>
        <v>1</v>
      </c>
      <c r="AO1471" s="8">
        <f t="shared" si="403"/>
        <v>5.830674350476146</v>
      </c>
      <c r="AP1471" s="8">
        <f t="shared" si="404"/>
        <v>0.54038539321513634</v>
      </c>
      <c r="AQ1471" s="8"/>
      <c r="AR1471" s="8">
        <f t="shared" si="405"/>
        <v>334.07303199746576</v>
      </c>
      <c r="AS1471" s="8">
        <f t="shared" si="406"/>
        <v>59.038197658255257</v>
      </c>
    </row>
    <row r="1472" spans="1:45">
      <c r="A1472" s="21">
        <v>57.72433333</v>
      </c>
      <c r="B1472" s="21">
        <v>1211.6631</v>
      </c>
      <c r="C1472" s="21">
        <v>-1076.4562780000001</v>
      </c>
      <c r="E1472" s="9">
        <f t="shared" si="394"/>
        <v>-251.66309999999999</v>
      </c>
      <c r="F1472" s="9">
        <f t="shared" si="395"/>
        <v>-536.45627800000011</v>
      </c>
      <c r="I1472">
        <v>1</v>
      </c>
      <c r="J1472">
        <f t="shared" si="396"/>
        <v>0.37704354717762545</v>
      </c>
      <c r="K1472">
        <f t="shared" si="397"/>
        <v>-2.0094373068412255</v>
      </c>
      <c r="O1472">
        <f t="shared" si="398"/>
        <v>-0.15636669654039062</v>
      </c>
      <c r="P1472">
        <f t="shared" si="399"/>
        <v>-0.33331821800340788</v>
      </c>
      <c r="Q1472">
        <f t="shared" si="400"/>
        <v>0.92975718430140575</v>
      </c>
      <c r="R1472">
        <f t="shared" si="401"/>
        <v>1</v>
      </c>
      <c r="AG1472" s="8">
        <f t="shared" si="391"/>
        <v>0.46276752082185624</v>
      </c>
      <c r="AH1472" s="8">
        <f t="shared" si="392"/>
        <v>-0.22527198670354395</v>
      </c>
      <c r="AI1472" s="8">
        <f t="shared" si="393"/>
        <v>0.85737900235486952</v>
      </c>
      <c r="AJ1472" s="8"/>
      <c r="AK1472" s="8"/>
      <c r="AL1472" s="8"/>
      <c r="AN1472" s="8">
        <f t="shared" si="402"/>
        <v>1.0000000000000002</v>
      </c>
      <c r="AO1472" s="8">
        <f t="shared" si="403"/>
        <v>5.830159016483508</v>
      </c>
      <c r="AP1472" s="8">
        <f t="shared" si="404"/>
        <v>0.54064088663522436</v>
      </c>
      <c r="AQ1472" s="8"/>
      <c r="AR1472" s="8">
        <f t="shared" si="405"/>
        <v>334.04350553464798</v>
      </c>
      <c r="AS1472" s="8">
        <f t="shared" si="406"/>
        <v>59.023558963590851</v>
      </c>
    </row>
    <row r="1473" spans="1:45">
      <c r="A1473" s="21">
        <v>57.7577</v>
      </c>
      <c r="B1473" s="21">
        <v>1211.875</v>
      </c>
      <c r="C1473" s="21">
        <v>-1077.375</v>
      </c>
      <c r="E1473" s="9">
        <f t="shared" si="394"/>
        <v>-251.875</v>
      </c>
      <c r="F1473" s="9">
        <f t="shared" si="395"/>
        <v>-537.375</v>
      </c>
      <c r="I1473">
        <v>1</v>
      </c>
      <c r="J1473">
        <f t="shared" si="396"/>
        <v>0.37758232688000115</v>
      </c>
      <c r="K1473">
        <f t="shared" si="397"/>
        <v>-2.0091030880319432</v>
      </c>
      <c r="O1473">
        <f t="shared" si="398"/>
        <v>-0.15646786387208367</v>
      </c>
      <c r="P1473">
        <f t="shared" si="399"/>
        <v>-0.33382399344222735</v>
      </c>
      <c r="Q1473">
        <f t="shared" si="400"/>
        <v>0.92955868506382688</v>
      </c>
      <c r="R1473">
        <f t="shared" si="401"/>
        <v>1</v>
      </c>
      <c r="AG1473" s="8">
        <f t="shared" si="391"/>
        <v>0.46325650631832971</v>
      </c>
      <c r="AH1473" s="8">
        <f t="shared" si="392"/>
        <v>-0.22517513049534216</v>
      </c>
      <c r="AI1473" s="8">
        <f t="shared" si="393"/>
        <v>0.8571403443778276</v>
      </c>
      <c r="AJ1473" s="8"/>
      <c r="AK1473" s="8"/>
      <c r="AL1473" s="8"/>
      <c r="AN1473" s="8">
        <f t="shared" si="402"/>
        <v>1</v>
      </c>
      <c r="AO1473" s="8">
        <f t="shared" si="403"/>
        <v>5.8307436007297335</v>
      </c>
      <c r="AP1473" s="8">
        <f t="shared" si="404"/>
        <v>0.54110440434673635</v>
      </c>
      <c r="AQ1473" s="8"/>
      <c r="AR1473" s="8">
        <f t="shared" si="405"/>
        <v>334.07699974472655</v>
      </c>
      <c r="AS1473" s="8">
        <f t="shared" si="406"/>
        <v>58.997001354991653</v>
      </c>
    </row>
    <row r="1474" spans="1:45">
      <c r="A1474" s="21">
        <v>57.791066669999999</v>
      </c>
      <c r="B1474" s="21">
        <v>1213</v>
      </c>
      <c r="C1474" s="21">
        <v>-1078.125</v>
      </c>
      <c r="E1474" s="9">
        <f t="shared" si="394"/>
        <v>-253</v>
      </c>
      <c r="F1474" s="9">
        <f t="shared" si="395"/>
        <v>-538.125</v>
      </c>
      <c r="I1474">
        <v>1</v>
      </c>
      <c r="J1474">
        <f t="shared" si="396"/>
        <v>0.37825826903895943</v>
      </c>
      <c r="K1474">
        <f t="shared" si="397"/>
        <v>-2.0102808756798378</v>
      </c>
      <c r="O1474">
        <f t="shared" si="398"/>
        <v>-0.15712822976929336</v>
      </c>
      <c r="P1474">
        <f t="shared" si="399"/>
        <v>-0.33420801835810671</v>
      </c>
      <c r="Q1474">
        <f t="shared" si="400"/>
        <v>0.92930927030494836</v>
      </c>
      <c r="R1474">
        <f t="shared" si="401"/>
        <v>1</v>
      </c>
      <c r="AG1474" s="8">
        <f t="shared" si="391"/>
        <v>0.46378387158875412</v>
      </c>
      <c r="AH1474" s="8">
        <f t="shared" si="392"/>
        <v>-0.22562714494246067</v>
      </c>
      <c r="AI1474" s="8">
        <f t="shared" si="393"/>
        <v>0.85673619739057361</v>
      </c>
      <c r="AJ1474" s="8"/>
      <c r="AK1474" s="8"/>
      <c r="AL1474" s="8"/>
      <c r="AN1474" s="8">
        <f t="shared" si="402"/>
        <v>1</v>
      </c>
      <c r="AO1474" s="8">
        <f t="shared" si="403"/>
        <v>5.8304023740690507</v>
      </c>
      <c r="AP1474" s="8">
        <f t="shared" si="404"/>
        <v>0.54188851793614168</v>
      </c>
      <c r="AQ1474" s="8"/>
      <c r="AR1474" s="8">
        <f t="shared" si="405"/>
        <v>334.05744889721205</v>
      </c>
      <c r="AS1474" s="8">
        <f t="shared" si="406"/>
        <v>58.952074955659867</v>
      </c>
    </row>
    <row r="1475" spans="1:45">
      <c r="A1475" s="21">
        <v>57.824433329999998</v>
      </c>
      <c r="B1475" s="21">
        <v>1212.5</v>
      </c>
      <c r="C1475" s="21">
        <v>-1078.625</v>
      </c>
      <c r="E1475" s="9">
        <f t="shared" si="394"/>
        <v>-252.5</v>
      </c>
      <c r="F1475" s="9">
        <f t="shared" si="395"/>
        <v>-538.625</v>
      </c>
      <c r="I1475">
        <v>1</v>
      </c>
      <c r="J1475">
        <f t="shared" si="396"/>
        <v>0.37839851210735859</v>
      </c>
      <c r="K1475">
        <f t="shared" si="397"/>
        <v>-2.009162615289847</v>
      </c>
      <c r="O1475">
        <f t="shared" si="398"/>
        <v>-0.15680971810036312</v>
      </c>
      <c r="P1475">
        <f t="shared" si="399"/>
        <v>-0.33450152242300246</v>
      </c>
      <c r="Q1475">
        <f t="shared" si="400"/>
        <v>0.92925746906117368</v>
      </c>
      <c r="R1475">
        <f t="shared" si="401"/>
        <v>1</v>
      </c>
      <c r="AG1475" s="8">
        <f t="shared" si="391"/>
        <v>0.4639666889234767</v>
      </c>
      <c r="AH1475" s="8">
        <f t="shared" si="392"/>
        <v>-0.22523112941161924</v>
      </c>
      <c r="AI1475" s="8">
        <f t="shared" si="393"/>
        <v>0.85674141367938561</v>
      </c>
      <c r="AJ1475" s="8"/>
      <c r="AK1475" s="8"/>
      <c r="AL1475" s="8"/>
      <c r="AN1475" s="8">
        <f t="shared" si="402"/>
        <v>1</v>
      </c>
      <c r="AO1475" s="8">
        <f t="shared" si="403"/>
        <v>5.8312479205496652</v>
      </c>
      <c r="AP1475" s="8">
        <f t="shared" si="404"/>
        <v>0.54187840395969022</v>
      </c>
      <c r="AQ1475" s="8"/>
      <c r="AR1475" s="8">
        <f t="shared" si="405"/>
        <v>334.10589514193339</v>
      </c>
      <c r="AS1475" s="8">
        <f t="shared" si="406"/>
        <v>58.952654443824635</v>
      </c>
    </row>
    <row r="1476" spans="1:45">
      <c r="A1476" s="21">
        <v>57.857799999999997</v>
      </c>
      <c r="B1476" s="21">
        <v>1213.375</v>
      </c>
      <c r="C1476" s="21">
        <v>-1079.375</v>
      </c>
      <c r="E1476" s="9">
        <f t="shared" si="394"/>
        <v>-253.375</v>
      </c>
      <c r="F1476" s="9">
        <f t="shared" si="395"/>
        <v>-539.375</v>
      </c>
      <c r="I1476">
        <v>1</v>
      </c>
      <c r="J1476">
        <f t="shared" si="396"/>
        <v>0.3790119855203255</v>
      </c>
      <c r="K1476">
        <f t="shared" si="397"/>
        <v>-2.009957885723777</v>
      </c>
      <c r="O1476">
        <f t="shared" si="398"/>
        <v>-0.15731804288414386</v>
      </c>
      <c r="P1476">
        <f t="shared" si="399"/>
        <v>-0.33489262705726758</v>
      </c>
      <c r="Q1476">
        <f t="shared" si="400"/>
        <v>0.92903065704301957</v>
      </c>
      <c r="R1476">
        <f t="shared" si="401"/>
        <v>1</v>
      </c>
      <c r="AG1476" s="8">
        <f t="shared" si="391"/>
        <v>0.46445978996739468</v>
      </c>
      <c r="AH1476" s="8">
        <f t="shared" si="392"/>
        <v>-0.2255434711301243</v>
      </c>
      <c r="AI1476" s="8">
        <f t="shared" si="393"/>
        <v>0.85639199326828042</v>
      </c>
      <c r="AJ1476" s="8"/>
      <c r="AK1476" s="8"/>
      <c r="AL1476" s="8"/>
      <c r="AN1476" s="8">
        <f t="shared" si="402"/>
        <v>1</v>
      </c>
      <c r="AO1476" s="8">
        <f t="shared" si="403"/>
        <v>5.8311207883609635</v>
      </c>
      <c r="AP1476" s="8">
        <f t="shared" si="404"/>
        <v>0.54255552775913962</v>
      </c>
      <c r="AQ1476" s="8"/>
      <c r="AR1476" s="8">
        <f t="shared" si="405"/>
        <v>334.09861100408051</v>
      </c>
      <c r="AS1476" s="8">
        <f t="shared" si="406"/>
        <v>58.913858107908325</v>
      </c>
    </row>
  </sheetData>
  <conditionalFormatting sqref="AX32:AY38 N32 AQ11:AR11 AT3:AU8 BI11:BI13 AH9:AI18 T9:T18 W11 W3:W8 BJ7:BJ13 AQ3:AR8">
    <cfRule type="colorScale" priority="8">
      <colorScale>
        <cfvo type="num" val="-0.5"/>
        <cfvo type="num" val="0"/>
        <cfvo type="num" val="0.5"/>
        <color rgb="FFFF0000"/>
        <color rgb="FFFFFFFF"/>
        <color rgb="FF00FFFF"/>
      </colorScale>
    </cfRule>
  </conditionalFormatting>
  <pageMargins left="0.7" right="0.7" top="0.75" bottom="0.75" header="0.3" footer="0.3"/>
  <pageSetup paperSize="9" orientation="portrait" horizontalDpi="0" verticalDpi="0" r:id="rId1"/>
  <legacyDrawing r:id="rId2"/>
  <controls>
    <control shapeId="1029" r:id="rId3" name="SpinButton1"/>
    <control shapeId="1030" r:id="rId4" name="SpinButton2"/>
    <control shapeId="1031" r:id="rId5" name="SpinButton3"/>
    <control shapeId="1033" r:id="rId6" name="SpinButton5"/>
    <control shapeId="1034" r:id="rId7" name="SpinButton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2019-12-29T23:05:16Z</dcterms:modified>
</cp:coreProperties>
</file>