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Data" sheetId="1" r:id="rId1"/>
  </sheets>
  <calcPr calcId="125725"/>
</workbook>
</file>

<file path=xl/calcChain.xml><?xml version="1.0" encoding="utf-8"?>
<calcChain xmlns="http://schemas.openxmlformats.org/spreadsheetml/2006/main">
  <c r="F33" i="1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K1274" s="1"/>
  <c r="F1275"/>
  <c r="F1276"/>
  <c r="K1276" s="1"/>
  <c r="F1277"/>
  <c r="F1278"/>
  <c r="K1278" s="1"/>
  <c r="F1279"/>
  <c r="F1280"/>
  <c r="K1280" s="1"/>
  <c r="F1281"/>
  <c r="F1282"/>
  <c r="K1282" s="1"/>
  <c r="F1283"/>
  <c r="F1284"/>
  <c r="K1284" s="1"/>
  <c r="F1285"/>
  <c r="F1286"/>
  <c r="K1286" s="1"/>
  <c r="F1287"/>
  <c r="F1288"/>
  <c r="F1289"/>
  <c r="F1290"/>
  <c r="K1290" s="1"/>
  <c r="F1291"/>
  <c r="F1292"/>
  <c r="F1293"/>
  <c r="F1294"/>
  <c r="K1294" s="1"/>
  <c r="F1295"/>
  <c r="F1296"/>
  <c r="F1297"/>
  <c r="F1298"/>
  <c r="K1298" s="1"/>
  <c r="F1299"/>
  <c r="F1300"/>
  <c r="F1301"/>
  <c r="F1302"/>
  <c r="K1302" s="1"/>
  <c r="F1303"/>
  <c r="F1304"/>
  <c r="F1305"/>
  <c r="F1306"/>
  <c r="K1306" s="1"/>
  <c r="F1307"/>
  <c r="F1308"/>
  <c r="F1309"/>
  <c r="F1310"/>
  <c r="K1310" s="1"/>
  <c r="F1311"/>
  <c r="F1312"/>
  <c r="F1313"/>
  <c r="F1314"/>
  <c r="K1314" s="1"/>
  <c r="F1315"/>
  <c r="F1316"/>
  <c r="F1317"/>
  <c r="F1318"/>
  <c r="F1319"/>
  <c r="F1320"/>
  <c r="F1321"/>
  <c r="F1322"/>
  <c r="F1323"/>
  <c r="F1324"/>
  <c r="F1325"/>
  <c r="F1326"/>
  <c r="K1326" s="1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504"/>
  <c r="F1505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32"/>
  <c r="E1273"/>
  <c r="K1273"/>
  <c r="E1274"/>
  <c r="E1275"/>
  <c r="K1275"/>
  <c r="E1276"/>
  <c r="E1277"/>
  <c r="K1277"/>
  <c r="E1278"/>
  <c r="E1279"/>
  <c r="K1279"/>
  <c r="E1280"/>
  <c r="E1281"/>
  <c r="K1281"/>
  <c r="E1282"/>
  <c r="E1283"/>
  <c r="K1283"/>
  <c r="E1284"/>
  <c r="E1285"/>
  <c r="K1285"/>
  <c r="E1286"/>
  <c r="E1287"/>
  <c r="K1287"/>
  <c r="E1288"/>
  <c r="K1288"/>
  <c r="E1289"/>
  <c r="K1289"/>
  <c r="E1290"/>
  <c r="E1291"/>
  <c r="K1291"/>
  <c r="E1292"/>
  <c r="K1292"/>
  <c r="E1293"/>
  <c r="K1293"/>
  <c r="E1294"/>
  <c r="E1295"/>
  <c r="K1295"/>
  <c r="E1296"/>
  <c r="K1296"/>
  <c r="E1297"/>
  <c r="K1297"/>
  <c r="E1298"/>
  <c r="E1299"/>
  <c r="K1299"/>
  <c r="E1300"/>
  <c r="K1300"/>
  <c r="E1301"/>
  <c r="K1301"/>
  <c r="E1302"/>
  <c r="E1303"/>
  <c r="K1303"/>
  <c r="E1304"/>
  <c r="K1304"/>
  <c r="E1305"/>
  <c r="K1305"/>
  <c r="E1306"/>
  <c r="E1307"/>
  <c r="K1307"/>
  <c r="E1308"/>
  <c r="K1308"/>
  <c r="E1309"/>
  <c r="K1309"/>
  <c r="E1310"/>
  <c r="E1311"/>
  <c r="K1311"/>
  <c r="E1312"/>
  <c r="K1312"/>
  <c r="E1313"/>
  <c r="K1313"/>
  <c r="E1314"/>
  <c r="E1315"/>
  <c r="K1315"/>
  <c r="E1316"/>
  <c r="E1317"/>
  <c r="E1318"/>
  <c r="E1319"/>
  <c r="E1320"/>
  <c r="E1321"/>
  <c r="E1322"/>
  <c r="E1323"/>
  <c r="E1324"/>
  <c r="K1324"/>
  <c r="E1325"/>
  <c r="K1325"/>
  <c r="E1326"/>
  <c r="E1327"/>
  <c r="K1327"/>
  <c r="E1328"/>
  <c r="K1328"/>
  <c r="E1329"/>
  <c r="K1329"/>
  <c r="E1330"/>
  <c r="K1330"/>
  <c r="E1331"/>
  <c r="K1331"/>
  <c r="E1332"/>
  <c r="K1332"/>
  <c r="E1333"/>
  <c r="K1333"/>
  <c r="E1334"/>
  <c r="K1334"/>
  <c r="E1335"/>
  <c r="K1335"/>
  <c r="E1336"/>
  <c r="K1336"/>
  <c r="E1337"/>
  <c r="K1337"/>
  <c r="E1338"/>
  <c r="K1338"/>
  <c r="E1339"/>
  <c r="K1339"/>
  <c r="E1340"/>
  <c r="K1340"/>
  <c r="E1341"/>
  <c r="K1341"/>
  <c r="E1342"/>
  <c r="K1342"/>
  <c r="E1343"/>
  <c r="K1343"/>
  <c r="E1344"/>
  <c r="K1344"/>
  <c r="E1345"/>
  <c r="K1345"/>
  <c r="E1346"/>
  <c r="K1346"/>
  <c r="E1347"/>
  <c r="K1347"/>
  <c r="E1348"/>
  <c r="K1348"/>
  <c r="E1349"/>
  <c r="K1349"/>
  <c r="E1350"/>
  <c r="K1350"/>
  <c r="E1351"/>
  <c r="K1351"/>
  <c r="E1352"/>
  <c r="K1352"/>
  <c r="E1353"/>
  <c r="K1353"/>
  <c r="E1354"/>
  <c r="K1354"/>
  <c r="E1355"/>
  <c r="K1355"/>
  <c r="E1356"/>
  <c r="K1356"/>
  <c r="E1357"/>
  <c r="K1357"/>
  <c r="E1358"/>
  <c r="K1358"/>
  <c r="E1359"/>
  <c r="K1359"/>
  <c r="E1360"/>
  <c r="K1360"/>
  <c r="E1361"/>
  <c r="K1361"/>
  <c r="E1362"/>
  <c r="K1362"/>
  <c r="E1363"/>
  <c r="K1363"/>
  <c r="E1364"/>
  <c r="K1364"/>
  <c r="E1365"/>
  <c r="K1365"/>
  <c r="E1366"/>
  <c r="K1366"/>
  <c r="E1367"/>
  <c r="K1367"/>
  <c r="E1368"/>
  <c r="K1368"/>
  <c r="E1369"/>
  <c r="K1369"/>
  <c r="E1370"/>
  <c r="K1370"/>
  <c r="E1371"/>
  <c r="K1371"/>
  <c r="E1372"/>
  <c r="K1372"/>
  <c r="E1373"/>
  <c r="K1373"/>
  <c r="E1374"/>
  <c r="K1374"/>
  <c r="E1375"/>
  <c r="K1375"/>
  <c r="E1376"/>
  <c r="K1376"/>
  <c r="E1377"/>
  <c r="K1377"/>
  <c r="E1378"/>
  <c r="K1378"/>
  <c r="E1379"/>
  <c r="K1379"/>
  <c r="E1380"/>
  <c r="K1380"/>
  <c r="E1381"/>
  <c r="K1381"/>
  <c r="E1382"/>
  <c r="K1382"/>
  <c r="E1383"/>
  <c r="K1383"/>
  <c r="E1384"/>
  <c r="K1384"/>
  <c r="E1385"/>
  <c r="K1385"/>
  <c r="E1386"/>
  <c r="K1386"/>
  <c r="E1387"/>
  <c r="K1387"/>
  <c r="E1388"/>
  <c r="K1388"/>
  <c r="E1389"/>
  <c r="K1389"/>
  <c r="E1390"/>
  <c r="K1390"/>
  <c r="E1391"/>
  <c r="K1391"/>
  <c r="E1392"/>
  <c r="K1392"/>
  <c r="E1393"/>
  <c r="K1393"/>
  <c r="E1394"/>
  <c r="K1394"/>
  <c r="E1395"/>
  <c r="K1395"/>
  <c r="E1396"/>
  <c r="K1396"/>
  <c r="E1397"/>
  <c r="K1397"/>
  <c r="E1398"/>
  <c r="K1398"/>
  <c r="E1399"/>
  <c r="K1399"/>
  <c r="E1400"/>
  <c r="K1400"/>
  <c r="E1401"/>
  <c r="K1401"/>
  <c r="E1402"/>
  <c r="K1402"/>
  <c r="E1403"/>
  <c r="K1403"/>
  <c r="E1404"/>
  <c r="K1404"/>
  <c r="E1405"/>
  <c r="K1405"/>
  <c r="E1406"/>
  <c r="K1406"/>
  <c r="E1407"/>
  <c r="K1407"/>
  <c r="E1408"/>
  <c r="K1408"/>
  <c r="E1409"/>
  <c r="K1409"/>
  <c r="E1410"/>
  <c r="K1410"/>
  <c r="E1411"/>
  <c r="K1411"/>
  <c r="E1412"/>
  <c r="K1412"/>
  <c r="E1413"/>
  <c r="E1414"/>
  <c r="E1415"/>
  <c r="E1416"/>
  <c r="E1417"/>
  <c r="E1418"/>
  <c r="E1419"/>
  <c r="E1420"/>
  <c r="E1421"/>
  <c r="E1422"/>
  <c r="E1423"/>
  <c r="E1424"/>
  <c r="E1425"/>
  <c r="E1426"/>
  <c r="E1427"/>
  <c r="E1428"/>
  <c r="E1429"/>
  <c r="E1430"/>
  <c r="E1431"/>
  <c r="E1432"/>
  <c r="E1433"/>
  <c r="E1434"/>
  <c r="E1435"/>
  <c r="E1436"/>
  <c r="E1437"/>
  <c r="E1438"/>
  <c r="E1439"/>
  <c r="E1440"/>
  <c r="E1441"/>
  <c r="E1442"/>
  <c r="E1443"/>
  <c r="E1444"/>
  <c r="E1445"/>
  <c r="E1446"/>
  <c r="E1447"/>
  <c r="E1448"/>
  <c r="E1449"/>
  <c r="E1450"/>
  <c r="E1451"/>
  <c r="E1452"/>
  <c r="E1453"/>
  <c r="E1454"/>
  <c r="E1455"/>
  <c r="E1456"/>
  <c r="E1457"/>
  <c r="E1458"/>
  <c r="E1459"/>
  <c r="E1460"/>
  <c r="E1461"/>
  <c r="K1461" s="1"/>
  <c r="E1462"/>
  <c r="E1463"/>
  <c r="K1463" s="1"/>
  <c r="E1464"/>
  <c r="E1465"/>
  <c r="K1465" s="1"/>
  <c r="E1466"/>
  <c r="E1467"/>
  <c r="K1467" s="1"/>
  <c r="E1468"/>
  <c r="E1469"/>
  <c r="K1469" s="1"/>
  <c r="E1470"/>
  <c r="E1471"/>
  <c r="K1471" s="1"/>
  <c r="E1472"/>
  <c r="E1473"/>
  <c r="K1473" s="1"/>
  <c r="E1474"/>
  <c r="E1475"/>
  <c r="K1475" s="1"/>
  <c r="E1476"/>
  <c r="E1477"/>
  <c r="K1477" s="1"/>
  <c r="E1478"/>
  <c r="E1479"/>
  <c r="K1479" s="1"/>
  <c r="E1480"/>
  <c r="E1481"/>
  <c r="K1481" s="1"/>
  <c r="E1482"/>
  <c r="K1482" s="1"/>
  <c r="E1483"/>
  <c r="K1483" s="1"/>
  <c r="E1484"/>
  <c r="K1484" s="1"/>
  <c r="E1485"/>
  <c r="K1485" s="1"/>
  <c r="E1486"/>
  <c r="K1486" s="1"/>
  <c r="E1487"/>
  <c r="K1487" s="1"/>
  <c r="E1488"/>
  <c r="K1488" s="1"/>
  <c r="E1489"/>
  <c r="K1489" s="1"/>
  <c r="E1490"/>
  <c r="K1490" s="1"/>
  <c r="E1491"/>
  <c r="K1491" s="1"/>
  <c r="E1492"/>
  <c r="K1492" s="1"/>
  <c r="E1493"/>
  <c r="K1493" s="1"/>
  <c r="E1494"/>
  <c r="K1494" s="1"/>
  <c r="E1495"/>
  <c r="K1495" s="1"/>
  <c r="E1496"/>
  <c r="K1496" s="1"/>
  <c r="E1497"/>
  <c r="K1497" s="1"/>
  <c r="E1498"/>
  <c r="K1498" s="1"/>
  <c r="E1499"/>
  <c r="K1499" s="1"/>
  <c r="E1500"/>
  <c r="K1500" s="1"/>
  <c r="E1501"/>
  <c r="K1501" s="1"/>
  <c r="E1502"/>
  <c r="K1502" s="1"/>
  <c r="E1503"/>
  <c r="K1503" s="1"/>
  <c r="E1504"/>
  <c r="K1504" s="1"/>
  <c r="E1505"/>
  <c r="K1505" s="1"/>
  <c r="E1506"/>
  <c r="K1506" s="1"/>
  <c r="E1507"/>
  <c r="K1507" s="1"/>
  <c r="E1508"/>
  <c r="K1508" s="1"/>
  <c r="E1509"/>
  <c r="K1509" s="1"/>
  <c r="E1510"/>
  <c r="K1510" s="1"/>
  <c r="E1511"/>
  <c r="K1511" s="1"/>
  <c r="E1512"/>
  <c r="K1512" s="1"/>
  <c r="E1513"/>
  <c r="K1513" s="1"/>
  <c r="E1514"/>
  <c r="K1514" s="1"/>
  <c r="E1515"/>
  <c r="K1515" s="1"/>
  <c r="E1516"/>
  <c r="K1516" s="1"/>
  <c r="E1517"/>
  <c r="K1517" s="1"/>
  <c r="E1518"/>
  <c r="K1518" s="1"/>
  <c r="E1519"/>
  <c r="K1519" s="1"/>
  <c r="E1520"/>
  <c r="K1520" s="1"/>
  <c r="E1521"/>
  <c r="K1521" s="1"/>
  <c r="E1522"/>
  <c r="K1522" s="1"/>
  <c r="E1523"/>
  <c r="K1523" s="1"/>
  <c r="E1524"/>
  <c r="K1524" s="1"/>
  <c r="E1525"/>
  <c r="K1525" s="1"/>
  <c r="E1526"/>
  <c r="K1526" s="1"/>
  <c r="E1527"/>
  <c r="K1527" s="1"/>
  <c r="E1528"/>
  <c r="K1528" s="1"/>
  <c r="E1529"/>
  <c r="K1529" s="1"/>
  <c r="E1530"/>
  <c r="K1530" s="1"/>
  <c r="E1531"/>
  <c r="K1531" s="1"/>
  <c r="E1532"/>
  <c r="K1532" s="1"/>
  <c r="E1533"/>
  <c r="K1533" s="1"/>
  <c r="E1534"/>
  <c r="K1534" s="1"/>
  <c r="E1535"/>
  <c r="K1535" s="1"/>
  <c r="E1536"/>
  <c r="K1536" s="1"/>
  <c r="E1537"/>
  <c r="K1537" s="1"/>
  <c r="E1538"/>
  <c r="K1538" s="1"/>
  <c r="E1539"/>
  <c r="K1539" s="1"/>
  <c r="E1540"/>
  <c r="K1540" s="1"/>
  <c r="AI4"/>
  <c r="AI5"/>
  <c r="AI6"/>
  <c r="AI7"/>
  <c r="AI8"/>
  <c r="G16"/>
  <c r="B16" s="1"/>
  <c r="G14"/>
  <c r="B14" s="1"/>
  <c r="F21" s="1"/>
  <c r="G10"/>
  <c r="B10" s="1"/>
  <c r="G9"/>
  <c r="B9" s="1"/>
  <c r="AM4"/>
  <c r="AM8"/>
  <c r="AM7"/>
  <c r="AM6"/>
  <c r="AM5"/>
  <c r="AM3"/>
  <c r="AI3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K702" s="1"/>
  <c r="E703"/>
  <c r="E704"/>
  <c r="E705"/>
  <c r="E706"/>
  <c r="K706" s="1"/>
  <c r="E707"/>
  <c r="E708"/>
  <c r="K708" s="1"/>
  <c r="E709"/>
  <c r="E710"/>
  <c r="K710" s="1"/>
  <c r="E711"/>
  <c r="E712"/>
  <c r="E713"/>
  <c r="E714"/>
  <c r="K714" s="1"/>
  <c r="E715"/>
  <c r="E716"/>
  <c r="K716" s="1"/>
  <c r="E717"/>
  <c r="E718"/>
  <c r="E719"/>
  <c r="E720"/>
  <c r="E721"/>
  <c r="E722"/>
  <c r="K722" s="1"/>
  <c r="E723"/>
  <c r="E724"/>
  <c r="K724" s="1"/>
  <c r="E725"/>
  <c r="E726"/>
  <c r="K726" s="1"/>
  <c r="E727"/>
  <c r="E728"/>
  <c r="E729"/>
  <c r="E730"/>
  <c r="E731"/>
  <c r="E732"/>
  <c r="K732" s="1"/>
  <c r="E733"/>
  <c r="E734"/>
  <c r="E735"/>
  <c r="E736"/>
  <c r="E737"/>
  <c r="E738"/>
  <c r="K738" s="1"/>
  <c r="E739"/>
  <c r="E740"/>
  <c r="E741"/>
  <c r="E742"/>
  <c r="K742" s="1"/>
  <c r="E743"/>
  <c r="E744"/>
  <c r="E745"/>
  <c r="E746"/>
  <c r="E747"/>
  <c r="E748"/>
  <c r="K748" s="1"/>
  <c r="E749"/>
  <c r="E750"/>
  <c r="E751"/>
  <c r="E752"/>
  <c r="E753"/>
  <c r="E754"/>
  <c r="K754" s="1"/>
  <c r="E755"/>
  <c r="E756"/>
  <c r="E757"/>
  <c r="E758"/>
  <c r="K758" s="1"/>
  <c r="E759"/>
  <c r="E760"/>
  <c r="E761"/>
  <c r="E762"/>
  <c r="E763"/>
  <c r="E764"/>
  <c r="K764" s="1"/>
  <c r="E765"/>
  <c r="E766"/>
  <c r="E767"/>
  <c r="E768"/>
  <c r="E769"/>
  <c r="E770"/>
  <c r="E771"/>
  <c r="E772"/>
  <c r="K772" s="1"/>
  <c r="E773"/>
  <c r="E774"/>
  <c r="K774" s="1"/>
  <c r="E775"/>
  <c r="E776"/>
  <c r="E777"/>
  <c r="E778"/>
  <c r="K778" s="1"/>
  <c r="E779"/>
  <c r="E780"/>
  <c r="K780" s="1"/>
  <c r="E781"/>
  <c r="E782"/>
  <c r="E783"/>
  <c r="E784"/>
  <c r="E785"/>
  <c r="E786"/>
  <c r="K786" s="1"/>
  <c r="E787"/>
  <c r="E788"/>
  <c r="K788" s="1"/>
  <c r="E789"/>
  <c r="E790"/>
  <c r="K790" s="1"/>
  <c r="E791"/>
  <c r="E792"/>
  <c r="E793"/>
  <c r="E794"/>
  <c r="E795"/>
  <c r="E796"/>
  <c r="K796" s="1"/>
  <c r="E797"/>
  <c r="E798"/>
  <c r="E799"/>
  <c r="E800"/>
  <c r="E801"/>
  <c r="E802"/>
  <c r="K802" s="1"/>
  <c r="E803"/>
  <c r="E804"/>
  <c r="E805"/>
  <c r="E806"/>
  <c r="K806" s="1"/>
  <c r="E807"/>
  <c r="E808"/>
  <c r="E809"/>
  <c r="E810"/>
  <c r="E811"/>
  <c r="E812"/>
  <c r="K812" s="1"/>
  <c r="E813"/>
  <c r="E814"/>
  <c r="E815"/>
  <c r="E816"/>
  <c r="E817"/>
  <c r="E818"/>
  <c r="K818" s="1"/>
  <c r="E819"/>
  <c r="E820"/>
  <c r="E821"/>
  <c r="E822"/>
  <c r="K822" s="1"/>
  <c r="E823"/>
  <c r="E824"/>
  <c r="E825"/>
  <c r="E826"/>
  <c r="E827"/>
  <c r="E828"/>
  <c r="K828" s="1"/>
  <c r="E829"/>
  <c r="E830"/>
  <c r="E831"/>
  <c r="E832"/>
  <c r="E833"/>
  <c r="E834"/>
  <c r="E835"/>
  <c r="E836"/>
  <c r="K836" s="1"/>
  <c r="E837"/>
  <c r="E838"/>
  <c r="K838" s="1"/>
  <c r="E839"/>
  <c r="E840"/>
  <c r="E841"/>
  <c r="E842"/>
  <c r="E843"/>
  <c r="E844"/>
  <c r="E845"/>
  <c r="E846"/>
  <c r="K846" s="1"/>
  <c r="E847"/>
  <c r="E848"/>
  <c r="E849"/>
  <c r="E850"/>
  <c r="K850" s="1"/>
  <c r="E851"/>
  <c r="E852"/>
  <c r="K852" s="1"/>
  <c r="E853"/>
  <c r="E854"/>
  <c r="E855"/>
  <c r="E856"/>
  <c r="E857"/>
  <c r="E858"/>
  <c r="K858" s="1"/>
  <c r="E859"/>
  <c r="E860"/>
  <c r="K860" s="1"/>
  <c r="E861"/>
  <c r="E862"/>
  <c r="E863"/>
  <c r="E864"/>
  <c r="E865"/>
  <c r="E866"/>
  <c r="E867"/>
  <c r="E868"/>
  <c r="K868" s="1"/>
  <c r="E869"/>
  <c r="E870"/>
  <c r="K870" s="1"/>
  <c r="E871"/>
  <c r="E872"/>
  <c r="E873"/>
  <c r="E874"/>
  <c r="E875"/>
  <c r="E876"/>
  <c r="E877"/>
  <c r="E878"/>
  <c r="E879"/>
  <c r="E880"/>
  <c r="E881"/>
  <c r="E882"/>
  <c r="K882" s="1"/>
  <c r="E883"/>
  <c r="E884"/>
  <c r="K884" s="1"/>
  <c r="E885"/>
  <c r="E886"/>
  <c r="E887"/>
  <c r="E888"/>
  <c r="E889"/>
  <c r="E890"/>
  <c r="E891"/>
  <c r="E892"/>
  <c r="E893"/>
  <c r="E894"/>
  <c r="K894" s="1"/>
  <c r="E895"/>
  <c r="E896"/>
  <c r="E897"/>
  <c r="E898"/>
  <c r="E899"/>
  <c r="E900"/>
  <c r="K900" s="1"/>
  <c r="E901"/>
  <c r="E902"/>
  <c r="K902" s="1"/>
  <c r="E903"/>
  <c r="E904"/>
  <c r="E905"/>
  <c r="E906"/>
  <c r="K906" s="1"/>
  <c r="E907"/>
  <c r="E908"/>
  <c r="E909"/>
  <c r="E910"/>
  <c r="E911"/>
  <c r="E912"/>
  <c r="E913"/>
  <c r="E914"/>
  <c r="K914" s="1"/>
  <c r="E915"/>
  <c r="E916"/>
  <c r="K916" s="1"/>
  <c r="E917"/>
  <c r="E918"/>
  <c r="E919"/>
  <c r="E920"/>
  <c r="E921"/>
  <c r="E922"/>
  <c r="E923"/>
  <c r="E924"/>
  <c r="K924" s="1"/>
  <c r="E925"/>
  <c r="E926"/>
  <c r="E927"/>
  <c r="E928"/>
  <c r="E929"/>
  <c r="E930"/>
  <c r="E931"/>
  <c r="E932"/>
  <c r="E933"/>
  <c r="E934"/>
  <c r="K934" s="1"/>
  <c r="E935"/>
  <c r="E936"/>
  <c r="E937"/>
  <c r="E938"/>
  <c r="K938" s="1"/>
  <c r="E939"/>
  <c r="E940"/>
  <c r="E941"/>
  <c r="E942"/>
  <c r="E943"/>
  <c r="E944"/>
  <c r="E945"/>
  <c r="E946"/>
  <c r="K946" s="1"/>
  <c r="E947"/>
  <c r="E948"/>
  <c r="E949"/>
  <c r="E950"/>
  <c r="E951"/>
  <c r="E952"/>
  <c r="E953"/>
  <c r="E954"/>
  <c r="E955"/>
  <c r="E956"/>
  <c r="K956" s="1"/>
  <c r="E957"/>
  <c r="E958"/>
  <c r="E959"/>
  <c r="E960"/>
  <c r="E961"/>
  <c r="E962"/>
  <c r="E963"/>
  <c r="E964"/>
  <c r="E965"/>
  <c r="E966"/>
  <c r="K966" s="1"/>
  <c r="E967"/>
  <c r="E968"/>
  <c r="E969"/>
  <c r="E970"/>
  <c r="E971"/>
  <c r="E972"/>
  <c r="E973"/>
  <c r="E974"/>
  <c r="E975"/>
  <c r="E976"/>
  <c r="E977"/>
  <c r="E978"/>
  <c r="K978" s="1"/>
  <c r="E979"/>
  <c r="E980"/>
  <c r="K980" s="1"/>
  <c r="E981"/>
  <c r="E982"/>
  <c r="E983"/>
  <c r="E984"/>
  <c r="E985"/>
  <c r="E986"/>
  <c r="K986" s="1"/>
  <c r="E987"/>
  <c r="E988"/>
  <c r="K988" s="1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K1012" s="1"/>
  <c r="E1013"/>
  <c r="E1014"/>
  <c r="E1015"/>
  <c r="E1016"/>
  <c r="E1017"/>
  <c r="E1018"/>
  <c r="K1018" s="1"/>
  <c r="E1019"/>
  <c r="E1020"/>
  <c r="E1021"/>
  <c r="E1022"/>
  <c r="E1023"/>
  <c r="E1024"/>
  <c r="E1025"/>
  <c r="E1026"/>
  <c r="K1026" s="1"/>
  <c r="E1027"/>
  <c r="E1028"/>
  <c r="K1028" s="1"/>
  <c r="E1029"/>
  <c r="E1030"/>
  <c r="E1031"/>
  <c r="E1032"/>
  <c r="E1033"/>
  <c r="E1034"/>
  <c r="E1035"/>
  <c r="E1036"/>
  <c r="E1037"/>
  <c r="E1038"/>
  <c r="E1039"/>
  <c r="E1040"/>
  <c r="K1040" s="1"/>
  <c r="E1041"/>
  <c r="E1042"/>
  <c r="E1043"/>
  <c r="E1044"/>
  <c r="E1045"/>
  <c r="E1046"/>
  <c r="E1047"/>
  <c r="E1048"/>
  <c r="K1048" s="1"/>
  <c r="E1049"/>
  <c r="E1050"/>
  <c r="E1051"/>
  <c r="E1052"/>
  <c r="E1053"/>
  <c r="E1054"/>
  <c r="K1054" s="1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K1072" s="1"/>
  <c r="E1073"/>
  <c r="E1074"/>
  <c r="E1075"/>
  <c r="E1076"/>
  <c r="K1076" s="1"/>
  <c r="E1077"/>
  <c r="E1078"/>
  <c r="E1079"/>
  <c r="E1080"/>
  <c r="E1081"/>
  <c r="E1082"/>
  <c r="E1083"/>
  <c r="E1084"/>
  <c r="E1085"/>
  <c r="E1086"/>
  <c r="E1087"/>
  <c r="E1088"/>
  <c r="E1089"/>
  <c r="E1090"/>
  <c r="K1090" s="1"/>
  <c r="E1091"/>
  <c r="E1092"/>
  <c r="E1093"/>
  <c r="E1094"/>
  <c r="E1095"/>
  <c r="E1096"/>
  <c r="E1097"/>
  <c r="K1097" s="1"/>
  <c r="E1098"/>
  <c r="K1098" s="1"/>
  <c r="E1099"/>
  <c r="E1100"/>
  <c r="E1101"/>
  <c r="K1101" s="1"/>
  <c r="E1102"/>
  <c r="K1102" s="1"/>
  <c r="E1103"/>
  <c r="E1104"/>
  <c r="K1104" s="1"/>
  <c r="E1105"/>
  <c r="E1106"/>
  <c r="E1107"/>
  <c r="E1108"/>
  <c r="E1109"/>
  <c r="E1110"/>
  <c r="E1111"/>
  <c r="E1112"/>
  <c r="E1113"/>
  <c r="E1114"/>
  <c r="E1115"/>
  <c r="E1116"/>
  <c r="E1117"/>
  <c r="E1118"/>
  <c r="K1118" s="1"/>
  <c r="E1119"/>
  <c r="E1120"/>
  <c r="E1121"/>
  <c r="E1122"/>
  <c r="E1123"/>
  <c r="E1124"/>
  <c r="E1125"/>
  <c r="E1126"/>
  <c r="E1127"/>
  <c r="E1128"/>
  <c r="E1129"/>
  <c r="K1129" s="1"/>
  <c r="E1130"/>
  <c r="E1131"/>
  <c r="E1132"/>
  <c r="E1133"/>
  <c r="K1133" s="1"/>
  <c r="E1134"/>
  <c r="E1135"/>
  <c r="E1136"/>
  <c r="E1137"/>
  <c r="E1138"/>
  <c r="E1139"/>
  <c r="E1140"/>
  <c r="K1140" s="1"/>
  <c r="E1141"/>
  <c r="E1142"/>
  <c r="E1143"/>
  <c r="E1144"/>
  <c r="E1145"/>
  <c r="E1146"/>
  <c r="E1147"/>
  <c r="E1148"/>
  <c r="E1149"/>
  <c r="E1150"/>
  <c r="K1150" s="1"/>
  <c r="E1151"/>
  <c r="E1152"/>
  <c r="E1153"/>
  <c r="E1154"/>
  <c r="K1154" s="1"/>
  <c r="E1155"/>
  <c r="E1156"/>
  <c r="K1156" s="1"/>
  <c r="E1157"/>
  <c r="E1158"/>
  <c r="E1159"/>
  <c r="E1160"/>
  <c r="E1161"/>
  <c r="E1162"/>
  <c r="E1163"/>
  <c r="E1164"/>
  <c r="E1165"/>
  <c r="E1166"/>
  <c r="K1166" s="1"/>
  <c r="E1167"/>
  <c r="E1168"/>
  <c r="K1168" s="1"/>
  <c r="E1169"/>
  <c r="E1170"/>
  <c r="E1171"/>
  <c r="E1172"/>
  <c r="E1173"/>
  <c r="E1174"/>
  <c r="E1175"/>
  <c r="E1176"/>
  <c r="E1177"/>
  <c r="E1178"/>
  <c r="K1178" s="1"/>
  <c r="E1179"/>
  <c r="E1180"/>
  <c r="E1181"/>
  <c r="E1182"/>
  <c r="K1182" s="1"/>
  <c r="E1183"/>
  <c r="E1184"/>
  <c r="E1185"/>
  <c r="E1186"/>
  <c r="K1186" s="1"/>
  <c r="E1187"/>
  <c r="E1188"/>
  <c r="E1189"/>
  <c r="E1190"/>
  <c r="E1191"/>
  <c r="E1192"/>
  <c r="K1192" s="1"/>
  <c r="E1193"/>
  <c r="E1194"/>
  <c r="E1195"/>
  <c r="E1196"/>
  <c r="E1197"/>
  <c r="E1198"/>
  <c r="E1199"/>
  <c r="E1200"/>
  <c r="K1200" s="1"/>
  <c r="E1201"/>
  <c r="E1202"/>
  <c r="E1203"/>
  <c r="E1204"/>
  <c r="K1204" s="1"/>
  <c r="E1205"/>
  <c r="E1206"/>
  <c r="E1207"/>
  <c r="E1208"/>
  <c r="E1209"/>
  <c r="E1210"/>
  <c r="E1211"/>
  <c r="E1212"/>
  <c r="E1213"/>
  <c r="E1214"/>
  <c r="E1215"/>
  <c r="E1216"/>
  <c r="E1217"/>
  <c r="E1218"/>
  <c r="K1218" s="1"/>
  <c r="E1219"/>
  <c r="E1220"/>
  <c r="K1220" s="1"/>
  <c r="E1221"/>
  <c r="E1222"/>
  <c r="E1223"/>
  <c r="E1224"/>
  <c r="E1225"/>
  <c r="E1226"/>
  <c r="K1226" s="1"/>
  <c r="E1227"/>
  <c r="E1228"/>
  <c r="E1229"/>
  <c r="K1229" s="1"/>
  <c r="E1230"/>
  <c r="E1231"/>
  <c r="E1232"/>
  <c r="E1233"/>
  <c r="E1234"/>
  <c r="K1234" s="1"/>
  <c r="E1235"/>
  <c r="E1236"/>
  <c r="E1237"/>
  <c r="E1238"/>
  <c r="E1239"/>
  <c r="E1240"/>
  <c r="E1241"/>
  <c r="E1242"/>
  <c r="E1243"/>
  <c r="E1244"/>
  <c r="E1245"/>
  <c r="E1246"/>
  <c r="E1247"/>
  <c r="E1248"/>
  <c r="K1248" s="1"/>
  <c r="E1249"/>
  <c r="E1250"/>
  <c r="E1251"/>
  <c r="E1252"/>
  <c r="E1253"/>
  <c r="E1254"/>
  <c r="E1255"/>
  <c r="E1256"/>
  <c r="K1256" s="1"/>
  <c r="E1257"/>
  <c r="E1258"/>
  <c r="K1258" s="1"/>
  <c r="E1259"/>
  <c r="E1260"/>
  <c r="K1260" s="1"/>
  <c r="E1261"/>
  <c r="E1262"/>
  <c r="E1263"/>
  <c r="E1264"/>
  <c r="K1264" s="1"/>
  <c r="E1265"/>
  <c r="E1266"/>
  <c r="E1267"/>
  <c r="E1268"/>
  <c r="E1269"/>
  <c r="E1270"/>
  <c r="E1271"/>
  <c r="E1272"/>
  <c r="K1005"/>
  <c r="K1065"/>
  <c r="K996"/>
  <c r="N4"/>
  <c r="O4"/>
  <c r="N5"/>
  <c r="O5"/>
  <c r="N6"/>
  <c r="O6"/>
  <c r="N7"/>
  <c r="O7"/>
  <c r="N8"/>
  <c r="O8"/>
  <c r="O3"/>
  <c r="N3"/>
  <c r="S4"/>
  <c r="S5"/>
  <c r="S6"/>
  <c r="S7"/>
  <c r="S8"/>
  <c r="S3"/>
  <c r="K682"/>
  <c r="K876"/>
  <c r="G8"/>
  <c r="B8" s="1"/>
  <c r="K262"/>
  <c r="K294"/>
  <c r="K326"/>
  <c r="K358"/>
  <c r="K390"/>
  <c r="K422"/>
  <c r="K454"/>
  <c r="K486"/>
  <c r="K518"/>
  <c r="K550"/>
  <c r="K610"/>
  <c r="K684"/>
  <c r="K770"/>
  <c r="K892"/>
  <c r="K1165"/>
  <c r="F22"/>
  <c r="V22" l="1"/>
  <c r="AB35" s="1"/>
  <c r="K1478"/>
  <c r="K1472"/>
  <c r="K1468"/>
  <c r="K1464"/>
  <c r="K1460"/>
  <c r="K1480"/>
  <c r="K1476"/>
  <c r="K1474"/>
  <c r="K1470"/>
  <c r="K1466"/>
  <c r="K1462"/>
  <c r="K1459"/>
  <c r="K1458"/>
  <c r="K1457"/>
  <c r="K1456"/>
  <c r="K1455"/>
  <c r="K1454"/>
  <c r="K1453"/>
  <c r="K1452"/>
  <c r="K1451"/>
  <c r="K1450"/>
  <c r="K1449"/>
  <c r="K1448"/>
  <c r="K1447"/>
  <c r="K1446"/>
  <c r="K1445"/>
  <c r="K1444"/>
  <c r="K1443"/>
  <c r="K1442"/>
  <c r="K1441"/>
  <c r="K1440"/>
  <c r="K1439"/>
  <c r="K1438"/>
  <c r="K1437"/>
  <c r="K1436"/>
  <c r="K1435"/>
  <c r="K1434"/>
  <c r="K1433"/>
  <c r="K1432"/>
  <c r="K1431"/>
  <c r="K1430"/>
  <c r="K1429"/>
  <c r="K1428"/>
  <c r="K1427"/>
  <c r="K1426"/>
  <c r="K1425"/>
  <c r="K1424"/>
  <c r="K1423"/>
  <c r="K1422"/>
  <c r="K1421"/>
  <c r="K1420"/>
  <c r="K1419"/>
  <c r="K1418"/>
  <c r="K1417"/>
  <c r="K1416"/>
  <c r="K1415"/>
  <c r="K1414"/>
  <c r="K1413"/>
  <c r="K1321"/>
  <c r="K1317"/>
  <c r="K1322"/>
  <c r="K1318"/>
  <c r="K1323"/>
  <c r="K1319"/>
  <c r="K1320"/>
  <c r="K1316"/>
  <c r="K700"/>
  <c r="K694"/>
  <c r="K692"/>
  <c r="K690"/>
  <c r="K686"/>
  <c r="K678"/>
  <c r="K674"/>
  <c r="K668"/>
  <c r="K662"/>
  <c r="K658"/>
  <c r="K652"/>
  <c r="K646"/>
  <c r="K642"/>
  <c r="K636"/>
  <c r="K630"/>
  <c r="K628"/>
  <c r="K626"/>
  <c r="K622"/>
  <c r="K620"/>
  <c r="K618"/>
  <c r="K614"/>
  <c r="K612"/>
  <c r="K606"/>
  <c r="K604"/>
  <c r="K602"/>
  <c r="K598"/>
  <c r="K596"/>
  <c r="K594"/>
  <c r="K590"/>
  <c r="K588"/>
  <c r="K586"/>
  <c r="K582"/>
  <c r="K580"/>
  <c r="K578"/>
  <c r="K574"/>
  <c r="K572"/>
  <c r="K570"/>
  <c r="K566"/>
  <c r="K562"/>
  <c r="K558"/>
  <c r="K556"/>
  <c r="K554"/>
  <c r="K548"/>
  <c r="K546"/>
  <c r="K544"/>
  <c r="K542"/>
  <c r="K540"/>
  <c r="K538"/>
  <c r="K536"/>
  <c r="K534"/>
  <c r="K532"/>
  <c r="K530"/>
  <c r="K528"/>
  <c r="K526"/>
  <c r="K524"/>
  <c r="K522"/>
  <c r="K520"/>
  <c r="K516"/>
  <c r="K514"/>
  <c r="K512"/>
  <c r="K510"/>
  <c r="K508"/>
  <c r="K506"/>
  <c r="K504"/>
  <c r="K502"/>
  <c r="K500"/>
  <c r="K498"/>
  <c r="K496"/>
  <c r="K494"/>
  <c r="K492"/>
  <c r="K490"/>
  <c r="K488"/>
  <c r="K484"/>
  <c r="K482"/>
  <c r="K480"/>
  <c r="K478"/>
  <c r="K476"/>
  <c r="K474"/>
  <c r="K472"/>
  <c r="K470"/>
  <c r="K468"/>
  <c r="K466"/>
  <c r="K464"/>
  <c r="K462"/>
  <c r="K460"/>
  <c r="K458"/>
  <c r="K456"/>
  <c r="K452"/>
  <c r="K450"/>
  <c r="K448"/>
  <c r="K446"/>
  <c r="K444"/>
  <c r="K442"/>
  <c r="K440"/>
  <c r="K438"/>
  <c r="K436"/>
  <c r="K434"/>
  <c r="K432"/>
  <c r="K430"/>
  <c r="K428"/>
  <c r="K426"/>
  <c r="K424"/>
  <c r="K420"/>
  <c r="K418"/>
  <c r="K416"/>
  <c r="K414"/>
  <c r="K412"/>
  <c r="K410"/>
  <c r="K408"/>
  <c r="K406"/>
  <c r="K404"/>
  <c r="K402"/>
  <c r="K400"/>
  <c r="K398"/>
  <c r="K396"/>
  <c r="K394"/>
  <c r="K392"/>
  <c r="K388"/>
  <c r="K386"/>
  <c r="K384"/>
  <c r="K382"/>
  <c r="K380"/>
  <c r="K378"/>
  <c r="K376"/>
  <c r="K374"/>
  <c r="K372"/>
  <c r="K370"/>
  <c r="K368"/>
  <c r="K366"/>
  <c r="K364"/>
  <c r="K362"/>
  <c r="K360"/>
  <c r="K356"/>
  <c r="K354"/>
  <c r="K352"/>
  <c r="K350"/>
  <c r="K348"/>
  <c r="K346"/>
  <c r="K344"/>
  <c r="K342"/>
  <c r="K340"/>
  <c r="K338"/>
  <c r="K336"/>
  <c r="K334"/>
  <c r="K332"/>
  <c r="K330"/>
  <c r="K328"/>
  <c r="K324"/>
  <c r="K322"/>
  <c r="K320"/>
  <c r="K318"/>
  <c r="K316"/>
  <c r="K314"/>
  <c r="K312"/>
  <c r="K310"/>
  <c r="K308"/>
  <c r="K306"/>
  <c r="K304"/>
  <c r="K302"/>
  <c r="K300"/>
  <c r="K298"/>
  <c r="K296"/>
  <c r="K292"/>
  <c r="K290"/>
  <c r="K288"/>
  <c r="K286"/>
  <c r="K284"/>
  <c r="K282"/>
  <c r="K280"/>
  <c r="K278"/>
  <c r="K276"/>
  <c r="K274"/>
  <c r="K272"/>
  <c r="K270"/>
  <c r="K268"/>
  <c r="K266"/>
  <c r="K264"/>
  <c r="K260"/>
  <c r="K258"/>
  <c r="K256"/>
  <c r="K254"/>
  <c r="K252"/>
  <c r="K250"/>
  <c r="K248"/>
  <c r="K246"/>
  <c r="K244"/>
  <c r="K242"/>
  <c r="K1093"/>
  <c r="K1061"/>
  <c r="K1053"/>
  <c r="K1021"/>
  <c r="K1017"/>
  <c r="K1013"/>
  <c r="K1038"/>
  <c r="K1000"/>
  <c r="K926"/>
  <c r="K1189"/>
  <c r="Q6"/>
  <c r="K1237"/>
  <c r="K1173"/>
  <c r="K1125"/>
  <c r="K1109"/>
  <c r="K1069"/>
  <c r="K1045"/>
  <c r="K1037"/>
  <c r="K1033"/>
  <c r="K1106"/>
  <c r="K1092"/>
  <c r="K1064"/>
  <c r="K1058"/>
  <c r="K1042"/>
  <c r="K1008"/>
  <c r="K990"/>
  <c r="K970"/>
  <c r="K932"/>
  <c r="Q8"/>
  <c r="K1269"/>
  <c r="K1261"/>
  <c r="K1241"/>
  <c r="K1221"/>
  <c r="K1197"/>
  <c r="K1161"/>
  <c r="K1117"/>
  <c r="K1170"/>
  <c r="K1245"/>
  <c r="K1225"/>
  <c r="K1001"/>
  <c r="K997"/>
  <c r="K1244"/>
  <c r="K1181"/>
  <c r="K1081"/>
  <c r="K1029"/>
  <c r="K1198"/>
  <c r="K1134"/>
  <c r="K1122"/>
  <c r="K1080"/>
  <c r="K1268"/>
  <c r="K1242"/>
  <c r="K1240"/>
  <c r="K1232"/>
  <c r="K1210"/>
  <c r="K1184"/>
  <c r="K1176"/>
  <c r="K1162"/>
  <c r="K1257"/>
  <c r="K1253"/>
  <c r="K1209"/>
  <c r="K1193"/>
  <c r="K1157"/>
  <c r="K1145"/>
  <c r="K1146"/>
  <c r="K1112"/>
  <c r="K1086"/>
  <c r="K1082"/>
  <c r="K1070"/>
  <c r="K1056"/>
  <c r="K1016"/>
  <c r="K1006"/>
  <c r="K948"/>
  <c r="K910"/>
  <c r="K890"/>
  <c r="K862"/>
  <c r="K842"/>
  <c r="K782"/>
  <c r="K718"/>
  <c r="K698"/>
  <c r="Q4"/>
  <c r="Q5"/>
  <c r="Q7"/>
  <c r="Q3"/>
  <c r="K1265"/>
  <c r="K1249"/>
  <c r="K1233"/>
  <c r="K1213"/>
  <c r="K1205"/>
  <c r="K1177"/>
  <c r="K1149"/>
  <c r="K1141"/>
  <c r="K1113"/>
  <c r="K1085"/>
  <c r="K1077"/>
  <c r="K1049"/>
  <c r="K1228"/>
  <c r="K1222"/>
  <c r="K1190"/>
  <c r="K1174"/>
  <c r="K1164"/>
  <c r="K1116"/>
  <c r="K1110"/>
  <c r="K1100"/>
  <c r="K1062"/>
  <c r="K1030"/>
  <c r="K992"/>
  <c r="K952"/>
  <c r="K936"/>
  <c r="K928"/>
  <c r="K912"/>
  <c r="K896"/>
  <c r="K864"/>
  <c r="K848"/>
  <c r="K824"/>
  <c r="K808"/>
  <c r="K784"/>
  <c r="K760"/>
  <c r="K744"/>
  <c r="K720"/>
  <c r="K704"/>
  <c r="K688"/>
  <c r="K672"/>
  <c r="K664"/>
  <c r="K648"/>
  <c r="K624"/>
  <c r="K608"/>
  <c r="K592"/>
  <c r="K576"/>
  <c r="K552"/>
  <c r="K1270"/>
  <c r="K1254"/>
  <c r="K1238"/>
  <c r="K1128"/>
  <c r="K1120"/>
  <c r="K1034"/>
  <c r="K958"/>
  <c r="K874"/>
  <c r="K830"/>
  <c r="K820"/>
  <c r="K810"/>
  <c r="K798"/>
  <c r="K766"/>
  <c r="K756"/>
  <c r="K746"/>
  <c r="K734"/>
  <c r="K670"/>
  <c r="K660"/>
  <c r="K650"/>
  <c r="K638"/>
  <c r="K564"/>
  <c r="K1180"/>
  <c r="K1158"/>
  <c r="K1148"/>
  <c r="K1132"/>
  <c r="K1084"/>
  <c r="K1052"/>
  <c r="K1020"/>
  <c r="K998"/>
  <c r="K984"/>
  <c r="K1271"/>
  <c r="K1267"/>
  <c r="K1263"/>
  <c r="K1259"/>
  <c r="K1255"/>
  <c r="K1251"/>
  <c r="K1247"/>
  <c r="K1243"/>
  <c r="K1239"/>
  <c r="K1235"/>
  <c r="K1231"/>
  <c r="K1227"/>
  <c r="K1223"/>
  <c r="K1219"/>
  <c r="K1217"/>
  <c r="K1215"/>
  <c r="K1211"/>
  <c r="K1207"/>
  <c r="K1203"/>
  <c r="K1201"/>
  <c r="K1199"/>
  <c r="K1195"/>
  <c r="K1191"/>
  <c r="K1187"/>
  <c r="K1185"/>
  <c r="K1183"/>
  <c r="K1179"/>
  <c r="K1175"/>
  <c r="K1171"/>
  <c r="K1169"/>
  <c r="K1167"/>
  <c r="K1163"/>
  <c r="K1159"/>
  <c r="K1155"/>
  <c r="K1153"/>
  <c r="K1151"/>
  <c r="K1147"/>
  <c r="K1143"/>
  <c r="K1139"/>
  <c r="K1137"/>
  <c r="K1135"/>
  <c r="K1131"/>
  <c r="K1127"/>
  <c r="K1123"/>
  <c r="K1121"/>
  <c r="K1119"/>
  <c r="K1115"/>
  <c r="K1111"/>
  <c r="K1107"/>
  <c r="K1105"/>
  <c r="K1103"/>
  <c r="K1099"/>
  <c r="K1095"/>
  <c r="K1091"/>
  <c r="K1089"/>
  <c r="K1087"/>
  <c r="K1083"/>
  <c r="K1079"/>
  <c r="K1075"/>
  <c r="K1073"/>
  <c r="K1071"/>
  <c r="K1067"/>
  <c r="K1063"/>
  <c r="K1059"/>
  <c r="K1057"/>
  <c r="K1055"/>
  <c r="K1051"/>
  <c r="K1047"/>
  <c r="K1043"/>
  <c r="K1041"/>
  <c r="K1039"/>
  <c r="K1035"/>
  <c r="K1031"/>
  <c r="K1027"/>
  <c r="K1025"/>
  <c r="K1023"/>
  <c r="K1019"/>
  <c r="K1015"/>
  <c r="K1011"/>
  <c r="K1009"/>
  <c r="K1007"/>
  <c r="K1003"/>
  <c r="K999"/>
  <c r="K995"/>
  <c r="K993"/>
  <c r="K991"/>
  <c r="K989"/>
  <c r="K987"/>
  <c r="K985"/>
  <c r="K983"/>
  <c r="K981"/>
  <c r="K979"/>
  <c r="K977"/>
  <c r="K975"/>
  <c r="K973"/>
  <c r="K971"/>
  <c r="K969"/>
  <c r="K967"/>
  <c r="K965"/>
  <c r="K963"/>
  <c r="K961"/>
  <c r="K959"/>
  <c r="K957"/>
  <c r="K955"/>
  <c r="K953"/>
  <c r="K951"/>
  <c r="K949"/>
  <c r="K947"/>
  <c r="K945"/>
  <c r="K943"/>
  <c r="K941"/>
  <c r="K939"/>
  <c r="K937"/>
  <c r="K935"/>
  <c r="K933"/>
  <c r="K931"/>
  <c r="K929"/>
  <c r="K927"/>
  <c r="K925"/>
  <c r="K923"/>
  <c r="K921"/>
  <c r="K919"/>
  <c r="K917"/>
  <c r="K915"/>
  <c r="K913"/>
  <c r="K911"/>
  <c r="K909"/>
  <c r="K907"/>
  <c r="K905"/>
  <c r="K903"/>
  <c r="K901"/>
  <c r="K899"/>
  <c r="K897"/>
  <c r="K895"/>
  <c r="K893"/>
  <c r="K891"/>
  <c r="K889"/>
  <c r="K887"/>
  <c r="K885"/>
  <c r="K883"/>
  <c r="K881"/>
  <c r="K879"/>
  <c r="K877"/>
  <c r="K875"/>
  <c r="K873"/>
  <c r="K871"/>
  <c r="K869"/>
  <c r="K867"/>
  <c r="K865"/>
  <c r="K863"/>
  <c r="K861"/>
  <c r="K859"/>
  <c r="K857"/>
  <c r="K855"/>
  <c r="K853"/>
  <c r="K851"/>
  <c r="K849"/>
  <c r="K847"/>
  <c r="K845"/>
  <c r="K843"/>
  <c r="K841"/>
  <c r="K839"/>
  <c r="K837"/>
  <c r="K835"/>
  <c r="K833"/>
  <c r="K831"/>
  <c r="K829"/>
  <c r="K827"/>
  <c r="K825"/>
  <c r="K823"/>
  <c r="K821"/>
  <c r="K819"/>
  <c r="K817"/>
  <c r="K815"/>
  <c r="K813"/>
  <c r="K811"/>
  <c r="K809"/>
  <c r="K807"/>
  <c r="K805"/>
  <c r="K803"/>
  <c r="K801"/>
  <c r="K799"/>
  <c r="K797"/>
  <c r="K795"/>
  <c r="K1114"/>
  <c r="K1022"/>
  <c r="K994"/>
  <c r="K962"/>
  <c r="K940"/>
  <c r="K918"/>
  <c r="K898"/>
  <c r="K866"/>
  <c r="K844"/>
  <c r="K1212"/>
  <c r="K1126"/>
  <c r="K1094"/>
  <c r="K1078"/>
  <c r="K1036"/>
  <c r="K1014"/>
  <c r="K1004"/>
  <c r="K968"/>
  <c r="K960"/>
  <c r="K880"/>
  <c r="K1272"/>
  <c r="K1266"/>
  <c r="K1250"/>
  <c r="K1214"/>
  <c r="K1208"/>
  <c r="K1172"/>
  <c r="K1144"/>
  <c r="K1136"/>
  <c r="K1108"/>
  <c r="K1050"/>
  <c r="K1044"/>
  <c r="K982"/>
  <c r="K972"/>
  <c r="K950"/>
  <c r="K930"/>
  <c r="K908"/>
  <c r="K886"/>
  <c r="K854"/>
  <c r="K834"/>
  <c r="K1262"/>
  <c r="K1252"/>
  <c r="K1246"/>
  <c r="K1236"/>
  <c r="K1230"/>
  <c r="K1224"/>
  <c r="K1216"/>
  <c r="K1202"/>
  <c r="K1194"/>
  <c r="K1188"/>
  <c r="K1160"/>
  <c r="K1152"/>
  <c r="K1138"/>
  <c r="K1130"/>
  <c r="K1124"/>
  <c r="K1096"/>
  <c r="K1088"/>
  <c r="K1074"/>
  <c r="K1066"/>
  <c r="K1060"/>
  <c r="K1032"/>
  <c r="K1024"/>
  <c r="K1010"/>
  <c r="K1002"/>
  <c r="K974"/>
  <c r="K964"/>
  <c r="K954"/>
  <c r="K942"/>
  <c r="K922"/>
  <c r="K878"/>
  <c r="K826"/>
  <c r="K814"/>
  <c r="K804"/>
  <c r="K794"/>
  <c r="K762"/>
  <c r="K750"/>
  <c r="K740"/>
  <c r="K730"/>
  <c r="K676"/>
  <c r="K666"/>
  <c r="K654"/>
  <c r="K644"/>
  <c r="K634"/>
  <c r="K1206"/>
  <c r="K1196"/>
  <c r="K1142"/>
  <c r="K1068"/>
  <c r="K1046"/>
  <c r="K976"/>
  <c r="K944"/>
  <c r="K920"/>
  <c r="K904"/>
  <c r="K888"/>
  <c r="K872"/>
  <c r="K856"/>
  <c r="K840"/>
  <c r="K832"/>
  <c r="K816"/>
  <c r="K800"/>
  <c r="K792"/>
  <c r="K776"/>
  <c r="K768"/>
  <c r="K752"/>
  <c r="K736"/>
  <c r="K728"/>
  <c r="K712"/>
  <c r="K696"/>
  <c r="K680"/>
  <c r="K656"/>
  <c r="K640"/>
  <c r="K632"/>
  <c r="K616"/>
  <c r="K600"/>
  <c r="K584"/>
  <c r="K568"/>
  <c r="K560"/>
  <c r="K793"/>
  <c r="K791"/>
  <c r="K789"/>
  <c r="K787"/>
  <c r="K785"/>
  <c r="K783"/>
  <c r="K781"/>
  <c r="K779"/>
  <c r="K777"/>
  <c r="K775"/>
  <c r="K773"/>
  <c r="K771"/>
  <c r="K769"/>
  <c r="K767"/>
  <c r="K765"/>
  <c r="K763"/>
  <c r="K761"/>
  <c r="K759"/>
  <c r="K757"/>
  <c r="K755"/>
  <c r="K753"/>
  <c r="K751"/>
  <c r="K749"/>
  <c r="K747"/>
  <c r="K745"/>
  <c r="K743"/>
  <c r="K741"/>
  <c r="K739"/>
  <c r="K737"/>
  <c r="K735"/>
  <c r="K733"/>
  <c r="K731"/>
  <c r="K729"/>
  <c r="K727"/>
  <c r="K725"/>
  <c r="K723"/>
  <c r="K721"/>
  <c r="K719"/>
  <c r="K717"/>
  <c r="K715"/>
  <c r="K713"/>
  <c r="K711"/>
  <c r="K709"/>
  <c r="K707"/>
  <c r="K705"/>
  <c r="K703"/>
  <c r="K701"/>
  <c r="K699"/>
  <c r="K697"/>
  <c r="K695"/>
  <c r="K693"/>
  <c r="K691"/>
  <c r="K689"/>
  <c r="K687"/>
  <c r="K685"/>
  <c r="K683"/>
  <c r="K681"/>
  <c r="K679"/>
  <c r="K677"/>
  <c r="K675"/>
  <c r="K673"/>
  <c r="K671"/>
  <c r="K669"/>
  <c r="K667"/>
  <c r="K665"/>
  <c r="K663"/>
  <c r="K661"/>
  <c r="K659"/>
  <c r="K657"/>
  <c r="K655"/>
  <c r="K653"/>
  <c r="K651"/>
  <c r="K649"/>
  <c r="K647"/>
  <c r="K645"/>
  <c r="K643"/>
  <c r="K641"/>
  <c r="K639"/>
  <c r="K637"/>
  <c r="K635"/>
  <c r="K633"/>
  <c r="K631"/>
  <c r="K629"/>
  <c r="K627"/>
  <c r="K625"/>
  <c r="K623"/>
  <c r="K621"/>
  <c r="K619"/>
  <c r="K617"/>
  <c r="K615"/>
  <c r="K613"/>
  <c r="K611"/>
  <c r="K609"/>
  <c r="K607"/>
  <c r="K605"/>
  <c r="K603"/>
  <c r="K601"/>
  <c r="K599"/>
  <c r="K597"/>
  <c r="K595"/>
  <c r="K593"/>
  <c r="K591"/>
  <c r="K589"/>
  <c r="K587"/>
  <c r="K585"/>
  <c r="K583"/>
  <c r="K581"/>
  <c r="K579"/>
  <c r="K577"/>
  <c r="K575"/>
  <c r="K573"/>
  <c r="K571"/>
  <c r="K569"/>
  <c r="K567"/>
  <c r="K565"/>
  <c r="K563"/>
  <c r="K561"/>
  <c r="K559"/>
  <c r="K557"/>
  <c r="K555"/>
  <c r="K553"/>
  <c r="K551"/>
  <c r="K549"/>
  <c r="K547"/>
  <c r="K545"/>
  <c r="K543"/>
  <c r="K541"/>
  <c r="K539"/>
  <c r="K537"/>
  <c r="K535"/>
  <c r="K533"/>
  <c r="K531"/>
  <c r="K529"/>
  <c r="K527"/>
  <c r="K525"/>
  <c r="K523"/>
  <c r="K521"/>
  <c r="K519"/>
  <c r="K517"/>
  <c r="K515"/>
  <c r="K513"/>
  <c r="K511"/>
  <c r="K509"/>
  <c r="K507"/>
  <c r="K505"/>
  <c r="K503"/>
  <c r="K501"/>
  <c r="K499"/>
  <c r="K497"/>
  <c r="K495"/>
  <c r="K493"/>
  <c r="K491"/>
  <c r="K489"/>
  <c r="K487"/>
  <c r="K485"/>
  <c r="K483"/>
  <c r="K481"/>
  <c r="K479"/>
  <c r="K477"/>
  <c r="K475"/>
  <c r="K473"/>
  <c r="K471"/>
  <c r="K469"/>
  <c r="K467"/>
  <c r="K465"/>
  <c r="K463"/>
  <c r="K461"/>
  <c r="K459"/>
  <c r="K457"/>
  <c r="K455"/>
  <c r="K453"/>
  <c r="K451"/>
  <c r="K449"/>
  <c r="K447"/>
  <c r="K445"/>
  <c r="K443"/>
  <c r="K441"/>
  <c r="K439"/>
  <c r="K437"/>
  <c r="K435"/>
  <c r="K433"/>
  <c r="K431"/>
  <c r="K429"/>
  <c r="K427"/>
  <c r="K425"/>
  <c r="K423"/>
  <c r="K421"/>
  <c r="K419"/>
  <c r="K417"/>
  <c r="K415"/>
  <c r="K413"/>
  <c r="K411"/>
  <c r="K409"/>
  <c r="K407"/>
  <c r="K405"/>
  <c r="K403"/>
  <c r="K401"/>
  <c r="K399"/>
  <c r="K397"/>
  <c r="K395"/>
  <c r="K393"/>
  <c r="K391"/>
  <c r="K389"/>
  <c r="K387"/>
  <c r="K385"/>
  <c r="K383"/>
  <c r="K381"/>
  <c r="K379"/>
  <c r="K377"/>
  <c r="K375"/>
  <c r="K373"/>
  <c r="K371"/>
  <c r="K369"/>
  <c r="K367"/>
  <c r="K365"/>
  <c r="K363"/>
  <c r="K361"/>
  <c r="K359"/>
  <c r="K357"/>
  <c r="K355"/>
  <c r="K353"/>
  <c r="K351"/>
  <c r="K349"/>
  <c r="K347"/>
  <c r="K345"/>
  <c r="K343"/>
  <c r="K341"/>
  <c r="K339"/>
  <c r="K337"/>
  <c r="K335"/>
  <c r="K333"/>
  <c r="K331"/>
  <c r="K329"/>
  <c r="K327"/>
  <c r="K325"/>
  <c r="K323"/>
  <c r="K321"/>
  <c r="K319"/>
  <c r="K317"/>
  <c r="K315"/>
  <c r="K313"/>
  <c r="K311"/>
  <c r="K309"/>
  <c r="K307"/>
  <c r="K305"/>
  <c r="K303"/>
  <c r="K301"/>
  <c r="K299"/>
  <c r="K297"/>
  <c r="K295"/>
  <c r="K293"/>
  <c r="K291"/>
  <c r="K289"/>
  <c r="K287"/>
  <c r="K285"/>
  <c r="K283"/>
  <c r="F24"/>
  <c r="K240"/>
  <c r="K281"/>
  <c r="K279"/>
  <c r="K277"/>
  <c r="K275"/>
  <c r="K273"/>
  <c r="K271"/>
  <c r="K269"/>
  <c r="K267"/>
  <c r="K265"/>
  <c r="K263"/>
  <c r="K261"/>
  <c r="K259"/>
  <c r="K257"/>
  <c r="K255"/>
  <c r="K253"/>
  <c r="K251"/>
  <c r="K249"/>
  <c r="K247"/>
  <c r="K245"/>
  <c r="K243"/>
  <c r="K241"/>
  <c r="K239"/>
  <c r="K237"/>
  <c r="K235"/>
  <c r="K233"/>
  <c r="K231"/>
  <c r="K229"/>
  <c r="K227"/>
  <c r="K225"/>
  <c r="K223"/>
  <c r="K221"/>
  <c r="K219"/>
  <c r="K217"/>
  <c r="K215"/>
  <c r="K213"/>
  <c r="K211"/>
  <c r="K209"/>
  <c r="K207"/>
  <c r="K205"/>
  <c r="K203"/>
  <c r="K201"/>
  <c r="K199"/>
  <c r="K197"/>
  <c r="K195"/>
  <c r="K193"/>
  <c r="K191"/>
  <c r="K189"/>
  <c r="K187"/>
  <c r="K185"/>
  <c r="K183"/>
  <c r="K181"/>
  <c r="K179"/>
  <c r="K177"/>
  <c r="K175"/>
  <c r="K173"/>
  <c r="K171"/>
  <c r="K169"/>
  <c r="K167"/>
  <c r="K165"/>
  <c r="K163"/>
  <c r="K161"/>
  <c r="K159"/>
  <c r="K157"/>
  <c r="K155"/>
  <c r="K153"/>
  <c r="K151"/>
  <c r="K149"/>
  <c r="K147"/>
  <c r="K145"/>
  <c r="K143"/>
  <c r="K141"/>
  <c r="K139"/>
  <c r="K137"/>
  <c r="K135"/>
  <c r="K133"/>
  <c r="K131"/>
  <c r="K129"/>
  <c r="K127"/>
  <c r="K125"/>
  <c r="K123"/>
  <c r="K121"/>
  <c r="K119"/>
  <c r="K117"/>
  <c r="K115"/>
  <c r="K113"/>
  <c r="K111"/>
  <c r="K109"/>
  <c r="K107"/>
  <c r="K105"/>
  <c r="K103"/>
  <c r="K101"/>
  <c r="K99"/>
  <c r="K97"/>
  <c r="K95"/>
  <c r="K93"/>
  <c r="K91"/>
  <c r="K89"/>
  <c r="K87"/>
  <c r="K85"/>
  <c r="K83"/>
  <c r="K81"/>
  <c r="K79"/>
  <c r="K77"/>
  <c r="K75"/>
  <c r="K73"/>
  <c r="K71"/>
  <c r="K69"/>
  <c r="K67"/>
  <c r="K65"/>
  <c r="K63"/>
  <c r="K61"/>
  <c r="K59"/>
  <c r="K57"/>
  <c r="K55"/>
  <c r="K53"/>
  <c r="K51"/>
  <c r="K49"/>
  <c r="K47"/>
  <c r="K45"/>
  <c r="K43"/>
  <c r="K41"/>
  <c r="K39"/>
  <c r="K37"/>
  <c r="K35"/>
  <c r="K33"/>
  <c r="K238"/>
  <c r="K236"/>
  <c r="K234"/>
  <c r="K232"/>
  <c r="K230"/>
  <c r="K228"/>
  <c r="K226"/>
  <c r="K224"/>
  <c r="K222"/>
  <c r="K220"/>
  <c r="K218"/>
  <c r="K216"/>
  <c r="K214"/>
  <c r="K212"/>
  <c r="K210"/>
  <c r="K208"/>
  <c r="K206"/>
  <c r="K204"/>
  <c r="K202"/>
  <c r="K200"/>
  <c r="K198"/>
  <c r="K196"/>
  <c r="K194"/>
  <c r="K192"/>
  <c r="K190"/>
  <c r="K188"/>
  <c r="K186"/>
  <c r="K184"/>
  <c r="K182"/>
  <c r="K180"/>
  <c r="K178"/>
  <c r="K176"/>
  <c r="K174"/>
  <c r="K172"/>
  <c r="K170"/>
  <c r="K168"/>
  <c r="K166"/>
  <c r="K164"/>
  <c r="K162"/>
  <c r="K160"/>
  <c r="K158"/>
  <c r="K156"/>
  <c r="K154"/>
  <c r="K152"/>
  <c r="K150"/>
  <c r="K148"/>
  <c r="K146"/>
  <c r="K144"/>
  <c r="K142"/>
  <c r="K140"/>
  <c r="K138"/>
  <c r="K136"/>
  <c r="K134"/>
  <c r="K132"/>
  <c r="K130"/>
  <c r="K128"/>
  <c r="K126"/>
  <c r="K124"/>
  <c r="K122"/>
  <c r="K120"/>
  <c r="K118"/>
  <c r="K116"/>
  <c r="K114"/>
  <c r="K112"/>
  <c r="K110"/>
  <c r="K108"/>
  <c r="K106"/>
  <c r="K104"/>
  <c r="K102"/>
  <c r="K100"/>
  <c r="K98"/>
  <c r="K96"/>
  <c r="K94"/>
  <c r="K92"/>
  <c r="K90"/>
  <c r="K88"/>
  <c r="K86"/>
  <c r="K84"/>
  <c r="K82"/>
  <c r="K80"/>
  <c r="K78"/>
  <c r="K76"/>
  <c r="K74"/>
  <c r="K72"/>
  <c r="K70"/>
  <c r="K68"/>
  <c r="K66"/>
  <c r="K64"/>
  <c r="K62"/>
  <c r="K60"/>
  <c r="K58"/>
  <c r="K56"/>
  <c r="K54"/>
  <c r="K52"/>
  <c r="K50"/>
  <c r="K48"/>
  <c r="K46"/>
  <c r="K44"/>
  <c r="K42"/>
  <c r="K40"/>
  <c r="K38"/>
  <c r="K36"/>
  <c r="K34"/>
  <c r="K32"/>
  <c r="T22"/>
  <c r="U22"/>
  <c r="AA35" s="1"/>
  <c r="J1246" l="1"/>
  <c r="Q1246" s="1"/>
  <c r="J1332"/>
  <c r="J1338"/>
  <c r="J1340"/>
  <c r="J1354"/>
  <c r="J1356"/>
  <c r="J1477"/>
  <c r="J1326"/>
  <c r="J1336"/>
  <c r="J1350"/>
  <c r="J1352"/>
  <c r="J1324"/>
  <c r="J1330"/>
  <c r="J1346"/>
  <c r="J1348"/>
  <c r="J1475"/>
  <c r="J1328"/>
  <c r="J1334"/>
  <c r="J1342"/>
  <c r="J1344"/>
  <c r="J1358"/>
  <c r="J1479"/>
  <c r="J1528"/>
  <c r="J1529"/>
  <c r="J1530"/>
  <c r="J1531"/>
  <c r="J1532"/>
  <c r="J1533"/>
  <c r="J1534"/>
  <c r="J1535"/>
  <c r="J1536"/>
  <c r="J1537"/>
  <c r="J1538"/>
  <c r="J1539"/>
  <c r="J1540"/>
  <c r="J1276"/>
  <c r="Q1276" s="1"/>
  <c r="J1280"/>
  <c r="Q1280" s="1"/>
  <c r="J1284"/>
  <c r="Q1284" s="1"/>
  <c r="J1288"/>
  <c r="Q1288" s="1"/>
  <c r="J1292"/>
  <c r="Q1292" s="1"/>
  <c r="J1296"/>
  <c r="Q1296" s="1"/>
  <c r="J1300"/>
  <c r="Q1300" s="1"/>
  <c r="J1304"/>
  <c r="Q1304" s="1"/>
  <c r="J1308"/>
  <c r="Q1308" s="1"/>
  <c r="J1312"/>
  <c r="Q1312" s="1"/>
  <c r="J1331"/>
  <c r="Q1331" s="1"/>
  <c r="J1341"/>
  <c r="Q1341" s="1"/>
  <c r="J1357"/>
  <c r="Q1357" s="1"/>
  <c r="J1403"/>
  <c r="J1483"/>
  <c r="P1483" s="1"/>
  <c r="J1487"/>
  <c r="O1487" s="1"/>
  <c r="J1491"/>
  <c r="P1491" s="1"/>
  <c r="J1495"/>
  <c r="O1495" s="1"/>
  <c r="J1499"/>
  <c r="O1499" s="1"/>
  <c r="J1503"/>
  <c r="O1503" s="1"/>
  <c r="J1507"/>
  <c r="Q1507" s="1"/>
  <c r="J1511"/>
  <c r="O1511" s="1"/>
  <c r="J1515"/>
  <c r="O1515" s="1"/>
  <c r="J1519"/>
  <c r="O1519" s="1"/>
  <c r="J1523"/>
  <c r="O1523" s="1"/>
  <c r="J1527"/>
  <c r="O1527" s="1"/>
  <c r="J1431"/>
  <c r="Q1431" s="1"/>
  <c r="J1433"/>
  <c r="Q1433" s="1"/>
  <c r="J1435"/>
  <c r="Q1435" s="1"/>
  <c r="J1437"/>
  <c r="Q1437" s="1"/>
  <c r="J1439"/>
  <c r="Q1439" s="1"/>
  <c r="J1441"/>
  <c r="Q1441" s="1"/>
  <c r="J1443"/>
  <c r="Q1443" s="1"/>
  <c r="J1445"/>
  <c r="Q1445" s="1"/>
  <c r="J1447"/>
  <c r="Q1447" s="1"/>
  <c r="J1449"/>
  <c r="Q1449" s="1"/>
  <c r="J1451"/>
  <c r="Q1451" s="1"/>
  <c r="J1453"/>
  <c r="Q1453" s="1"/>
  <c r="J1455"/>
  <c r="Q1455" s="1"/>
  <c r="J1457"/>
  <c r="Q1457" s="1"/>
  <c r="J1459"/>
  <c r="Q1459" s="1"/>
  <c r="J1361"/>
  <c r="J1369"/>
  <c r="J1377"/>
  <c r="J1394"/>
  <c r="J1462"/>
  <c r="Q1462" s="1"/>
  <c r="J1351"/>
  <c r="J1414"/>
  <c r="Q1414" s="1"/>
  <c r="J1422"/>
  <c r="Q1422" s="1"/>
  <c r="J1430"/>
  <c r="Q1430" s="1"/>
  <c r="J1347"/>
  <c r="J1366"/>
  <c r="J1374"/>
  <c r="J1382"/>
  <c r="J1402"/>
  <c r="J1343"/>
  <c r="J1397"/>
  <c r="J1417"/>
  <c r="Q1417" s="1"/>
  <c r="J1425"/>
  <c r="Q1425" s="1"/>
  <c r="J1476"/>
  <c r="Q1476" s="1"/>
  <c r="J1275"/>
  <c r="Q1275" s="1"/>
  <c r="J1279"/>
  <c r="Q1279" s="1"/>
  <c r="J1283"/>
  <c r="Q1283" s="1"/>
  <c r="J1287"/>
  <c r="Q1287" s="1"/>
  <c r="J1291"/>
  <c r="Q1291" s="1"/>
  <c r="J1295"/>
  <c r="Q1295" s="1"/>
  <c r="J1299"/>
  <c r="Q1299" s="1"/>
  <c r="J1303"/>
  <c r="Q1303" s="1"/>
  <c r="J1307"/>
  <c r="Q1307" s="1"/>
  <c r="J1311"/>
  <c r="Q1311" s="1"/>
  <c r="J1315"/>
  <c r="Q1315" s="1"/>
  <c r="J1320"/>
  <c r="Q1320" s="1"/>
  <c r="J1323"/>
  <c r="Q1323" s="1"/>
  <c r="J1322"/>
  <c r="Q1322" s="1"/>
  <c r="J1329"/>
  <c r="P1329" s="1"/>
  <c r="J1337"/>
  <c r="Q1337" s="1"/>
  <c r="J1353"/>
  <c r="Q1353" s="1"/>
  <c r="J1321"/>
  <c r="Q1321" s="1"/>
  <c r="J1388"/>
  <c r="J1396"/>
  <c r="Q1396" s="1"/>
  <c r="J1404"/>
  <c r="Q1404" s="1"/>
  <c r="J1412"/>
  <c r="Q1412" s="1"/>
  <c r="J1387"/>
  <c r="O1387" s="1"/>
  <c r="J1399"/>
  <c r="J1482"/>
  <c r="O1482" s="1"/>
  <c r="J1486"/>
  <c r="Q1486" s="1"/>
  <c r="J1490"/>
  <c r="O1490" s="1"/>
  <c r="J1494"/>
  <c r="J1498"/>
  <c r="O1498" s="1"/>
  <c r="J1502"/>
  <c r="Q1502" s="1"/>
  <c r="J1506"/>
  <c r="O1506" s="1"/>
  <c r="J1510"/>
  <c r="J1514"/>
  <c r="O1514" s="1"/>
  <c r="J1518"/>
  <c r="Q1518" s="1"/>
  <c r="J1522"/>
  <c r="O1522" s="1"/>
  <c r="J1526"/>
  <c r="J1359"/>
  <c r="J1367"/>
  <c r="J1375"/>
  <c r="J1385"/>
  <c r="J1460"/>
  <c r="Q1460" s="1"/>
  <c r="J1405"/>
  <c r="J1420"/>
  <c r="Q1420" s="1"/>
  <c r="J1428"/>
  <c r="Q1428" s="1"/>
  <c r="J1364"/>
  <c r="J1372"/>
  <c r="J1380"/>
  <c r="J1393"/>
  <c r="J1463"/>
  <c r="J1470"/>
  <c r="Q1470" s="1"/>
  <c r="J1389"/>
  <c r="J1415"/>
  <c r="Q1415" s="1"/>
  <c r="J1423"/>
  <c r="Q1423" s="1"/>
  <c r="J1473"/>
  <c r="J1274"/>
  <c r="J1278"/>
  <c r="J1282"/>
  <c r="J1286"/>
  <c r="J1290"/>
  <c r="J1294"/>
  <c r="J1298"/>
  <c r="J1302"/>
  <c r="J1306"/>
  <c r="J1310"/>
  <c r="J1314"/>
  <c r="J1327"/>
  <c r="O1327" s="1"/>
  <c r="J1335"/>
  <c r="O1335" s="1"/>
  <c r="J1349"/>
  <c r="O1349" s="1"/>
  <c r="J1395"/>
  <c r="Q1395" s="1"/>
  <c r="J1411"/>
  <c r="Q1411" s="1"/>
  <c r="J1481"/>
  <c r="O1481" s="1"/>
  <c r="J1485"/>
  <c r="O1485" s="1"/>
  <c r="J1489"/>
  <c r="P1489" s="1"/>
  <c r="J1493"/>
  <c r="O1493" s="1"/>
  <c r="J1497"/>
  <c r="P1497" s="1"/>
  <c r="J1501"/>
  <c r="O1501" s="1"/>
  <c r="J1505"/>
  <c r="P1505" s="1"/>
  <c r="J1509"/>
  <c r="O1509" s="1"/>
  <c r="J1513"/>
  <c r="O1513" s="1"/>
  <c r="J1517"/>
  <c r="O1517" s="1"/>
  <c r="J1521"/>
  <c r="Q1521" s="1"/>
  <c r="J1525"/>
  <c r="O1525" s="1"/>
  <c r="J1432"/>
  <c r="Q1432" s="1"/>
  <c r="J1434"/>
  <c r="Q1434" s="1"/>
  <c r="J1436"/>
  <c r="Q1436" s="1"/>
  <c r="J1438"/>
  <c r="Q1438" s="1"/>
  <c r="J1440"/>
  <c r="Q1440" s="1"/>
  <c r="J1442"/>
  <c r="Q1442" s="1"/>
  <c r="J1444"/>
  <c r="Q1444" s="1"/>
  <c r="J1446"/>
  <c r="Q1446" s="1"/>
  <c r="J1448"/>
  <c r="Q1448" s="1"/>
  <c r="J1450"/>
  <c r="Q1450" s="1"/>
  <c r="J1452"/>
  <c r="Q1452" s="1"/>
  <c r="J1454"/>
  <c r="Q1454" s="1"/>
  <c r="J1456"/>
  <c r="Q1456" s="1"/>
  <c r="J1458"/>
  <c r="Q1458" s="1"/>
  <c r="J1355"/>
  <c r="J1365"/>
  <c r="J1373"/>
  <c r="J1381"/>
  <c r="J1410"/>
  <c r="J1471"/>
  <c r="J1398"/>
  <c r="J1418"/>
  <c r="Q1418" s="1"/>
  <c r="J1426"/>
  <c r="Q1426" s="1"/>
  <c r="J1467"/>
  <c r="J1474"/>
  <c r="Q1474" s="1"/>
  <c r="J1362"/>
  <c r="J1370"/>
  <c r="J1378"/>
  <c r="J1461"/>
  <c r="J1468"/>
  <c r="Q1468" s="1"/>
  <c r="J1413"/>
  <c r="Q1413" s="1"/>
  <c r="J1421"/>
  <c r="Q1421" s="1"/>
  <c r="J1429"/>
  <c r="Q1429" s="1"/>
  <c r="J1466"/>
  <c r="Q1466" s="1"/>
  <c r="J1273"/>
  <c r="Q1273" s="1"/>
  <c r="J1277"/>
  <c r="Q1277" s="1"/>
  <c r="J1281"/>
  <c r="Q1281" s="1"/>
  <c r="J1285"/>
  <c r="Q1285" s="1"/>
  <c r="J1289"/>
  <c r="Q1289" s="1"/>
  <c r="J1293"/>
  <c r="Q1293" s="1"/>
  <c r="J1297"/>
  <c r="Q1297" s="1"/>
  <c r="J1301"/>
  <c r="Q1301" s="1"/>
  <c r="J1305"/>
  <c r="Q1305" s="1"/>
  <c r="J1309"/>
  <c r="Q1309" s="1"/>
  <c r="J1313"/>
  <c r="Q1313" s="1"/>
  <c r="J1316"/>
  <c r="Q1316" s="1"/>
  <c r="J1319"/>
  <c r="Q1319" s="1"/>
  <c r="J1318"/>
  <c r="Q1318" s="1"/>
  <c r="J1325"/>
  <c r="P1325" s="1"/>
  <c r="J1333"/>
  <c r="Q1333" s="1"/>
  <c r="J1345"/>
  <c r="Q1345" s="1"/>
  <c r="J1317"/>
  <c r="Q1317" s="1"/>
  <c r="J1384"/>
  <c r="O1384" s="1"/>
  <c r="J1392"/>
  <c r="Q1392" s="1"/>
  <c r="J1400"/>
  <c r="Q1400" s="1"/>
  <c r="J1408"/>
  <c r="Q1408" s="1"/>
  <c r="J1383"/>
  <c r="O1383" s="1"/>
  <c r="J1391"/>
  <c r="J1407"/>
  <c r="J1484"/>
  <c r="Q1484" s="1"/>
  <c r="J1488"/>
  <c r="O1488" s="1"/>
  <c r="J1492"/>
  <c r="P1492" s="1"/>
  <c r="J1496"/>
  <c r="O1496" s="1"/>
  <c r="J1500"/>
  <c r="P1500" s="1"/>
  <c r="J1504"/>
  <c r="O1504" s="1"/>
  <c r="J1508"/>
  <c r="Q1508" s="1"/>
  <c r="J1512"/>
  <c r="O1512" s="1"/>
  <c r="J1516"/>
  <c r="P1516" s="1"/>
  <c r="J1520"/>
  <c r="O1520" s="1"/>
  <c r="J1524"/>
  <c r="P1524" s="1"/>
  <c r="J1339"/>
  <c r="J1363"/>
  <c r="J1371"/>
  <c r="J1379"/>
  <c r="J1401"/>
  <c r="J1469"/>
  <c r="J1480"/>
  <c r="Q1480" s="1"/>
  <c r="J1390"/>
  <c r="J1416"/>
  <c r="Q1416" s="1"/>
  <c r="J1424"/>
  <c r="Q1424" s="1"/>
  <c r="J1465"/>
  <c r="J1472"/>
  <c r="Q1472" s="1"/>
  <c r="J1360"/>
  <c r="J1368"/>
  <c r="J1376"/>
  <c r="J1386"/>
  <c r="J1409"/>
  <c r="J1478"/>
  <c r="Q1478" s="1"/>
  <c r="J1406"/>
  <c r="J1419"/>
  <c r="Q1419" s="1"/>
  <c r="J1427"/>
  <c r="Q1427" s="1"/>
  <c r="J1464"/>
  <c r="Q1464" s="1"/>
  <c r="Q1387"/>
  <c r="O1288"/>
  <c r="O1304"/>
  <c r="P1341"/>
  <c r="O1320"/>
  <c r="P1320"/>
  <c r="Q1487"/>
  <c r="P1487"/>
  <c r="Q1503"/>
  <c r="P1503"/>
  <c r="Q1519"/>
  <c r="P1519"/>
  <c r="Q1523"/>
  <c r="Q1494"/>
  <c r="P1494"/>
  <c r="Q1510"/>
  <c r="P1510"/>
  <c r="Q1526"/>
  <c r="P1526"/>
  <c r="O1433"/>
  <c r="P1433"/>
  <c r="O1441"/>
  <c r="P1441"/>
  <c r="O1449"/>
  <c r="P1449"/>
  <c r="O1457"/>
  <c r="P1457"/>
  <c r="O1476"/>
  <c r="P1476"/>
  <c r="P1283"/>
  <c r="P1287"/>
  <c r="P1303"/>
  <c r="O1337"/>
  <c r="O1396"/>
  <c r="P1414"/>
  <c r="O1414"/>
  <c r="Q1485"/>
  <c r="Q1501"/>
  <c r="P1276"/>
  <c r="P1288"/>
  <c r="P1304"/>
  <c r="O1275"/>
  <c r="O1287"/>
  <c r="O1303"/>
  <c r="P1337"/>
  <c r="O1341"/>
  <c r="P1396"/>
  <c r="O1494"/>
  <c r="O1510"/>
  <c r="O1526"/>
  <c r="P7"/>
  <c r="Y7" s="1"/>
  <c r="J43"/>
  <c r="Q43" s="1"/>
  <c r="J59"/>
  <c r="Q59" s="1"/>
  <c r="J75"/>
  <c r="Q75" s="1"/>
  <c r="J91"/>
  <c r="Q91" s="1"/>
  <c r="J107"/>
  <c r="Q107" s="1"/>
  <c r="J123"/>
  <c r="Q123" s="1"/>
  <c r="J139"/>
  <c r="Q139" s="1"/>
  <c r="J147"/>
  <c r="O147" s="1"/>
  <c r="J155"/>
  <c r="Q155" s="1"/>
  <c r="J163"/>
  <c r="O163" s="1"/>
  <c r="J171"/>
  <c r="Q171" s="1"/>
  <c r="J179"/>
  <c r="O179" s="1"/>
  <c r="J187"/>
  <c r="Q187" s="1"/>
  <c r="J195"/>
  <c r="Q195" s="1"/>
  <c r="J213"/>
  <c r="O213" s="1"/>
  <c r="J221"/>
  <c r="Q221" s="1"/>
  <c r="J229"/>
  <c r="P229" s="1"/>
  <c r="J237"/>
  <c r="Q237" s="1"/>
  <c r="J245"/>
  <c r="P245" s="1"/>
  <c r="J38"/>
  <c r="P38" s="1"/>
  <c r="J46"/>
  <c r="P46" s="1"/>
  <c r="J54"/>
  <c r="P54" s="1"/>
  <c r="J62"/>
  <c r="O62" s="1"/>
  <c r="J70"/>
  <c r="Q70" s="1"/>
  <c r="J78"/>
  <c r="P78" s="1"/>
  <c r="J86"/>
  <c r="Q86" s="1"/>
  <c r="J94"/>
  <c r="P94" s="1"/>
  <c r="J102"/>
  <c r="Q102" s="1"/>
  <c r="J110"/>
  <c r="P110" s="1"/>
  <c r="J118"/>
  <c r="P118" s="1"/>
  <c r="J126"/>
  <c r="O126" s="1"/>
  <c r="J134"/>
  <c r="P134" s="1"/>
  <c r="J142"/>
  <c r="P142" s="1"/>
  <c r="J150"/>
  <c r="Q150" s="1"/>
  <c r="J158"/>
  <c r="P158" s="1"/>
  <c r="J166"/>
  <c r="O166" s="1"/>
  <c r="J174"/>
  <c r="O174" s="1"/>
  <c r="J182"/>
  <c r="P182" s="1"/>
  <c r="J190"/>
  <c r="O190" s="1"/>
  <c r="J198"/>
  <c r="P198" s="1"/>
  <c r="J206"/>
  <c r="O206" s="1"/>
  <c r="J214"/>
  <c r="O214" s="1"/>
  <c r="J222"/>
  <c r="P222" s="1"/>
  <c r="J230"/>
  <c r="P230" s="1"/>
  <c r="J238"/>
  <c r="Q238" s="1"/>
  <c r="J246"/>
  <c r="P246" s="1"/>
  <c r="J254"/>
  <c r="O254" s="1"/>
  <c r="J262"/>
  <c r="O262" s="1"/>
  <c r="J270"/>
  <c r="Q270" s="1"/>
  <c r="J278"/>
  <c r="Q278" s="1"/>
  <c r="J286"/>
  <c r="P286" s="1"/>
  <c r="J294"/>
  <c r="Q294" s="1"/>
  <c r="J302"/>
  <c r="P302" s="1"/>
  <c r="J310"/>
  <c r="P310" s="1"/>
  <c r="J318"/>
  <c r="O318" s="1"/>
  <c r="J326"/>
  <c r="P326" s="1"/>
  <c r="J334"/>
  <c r="P334" s="1"/>
  <c r="J342"/>
  <c r="Q342" s="1"/>
  <c r="J350"/>
  <c r="P350" s="1"/>
  <c r="J358"/>
  <c r="O358" s="1"/>
  <c r="J366"/>
  <c r="P366" s="1"/>
  <c r="J374"/>
  <c r="P374" s="1"/>
  <c r="J382"/>
  <c r="O382" s="1"/>
  <c r="J390"/>
  <c r="Q390" s="1"/>
  <c r="J398"/>
  <c r="P398" s="1"/>
  <c r="J406"/>
  <c r="O406" s="1"/>
  <c r="J414"/>
  <c r="P414" s="1"/>
  <c r="J422"/>
  <c r="Q422" s="1"/>
  <c r="J430"/>
  <c r="O430" s="1"/>
  <c r="J438"/>
  <c r="P438" s="1"/>
  <c r="J446"/>
  <c r="O446" s="1"/>
  <c r="J454"/>
  <c r="O454" s="1"/>
  <c r="J462"/>
  <c r="O462" s="1"/>
  <c r="J470"/>
  <c r="Q470" s="1"/>
  <c r="J478"/>
  <c r="O478" s="1"/>
  <c r="J486"/>
  <c r="P486" s="1"/>
  <c r="J494"/>
  <c r="Q494" s="1"/>
  <c r="J502"/>
  <c r="O502" s="1"/>
  <c r="J510"/>
  <c r="P510" s="1"/>
  <c r="J518"/>
  <c r="Q518" s="1"/>
  <c r="J526"/>
  <c r="Q526" s="1"/>
  <c r="J534"/>
  <c r="Q534" s="1"/>
  <c r="J542"/>
  <c r="P542" s="1"/>
  <c r="J207"/>
  <c r="Q207" s="1"/>
  <c r="J257"/>
  <c r="Q257" s="1"/>
  <c r="J265"/>
  <c r="Q265" s="1"/>
  <c r="J273"/>
  <c r="Q273" s="1"/>
  <c r="J281"/>
  <c r="Q281" s="1"/>
  <c r="J285"/>
  <c r="Q285" s="1"/>
  <c r="J289"/>
  <c r="Q289" s="1"/>
  <c r="J293"/>
  <c r="Q293" s="1"/>
  <c r="J297"/>
  <c r="Q297" s="1"/>
  <c r="J301"/>
  <c r="Q301" s="1"/>
  <c r="J305"/>
  <c r="Q305" s="1"/>
  <c r="J309"/>
  <c r="P309" s="1"/>
  <c r="J313"/>
  <c r="Q313" s="1"/>
  <c r="J317"/>
  <c r="Q317" s="1"/>
  <c r="J321"/>
  <c r="Q321" s="1"/>
  <c r="J325"/>
  <c r="Q325" s="1"/>
  <c r="J329"/>
  <c r="Q329" s="1"/>
  <c r="J333"/>
  <c r="Q333" s="1"/>
  <c r="J337"/>
  <c r="Q337" s="1"/>
  <c r="J341"/>
  <c r="O341" s="1"/>
  <c r="J345"/>
  <c r="Q345" s="1"/>
  <c r="J349"/>
  <c r="Q349" s="1"/>
  <c r="J353"/>
  <c r="Q353" s="1"/>
  <c r="J357"/>
  <c r="P357" s="1"/>
  <c r="J361"/>
  <c r="Q361" s="1"/>
  <c r="J365"/>
  <c r="Q365" s="1"/>
  <c r="J369"/>
  <c r="Q369" s="1"/>
  <c r="J373"/>
  <c r="P373" s="1"/>
  <c r="J377"/>
  <c r="Q377" s="1"/>
  <c r="J381"/>
  <c r="Q381" s="1"/>
  <c r="J385"/>
  <c r="Q385" s="1"/>
  <c r="J389"/>
  <c r="O389" s="1"/>
  <c r="J393"/>
  <c r="Q393" s="1"/>
  <c r="J397"/>
  <c r="Q397" s="1"/>
  <c r="J401"/>
  <c r="Q401" s="1"/>
  <c r="J405"/>
  <c r="Q405" s="1"/>
  <c r="J409"/>
  <c r="Q409" s="1"/>
  <c r="J413"/>
  <c r="P413" s="1"/>
  <c r="J417"/>
  <c r="Q417" s="1"/>
  <c r="J421"/>
  <c r="P421" s="1"/>
  <c r="J425"/>
  <c r="Q425" s="1"/>
  <c r="J429"/>
  <c r="Q429" s="1"/>
  <c r="J433"/>
  <c r="Q433" s="1"/>
  <c r="J437"/>
  <c r="P437" s="1"/>
  <c r="J441"/>
  <c r="Q441" s="1"/>
  <c r="J445"/>
  <c r="P445" s="1"/>
  <c r="J449"/>
  <c r="Q449" s="1"/>
  <c r="J453"/>
  <c r="O453" s="1"/>
  <c r="J457"/>
  <c r="Q457" s="1"/>
  <c r="J461"/>
  <c r="Q461" s="1"/>
  <c r="J465"/>
  <c r="Q465" s="1"/>
  <c r="J469"/>
  <c r="Q469" s="1"/>
  <c r="J473"/>
  <c r="Q473" s="1"/>
  <c r="J477"/>
  <c r="O477" s="1"/>
  <c r="J481"/>
  <c r="Q481" s="1"/>
  <c r="J485"/>
  <c r="Q485" s="1"/>
  <c r="J489"/>
  <c r="P489" s="1"/>
  <c r="J493"/>
  <c r="P493" s="1"/>
  <c r="J497"/>
  <c r="Q497" s="1"/>
  <c r="J501"/>
  <c r="O501" s="1"/>
  <c r="J505"/>
  <c r="P505" s="1"/>
  <c r="J509"/>
  <c r="O509" s="1"/>
  <c r="J513"/>
  <c r="Q513" s="1"/>
  <c r="J517"/>
  <c r="P517" s="1"/>
  <c r="J521"/>
  <c r="P521" s="1"/>
  <c r="J525"/>
  <c r="Q525" s="1"/>
  <c r="J529"/>
  <c r="Q529" s="1"/>
  <c r="J533"/>
  <c r="O533" s="1"/>
  <c r="J537"/>
  <c r="Q537" s="1"/>
  <c r="J541"/>
  <c r="P541" s="1"/>
  <c r="J545"/>
  <c r="Q545" s="1"/>
  <c r="J549"/>
  <c r="P549" s="1"/>
  <c r="J553"/>
  <c r="P553" s="1"/>
  <c r="J557"/>
  <c r="P557" s="1"/>
  <c r="J561"/>
  <c r="Q561" s="1"/>
  <c r="J565"/>
  <c r="O565" s="1"/>
  <c r="J569"/>
  <c r="P569" s="1"/>
  <c r="J573"/>
  <c r="O573" s="1"/>
  <c r="J577"/>
  <c r="Q577" s="1"/>
  <c r="J581"/>
  <c r="O581" s="1"/>
  <c r="J585"/>
  <c r="P585" s="1"/>
  <c r="J589"/>
  <c r="Q589" s="1"/>
  <c r="J593"/>
  <c r="Q593" s="1"/>
  <c r="J597"/>
  <c r="O597" s="1"/>
  <c r="J601"/>
  <c r="Q601" s="1"/>
  <c r="J605"/>
  <c r="P605" s="1"/>
  <c r="J609"/>
  <c r="Q609" s="1"/>
  <c r="J613"/>
  <c r="Q613" s="1"/>
  <c r="J617"/>
  <c r="P617" s="1"/>
  <c r="J621"/>
  <c r="P621" s="1"/>
  <c r="J625"/>
  <c r="Q625" s="1"/>
  <c r="J629"/>
  <c r="O629" s="1"/>
  <c r="J633"/>
  <c r="P633" s="1"/>
  <c r="J637"/>
  <c r="P637" s="1"/>
  <c r="J641"/>
  <c r="Q641" s="1"/>
  <c r="J645"/>
  <c r="O645" s="1"/>
  <c r="J649"/>
  <c r="P649" s="1"/>
  <c r="J653"/>
  <c r="Q653" s="1"/>
  <c r="J657"/>
  <c r="Q657" s="1"/>
  <c r="J661"/>
  <c r="Q661" s="1"/>
  <c r="J665"/>
  <c r="Q665" s="1"/>
  <c r="J669"/>
  <c r="P669" s="1"/>
  <c r="J673"/>
  <c r="Q673" s="1"/>
  <c r="J677"/>
  <c r="Q677" s="1"/>
  <c r="J681"/>
  <c r="P681" s="1"/>
  <c r="J685"/>
  <c r="P685" s="1"/>
  <c r="J689"/>
  <c r="Q689" s="1"/>
  <c r="J693"/>
  <c r="Q693" s="1"/>
  <c r="J697"/>
  <c r="P697" s="1"/>
  <c r="J701"/>
  <c r="O701" s="1"/>
  <c r="J705"/>
  <c r="Q705" s="1"/>
  <c r="J709"/>
  <c r="P709" s="1"/>
  <c r="J713"/>
  <c r="P713" s="1"/>
  <c r="J717"/>
  <c r="Q717" s="1"/>
  <c r="J721"/>
  <c r="Q721" s="1"/>
  <c r="J725"/>
  <c r="P725" s="1"/>
  <c r="J729"/>
  <c r="Q729" s="1"/>
  <c r="J733"/>
  <c r="P733" s="1"/>
  <c r="J737"/>
  <c r="Q737" s="1"/>
  <c r="J741"/>
  <c r="P741" s="1"/>
  <c r="J745"/>
  <c r="P745" s="1"/>
  <c r="J749"/>
  <c r="P749" s="1"/>
  <c r="J753"/>
  <c r="Q753" s="1"/>
  <c r="J757"/>
  <c r="P757" s="1"/>
  <c r="J761"/>
  <c r="P761" s="1"/>
  <c r="J765"/>
  <c r="O765" s="1"/>
  <c r="J769"/>
  <c r="Q769" s="1"/>
  <c r="J773"/>
  <c r="O773" s="1"/>
  <c r="J777"/>
  <c r="P777" s="1"/>
  <c r="J781"/>
  <c r="Q781" s="1"/>
  <c r="J785"/>
  <c r="Q785" s="1"/>
  <c r="J789"/>
  <c r="P789" s="1"/>
  <c r="J793"/>
  <c r="Q793" s="1"/>
  <c r="J556"/>
  <c r="Q556" s="1"/>
  <c r="J570"/>
  <c r="O570" s="1"/>
  <c r="J590"/>
  <c r="Q590" s="1"/>
  <c r="J612"/>
  <c r="P612" s="1"/>
  <c r="J636"/>
  <c r="P636" s="1"/>
  <c r="J658"/>
  <c r="P658" s="1"/>
  <c r="J682"/>
  <c r="O682" s="1"/>
  <c r="J702"/>
  <c r="O702" s="1"/>
  <c r="J724"/>
  <c r="P724" s="1"/>
  <c r="J748"/>
  <c r="O748" s="1"/>
  <c r="J772"/>
  <c r="P772" s="1"/>
  <c r="J796"/>
  <c r="O796" s="1"/>
  <c r="J818"/>
  <c r="O818" s="1"/>
  <c r="J842"/>
  <c r="P842" s="1"/>
  <c r="J862"/>
  <c r="Q862" s="1"/>
  <c r="J890"/>
  <c r="O890" s="1"/>
  <c r="J910"/>
  <c r="Q910" s="1"/>
  <c r="J938"/>
  <c r="O938" s="1"/>
  <c r="J978"/>
  <c r="P978" s="1"/>
  <c r="J1016"/>
  <c r="P1016" s="1"/>
  <c r="J1058"/>
  <c r="Q1058" s="1"/>
  <c r="J1102"/>
  <c r="Q1102" s="1"/>
  <c r="J1146"/>
  <c r="P1146" s="1"/>
  <c r="J1186"/>
  <c r="Q1186" s="1"/>
  <c r="J1232"/>
  <c r="P1232" s="1"/>
  <c r="J1268"/>
  <c r="O1268" s="1"/>
  <c r="J568"/>
  <c r="O568" s="1"/>
  <c r="J600"/>
  <c r="P600" s="1"/>
  <c r="J632"/>
  <c r="P632" s="1"/>
  <c r="J656"/>
  <c r="P656" s="1"/>
  <c r="J696"/>
  <c r="O696" s="1"/>
  <c r="J728"/>
  <c r="P728" s="1"/>
  <c r="J752"/>
  <c r="Q752" s="1"/>
  <c r="J776"/>
  <c r="O776" s="1"/>
  <c r="J800"/>
  <c r="Q800" s="1"/>
  <c r="J832"/>
  <c r="Q832" s="1"/>
  <c r="J856"/>
  <c r="P856" s="1"/>
  <c r="J888"/>
  <c r="P888" s="1"/>
  <c r="J920"/>
  <c r="P920" s="1"/>
  <c r="J976"/>
  <c r="O976" s="1"/>
  <c r="J1068"/>
  <c r="Q1068" s="1"/>
  <c r="J1196"/>
  <c r="O1196" s="1"/>
  <c r="J1018"/>
  <c r="P1018" s="1"/>
  <c r="J1060"/>
  <c r="P1060" s="1"/>
  <c r="J1108"/>
  <c r="Q1108" s="1"/>
  <c r="J1150"/>
  <c r="O1150" s="1"/>
  <c r="J1188"/>
  <c r="O1188" s="1"/>
  <c r="J1224"/>
  <c r="P1224" s="1"/>
  <c r="J1260"/>
  <c r="O1260" s="1"/>
  <c r="J1005"/>
  <c r="P1005" s="1"/>
  <c r="J1029"/>
  <c r="Q1029" s="1"/>
  <c r="J1049"/>
  <c r="Q1049" s="1"/>
  <c r="J1069"/>
  <c r="O1069" s="1"/>
  <c r="J1093"/>
  <c r="P1093" s="1"/>
  <c r="J1113"/>
  <c r="Q1113" s="1"/>
  <c r="J1133"/>
  <c r="O1133" s="1"/>
  <c r="J1157"/>
  <c r="P1157" s="1"/>
  <c r="J1177"/>
  <c r="P1177" s="1"/>
  <c r="J1197"/>
  <c r="Q1197" s="1"/>
  <c r="J1221"/>
  <c r="P1221" s="1"/>
  <c r="J1237"/>
  <c r="Q1237" s="1"/>
  <c r="J1253"/>
  <c r="O1253" s="1"/>
  <c r="J1269"/>
  <c r="Q1269" s="1"/>
  <c r="J934"/>
  <c r="P934" s="1"/>
  <c r="J962"/>
  <c r="P962" s="1"/>
  <c r="J1000"/>
  <c r="P1000" s="1"/>
  <c r="J1042"/>
  <c r="P1042" s="1"/>
  <c r="J1088"/>
  <c r="Q1088" s="1"/>
  <c r="J1124"/>
  <c r="O1124" s="1"/>
  <c r="J1172"/>
  <c r="Q1172" s="1"/>
  <c r="J1208"/>
  <c r="P1208" s="1"/>
  <c r="J1244"/>
  <c r="P1244" s="1"/>
  <c r="J1272"/>
  <c r="P1272" s="1"/>
  <c r="J797"/>
  <c r="P797" s="1"/>
  <c r="J801"/>
  <c r="Q801" s="1"/>
  <c r="J805"/>
  <c r="O805" s="1"/>
  <c r="J809"/>
  <c r="Q809" s="1"/>
  <c r="J813"/>
  <c r="O813" s="1"/>
  <c r="J817"/>
  <c r="Q817" s="1"/>
  <c r="J821"/>
  <c r="P821" s="1"/>
  <c r="J825"/>
  <c r="Q825" s="1"/>
  <c r="J829"/>
  <c r="P829" s="1"/>
  <c r="J833"/>
  <c r="Q833" s="1"/>
  <c r="J837"/>
  <c r="P837" s="1"/>
  <c r="J841"/>
  <c r="Q841" s="1"/>
  <c r="J845"/>
  <c r="O845" s="1"/>
  <c r="J849"/>
  <c r="Q849" s="1"/>
  <c r="J853"/>
  <c r="P853" s="1"/>
  <c r="J857"/>
  <c r="Q857" s="1"/>
  <c r="J861"/>
  <c r="P861" s="1"/>
  <c r="J865"/>
  <c r="Q865" s="1"/>
  <c r="J869"/>
  <c r="P869" s="1"/>
  <c r="J873"/>
  <c r="Q873" s="1"/>
  <c r="J877"/>
  <c r="P877" s="1"/>
  <c r="J881"/>
  <c r="Q881" s="1"/>
  <c r="J885"/>
  <c r="P885" s="1"/>
  <c r="J889"/>
  <c r="Q889" s="1"/>
  <c r="J893"/>
  <c r="P893" s="1"/>
  <c r="J897"/>
  <c r="Q897" s="1"/>
  <c r="J901"/>
  <c r="P901" s="1"/>
  <c r="J905"/>
  <c r="Q905" s="1"/>
  <c r="J909"/>
  <c r="P909" s="1"/>
  <c r="J913"/>
  <c r="Q913" s="1"/>
  <c r="J917"/>
  <c r="Q917" s="1"/>
  <c r="J921"/>
  <c r="Q921" s="1"/>
  <c r="J925"/>
  <c r="P925" s="1"/>
  <c r="J929"/>
  <c r="Q929" s="1"/>
  <c r="J933"/>
  <c r="Q933" s="1"/>
  <c r="J937"/>
  <c r="Q937" s="1"/>
  <c r="J941"/>
  <c r="P941" s="1"/>
  <c r="J945"/>
  <c r="Q945" s="1"/>
  <c r="J949"/>
  <c r="Q949" s="1"/>
  <c r="J953"/>
  <c r="Q953" s="1"/>
  <c r="J957"/>
  <c r="P957" s="1"/>
  <c r="J961"/>
  <c r="Q961" s="1"/>
  <c r="J965"/>
  <c r="O965" s="1"/>
  <c r="J969"/>
  <c r="Q969" s="1"/>
  <c r="J973"/>
  <c r="O973" s="1"/>
  <c r="J977"/>
  <c r="Q977" s="1"/>
  <c r="J981"/>
  <c r="O981" s="1"/>
  <c r="J985"/>
  <c r="Q985" s="1"/>
  <c r="J989"/>
  <c r="P989" s="1"/>
  <c r="J993"/>
  <c r="Q993" s="1"/>
  <c r="J999"/>
  <c r="P999" s="1"/>
  <c r="J1007"/>
  <c r="P1007" s="1"/>
  <c r="J1011"/>
  <c r="O1011" s="1"/>
  <c r="J1019"/>
  <c r="P1019" s="1"/>
  <c r="J1025"/>
  <c r="Q1025" s="1"/>
  <c r="J1031"/>
  <c r="Q1031" s="1"/>
  <c r="J1039"/>
  <c r="Q1039" s="1"/>
  <c r="J1043"/>
  <c r="Q1043" s="1"/>
  <c r="J1051"/>
  <c r="P1051" s="1"/>
  <c r="J1057"/>
  <c r="Q1057" s="1"/>
  <c r="J1063"/>
  <c r="Q1063" s="1"/>
  <c r="J1071"/>
  <c r="O1071" s="1"/>
  <c r="J1075"/>
  <c r="P1075" s="1"/>
  <c r="J1083"/>
  <c r="P1083" s="1"/>
  <c r="J1089"/>
  <c r="Q1089" s="1"/>
  <c r="J1095"/>
  <c r="O1095" s="1"/>
  <c r="J1103"/>
  <c r="Q1103" s="1"/>
  <c r="J1107"/>
  <c r="P1107" s="1"/>
  <c r="J1115"/>
  <c r="P1115" s="1"/>
  <c r="J1121"/>
  <c r="Q1121" s="1"/>
  <c r="J1127"/>
  <c r="Q1127" s="1"/>
  <c r="J1135"/>
  <c r="P1135" s="1"/>
  <c r="J1139"/>
  <c r="O1139" s="1"/>
  <c r="J1147"/>
  <c r="P1147" s="1"/>
  <c r="J1153"/>
  <c r="Q1153" s="1"/>
  <c r="J1159"/>
  <c r="O1159" s="1"/>
  <c r="J1167"/>
  <c r="O1167" s="1"/>
  <c r="J1171"/>
  <c r="P1171" s="1"/>
  <c r="J1179"/>
  <c r="P1179" s="1"/>
  <c r="J1185"/>
  <c r="P1185" s="1"/>
  <c r="J1191"/>
  <c r="P1191" s="1"/>
  <c r="J1199"/>
  <c r="P1199" s="1"/>
  <c r="J1203"/>
  <c r="O1203" s="1"/>
  <c r="J1211"/>
  <c r="P1211" s="1"/>
  <c r="J1217"/>
  <c r="O1217" s="1"/>
  <c r="J1223"/>
  <c r="O1223" s="1"/>
  <c r="J1231"/>
  <c r="O1231" s="1"/>
  <c r="J1239"/>
  <c r="P1239" s="1"/>
  <c r="J1247"/>
  <c r="O1247" s="1"/>
  <c r="J1255"/>
  <c r="Q1255" s="1"/>
  <c r="J1263"/>
  <c r="O1263" s="1"/>
  <c r="J1271"/>
  <c r="P1271" s="1"/>
  <c r="J998"/>
  <c r="O998" s="1"/>
  <c r="J1052"/>
  <c r="O1052" s="1"/>
  <c r="J1132"/>
  <c r="P1132" s="1"/>
  <c r="J1158"/>
  <c r="O1158" s="1"/>
  <c r="J564"/>
  <c r="P564" s="1"/>
  <c r="J588"/>
  <c r="Q588" s="1"/>
  <c r="J610"/>
  <c r="P610" s="1"/>
  <c r="J630"/>
  <c r="P630" s="1"/>
  <c r="J650"/>
  <c r="O650" s="1"/>
  <c r="J670"/>
  <c r="P670" s="1"/>
  <c r="J690"/>
  <c r="O690" s="1"/>
  <c r="J710"/>
  <c r="O710" s="1"/>
  <c r="J730"/>
  <c r="P730" s="1"/>
  <c r="J750"/>
  <c r="Q750" s="1"/>
  <c r="J770"/>
  <c r="Q770" s="1"/>
  <c r="J790"/>
  <c r="Q790" s="1"/>
  <c r="J810"/>
  <c r="P810" s="1"/>
  <c r="J830"/>
  <c r="P830" s="1"/>
  <c r="J850"/>
  <c r="P850" s="1"/>
  <c r="J870"/>
  <c r="Q870" s="1"/>
  <c r="J892"/>
  <c r="Q892" s="1"/>
  <c r="J914"/>
  <c r="O914" s="1"/>
  <c r="J940"/>
  <c r="P940" s="1"/>
  <c r="J974"/>
  <c r="Q974" s="1"/>
  <c r="J1012"/>
  <c r="P1012" s="1"/>
  <c r="J1054"/>
  <c r="P1054" s="1"/>
  <c r="J1090"/>
  <c r="Q1090" s="1"/>
  <c r="J1136"/>
  <c r="O1136" s="1"/>
  <c r="J1182"/>
  <c r="O1182" s="1"/>
  <c r="J1238"/>
  <c r="Q1238" s="1"/>
  <c r="J1270"/>
  <c r="O1270" s="1"/>
  <c r="J576"/>
  <c r="O576" s="1"/>
  <c r="J608"/>
  <c r="O608" s="1"/>
  <c r="J648"/>
  <c r="P648" s="1"/>
  <c r="J672"/>
  <c r="Q672" s="1"/>
  <c r="J704"/>
  <c r="P704" s="1"/>
  <c r="J744"/>
  <c r="P744" s="1"/>
  <c r="J784"/>
  <c r="P784" s="1"/>
  <c r="J824"/>
  <c r="P824" s="1"/>
  <c r="J864"/>
  <c r="Q864" s="1"/>
  <c r="J912"/>
  <c r="Q912" s="1"/>
  <c r="J936"/>
  <c r="P936" s="1"/>
  <c r="J992"/>
  <c r="O992" s="1"/>
  <c r="J1062"/>
  <c r="P1062" s="1"/>
  <c r="J1110"/>
  <c r="O1110" s="1"/>
  <c r="J1164"/>
  <c r="Q1164" s="1"/>
  <c r="J1190"/>
  <c r="P1190" s="1"/>
  <c r="J1228"/>
  <c r="O1228" s="1"/>
  <c r="P3"/>
  <c r="X3" s="1"/>
  <c r="J35"/>
  <c r="O35" s="1"/>
  <c r="J51"/>
  <c r="O51" s="1"/>
  <c r="J67"/>
  <c r="Q67" s="1"/>
  <c r="J83"/>
  <c r="P83" s="1"/>
  <c r="J99"/>
  <c r="O99" s="1"/>
  <c r="J115"/>
  <c r="O115" s="1"/>
  <c r="J131"/>
  <c r="P131" s="1"/>
  <c r="J203"/>
  <c r="Q203" s="1"/>
  <c r="P8"/>
  <c r="Y8" s="1"/>
  <c r="P4"/>
  <c r="Z4" s="1"/>
  <c r="J33"/>
  <c r="Q33" s="1"/>
  <c r="J41"/>
  <c r="O41" s="1"/>
  <c r="J49"/>
  <c r="Q49" s="1"/>
  <c r="J57"/>
  <c r="Q57" s="1"/>
  <c r="J65"/>
  <c r="Q65" s="1"/>
  <c r="J73"/>
  <c r="Q73" s="1"/>
  <c r="J81"/>
  <c r="Q81" s="1"/>
  <c r="J89"/>
  <c r="Q89" s="1"/>
  <c r="J97"/>
  <c r="Q97" s="1"/>
  <c r="J105"/>
  <c r="Q105" s="1"/>
  <c r="J113"/>
  <c r="Q113" s="1"/>
  <c r="J121"/>
  <c r="Q121" s="1"/>
  <c r="J129"/>
  <c r="Q129" s="1"/>
  <c r="J137"/>
  <c r="Q137" s="1"/>
  <c r="J145"/>
  <c r="Q145" s="1"/>
  <c r="J153"/>
  <c r="Q153" s="1"/>
  <c r="J161"/>
  <c r="Q161" s="1"/>
  <c r="J169"/>
  <c r="Q169" s="1"/>
  <c r="J177"/>
  <c r="Q177" s="1"/>
  <c r="J185"/>
  <c r="Q185" s="1"/>
  <c r="J193"/>
  <c r="Q193" s="1"/>
  <c r="J201"/>
  <c r="Q201" s="1"/>
  <c r="J211"/>
  <c r="O211" s="1"/>
  <c r="J219"/>
  <c r="Q219" s="1"/>
  <c r="J227"/>
  <c r="O227" s="1"/>
  <c r="J235"/>
  <c r="Q235" s="1"/>
  <c r="J243"/>
  <c r="O243" s="1"/>
  <c r="J36"/>
  <c r="P36" s="1"/>
  <c r="J44"/>
  <c r="P44" s="1"/>
  <c r="J52"/>
  <c r="O52" s="1"/>
  <c r="J60"/>
  <c r="P60" s="1"/>
  <c r="J68"/>
  <c r="O68" s="1"/>
  <c r="J76"/>
  <c r="Q76" s="1"/>
  <c r="J84"/>
  <c r="Q84" s="1"/>
  <c r="J92"/>
  <c r="P92" s="1"/>
  <c r="J100"/>
  <c r="Q100" s="1"/>
  <c r="J108"/>
  <c r="P108" s="1"/>
  <c r="J116"/>
  <c r="P116" s="1"/>
  <c r="J124"/>
  <c r="P124" s="1"/>
  <c r="J132"/>
  <c r="O132" s="1"/>
  <c r="J140"/>
  <c r="Q140" s="1"/>
  <c r="J148"/>
  <c r="O148" s="1"/>
  <c r="J156"/>
  <c r="P156" s="1"/>
  <c r="J164"/>
  <c r="P164" s="1"/>
  <c r="J172"/>
  <c r="P172" s="1"/>
  <c r="J180"/>
  <c r="P180" s="1"/>
  <c r="J188"/>
  <c r="Q188" s="1"/>
  <c r="J196"/>
  <c r="O196" s="1"/>
  <c r="J204"/>
  <c r="Q204" s="1"/>
  <c r="J212"/>
  <c r="P212" s="1"/>
  <c r="J220"/>
  <c r="Q220" s="1"/>
  <c r="J228"/>
  <c r="P228" s="1"/>
  <c r="J236"/>
  <c r="P236" s="1"/>
  <c r="J244"/>
  <c r="P244" s="1"/>
  <c r="J252"/>
  <c r="O252" s="1"/>
  <c r="J260"/>
  <c r="O260" s="1"/>
  <c r="J268"/>
  <c r="Q268" s="1"/>
  <c r="J276"/>
  <c r="P276" s="1"/>
  <c r="J284"/>
  <c r="O284" s="1"/>
  <c r="J292"/>
  <c r="P292" s="1"/>
  <c r="J300"/>
  <c r="Q300" s="1"/>
  <c r="J308"/>
  <c r="P308" s="1"/>
  <c r="J316"/>
  <c r="P316" s="1"/>
  <c r="J324"/>
  <c r="P324" s="1"/>
  <c r="J332"/>
  <c r="P332" s="1"/>
  <c r="J340"/>
  <c r="Q340" s="1"/>
  <c r="J348"/>
  <c r="Q348" s="1"/>
  <c r="J356"/>
  <c r="O356" s="1"/>
  <c r="J364"/>
  <c r="Q364" s="1"/>
  <c r="J372"/>
  <c r="P372" s="1"/>
  <c r="J380"/>
  <c r="Q380" s="1"/>
  <c r="J388"/>
  <c r="Q388" s="1"/>
  <c r="J396"/>
  <c r="P396" s="1"/>
  <c r="J404"/>
  <c r="P404" s="1"/>
  <c r="J412"/>
  <c r="O412" s="1"/>
  <c r="J420"/>
  <c r="Q420" s="1"/>
  <c r="J428"/>
  <c r="Q428" s="1"/>
  <c r="J436"/>
  <c r="O436" s="1"/>
  <c r="J444"/>
  <c r="O444" s="1"/>
  <c r="J452"/>
  <c r="P452" s="1"/>
  <c r="J460"/>
  <c r="P460" s="1"/>
  <c r="J468"/>
  <c r="Q468" s="1"/>
  <c r="J476"/>
  <c r="P476" s="1"/>
  <c r="J484"/>
  <c r="P484" s="1"/>
  <c r="J492"/>
  <c r="O492" s="1"/>
  <c r="J500"/>
  <c r="Q500" s="1"/>
  <c r="J508"/>
  <c r="O508" s="1"/>
  <c r="J516"/>
  <c r="P516" s="1"/>
  <c r="J524"/>
  <c r="O524" s="1"/>
  <c r="J532"/>
  <c r="P532" s="1"/>
  <c r="J540"/>
  <c r="P540" s="1"/>
  <c r="J255"/>
  <c r="P255" s="1"/>
  <c r="J263"/>
  <c r="Q263" s="1"/>
  <c r="J271"/>
  <c r="P271" s="1"/>
  <c r="J279"/>
  <c r="O279" s="1"/>
  <c r="J554"/>
  <c r="Q554" s="1"/>
  <c r="J566"/>
  <c r="Q566" s="1"/>
  <c r="J586"/>
  <c r="O586" s="1"/>
  <c r="J606"/>
  <c r="P606" s="1"/>
  <c r="J628"/>
  <c r="P628" s="1"/>
  <c r="J652"/>
  <c r="O652" s="1"/>
  <c r="J674"/>
  <c r="O674" s="1"/>
  <c r="J698"/>
  <c r="Q698" s="1"/>
  <c r="J718"/>
  <c r="O718" s="1"/>
  <c r="J742"/>
  <c r="Q742" s="1"/>
  <c r="J764"/>
  <c r="O764" s="1"/>
  <c r="J788"/>
  <c r="Q788" s="1"/>
  <c r="J812"/>
  <c r="P812" s="1"/>
  <c r="J836"/>
  <c r="Q836" s="1"/>
  <c r="J858"/>
  <c r="P858" s="1"/>
  <c r="J884"/>
  <c r="P884" s="1"/>
  <c r="J906"/>
  <c r="P906" s="1"/>
  <c r="J932"/>
  <c r="O932" s="1"/>
  <c r="J966"/>
  <c r="Q966" s="1"/>
  <c r="J1008"/>
  <c r="Q1008" s="1"/>
  <c r="J1048"/>
  <c r="P1048" s="1"/>
  <c r="J1092"/>
  <c r="O1092" s="1"/>
  <c r="J1134"/>
  <c r="Q1134" s="1"/>
  <c r="J1176"/>
  <c r="P1176" s="1"/>
  <c r="J1220"/>
  <c r="O1220" s="1"/>
  <c r="J1256"/>
  <c r="P1256" s="1"/>
  <c r="J1006"/>
  <c r="P1006" s="1"/>
  <c r="J1050"/>
  <c r="P1050" s="1"/>
  <c r="J1098"/>
  <c r="O1098" s="1"/>
  <c r="J1140"/>
  <c r="O1140" s="1"/>
  <c r="J1178"/>
  <c r="O1178" s="1"/>
  <c r="J1216"/>
  <c r="P1216" s="1"/>
  <c r="J1250"/>
  <c r="P1250" s="1"/>
  <c r="J880"/>
  <c r="Q880" s="1"/>
  <c r="J968"/>
  <c r="P968" s="1"/>
  <c r="J1014"/>
  <c r="P1014" s="1"/>
  <c r="J1078"/>
  <c r="O1078" s="1"/>
  <c r="J1126"/>
  <c r="Q1126" s="1"/>
  <c r="J1001"/>
  <c r="Q1001" s="1"/>
  <c r="J1021"/>
  <c r="P1021" s="1"/>
  <c r="J1045"/>
  <c r="P1045" s="1"/>
  <c r="J1065"/>
  <c r="Q1065" s="1"/>
  <c r="J1085"/>
  <c r="P1085" s="1"/>
  <c r="J1109"/>
  <c r="P1109" s="1"/>
  <c r="J1129"/>
  <c r="Q1129" s="1"/>
  <c r="J1149"/>
  <c r="P1149" s="1"/>
  <c r="J1173"/>
  <c r="O1173" s="1"/>
  <c r="J1193"/>
  <c r="P1193" s="1"/>
  <c r="J1213"/>
  <c r="P1213" s="1"/>
  <c r="J1233"/>
  <c r="Q1233" s="1"/>
  <c r="J1249"/>
  <c r="O1249" s="1"/>
  <c r="J1265"/>
  <c r="P1265" s="1"/>
  <c r="J926"/>
  <c r="O926" s="1"/>
  <c r="J954"/>
  <c r="P954" s="1"/>
  <c r="J990"/>
  <c r="O990" s="1"/>
  <c r="J1032"/>
  <c r="P1032" s="1"/>
  <c r="J1074"/>
  <c r="O1074" s="1"/>
  <c r="J1114"/>
  <c r="O1114" s="1"/>
  <c r="J1162"/>
  <c r="Q1162" s="1"/>
  <c r="J1202"/>
  <c r="O1202" s="1"/>
  <c r="J1236"/>
  <c r="Q1236" s="1"/>
  <c r="J1264"/>
  <c r="Q1264" s="1"/>
  <c r="J582"/>
  <c r="O582" s="1"/>
  <c r="J604"/>
  <c r="O604" s="1"/>
  <c r="J626"/>
  <c r="O626" s="1"/>
  <c r="J644"/>
  <c r="O644" s="1"/>
  <c r="J666"/>
  <c r="Q666" s="1"/>
  <c r="J684"/>
  <c r="Q684" s="1"/>
  <c r="J706"/>
  <c r="Q706" s="1"/>
  <c r="J726"/>
  <c r="O726" s="1"/>
  <c r="J746"/>
  <c r="O746" s="1"/>
  <c r="J766"/>
  <c r="O766" s="1"/>
  <c r="J786"/>
  <c r="P786" s="1"/>
  <c r="J804"/>
  <c r="P804" s="1"/>
  <c r="J826"/>
  <c r="P826" s="1"/>
  <c r="J844"/>
  <c r="Q844" s="1"/>
  <c r="J866"/>
  <c r="O866" s="1"/>
  <c r="J886"/>
  <c r="P886" s="1"/>
  <c r="J908"/>
  <c r="P908" s="1"/>
  <c r="J930"/>
  <c r="P930" s="1"/>
  <c r="J964"/>
  <c r="O964" s="1"/>
  <c r="J1002"/>
  <c r="O1002" s="1"/>
  <c r="J1044"/>
  <c r="O1044" s="1"/>
  <c r="J1082"/>
  <c r="Q1082" s="1"/>
  <c r="J1128"/>
  <c r="P1128" s="1"/>
  <c r="J1168"/>
  <c r="O1168" s="1"/>
  <c r="J1230"/>
  <c r="Q1230" s="1"/>
  <c r="J1262"/>
  <c r="P1262" s="1"/>
  <c r="J39"/>
  <c r="O39" s="1"/>
  <c r="J55"/>
  <c r="Q55" s="1"/>
  <c r="J71"/>
  <c r="Q71" s="1"/>
  <c r="J87"/>
  <c r="P87" s="1"/>
  <c r="J103"/>
  <c r="O103" s="1"/>
  <c r="J119"/>
  <c r="P119" s="1"/>
  <c r="J135"/>
  <c r="O135" s="1"/>
  <c r="J151"/>
  <c r="O151" s="1"/>
  <c r="J167"/>
  <c r="Q167" s="1"/>
  <c r="J183"/>
  <c r="O183" s="1"/>
  <c r="J199"/>
  <c r="Q199" s="1"/>
  <c r="J217"/>
  <c r="Q217" s="1"/>
  <c r="J233"/>
  <c r="Q233" s="1"/>
  <c r="J249"/>
  <c r="Q249" s="1"/>
  <c r="J50"/>
  <c r="Q50" s="1"/>
  <c r="J66"/>
  <c r="O66" s="1"/>
  <c r="J82"/>
  <c r="P82" s="1"/>
  <c r="J98"/>
  <c r="O98" s="1"/>
  <c r="J114"/>
  <c r="Q114" s="1"/>
  <c r="J130"/>
  <c r="P130" s="1"/>
  <c r="J138"/>
  <c r="P138" s="1"/>
  <c r="J146"/>
  <c r="O146" s="1"/>
  <c r="J154"/>
  <c r="O154" s="1"/>
  <c r="J162"/>
  <c r="P162" s="1"/>
  <c r="J170"/>
  <c r="P170" s="1"/>
  <c r="J178"/>
  <c r="O178" s="1"/>
  <c r="J186"/>
  <c r="O186" s="1"/>
  <c r="J194"/>
  <c r="P194" s="1"/>
  <c r="J202"/>
  <c r="O202" s="1"/>
  <c r="J210"/>
  <c r="P210" s="1"/>
  <c r="J226"/>
  <c r="P226" s="1"/>
  <c r="J234"/>
  <c r="Q234" s="1"/>
  <c r="J242"/>
  <c r="O242" s="1"/>
  <c r="J250"/>
  <c r="O250" s="1"/>
  <c r="J258"/>
  <c r="P258" s="1"/>
  <c r="J266"/>
  <c r="Q266" s="1"/>
  <c r="J274"/>
  <c r="O274" s="1"/>
  <c r="J282"/>
  <c r="O282" s="1"/>
  <c r="J290"/>
  <c r="P290" s="1"/>
  <c r="J298"/>
  <c r="Q298" s="1"/>
  <c r="J306"/>
  <c r="O306" s="1"/>
  <c r="J314"/>
  <c r="O314" s="1"/>
  <c r="J322"/>
  <c r="P322" s="1"/>
  <c r="J330"/>
  <c r="Q330" s="1"/>
  <c r="J338"/>
  <c r="O338" s="1"/>
  <c r="J346"/>
  <c r="O346" s="1"/>
  <c r="J354"/>
  <c r="P354" s="1"/>
  <c r="J362"/>
  <c r="Q362" s="1"/>
  <c r="J370"/>
  <c r="O370" s="1"/>
  <c r="J378"/>
  <c r="O378" s="1"/>
  <c r="J386"/>
  <c r="O386" s="1"/>
  <c r="J394"/>
  <c r="Q394" s="1"/>
  <c r="J402"/>
  <c r="P402" s="1"/>
  <c r="J410"/>
  <c r="O410" s="1"/>
  <c r="J418"/>
  <c r="O418" s="1"/>
  <c r="J426"/>
  <c r="Q426" s="1"/>
  <c r="J434"/>
  <c r="P434" s="1"/>
  <c r="J442"/>
  <c r="O442" s="1"/>
  <c r="J450"/>
  <c r="O450" s="1"/>
  <c r="J458"/>
  <c r="Q458" s="1"/>
  <c r="J466"/>
  <c r="P466" s="1"/>
  <c r="J474"/>
  <c r="O474" s="1"/>
  <c r="J482"/>
  <c r="P482" s="1"/>
  <c r="J490"/>
  <c r="Q490" s="1"/>
  <c r="J498"/>
  <c r="O498" s="1"/>
  <c r="J506"/>
  <c r="P506" s="1"/>
  <c r="J514"/>
  <c r="P514" s="1"/>
  <c r="J522"/>
  <c r="O522" s="1"/>
  <c r="J530"/>
  <c r="O530" s="1"/>
  <c r="J538"/>
  <c r="P538" s="1"/>
  <c r="J546"/>
  <c r="P546" s="1"/>
  <c r="J253"/>
  <c r="Q253" s="1"/>
  <c r="J261"/>
  <c r="P261" s="1"/>
  <c r="J269"/>
  <c r="Q269" s="1"/>
  <c r="J277"/>
  <c r="O277" s="1"/>
  <c r="J283"/>
  <c r="Q283" s="1"/>
  <c r="J287"/>
  <c r="P287" s="1"/>
  <c r="J291"/>
  <c r="O291" s="1"/>
  <c r="J295"/>
  <c r="Q295" s="1"/>
  <c r="J299"/>
  <c r="Q299" s="1"/>
  <c r="J303"/>
  <c r="P303" s="1"/>
  <c r="J307"/>
  <c r="O307" s="1"/>
  <c r="J311"/>
  <c r="Q311" s="1"/>
  <c r="J315"/>
  <c r="Q315" s="1"/>
  <c r="J319"/>
  <c r="O319" s="1"/>
  <c r="J323"/>
  <c r="Q323" s="1"/>
  <c r="J327"/>
  <c r="P327" s="1"/>
  <c r="J331"/>
  <c r="Q331" s="1"/>
  <c r="J335"/>
  <c r="P335" s="1"/>
  <c r="J339"/>
  <c r="O339" s="1"/>
  <c r="J343"/>
  <c r="O343" s="1"/>
  <c r="J347"/>
  <c r="Q347" s="1"/>
  <c r="J351"/>
  <c r="P351" s="1"/>
  <c r="J355"/>
  <c r="O355" s="1"/>
  <c r="J359"/>
  <c r="O359" s="1"/>
  <c r="J363"/>
  <c r="Q363" s="1"/>
  <c r="J367"/>
  <c r="O367" s="1"/>
  <c r="J371"/>
  <c r="O371" s="1"/>
  <c r="J375"/>
  <c r="O375" s="1"/>
  <c r="J379"/>
  <c r="Q379" s="1"/>
  <c r="J383"/>
  <c r="P383" s="1"/>
  <c r="J387"/>
  <c r="P387" s="1"/>
  <c r="J391"/>
  <c r="Q391" s="1"/>
  <c r="J395"/>
  <c r="Q395" s="1"/>
  <c r="J399"/>
  <c r="P399" s="1"/>
  <c r="J403"/>
  <c r="O403" s="1"/>
  <c r="J407"/>
  <c r="O407" s="1"/>
  <c r="J411"/>
  <c r="Q411" s="1"/>
  <c r="J415"/>
  <c r="P415" s="1"/>
  <c r="J419"/>
  <c r="O419" s="1"/>
  <c r="J423"/>
  <c r="O423" s="1"/>
  <c r="J427"/>
  <c r="Q427" s="1"/>
  <c r="J431"/>
  <c r="Q431" s="1"/>
  <c r="J435"/>
  <c r="O435" s="1"/>
  <c r="J439"/>
  <c r="O439" s="1"/>
  <c r="J443"/>
  <c r="Q443" s="1"/>
  <c r="J447"/>
  <c r="O447" s="1"/>
  <c r="J451"/>
  <c r="O451" s="1"/>
  <c r="J455"/>
  <c r="O455" s="1"/>
  <c r="J459"/>
  <c r="Q459" s="1"/>
  <c r="J463"/>
  <c r="P463" s="1"/>
  <c r="J467"/>
  <c r="O467" s="1"/>
  <c r="J471"/>
  <c r="Q471" s="1"/>
  <c r="J475"/>
  <c r="Q475" s="1"/>
  <c r="J479"/>
  <c r="O479" s="1"/>
  <c r="J483"/>
  <c r="P483" s="1"/>
  <c r="J487"/>
  <c r="P487" s="1"/>
  <c r="J491"/>
  <c r="Q491" s="1"/>
  <c r="J495"/>
  <c r="O495" s="1"/>
  <c r="J499"/>
  <c r="O499" s="1"/>
  <c r="J503"/>
  <c r="O503" s="1"/>
  <c r="J507"/>
  <c r="Q507" s="1"/>
  <c r="J511"/>
  <c r="O511" s="1"/>
  <c r="J515"/>
  <c r="O515" s="1"/>
  <c r="J519"/>
  <c r="O519" s="1"/>
  <c r="J523"/>
  <c r="P523" s="1"/>
  <c r="J527"/>
  <c r="O527" s="1"/>
  <c r="J531"/>
  <c r="Q531" s="1"/>
  <c r="J535"/>
  <c r="Q535" s="1"/>
  <c r="J539"/>
  <c r="P539" s="1"/>
  <c r="J543"/>
  <c r="P543" s="1"/>
  <c r="J547"/>
  <c r="P547" s="1"/>
  <c r="J551"/>
  <c r="O551" s="1"/>
  <c r="J555"/>
  <c r="O555" s="1"/>
  <c r="J559"/>
  <c r="O559" s="1"/>
  <c r="J563"/>
  <c r="Q563" s="1"/>
  <c r="J567"/>
  <c r="Q567" s="1"/>
  <c r="J571"/>
  <c r="O571" s="1"/>
  <c r="J575"/>
  <c r="P575" s="1"/>
  <c r="J579"/>
  <c r="O579" s="1"/>
  <c r="J583"/>
  <c r="O583" s="1"/>
  <c r="J587"/>
  <c r="Q587" s="1"/>
  <c r="J591"/>
  <c r="P591" s="1"/>
  <c r="J595"/>
  <c r="P595" s="1"/>
  <c r="J599"/>
  <c r="Q599" s="1"/>
  <c r="J603"/>
  <c r="O603" s="1"/>
  <c r="J607"/>
  <c r="Q607" s="1"/>
  <c r="J611"/>
  <c r="O611" s="1"/>
  <c r="J615"/>
  <c r="P615" s="1"/>
  <c r="J619"/>
  <c r="P619" s="1"/>
  <c r="J623"/>
  <c r="P623" s="1"/>
  <c r="J627"/>
  <c r="P627" s="1"/>
  <c r="J631"/>
  <c r="Q631" s="1"/>
  <c r="J635"/>
  <c r="P635" s="1"/>
  <c r="J639"/>
  <c r="O639" s="1"/>
  <c r="J643"/>
  <c r="Q643" s="1"/>
  <c r="J647"/>
  <c r="P647" s="1"/>
  <c r="J651"/>
  <c r="O651" s="1"/>
  <c r="J655"/>
  <c r="O655" s="1"/>
  <c r="J659"/>
  <c r="P659" s="1"/>
  <c r="J663"/>
  <c r="P663" s="1"/>
  <c r="J667"/>
  <c r="P667" s="1"/>
  <c r="J671"/>
  <c r="P671" s="1"/>
  <c r="J675"/>
  <c r="O675" s="1"/>
  <c r="J679"/>
  <c r="O679" s="1"/>
  <c r="J683"/>
  <c r="Q683" s="1"/>
  <c r="J687"/>
  <c r="P687" s="1"/>
  <c r="J691"/>
  <c r="O691" s="1"/>
  <c r="J695"/>
  <c r="P695" s="1"/>
  <c r="J699"/>
  <c r="O699" s="1"/>
  <c r="J703"/>
  <c r="P703" s="1"/>
  <c r="J707"/>
  <c r="P707" s="1"/>
  <c r="J711"/>
  <c r="O711" s="1"/>
  <c r="J715"/>
  <c r="P715" s="1"/>
  <c r="J719"/>
  <c r="P719" s="1"/>
  <c r="J723"/>
  <c r="Q723" s="1"/>
  <c r="J727"/>
  <c r="P727" s="1"/>
  <c r="J731"/>
  <c r="Q731" s="1"/>
  <c r="J735"/>
  <c r="Q735" s="1"/>
  <c r="J739"/>
  <c r="P739" s="1"/>
  <c r="J743"/>
  <c r="O743" s="1"/>
  <c r="J747"/>
  <c r="P747" s="1"/>
  <c r="J751"/>
  <c r="O751" s="1"/>
  <c r="J755"/>
  <c r="Q755" s="1"/>
  <c r="J759"/>
  <c r="O759" s="1"/>
  <c r="J763"/>
  <c r="P763" s="1"/>
  <c r="J767"/>
  <c r="O767" s="1"/>
  <c r="J771"/>
  <c r="O771" s="1"/>
  <c r="J775"/>
  <c r="P775" s="1"/>
  <c r="J779"/>
  <c r="O779" s="1"/>
  <c r="J783"/>
  <c r="Q783" s="1"/>
  <c r="J787"/>
  <c r="O787" s="1"/>
  <c r="J791"/>
  <c r="O791" s="1"/>
  <c r="J550"/>
  <c r="P550" s="1"/>
  <c r="J562"/>
  <c r="Q562" s="1"/>
  <c r="J580"/>
  <c r="O580" s="1"/>
  <c r="J602"/>
  <c r="O602" s="1"/>
  <c r="J622"/>
  <c r="O622" s="1"/>
  <c r="J646"/>
  <c r="O646" s="1"/>
  <c r="J668"/>
  <c r="O668" s="1"/>
  <c r="J692"/>
  <c r="Q692" s="1"/>
  <c r="J714"/>
  <c r="O714" s="1"/>
  <c r="J738"/>
  <c r="Q738" s="1"/>
  <c r="J758"/>
  <c r="P758" s="1"/>
  <c r="J782"/>
  <c r="Q782" s="1"/>
  <c r="J806"/>
  <c r="P806" s="1"/>
  <c r="J828"/>
  <c r="Q828" s="1"/>
  <c r="J852"/>
  <c r="P852" s="1"/>
  <c r="J876"/>
  <c r="P876" s="1"/>
  <c r="J900"/>
  <c r="O900" s="1"/>
  <c r="J924"/>
  <c r="P924" s="1"/>
  <c r="J956"/>
  <c r="P956" s="1"/>
  <c r="J996"/>
  <c r="O996" s="1"/>
  <c r="J1038"/>
  <c r="Q1038" s="1"/>
  <c r="J1080"/>
  <c r="P1080" s="1"/>
  <c r="J1122"/>
  <c r="P1122" s="1"/>
  <c r="J1166"/>
  <c r="P1166" s="1"/>
  <c r="J1210"/>
  <c r="Q1210" s="1"/>
  <c r="J1248"/>
  <c r="O1248" s="1"/>
  <c r="J560"/>
  <c r="O560" s="1"/>
  <c r="J584"/>
  <c r="O584" s="1"/>
  <c r="J616"/>
  <c r="P616" s="1"/>
  <c r="J640"/>
  <c r="Q640" s="1"/>
  <c r="J680"/>
  <c r="P680" s="1"/>
  <c r="J712"/>
  <c r="P712" s="1"/>
  <c r="J736"/>
  <c r="P736" s="1"/>
  <c r="J768"/>
  <c r="P768" s="1"/>
  <c r="J792"/>
  <c r="P792" s="1"/>
  <c r="J816"/>
  <c r="O816" s="1"/>
  <c r="J840"/>
  <c r="P840" s="1"/>
  <c r="J872"/>
  <c r="P872" s="1"/>
  <c r="J904"/>
  <c r="P904" s="1"/>
  <c r="J944"/>
  <c r="O944" s="1"/>
  <c r="J1046"/>
  <c r="P1046" s="1"/>
  <c r="J1142"/>
  <c r="P1142" s="1"/>
  <c r="J1206"/>
  <c r="O1206" s="1"/>
  <c r="J988"/>
  <c r="P988" s="1"/>
  <c r="J1040"/>
  <c r="O1040" s="1"/>
  <c r="J1086"/>
  <c r="P1086" s="1"/>
  <c r="J1130"/>
  <c r="Q1130" s="1"/>
  <c r="J1170"/>
  <c r="P1170" s="1"/>
  <c r="J1204"/>
  <c r="P1204" s="1"/>
  <c r="J1242"/>
  <c r="P1242" s="1"/>
  <c r="J997"/>
  <c r="O997" s="1"/>
  <c r="J1017"/>
  <c r="Q1017" s="1"/>
  <c r="J1037"/>
  <c r="O1037" s="1"/>
  <c r="J1061"/>
  <c r="O1061" s="1"/>
  <c r="J1081"/>
  <c r="Q1081" s="1"/>
  <c r="J1101"/>
  <c r="O1101" s="1"/>
  <c r="J1125"/>
  <c r="P1125" s="1"/>
  <c r="J1145"/>
  <c r="Q1145" s="1"/>
  <c r="J1165"/>
  <c r="O1165" s="1"/>
  <c r="J1189"/>
  <c r="P1189" s="1"/>
  <c r="J1209"/>
  <c r="O1209" s="1"/>
  <c r="J1229"/>
  <c r="Q1229" s="1"/>
  <c r="J1245"/>
  <c r="O1245" s="1"/>
  <c r="J1261"/>
  <c r="P1261" s="1"/>
  <c r="J878"/>
  <c r="Q878" s="1"/>
  <c r="J950"/>
  <c r="O950" s="1"/>
  <c r="J980"/>
  <c r="P980" s="1"/>
  <c r="J1024"/>
  <c r="O1024" s="1"/>
  <c r="J1064"/>
  <c r="P1064" s="1"/>
  <c r="J1106"/>
  <c r="P1106" s="1"/>
  <c r="J1152"/>
  <c r="O1152" s="1"/>
  <c r="J1192"/>
  <c r="P1192" s="1"/>
  <c r="J1226"/>
  <c r="O1226" s="1"/>
  <c r="J1258"/>
  <c r="P1258" s="1"/>
  <c r="J795"/>
  <c r="O795" s="1"/>
  <c r="J799"/>
  <c r="P799" s="1"/>
  <c r="J803"/>
  <c r="O803" s="1"/>
  <c r="J807"/>
  <c r="O807" s="1"/>
  <c r="J811"/>
  <c r="P811" s="1"/>
  <c r="J815"/>
  <c r="Q815" s="1"/>
  <c r="J819"/>
  <c r="O819" s="1"/>
  <c r="J823"/>
  <c r="O823" s="1"/>
  <c r="J827"/>
  <c r="P827" s="1"/>
  <c r="J831"/>
  <c r="O831" s="1"/>
  <c r="J835"/>
  <c r="P835" s="1"/>
  <c r="J839"/>
  <c r="Q839" s="1"/>
  <c r="J843"/>
  <c r="O843" s="1"/>
  <c r="J847"/>
  <c r="Q847" s="1"/>
  <c r="J851"/>
  <c r="P851" s="1"/>
  <c r="J855"/>
  <c r="P855" s="1"/>
  <c r="J859"/>
  <c r="O859" s="1"/>
  <c r="J863"/>
  <c r="O863" s="1"/>
  <c r="J867"/>
  <c r="P867" s="1"/>
  <c r="J871"/>
  <c r="O871" s="1"/>
  <c r="J875"/>
  <c r="P875" s="1"/>
  <c r="J879"/>
  <c r="Q879" s="1"/>
  <c r="J883"/>
  <c r="P883" s="1"/>
  <c r="J887"/>
  <c r="O887" s="1"/>
  <c r="J891"/>
  <c r="P891" s="1"/>
  <c r="J895"/>
  <c r="P895" s="1"/>
  <c r="J899"/>
  <c r="Q899" s="1"/>
  <c r="J903"/>
  <c r="Q903" s="1"/>
  <c r="J907"/>
  <c r="O907" s="1"/>
  <c r="J911"/>
  <c r="Q911" s="1"/>
  <c r="J915"/>
  <c r="P915" s="1"/>
  <c r="J919"/>
  <c r="P919" s="1"/>
  <c r="J923"/>
  <c r="O923" s="1"/>
  <c r="J927"/>
  <c r="P927" s="1"/>
  <c r="J931"/>
  <c r="P931" s="1"/>
  <c r="J935"/>
  <c r="Q935" s="1"/>
  <c r="J939"/>
  <c r="P939" s="1"/>
  <c r="J943"/>
  <c r="O943" s="1"/>
  <c r="J947"/>
  <c r="P947" s="1"/>
  <c r="J951"/>
  <c r="P951" s="1"/>
  <c r="J955"/>
  <c r="P955" s="1"/>
  <c r="J959"/>
  <c r="O959" s="1"/>
  <c r="J963"/>
  <c r="O963" s="1"/>
  <c r="J967"/>
  <c r="O967" s="1"/>
  <c r="J971"/>
  <c r="Q971" s="1"/>
  <c r="J975"/>
  <c r="Q975" s="1"/>
  <c r="J979"/>
  <c r="P979" s="1"/>
  <c r="J983"/>
  <c r="O983" s="1"/>
  <c r="J987"/>
  <c r="P987" s="1"/>
  <c r="J991"/>
  <c r="O991" s="1"/>
  <c r="J995"/>
  <c r="P995" s="1"/>
  <c r="J1003"/>
  <c r="P1003" s="1"/>
  <c r="J1009"/>
  <c r="Q1009" s="1"/>
  <c r="J1015"/>
  <c r="Q1015" s="1"/>
  <c r="J1023"/>
  <c r="O1023" s="1"/>
  <c r="J1027"/>
  <c r="P1027" s="1"/>
  <c r="J1035"/>
  <c r="Q1035" s="1"/>
  <c r="J1041"/>
  <c r="Q1041" s="1"/>
  <c r="J1047"/>
  <c r="Q1047" s="1"/>
  <c r="J1055"/>
  <c r="P1055" s="1"/>
  <c r="J1059"/>
  <c r="O1059" s="1"/>
  <c r="J1067"/>
  <c r="P1067" s="1"/>
  <c r="J1073"/>
  <c r="Q1073" s="1"/>
  <c r="J1079"/>
  <c r="P1079" s="1"/>
  <c r="J1087"/>
  <c r="O1087" s="1"/>
  <c r="J1091"/>
  <c r="P1091" s="1"/>
  <c r="J1099"/>
  <c r="O1099" s="1"/>
  <c r="J1105"/>
  <c r="Q1105" s="1"/>
  <c r="J1111"/>
  <c r="P1111" s="1"/>
  <c r="J1119"/>
  <c r="O1119" s="1"/>
  <c r="J1123"/>
  <c r="Q1123" s="1"/>
  <c r="J1131"/>
  <c r="P1131" s="1"/>
  <c r="J1137"/>
  <c r="Q1137" s="1"/>
  <c r="J1143"/>
  <c r="P1143" s="1"/>
  <c r="J1151"/>
  <c r="P1151" s="1"/>
  <c r="J1155"/>
  <c r="P1155" s="1"/>
  <c r="J1163"/>
  <c r="P1163" s="1"/>
  <c r="J1169"/>
  <c r="Q1169" s="1"/>
  <c r="J1175"/>
  <c r="P1175" s="1"/>
  <c r="J1183"/>
  <c r="P1183" s="1"/>
  <c r="J1187"/>
  <c r="O1187" s="1"/>
  <c r="J1195"/>
  <c r="P1195" s="1"/>
  <c r="J1201"/>
  <c r="P1201" s="1"/>
  <c r="J1207"/>
  <c r="O1207" s="1"/>
  <c r="J1215"/>
  <c r="Q1215" s="1"/>
  <c r="J1219"/>
  <c r="Q1219" s="1"/>
  <c r="J1227"/>
  <c r="P1227" s="1"/>
  <c r="J1235"/>
  <c r="O1235" s="1"/>
  <c r="J1243"/>
  <c r="P1243" s="1"/>
  <c r="J1251"/>
  <c r="Q1251" s="1"/>
  <c r="J1259"/>
  <c r="P1259" s="1"/>
  <c r="J1267"/>
  <c r="Q1267" s="1"/>
  <c r="J984"/>
  <c r="P984" s="1"/>
  <c r="J1020"/>
  <c r="P1020" s="1"/>
  <c r="J1084"/>
  <c r="P1084" s="1"/>
  <c r="J1148"/>
  <c r="P1148" s="1"/>
  <c r="J1180"/>
  <c r="Q1180" s="1"/>
  <c r="J578"/>
  <c r="P578" s="1"/>
  <c r="J598"/>
  <c r="O598" s="1"/>
  <c r="J620"/>
  <c r="O620" s="1"/>
  <c r="J638"/>
  <c r="Q638" s="1"/>
  <c r="J660"/>
  <c r="Q660" s="1"/>
  <c r="J678"/>
  <c r="Q678" s="1"/>
  <c r="J700"/>
  <c r="P700" s="1"/>
  <c r="J722"/>
  <c r="P722" s="1"/>
  <c r="J740"/>
  <c r="P740" s="1"/>
  <c r="J762"/>
  <c r="O762" s="1"/>
  <c r="J780"/>
  <c r="O780" s="1"/>
  <c r="J798"/>
  <c r="P798" s="1"/>
  <c r="J820"/>
  <c r="P820" s="1"/>
  <c r="J838"/>
  <c r="P838" s="1"/>
  <c r="J860"/>
  <c r="P860" s="1"/>
  <c r="J882"/>
  <c r="P882" s="1"/>
  <c r="J902"/>
  <c r="O902" s="1"/>
  <c r="J922"/>
  <c r="P922" s="1"/>
  <c r="J958"/>
  <c r="O958" s="1"/>
  <c r="J994"/>
  <c r="P994" s="1"/>
  <c r="J1034"/>
  <c r="P1034" s="1"/>
  <c r="J1076"/>
  <c r="P1076" s="1"/>
  <c r="J1120"/>
  <c r="O1120" s="1"/>
  <c r="J1154"/>
  <c r="P1154" s="1"/>
  <c r="J1214"/>
  <c r="Q1214" s="1"/>
  <c r="J1254"/>
  <c r="O1254" s="1"/>
  <c r="J552"/>
  <c r="P552" s="1"/>
  <c r="J592"/>
  <c r="Q592" s="1"/>
  <c r="J624"/>
  <c r="P624" s="1"/>
  <c r="J664"/>
  <c r="P664" s="1"/>
  <c r="J688"/>
  <c r="Q688" s="1"/>
  <c r="J720"/>
  <c r="O720" s="1"/>
  <c r="J760"/>
  <c r="P760" s="1"/>
  <c r="J808"/>
  <c r="P808" s="1"/>
  <c r="J848"/>
  <c r="Q848" s="1"/>
  <c r="J896"/>
  <c r="Q896" s="1"/>
  <c r="J928"/>
  <c r="O928" s="1"/>
  <c r="J952"/>
  <c r="P952" s="1"/>
  <c r="J1030"/>
  <c r="Q1030" s="1"/>
  <c r="J1100"/>
  <c r="O1100" s="1"/>
  <c r="J1116"/>
  <c r="P1116" s="1"/>
  <c r="J1174"/>
  <c r="P1174" s="1"/>
  <c r="J1222"/>
  <c r="O1222" s="1"/>
  <c r="P5"/>
  <c r="R5" s="1"/>
  <c r="W5" s="1"/>
  <c r="J47"/>
  <c r="O47" s="1"/>
  <c r="J63"/>
  <c r="O63" s="1"/>
  <c r="J79"/>
  <c r="Q79" s="1"/>
  <c r="J95"/>
  <c r="Q95" s="1"/>
  <c r="J111"/>
  <c r="O111" s="1"/>
  <c r="J127"/>
  <c r="O127" s="1"/>
  <c r="J143"/>
  <c r="Q143" s="1"/>
  <c r="J159"/>
  <c r="P159" s="1"/>
  <c r="J175"/>
  <c r="Q175" s="1"/>
  <c r="J191"/>
  <c r="Q191" s="1"/>
  <c r="J209"/>
  <c r="Q209" s="1"/>
  <c r="J225"/>
  <c r="Q225" s="1"/>
  <c r="J241"/>
  <c r="Q241" s="1"/>
  <c r="J34"/>
  <c r="O34" s="1"/>
  <c r="J42"/>
  <c r="P42" s="1"/>
  <c r="J58"/>
  <c r="O58" s="1"/>
  <c r="J74"/>
  <c r="P74" s="1"/>
  <c r="J90"/>
  <c r="O90" s="1"/>
  <c r="J106"/>
  <c r="P106" s="1"/>
  <c r="J122"/>
  <c r="O122" s="1"/>
  <c r="J218"/>
  <c r="O218" s="1"/>
  <c r="P6"/>
  <c r="X6" s="1"/>
  <c r="J37"/>
  <c r="Q37" s="1"/>
  <c r="J45"/>
  <c r="Q45" s="1"/>
  <c r="J53"/>
  <c r="Q53" s="1"/>
  <c r="J61"/>
  <c r="Q61" s="1"/>
  <c r="J69"/>
  <c r="Q69" s="1"/>
  <c r="J77"/>
  <c r="Q77" s="1"/>
  <c r="J85"/>
  <c r="P85" s="1"/>
  <c r="J93"/>
  <c r="Q93" s="1"/>
  <c r="J101"/>
  <c r="Q101" s="1"/>
  <c r="J109"/>
  <c r="Q109" s="1"/>
  <c r="J117"/>
  <c r="Q117" s="1"/>
  <c r="J125"/>
  <c r="Q125" s="1"/>
  <c r="J133"/>
  <c r="P133" s="1"/>
  <c r="J141"/>
  <c r="Q141" s="1"/>
  <c r="J149"/>
  <c r="O149" s="1"/>
  <c r="J157"/>
  <c r="Q157" s="1"/>
  <c r="J165"/>
  <c r="O165" s="1"/>
  <c r="J173"/>
  <c r="Q173" s="1"/>
  <c r="J181"/>
  <c r="P181" s="1"/>
  <c r="J189"/>
  <c r="Q189" s="1"/>
  <c r="J197"/>
  <c r="Q197" s="1"/>
  <c r="J205"/>
  <c r="Q205" s="1"/>
  <c r="J215"/>
  <c r="P215" s="1"/>
  <c r="J223"/>
  <c r="O223" s="1"/>
  <c r="J231"/>
  <c r="Q231" s="1"/>
  <c r="J239"/>
  <c r="P239" s="1"/>
  <c r="J247"/>
  <c r="Q247" s="1"/>
  <c r="J32"/>
  <c r="P32" s="1"/>
  <c r="J40"/>
  <c r="Q40" s="1"/>
  <c r="J48"/>
  <c r="O48" s="1"/>
  <c r="J56"/>
  <c r="P56" s="1"/>
  <c r="J64"/>
  <c r="P64" s="1"/>
  <c r="J72"/>
  <c r="O72" s="1"/>
  <c r="J80"/>
  <c r="O80" s="1"/>
  <c r="J88"/>
  <c r="Q88" s="1"/>
  <c r="J96"/>
  <c r="P96" s="1"/>
  <c r="J104"/>
  <c r="P104" s="1"/>
  <c r="J112"/>
  <c r="O112" s="1"/>
  <c r="J120"/>
  <c r="P120" s="1"/>
  <c r="J128"/>
  <c r="P128" s="1"/>
  <c r="J136"/>
  <c r="P136" s="1"/>
  <c r="J144"/>
  <c r="O144" s="1"/>
  <c r="J152"/>
  <c r="O152" s="1"/>
  <c r="J160"/>
  <c r="P160" s="1"/>
  <c r="J168"/>
  <c r="P168" s="1"/>
  <c r="J176"/>
  <c r="O176" s="1"/>
  <c r="J184"/>
  <c r="P184" s="1"/>
  <c r="J192"/>
  <c r="P192" s="1"/>
  <c r="J200"/>
  <c r="Q200" s="1"/>
  <c r="J208"/>
  <c r="O208" s="1"/>
  <c r="J216"/>
  <c r="O216" s="1"/>
  <c r="J224"/>
  <c r="P224" s="1"/>
  <c r="J232"/>
  <c r="O232" s="1"/>
  <c r="J240"/>
  <c r="O240" s="1"/>
  <c r="J248"/>
  <c r="Q248" s="1"/>
  <c r="J256"/>
  <c r="P256" s="1"/>
  <c r="J264"/>
  <c r="P264" s="1"/>
  <c r="J272"/>
  <c r="O272" s="1"/>
  <c r="J280"/>
  <c r="P280" s="1"/>
  <c r="J288"/>
  <c r="P288" s="1"/>
  <c r="J296"/>
  <c r="O296" s="1"/>
  <c r="J304"/>
  <c r="O304" s="1"/>
  <c r="J312"/>
  <c r="P312" s="1"/>
  <c r="J320"/>
  <c r="P320" s="1"/>
  <c r="J328"/>
  <c r="P328" s="1"/>
  <c r="J336"/>
  <c r="O336" s="1"/>
  <c r="J344"/>
  <c r="P344" s="1"/>
  <c r="J352"/>
  <c r="P352" s="1"/>
  <c r="J360"/>
  <c r="O360" s="1"/>
  <c r="J368"/>
  <c r="O368" s="1"/>
  <c r="J376"/>
  <c r="P376" s="1"/>
  <c r="J384"/>
  <c r="P384" s="1"/>
  <c r="J392"/>
  <c r="O392" s="1"/>
  <c r="J400"/>
  <c r="O400" s="1"/>
  <c r="J408"/>
  <c r="P408" s="1"/>
  <c r="J416"/>
  <c r="P416" s="1"/>
  <c r="J424"/>
  <c r="O424" s="1"/>
  <c r="J432"/>
  <c r="O432" s="1"/>
  <c r="J440"/>
  <c r="P440" s="1"/>
  <c r="J448"/>
  <c r="P448" s="1"/>
  <c r="J456"/>
  <c r="P456" s="1"/>
  <c r="J464"/>
  <c r="O464" s="1"/>
  <c r="J472"/>
  <c r="P472" s="1"/>
  <c r="J480"/>
  <c r="P480" s="1"/>
  <c r="J488"/>
  <c r="O488" s="1"/>
  <c r="J496"/>
  <c r="O496" s="1"/>
  <c r="J504"/>
  <c r="Q504" s="1"/>
  <c r="J512"/>
  <c r="P512" s="1"/>
  <c r="J520"/>
  <c r="O520" s="1"/>
  <c r="J528"/>
  <c r="O528" s="1"/>
  <c r="J536"/>
  <c r="P536" s="1"/>
  <c r="J544"/>
  <c r="O544" s="1"/>
  <c r="J251"/>
  <c r="Q251" s="1"/>
  <c r="J259"/>
  <c r="P259" s="1"/>
  <c r="J267"/>
  <c r="Q267" s="1"/>
  <c r="J275"/>
  <c r="O275" s="1"/>
  <c r="J548"/>
  <c r="O548" s="1"/>
  <c r="J558"/>
  <c r="O558" s="1"/>
  <c r="J574"/>
  <c r="O574" s="1"/>
  <c r="J596"/>
  <c r="P596" s="1"/>
  <c r="J618"/>
  <c r="O618" s="1"/>
  <c r="J642"/>
  <c r="O642" s="1"/>
  <c r="J662"/>
  <c r="Q662" s="1"/>
  <c r="J686"/>
  <c r="P686" s="1"/>
  <c r="J708"/>
  <c r="Q708" s="1"/>
  <c r="J732"/>
  <c r="P732" s="1"/>
  <c r="J754"/>
  <c r="P754" s="1"/>
  <c r="J778"/>
  <c r="O778" s="1"/>
  <c r="J802"/>
  <c r="P802" s="1"/>
  <c r="J822"/>
  <c r="P822" s="1"/>
  <c r="J846"/>
  <c r="O846" s="1"/>
  <c r="J868"/>
  <c r="P868" s="1"/>
  <c r="J894"/>
  <c r="P894" s="1"/>
  <c r="J916"/>
  <c r="Q916" s="1"/>
  <c r="J948"/>
  <c r="Q948" s="1"/>
  <c r="J986"/>
  <c r="O986" s="1"/>
  <c r="J1026"/>
  <c r="O1026" s="1"/>
  <c r="J1072"/>
  <c r="P1072" s="1"/>
  <c r="J1112"/>
  <c r="P1112" s="1"/>
  <c r="J1156"/>
  <c r="O1156" s="1"/>
  <c r="J1200"/>
  <c r="Q1200" s="1"/>
  <c r="J1240"/>
  <c r="O1240" s="1"/>
  <c r="J970"/>
  <c r="Q970" s="1"/>
  <c r="J1028"/>
  <c r="P1028" s="1"/>
  <c r="J1070"/>
  <c r="Q1070" s="1"/>
  <c r="J1118"/>
  <c r="P1118" s="1"/>
  <c r="J1160"/>
  <c r="P1160" s="1"/>
  <c r="J1198"/>
  <c r="O1198" s="1"/>
  <c r="J1234"/>
  <c r="P1234" s="1"/>
  <c r="J1266"/>
  <c r="O1266" s="1"/>
  <c r="J960"/>
  <c r="P960" s="1"/>
  <c r="J1004"/>
  <c r="P1004" s="1"/>
  <c r="J1036"/>
  <c r="O1036" s="1"/>
  <c r="J1094"/>
  <c r="P1094" s="1"/>
  <c r="J1212"/>
  <c r="O1212" s="1"/>
  <c r="J1013"/>
  <c r="O1013" s="1"/>
  <c r="J1033"/>
  <c r="Q1033" s="1"/>
  <c r="J1053"/>
  <c r="P1053" s="1"/>
  <c r="J1077"/>
  <c r="Q1077" s="1"/>
  <c r="J1097"/>
  <c r="Q1097" s="1"/>
  <c r="J1117"/>
  <c r="P1117" s="1"/>
  <c r="J1141"/>
  <c r="P1141" s="1"/>
  <c r="J1161"/>
  <c r="Q1161" s="1"/>
  <c r="J1181"/>
  <c r="P1181" s="1"/>
  <c r="J1205"/>
  <c r="O1205" s="1"/>
  <c r="J1225"/>
  <c r="P1225" s="1"/>
  <c r="J1241"/>
  <c r="O1241" s="1"/>
  <c r="J1257"/>
  <c r="O1257" s="1"/>
  <c r="J942"/>
  <c r="O942" s="1"/>
  <c r="J972"/>
  <c r="Q972" s="1"/>
  <c r="J1010"/>
  <c r="O1010" s="1"/>
  <c r="J1056"/>
  <c r="O1056" s="1"/>
  <c r="J1096"/>
  <c r="P1096" s="1"/>
  <c r="J1138"/>
  <c r="P1138" s="1"/>
  <c r="J1184"/>
  <c r="P1184" s="1"/>
  <c r="J1218"/>
  <c r="P1218" s="1"/>
  <c r="J1252"/>
  <c r="Q1252" s="1"/>
  <c r="J572"/>
  <c r="O572" s="1"/>
  <c r="J594"/>
  <c r="P594" s="1"/>
  <c r="J614"/>
  <c r="Q614" s="1"/>
  <c r="J634"/>
  <c r="P634" s="1"/>
  <c r="J654"/>
  <c r="P654" s="1"/>
  <c r="J676"/>
  <c r="Q676" s="1"/>
  <c r="J694"/>
  <c r="O694" s="1"/>
  <c r="J716"/>
  <c r="Q716" s="1"/>
  <c r="J734"/>
  <c r="O734" s="1"/>
  <c r="J756"/>
  <c r="P756" s="1"/>
  <c r="J774"/>
  <c r="O774" s="1"/>
  <c r="J794"/>
  <c r="O794" s="1"/>
  <c r="J814"/>
  <c r="O814" s="1"/>
  <c r="J834"/>
  <c r="O834" s="1"/>
  <c r="J854"/>
  <c r="P854" s="1"/>
  <c r="J874"/>
  <c r="P874" s="1"/>
  <c r="J898"/>
  <c r="Q898" s="1"/>
  <c r="J918"/>
  <c r="P918" s="1"/>
  <c r="J946"/>
  <c r="Q946" s="1"/>
  <c r="J982"/>
  <c r="O982" s="1"/>
  <c r="J1022"/>
  <c r="O1022" s="1"/>
  <c r="J1066"/>
  <c r="P1066" s="1"/>
  <c r="J1104"/>
  <c r="P1104" s="1"/>
  <c r="J1144"/>
  <c r="P1144" s="1"/>
  <c r="J1194"/>
  <c r="P1194" s="1"/>
  <c r="AA22"/>
  <c r="Z35"/>
  <c r="W22"/>
  <c r="P107"/>
  <c r="P155"/>
  <c r="P841"/>
  <c r="O1089"/>
  <c r="P641"/>
  <c r="P937"/>
  <c r="P1001"/>
  <c r="P187"/>
  <c r="P161"/>
  <c r="O67"/>
  <c r="P195"/>
  <c r="O387"/>
  <c r="Q707"/>
  <c r="Q309"/>
  <c r="Q580"/>
  <c r="O910"/>
  <c r="P910"/>
  <c r="P1237"/>
  <c r="O1237"/>
  <c r="Q1140"/>
  <c r="O723"/>
  <c r="O342"/>
  <c r="Q373"/>
  <c r="P974"/>
  <c r="O741"/>
  <c r="Q595"/>
  <c r="Q229"/>
  <c r="O229"/>
  <c r="P389"/>
  <c r="Q404"/>
  <c r="P644"/>
  <c r="Q724"/>
  <c r="P533"/>
  <c r="Q1157"/>
  <c r="O1157"/>
  <c r="Q1092"/>
  <c r="O1108"/>
  <c r="P1108"/>
  <c r="P1124"/>
  <c r="Q1188"/>
  <c r="Q1271"/>
  <c r="Q210"/>
  <c r="Q582"/>
  <c r="Q710"/>
  <c r="P560"/>
  <c r="O752"/>
  <c r="P752"/>
  <c r="O896"/>
  <c r="Q810"/>
  <c r="Q1146"/>
  <c r="Q1232"/>
  <c r="O1232"/>
  <c r="Q1107"/>
  <c r="O353"/>
  <c r="O641"/>
  <c r="O873"/>
  <c r="O937"/>
  <c r="O969"/>
  <c r="O1271"/>
  <c r="P339"/>
  <c r="P227"/>
  <c r="Q843"/>
  <c r="Q46"/>
  <c r="O46"/>
  <c r="Q78"/>
  <c r="O78"/>
  <c r="Q110"/>
  <c r="P126"/>
  <c r="Q142"/>
  <c r="P174"/>
  <c r="P206"/>
  <c r="O222"/>
  <c r="O238"/>
  <c r="P238"/>
  <c r="O270"/>
  <c r="P270"/>
  <c r="Q302"/>
  <c r="O302"/>
  <c r="Q334"/>
  <c r="O334"/>
  <c r="Q366"/>
  <c r="Q398"/>
  <c r="P430"/>
  <c r="P462"/>
  <c r="P494"/>
  <c r="O494"/>
  <c r="Q413"/>
  <c r="O429"/>
  <c r="Q445"/>
  <c r="O461"/>
  <c r="Q477"/>
  <c r="O493"/>
  <c r="Q509"/>
  <c r="O525"/>
  <c r="O790"/>
  <c r="O966"/>
  <c r="Q1062"/>
  <c r="Q541"/>
  <c r="O557"/>
  <c r="Q573"/>
  <c r="O589"/>
  <c r="Q605"/>
  <c r="O621"/>
  <c r="Q637"/>
  <c r="O653"/>
  <c r="Q669"/>
  <c r="O685"/>
  <c r="Q701"/>
  <c r="O717"/>
  <c r="Q733"/>
  <c r="O749"/>
  <c r="Q765"/>
  <c r="O781"/>
  <c r="Q877"/>
  <c r="O1068"/>
  <c r="P1068"/>
  <c r="O1180"/>
  <c r="Q1260"/>
  <c r="P1260"/>
  <c r="Q1135"/>
  <c r="O1199"/>
  <c r="P795"/>
  <c r="P317"/>
  <c r="P333"/>
  <c r="P381"/>
  <c r="P397"/>
  <c r="P509"/>
  <c r="P545"/>
  <c r="P701"/>
  <c r="O721"/>
  <c r="P857"/>
  <c r="P921"/>
  <c r="P953"/>
  <c r="P556"/>
  <c r="O1135"/>
  <c r="Q1239"/>
  <c r="P52"/>
  <c r="Q276"/>
  <c r="O76"/>
  <c r="O204"/>
  <c r="O220"/>
  <c r="P95"/>
  <c r="O199"/>
  <c r="Q243"/>
  <c r="P263"/>
  <c r="Q58"/>
  <c r="P186"/>
  <c r="P410"/>
  <c r="O526"/>
  <c r="O638"/>
  <c r="P568"/>
  <c r="Q632"/>
  <c r="O632"/>
  <c r="O856"/>
  <c r="P818"/>
  <c r="Q962"/>
  <c r="Q1042"/>
  <c r="O1122"/>
  <c r="O968"/>
  <c r="Q1256"/>
  <c r="Q1272"/>
  <c r="O1272"/>
  <c r="O971"/>
  <c r="O301"/>
  <c r="O317"/>
  <c r="O365"/>
  <c r="O381"/>
  <c r="P525"/>
  <c r="P589"/>
  <c r="O737"/>
  <c r="P781"/>
  <c r="O857"/>
  <c r="O889"/>
  <c r="O953"/>
  <c r="P1057"/>
  <c r="P1069"/>
  <c r="P1233"/>
  <c r="O1521" l="1"/>
  <c r="Q1225"/>
  <c r="O898"/>
  <c r="Q1176"/>
  <c r="P284"/>
  <c r="Q1223"/>
  <c r="Q124"/>
  <c r="P677"/>
  <c r="P469"/>
  <c r="P565"/>
  <c r="P273"/>
  <c r="P508"/>
  <c r="O542"/>
  <c r="O156"/>
  <c r="Q1071"/>
  <c r="O1021"/>
  <c r="P478"/>
  <c r="P382"/>
  <c r="P849"/>
  <c r="O1483"/>
  <c r="O1431"/>
  <c r="P1518"/>
  <c r="P1113"/>
  <c r="Q444"/>
  <c r="O800"/>
  <c r="P405"/>
  <c r="P1202"/>
  <c r="P1164"/>
  <c r="P833"/>
  <c r="O648"/>
  <c r="P211"/>
  <c r="P1197"/>
  <c r="P1255"/>
  <c r="Q645"/>
  <c r="P682"/>
  <c r="O1283"/>
  <c r="Q1522"/>
  <c r="P474"/>
  <c r="O159"/>
  <c r="O77"/>
  <c r="Q355"/>
  <c r="O1111"/>
  <c r="Q726"/>
  <c r="O531"/>
  <c r="O755"/>
  <c r="O131"/>
  <c r="P864"/>
  <c r="Q1083"/>
  <c r="O994"/>
  <c r="Q371"/>
  <c r="O268"/>
  <c r="O870"/>
  <c r="P205"/>
  <c r="P1100"/>
  <c r="Q1206"/>
  <c r="O300"/>
  <c r="Q907"/>
  <c r="Q483"/>
  <c r="O119"/>
  <c r="Q1159"/>
  <c r="O1065"/>
  <c r="O129"/>
  <c r="O1264"/>
  <c r="O1233"/>
  <c r="R1233" s="1"/>
  <c r="Q1002"/>
  <c r="P592"/>
  <c r="P742"/>
  <c r="P403"/>
  <c r="O1031"/>
  <c r="Q798"/>
  <c r="P691"/>
  <c r="P579"/>
  <c r="O563"/>
  <c r="O1057"/>
  <c r="O33"/>
  <c r="O249"/>
  <c r="O1035"/>
  <c r="P734"/>
  <c r="O263"/>
  <c r="P144"/>
  <c r="Q1149"/>
  <c r="P790"/>
  <c r="Q875"/>
  <c r="P33"/>
  <c r="Q1185"/>
  <c r="Q576"/>
  <c r="P1031"/>
  <c r="O643"/>
  <c r="P771"/>
  <c r="O836"/>
  <c r="Q515"/>
  <c r="P193"/>
  <c r="P45"/>
  <c r="P282"/>
  <c r="O140"/>
  <c r="P272"/>
  <c r="O1009"/>
  <c r="P870"/>
  <c r="P652"/>
  <c r="O1062"/>
  <c r="R1062" s="1"/>
  <c r="O173"/>
  <c r="O1211"/>
  <c r="O939"/>
  <c r="P1240"/>
  <c r="Q1266"/>
  <c r="P346"/>
  <c r="Q499"/>
  <c r="O954"/>
  <c r="P400"/>
  <c r="P1215"/>
  <c r="P1245"/>
  <c r="P668"/>
  <c r="O428"/>
  <c r="Q811"/>
  <c r="Q227"/>
  <c r="P1168"/>
  <c r="O225"/>
  <c r="P1059"/>
  <c r="Q1152"/>
  <c r="O1130"/>
  <c r="O864"/>
  <c r="Q720"/>
  <c r="O758"/>
  <c r="O630"/>
  <c r="Q146"/>
  <c r="Q787"/>
  <c r="Q852"/>
  <c r="O538"/>
  <c r="Q675"/>
  <c r="P932"/>
  <c r="P611"/>
  <c r="P323"/>
  <c r="P67"/>
  <c r="O65"/>
  <c r="P843"/>
  <c r="Q1154"/>
  <c r="P566"/>
  <c r="O1126"/>
  <c r="Q652"/>
  <c r="O722"/>
  <c r="P55"/>
  <c r="O566"/>
  <c r="Q997"/>
  <c r="O974"/>
  <c r="R974" s="1"/>
  <c r="P1415"/>
  <c r="P1507"/>
  <c r="O1357"/>
  <c r="Q1482"/>
  <c r="P1357"/>
  <c r="P1308"/>
  <c r="Q1194"/>
  <c r="O972"/>
  <c r="Q1053"/>
  <c r="P1517"/>
  <c r="P1428"/>
  <c r="O1113"/>
  <c r="Q936"/>
  <c r="Q914"/>
  <c r="O188"/>
  <c r="Q60"/>
  <c r="P1071"/>
  <c r="Q540"/>
  <c r="Q350"/>
  <c r="P190"/>
  <c r="Q94"/>
  <c r="P977"/>
  <c r="O273"/>
  <c r="P1188"/>
  <c r="P1029"/>
  <c r="Q789"/>
  <c r="O293"/>
  <c r="P613"/>
  <c r="P453"/>
  <c r="O1255"/>
  <c r="O298"/>
  <c r="P1121"/>
  <c r="P993"/>
  <c r="Q1147"/>
  <c r="Q1193"/>
  <c r="O978"/>
  <c r="P914"/>
  <c r="P750"/>
  <c r="O590"/>
  <c r="P252"/>
  <c r="P188"/>
  <c r="O977"/>
  <c r="P1238"/>
  <c r="P588"/>
  <c r="O316"/>
  <c r="Q414"/>
  <c r="O350"/>
  <c r="P318"/>
  <c r="Q286"/>
  <c r="Q158"/>
  <c r="O94"/>
  <c r="P62"/>
  <c r="P913"/>
  <c r="O113"/>
  <c r="O1018"/>
  <c r="O725"/>
  <c r="Q629"/>
  <c r="Q501"/>
  <c r="O325"/>
  <c r="P1269"/>
  <c r="O693"/>
  <c r="O549"/>
  <c r="O772"/>
  <c r="O421"/>
  <c r="P293"/>
  <c r="Q709"/>
  <c r="P485"/>
  <c r="O357"/>
  <c r="O929"/>
  <c r="P1513"/>
  <c r="Q1515"/>
  <c r="P1499"/>
  <c r="P1425"/>
  <c r="O266"/>
  <c r="P961"/>
  <c r="O1208"/>
  <c r="Q978"/>
  <c r="P696"/>
  <c r="P590"/>
  <c r="P220"/>
  <c r="R220" s="1"/>
  <c r="O124"/>
  <c r="O849"/>
  <c r="O1238"/>
  <c r="P446"/>
  <c r="P49"/>
  <c r="O1146"/>
  <c r="Q1018"/>
  <c r="P1223"/>
  <c r="R1223" s="1"/>
  <c r="O677"/>
  <c r="Q581"/>
  <c r="Q437"/>
  <c r="P645"/>
  <c r="O517"/>
  <c r="Q421"/>
  <c r="P862"/>
  <c r="Q357"/>
  <c r="P490"/>
  <c r="O684"/>
  <c r="P897"/>
  <c r="O1032"/>
  <c r="O1193"/>
  <c r="Q1202"/>
  <c r="O930"/>
  <c r="Q648"/>
  <c r="R648" s="1"/>
  <c r="O750"/>
  <c r="O606"/>
  <c r="Q156"/>
  <c r="Q92"/>
  <c r="O913"/>
  <c r="O1164"/>
  <c r="P1052"/>
  <c r="O1197"/>
  <c r="R1197" s="1"/>
  <c r="O510"/>
  <c r="Q478"/>
  <c r="O414"/>
  <c r="O286"/>
  <c r="P254"/>
  <c r="Q222"/>
  <c r="O158"/>
  <c r="O1171"/>
  <c r="Q773"/>
  <c r="P629"/>
  <c r="P501"/>
  <c r="P325"/>
  <c r="R325" s="1"/>
  <c r="O1269"/>
  <c r="P693"/>
  <c r="Q597"/>
  <c r="O469"/>
  <c r="R469" s="1"/>
  <c r="P341"/>
  <c r="Q682"/>
  <c r="O709"/>
  <c r="O405"/>
  <c r="P213"/>
  <c r="P171"/>
  <c r="R8"/>
  <c r="W8" s="1"/>
  <c r="O1299"/>
  <c r="O1439"/>
  <c r="Q1483"/>
  <c r="O1425"/>
  <c r="P1485"/>
  <c r="R1485" s="1"/>
  <c r="P1316"/>
  <c r="O1415"/>
  <c r="O1442"/>
  <c r="O1497"/>
  <c r="P1501"/>
  <c r="Q1524"/>
  <c r="Q1517"/>
  <c r="Q1497"/>
  <c r="P1418"/>
  <c r="O1507"/>
  <c r="O1301"/>
  <c r="O1428"/>
  <c r="R1428" s="1"/>
  <c r="Q1492"/>
  <c r="P1400"/>
  <c r="P1353"/>
  <c r="P1422"/>
  <c r="Q1514"/>
  <c r="P1521"/>
  <c r="Q1498"/>
  <c r="P1323"/>
  <c r="O1489"/>
  <c r="P1292"/>
  <c r="O1460"/>
  <c r="Q1489"/>
  <c r="O1422"/>
  <c r="O1491"/>
  <c r="O1353"/>
  <c r="P1291"/>
  <c r="O1435"/>
  <c r="P1514"/>
  <c r="P1498"/>
  <c r="P1482"/>
  <c r="R1482" s="1"/>
  <c r="P1523"/>
  <c r="O1308"/>
  <c r="O1276"/>
  <c r="O1307"/>
  <c r="P1460"/>
  <c r="Q1505"/>
  <c r="P1426"/>
  <c r="P1275"/>
  <c r="R1275" s="1"/>
  <c r="O1459"/>
  <c r="O1451"/>
  <c r="O1443"/>
  <c r="P1435"/>
  <c r="P1423"/>
  <c r="Q1491"/>
  <c r="O1505"/>
  <c r="O1291"/>
  <c r="R1291" s="1"/>
  <c r="P1404"/>
  <c r="P1307"/>
  <c r="P1459"/>
  <c r="P1451"/>
  <c r="R1451" s="1"/>
  <c r="P1443"/>
  <c r="O1423"/>
  <c r="O1404"/>
  <c r="O1323"/>
  <c r="R1323" s="1"/>
  <c r="O1292"/>
  <c r="P1413"/>
  <c r="O1426"/>
  <c r="O1418"/>
  <c r="O1319"/>
  <c r="P1481"/>
  <c r="O1400"/>
  <c r="P1466"/>
  <c r="O1333"/>
  <c r="P1458"/>
  <c r="O1392"/>
  <c r="P1289"/>
  <c r="O1448"/>
  <c r="P896"/>
  <c r="O205"/>
  <c r="Q1163"/>
  <c r="O1225"/>
  <c r="P898"/>
  <c r="Q792"/>
  <c r="Q680"/>
  <c r="P638"/>
  <c r="Q506"/>
  <c r="P58"/>
  <c r="P304"/>
  <c r="P1081"/>
  <c r="P1180"/>
  <c r="P972"/>
  <c r="O1149"/>
  <c r="R1149" s="1"/>
  <c r="O875"/>
  <c r="O483"/>
  <c r="P1137"/>
  <c r="P1264"/>
  <c r="R1264" s="1"/>
  <c r="P720"/>
  <c r="P726"/>
  <c r="O210"/>
  <c r="O798"/>
  <c r="R798" s="1"/>
  <c r="O595"/>
  <c r="Q804"/>
  <c r="Q627"/>
  <c r="P836"/>
  <c r="R836" s="1"/>
  <c r="P563"/>
  <c r="P1486"/>
  <c r="O1309"/>
  <c r="P907"/>
  <c r="R907" s="1"/>
  <c r="Q955"/>
  <c r="Q984"/>
  <c r="O1154"/>
  <c r="Q1138"/>
  <c r="Q904"/>
  <c r="Q442"/>
  <c r="Q314"/>
  <c r="Q250"/>
  <c r="P371"/>
  <c r="P146"/>
  <c r="P176"/>
  <c r="P269"/>
  <c r="R269" s="1"/>
  <c r="P859"/>
  <c r="P1206"/>
  <c r="Q183"/>
  <c r="Q467"/>
  <c r="Q1187"/>
  <c r="Q1072"/>
  <c r="Q1114"/>
  <c r="Q528"/>
  <c r="Q739"/>
  <c r="O852"/>
  <c r="P723"/>
  <c r="P531"/>
  <c r="Q980"/>
  <c r="O707"/>
  <c r="Q659"/>
  <c r="Q451"/>
  <c r="O323"/>
  <c r="P526"/>
  <c r="P1152"/>
  <c r="O556"/>
  <c r="R556" s="1"/>
  <c r="O1081"/>
  <c r="O985"/>
  <c r="O825"/>
  <c r="P653"/>
  <c r="O397"/>
  <c r="O333"/>
  <c r="O269"/>
  <c r="O109"/>
  <c r="P971"/>
  <c r="O1243"/>
  <c r="O1163"/>
  <c r="O1083"/>
  <c r="O987"/>
  <c r="O955"/>
  <c r="O1256"/>
  <c r="Q1240"/>
  <c r="O984"/>
  <c r="O1138"/>
  <c r="Q1122"/>
  <c r="Q994"/>
  <c r="R994" s="1"/>
  <c r="O962"/>
  <c r="O882"/>
  <c r="O904"/>
  <c r="O792"/>
  <c r="R792" s="1"/>
  <c r="O680"/>
  <c r="O654"/>
  <c r="Q558"/>
  <c r="O506"/>
  <c r="P442"/>
  <c r="P378"/>
  <c r="P314"/>
  <c r="P250"/>
  <c r="Q122"/>
  <c r="P499"/>
  <c r="Q435"/>
  <c r="Q307"/>
  <c r="Q159"/>
  <c r="O1239"/>
  <c r="P1114"/>
  <c r="P178"/>
  <c r="R178" s="1"/>
  <c r="P464"/>
  <c r="P336"/>
  <c r="P208"/>
  <c r="P80"/>
  <c r="P889"/>
  <c r="P765"/>
  <c r="P573"/>
  <c r="P429"/>
  <c r="R429" s="1"/>
  <c r="P349"/>
  <c r="P285"/>
  <c r="P141"/>
  <c r="P923"/>
  <c r="R923" s="1"/>
  <c r="P1247"/>
  <c r="Q1087"/>
  <c r="Q1007"/>
  <c r="Q1228"/>
  <c r="Q1100"/>
  <c r="O956"/>
  <c r="Q1245"/>
  <c r="Q1165"/>
  <c r="Q1069"/>
  <c r="Q1005"/>
  <c r="O733"/>
  <c r="O669"/>
  <c r="O637"/>
  <c r="O605"/>
  <c r="O541"/>
  <c r="Q1158"/>
  <c r="O886"/>
  <c r="Q822"/>
  <c r="O892"/>
  <c r="Q668"/>
  <c r="Q636"/>
  <c r="P492"/>
  <c r="P477"/>
  <c r="O445"/>
  <c r="O413"/>
  <c r="Q462"/>
  <c r="Q430"/>
  <c r="O398"/>
  <c r="R398" s="1"/>
  <c r="O366"/>
  <c r="Q206"/>
  <c r="Q174"/>
  <c r="O142"/>
  <c r="R142" s="1"/>
  <c r="O110"/>
  <c r="Q923"/>
  <c r="Q891"/>
  <c r="Q859"/>
  <c r="R859" s="1"/>
  <c r="Q827"/>
  <c r="Q795"/>
  <c r="Q419"/>
  <c r="Q291"/>
  <c r="P183"/>
  <c r="Q119"/>
  <c r="P467"/>
  <c r="O212"/>
  <c r="P1159"/>
  <c r="Q1111"/>
  <c r="P880"/>
  <c r="O905"/>
  <c r="O809"/>
  <c r="O257"/>
  <c r="O161"/>
  <c r="P65"/>
  <c r="P1187"/>
  <c r="O1107"/>
  <c r="Q1059"/>
  <c r="Q1168"/>
  <c r="Q1136"/>
  <c r="O1185"/>
  <c r="P1002"/>
  <c r="Q954"/>
  <c r="O880"/>
  <c r="Q704"/>
  <c r="P576"/>
  <c r="Q560"/>
  <c r="R560" s="1"/>
  <c r="Q758"/>
  <c r="P710"/>
  <c r="Q630"/>
  <c r="O482"/>
  <c r="Q178"/>
  <c r="P98"/>
  <c r="O84"/>
  <c r="Q1124"/>
  <c r="R1124" s="1"/>
  <c r="P1092"/>
  <c r="P997"/>
  <c r="O724"/>
  <c r="Q644"/>
  <c r="R644" s="1"/>
  <c r="P787"/>
  <c r="O739"/>
  <c r="Q691"/>
  <c r="O547"/>
  <c r="R547" s="1"/>
  <c r="O1246"/>
  <c r="O804"/>
  <c r="Q538"/>
  <c r="Q771"/>
  <c r="R771" s="1"/>
  <c r="P675"/>
  <c r="O627"/>
  <c r="Q579"/>
  <c r="P1140"/>
  <c r="R1140" s="1"/>
  <c r="O980"/>
  <c r="Q932"/>
  <c r="O1006"/>
  <c r="P580"/>
  <c r="R580" s="1"/>
  <c r="O278"/>
  <c r="O659"/>
  <c r="Q611"/>
  <c r="P515"/>
  <c r="R515" s="1"/>
  <c r="P451"/>
  <c r="Q387"/>
  <c r="O259"/>
  <c r="Q131"/>
  <c r="R131" s="1"/>
  <c r="P123"/>
  <c r="P225"/>
  <c r="O97"/>
  <c r="P1065"/>
  <c r="R1065" s="1"/>
  <c r="P809"/>
  <c r="O187"/>
  <c r="P513"/>
  <c r="P905"/>
  <c r="O43"/>
  <c r="P1315"/>
  <c r="O1447"/>
  <c r="Q1490"/>
  <c r="P1515"/>
  <c r="R1515" s="1"/>
  <c r="O1416"/>
  <c r="P1165"/>
  <c r="P77"/>
  <c r="Q1243"/>
  <c r="Q987"/>
  <c r="P1266"/>
  <c r="Q882"/>
  <c r="R882" s="1"/>
  <c r="Q378"/>
  <c r="O95"/>
  <c r="P432"/>
  <c r="P48"/>
  <c r="P109"/>
  <c r="O1215"/>
  <c r="Q956"/>
  <c r="O1053"/>
  <c r="R1053" s="1"/>
  <c r="P1126"/>
  <c r="Q886"/>
  <c r="O732"/>
  <c r="O811"/>
  <c r="R811" s="1"/>
  <c r="P355"/>
  <c r="O55"/>
  <c r="P249"/>
  <c r="P1130"/>
  <c r="O592"/>
  <c r="O742"/>
  <c r="Q98"/>
  <c r="P643"/>
  <c r="Q547"/>
  <c r="P755"/>
  <c r="O704"/>
  <c r="P558"/>
  <c r="R558" s="1"/>
  <c r="O921"/>
  <c r="P717"/>
  <c r="O481"/>
  <c r="O349"/>
  <c r="R349" s="1"/>
  <c r="O285"/>
  <c r="O141"/>
  <c r="P1035"/>
  <c r="Q1211"/>
  <c r="Q1115"/>
  <c r="Q939"/>
  <c r="Q818"/>
  <c r="Q856"/>
  <c r="R856" s="1"/>
  <c r="Q734"/>
  <c r="Q474"/>
  <c r="Q410"/>
  <c r="Q346"/>
  <c r="R346" s="1"/>
  <c r="Q282"/>
  <c r="P122"/>
  <c r="Q775"/>
  <c r="P435"/>
  <c r="R435" s="1"/>
  <c r="P307"/>
  <c r="O1058"/>
  <c r="O1007"/>
  <c r="P368"/>
  <c r="P240"/>
  <c r="P112"/>
  <c r="O1137"/>
  <c r="P985"/>
  <c r="R985" s="1"/>
  <c r="P825"/>
  <c r="P461"/>
  <c r="P365"/>
  <c r="P301"/>
  <c r="R301" s="1"/>
  <c r="P173"/>
  <c r="O45"/>
  <c r="P572"/>
  <c r="P1087"/>
  <c r="P1228"/>
  <c r="Q749"/>
  <c r="Q685"/>
  <c r="Q621"/>
  <c r="R621" s="1"/>
  <c r="Q557"/>
  <c r="P1158"/>
  <c r="O636"/>
  <c r="P524"/>
  <c r="O364"/>
  <c r="Q493"/>
  <c r="Q722"/>
  <c r="O891"/>
  <c r="R891" s="1"/>
  <c r="O827"/>
  <c r="P419"/>
  <c r="P291"/>
  <c r="Q339"/>
  <c r="R339" s="1"/>
  <c r="P1136"/>
  <c r="P1009"/>
  <c r="O841"/>
  <c r="O193"/>
  <c r="P97"/>
  <c r="O114"/>
  <c r="Q403"/>
  <c r="Q1253"/>
  <c r="O1134"/>
  <c r="P214"/>
  <c r="Q532"/>
  <c r="P257"/>
  <c r="R257" s="1"/>
  <c r="P129"/>
  <c r="P43"/>
  <c r="P873"/>
  <c r="P1058"/>
  <c r="R1058" s="1"/>
  <c r="P969"/>
  <c r="O155"/>
  <c r="O107"/>
  <c r="O1315"/>
  <c r="R1315" s="1"/>
  <c r="Q1513"/>
  <c r="Q1481"/>
  <c r="P1299"/>
  <c r="O1455"/>
  <c r="Q1506"/>
  <c r="O1470"/>
  <c r="Q1499"/>
  <c r="P1331"/>
  <c r="P1417"/>
  <c r="O1285"/>
  <c r="P1392"/>
  <c r="P1395"/>
  <c r="O1472"/>
  <c r="O1436"/>
  <c r="O1345"/>
  <c r="O1466"/>
  <c r="R1466" s="1"/>
  <c r="P1419"/>
  <c r="O1313"/>
  <c r="O1281"/>
  <c r="O1524"/>
  <c r="R1524" s="1"/>
  <c r="P1345"/>
  <c r="O1452"/>
  <c r="P1434"/>
  <c r="P1412"/>
  <c r="P1311"/>
  <c r="P1295"/>
  <c r="P1279"/>
  <c r="P1453"/>
  <c r="P1437"/>
  <c r="P1427"/>
  <c r="O1411"/>
  <c r="Q1496"/>
  <c r="P1317"/>
  <c r="O1518"/>
  <c r="O1462"/>
  <c r="P1327"/>
  <c r="P1502"/>
  <c r="Q1500"/>
  <c r="O1486"/>
  <c r="O1311"/>
  <c r="R1311" s="1"/>
  <c r="O1295"/>
  <c r="O1279"/>
  <c r="P1464"/>
  <c r="P1445"/>
  <c r="P1322"/>
  <c r="P1424"/>
  <c r="O1500"/>
  <c r="P1293"/>
  <c r="Q1516"/>
  <c r="P1484"/>
  <c r="Q654"/>
  <c r="Q1094"/>
  <c r="O916"/>
  <c r="P1319"/>
  <c r="O1316"/>
  <c r="O1427"/>
  <c r="R1427" s="1"/>
  <c r="O1419"/>
  <c r="R1419" s="1"/>
  <c r="P1383"/>
  <c r="O1468"/>
  <c r="O1458"/>
  <c r="R1458" s="1"/>
  <c r="O1440"/>
  <c r="P1488"/>
  <c r="Q1022"/>
  <c r="P625"/>
  <c r="O237"/>
  <c r="Q154"/>
  <c r="P71"/>
  <c r="Q180"/>
  <c r="P114"/>
  <c r="Q909"/>
  <c r="Q908"/>
  <c r="P295"/>
  <c r="O769"/>
  <c r="O656"/>
  <c r="O534"/>
  <c r="Q310"/>
  <c r="P468"/>
  <c r="P385"/>
  <c r="O235"/>
  <c r="P401"/>
  <c r="P59"/>
  <c r="P1296"/>
  <c r="P1462"/>
  <c r="Q1327"/>
  <c r="R1327" s="1"/>
  <c r="O1321"/>
  <c r="O1424"/>
  <c r="O1516"/>
  <c r="O1312"/>
  <c r="O1280"/>
  <c r="P800"/>
  <c r="P801"/>
  <c r="O545"/>
  <c r="R545" s="1"/>
  <c r="P764"/>
  <c r="O1147"/>
  <c r="Q930"/>
  <c r="Q920"/>
  <c r="Q744"/>
  <c r="Q670"/>
  <c r="Q606"/>
  <c r="P426"/>
  <c r="P243"/>
  <c r="R243" s="1"/>
  <c r="Q135"/>
  <c r="Q284"/>
  <c r="Q252"/>
  <c r="R252" s="1"/>
  <c r="O60"/>
  <c r="O180"/>
  <c r="O881"/>
  <c r="Q1199"/>
  <c r="R1199" s="1"/>
  <c r="Q1052"/>
  <c r="O1085"/>
  <c r="Q941"/>
  <c r="P998"/>
  <c r="Q764"/>
  <c r="Q476"/>
  <c r="Q674"/>
  <c r="Q382"/>
  <c r="R382" s="1"/>
  <c r="Q99"/>
  <c r="Q116"/>
  <c r="P912"/>
  <c r="P938"/>
  <c r="Q784"/>
  <c r="O437"/>
  <c r="Q389"/>
  <c r="Q549"/>
  <c r="R549" s="1"/>
  <c r="Q564"/>
  <c r="O373"/>
  <c r="Q757"/>
  <c r="Q453"/>
  <c r="R453" s="1"/>
  <c r="O309"/>
  <c r="R309" s="1"/>
  <c r="Q54"/>
  <c r="P705"/>
  <c r="O1502"/>
  <c r="O1408"/>
  <c r="O1331"/>
  <c r="P1300"/>
  <c r="P1284"/>
  <c r="R1284" s="1"/>
  <c r="Q1525"/>
  <c r="Q1509"/>
  <c r="Q1493"/>
  <c r="P1430"/>
  <c r="P1335"/>
  <c r="P1478"/>
  <c r="P1455"/>
  <c r="P1447"/>
  <c r="R1447" s="1"/>
  <c r="P1439"/>
  <c r="P1431"/>
  <c r="P1522"/>
  <c r="P1506"/>
  <c r="P1490"/>
  <c r="P1321"/>
  <c r="O1293"/>
  <c r="Q1527"/>
  <c r="Q1511"/>
  <c r="Q1495"/>
  <c r="P1420"/>
  <c r="P1408"/>
  <c r="P1277"/>
  <c r="O1300"/>
  <c r="O1284"/>
  <c r="O1454"/>
  <c r="O1446"/>
  <c r="O1438"/>
  <c r="P1504"/>
  <c r="O1429"/>
  <c r="P1421"/>
  <c r="P1387"/>
  <c r="P1318"/>
  <c r="P845"/>
  <c r="O712"/>
  <c r="O276"/>
  <c r="P1196"/>
  <c r="P966"/>
  <c r="R966" s="1"/>
  <c r="P748"/>
  <c r="O658"/>
  <c r="O385"/>
  <c r="Q826"/>
  <c r="Q863"/>
  <c r="P148"/>
  <c r="Q1012"/>
  <c r="Q1182"/>
  <c r="P500"/>
  <c r="P1246"/>
  <c r="P1102"/>
  <c r="O470"/>
  <c r="O195"/>
  <c r="O689"/>
  <c r="P1312"/>
  <c r="P1280"/>
  <c r="R1280" s="1"/>
  <c r="O1412"/>
  <c r="O1478"/>
  <c r="P1470"/>
  <c r="P1309"/>
  <c r="R1309" s="1"/>
  <c r="O1296"/>
  <c r="O1417"/>
  <c r="O1318"/>
  <c r="O330"/>
  <c r="P1011"/>
  <c r="P973"/>
  <c r="Q1019"/>
  <c r="O1176"/>
  <c r="R1176" s="1"/>
  <c r="O936"/>
  <c r="O1042"/>
  <c r="Q696"/>
  <c r="Q568"/>
  <c r="R568" s="1"/>
  <c r="P154"/>
  <c r="O71"/>
  <c r="O92"/>
  <c r="Q52"/>
  <c r="O945"/>
  <c r="O817"/>
  <c r="Q813"/>
  <c r="P1110"/>
  <c r="O540"/>
  <c r="P380"/>
  <c r="Q510"/>
  <c r="Q446"/>
  <c r="Q318"/>
  <c r="Q254"/>
  <c r="Q190"/>
  <c r="Q126"/>
  <c r="R126" s="1"/>
  <c r="Q62"/>
  <c r="Q163"/>
  <c r="P35"/>
  <c r="O433"/>
  <c r="O289"/>
  <c r="Q1139"/>
  <c r="Q244"/>
  <c r="P1063"/>
  <c r="Q1268"/>
  <c r="P773"/>
  <c r="Q725"/>
  <c r="P581"/>
  <c r="R581" s="1"/>
  <c r="Q533"/>
  <c r="R533" s="1"/>
  <c r="P406"/>
  <c r="O789"/>
  <c r="Q741"/>
  <c r="R741" s="1"/>
  <c r="P597"/>
  <c r="Q517"/>
  <c r="Q341"/>
  <c r="Q245"/>
  <c r="Q118"/>
  <c r="O613"/>
  <c r="P1150"/>
  <c r="O485"/>
  <c r="R485" s="1"/>
  <c r="P666"/>
  <c r="O1121"/>
  <c r="O833"/>
  <c r="O858"/>
  <c r="O458"/>
  <c r="P599"/>
  <c r="O535"/>
  <c r="P929"/>
  <c r="R929" s="1"/>
  <c r="P865"/>
  <c r="P561"/>
  <c r="O417"/>
  <c r="O1019"/>
  <c r="Q1208"/>
  <c r="Q1032"/>
  <c r="Q968"/>
  <c r="O920"/>
  <c r="R920" s="1"/>
  <c r="P776"/>
  <c r="O670"/>
  <c r="Q542"/>
  <c r="P266"/>
  <c r="R266" s="1"/>
  <c r="Q186"/>
  <c r="R186" s="1"/>
  <c r="Q551"/>
  <c r="P199"/>
  <c r="P135"/>
  <c r="R135" s="1"/>
  <c r="Q211"/>
  <c r="R211" s="1"/>
  <c r="P1249"/>
  <c r="O588"/>
  <c r="P237"/>
  <c r="R237" s="1"/>
  <c r="Q973"/>
  <c r="Q845"/>
  <c r="P412"/>
  <c r="Q316"/>
  <c r="R316" s="1"/>
  <c r="P674"/>
  <c r="P163"/>
  <c r="Q212"/>
  <c r="P945"/>
  <c r="P881"/>
  <c r="P817"/>
  <c r="O513"/>
  <c r="O321"/>
  <c r="O145"/>
  <c r="P81"/>
  <c r="Q1171"/>
  <c r="P1043"/>
  <c r="Q1217"/>
  <c r="Q1178"/>
  <c r="O912"/>
  <c r="Q290"/>
  <c r="Q1095"/>
  <c r="O1172"/>
  <c r="O1029"/>
  <c r="Q308"/>
  <c r="Q502"/>
  <c r="Q772"/>
  <c r="O150"/>
  <c r="O471"/>
  <c r="P661"/>
  <c r="Q565"/>
  <c r="O862"/>
  <c r="P436"/>
  <c r="O666"/>
  <c r="O86"/>
  <c r="O59"/>
  <c r="O865"/>
  <c r="R865" s="1"/>
  <c r="O123"/>
  <c r="R123" s="1"/>
  <c r="O897"/>
  <c r="O81"/>
  <c r="P75"/>
  <c r="O203"/>
  <c r="P1525"/>
  <c r="P1509"/>
  <c r="P1493"/>
  <c r="R1493" s="1"/>
  <c r="O1430"/>
  <c r="Q1335"/>
  <c r="O1464"/>
  <c r="O1453"/>
  <c r="R1453" s="1"/>
  <c r="O1445"/>
  <c r="O1437"/>
  <c r="Q1383"/>
  <c r="O1322"/>
  <c r="R1322" s="1"/>
  <c r="O1277"/>
  <c r="R1277" s="1"/>
  <c r="P1527"/>
  <c r="P1511"/>
  <c r="P1495"/>
  <c r="R1495" s="1"/>
  <c r="O1420"/>
  <c r="O1484"/>
  <c r="P1411"/>
  <c r="P1454"/>
  <c r="P1446"/>
  <c r="P1438"/>
  <c r="O1432"/>
  <c r="P1508"/>
  <c r="O1421"/>
  <c r="R1421" s="1"/>
  <c r="O1317"/>
  <c r="P1468"/>
  <c r="O1492"/>
  <c r="R1492" s="1"/>
  <c r="P1301"/>
  <c r="R1301" s="1"/>
  <c r="P1273"/>
  <c r="P1472"/>
  <c r="O1456"/>
  <c r="P1450"/>
  <c r="P1442"/>
  <c r="R1442" s="1"/>
  <c r="P1512"/>
  <c r="O1297"/>
  <c r="O1508"/>
  <c r="P1333"/>
  <c r="O1395"/>
  <c r="P1305"/>
  <c r="P1285"/>
  <c r="R1285" s="1"/>
  <c r="O1474"/>
  <c r="O1450"/>
  <c r="O1444"/>
  <c r="O1434"/>
  <c r="R1434" s="1"/>
  <c r="P1496"/>
  <c r="O1305"/>
  <c r="O1289"/>
  <c r="R1289" s="1"/>
  <c r="O1273"/>
  <c r="P1416"/>
  <c r="R1416" s="1"/>
  <c r="P1313"/>
  <c r="R1313" s="1"/>
  <c r="P1297"/>
  <c r="P1281"/>
  <c r="R1281" s="1"/>
  <c r="P1474"/>
  <c r="P1456"/>
  <c r="P1452"/>
  <c r="R1452" s="1"/>
  <c r="P1448"/>
  <c r="P1444"/>
  <c r="P1440"/>
  <c r="P1436"/>
  <c r="R1436" s="1"/>
  <c r="P1432"/>
  <c r="P1520"/>
  <c r="Q1512"/>
  <c r="R1512" s="1"/>
  <c r="O1413"/>
  <c r="R1413" s="1"/>
  <c r="Q1368"/>
  <c r="P1368"/>
  <c r="O1368"/>
  <c r="Q1469"/>
  <c r="O1469"/>
  <c r="P1469"/>
  <c r="Q1363"/>
  <c r="O1363"/>
  <c r="P1363"/>
  <c r="Q1378"/>
  <c r="O1378"/>
  <c r="P1378"/>
  <c r="Q1467"/>
  <c r="P1467"/>
  <c r="O1467"/>
  <c r="Q1471"/>
  <c r="P1471"/>
  <c r="O1471"/>
  <c r="Q1365"/>
  <c r="O1365"/>
  <c r="P1365"/>
  <c r="Q1302"/>
  <c r="O1302"/>
  <c r="P1302"/>
  <c r="Q1286"/>
  <c r="O1286"/>
  <c r="P1286"/>
  <c r="Q1473"/>
  <c r="O1473"/>
  <c r="P1473"/>
  <c r="Q1372"/>
  <c r="P1372"/>
  <c r="O1372"/>
  <c r="Q1405"/>
  <c r="P1405"/>
  <c r="O1405"/>
  <c r="Q1367"/>
  <c r="O1367"/>
  <c r="P1367"/>
  <c r="Q1382"/>
  <c r="O1382"/>
  <c r="P1382"/>
  <c r="Q1361"/>
  <c r="O1361"/>
  <c r="P1361"/>
  <c r="Q1403"/>
  <c r="O1403"/>
  <c r="P1403"/>
  <c r="Q1538"/>
  <c r="P1538"/>
  <c r="O1538"/>
  <c r="Q1534"/>
  <c r="P1534"/>
  <c r="O1534"/>
  <c r="Q1530"/>
  <c r="P1530"/>
  <c r="O1530"/>
  <c r="Q1358"/>
  <c r="P1358"/>
  <c r="O1358"/>
  <c r="Q1328"/>
  <c r="O1328"/>
  <c r="P1328"/>
  <c r="P1330"/>
  <c r="Q1330"/>
  <c r="O1330"/>
  <c r="Q1336"/>
  <c r="P1336"/>
  <c r="O1336"/>
  <c r="Q1354"/>
  <c r="P1354"/>
  <c r="O1354"/>
  <c r="Q1520"/>
  <c r="Q1504"/>
  <c r="R1504" s="1"/>
  <c r="Q1488"/>
  <c r="R1488" s="1"/>
  <c r="P1429"/>
  <c r="Q1406"/>
  <c r="P1406"/>
  <c r="O1406"/>
  <c r="Q1376"/>
  <c r="P1376"/>
  <c r="O1376"/>
  <c r="Q1465"/>
  <c r="P1465"/>
  <c r="O1465"/>
  <c r="Q1371"/>
  <c r="O1371"/>
  <c r="P1371"/>
  <c r="Q1384"/>
  <c r="P1384"/>
  <c r="Q1325"/>
  <c r="O1325"/>
  <c r="Q1461"/>
  <c r="P1461"/>
  <c r="O1461"/>
  <c r="Q1398"/>
  <c r="P1398"/>
  <c r="O1398"/>
  <c r="Q1373"/>
  <c r="O1373"/>
  <c r="P1373"/>
  <c r="Q1306"/>
  <c r="O1306"/>
  <c r="P1306"/>
  <c r="Q1290"/>
  <c r="O1290"/>
  <c r="P1290"/>
  <c r="Q1274"/>
  <c r="O1274"/>
  <c r="P1274"/>
  <c r="Q1389"/>
  <c r="P1389"/>
  <c r="O1389"/>
  <c r="Q1380"/>
  <c r="P1380"/>
  <c r="O1380"/>
  <c r="Q1375"/>
  <c r="O1375"/>
  <c r="P1375"/>
  <c r="Q1388"/>
  <c r="P1388"/>
  <c r="O1388"/>
  <c r="Q1329"/>
  <c r="O1329"/>
  <c r="Q1402"/>
  <c r="P1402"/>
  <c r="O1402"/>
  <c r="Q1347"/>
  <c r="P1347"/>
  <c r="O1347"/>
  <c r="Q1351"/>
  <c r="O1351"/>
  <c r="P1351"/>
  <c r="Q1369"/>
  <c r="O1369"/>
  <c r="P1369"/>
  <c r="Q1539"/>
  <c r="P1539"/>
  <c r="O1539"/>
  <c r="Q1535"/>
  <c r="P1535"/>
  <c r="O1535"/>
  <c r="Q1531"/>
  <c r="P1531"/>
  <c r="O1531"/>
  <c r="Q1479"/>
  <c r="P1479"/>
  <c r="O1479"/>
  <c r="P1334"/>
  <c r="Q1334"/>
  <c r="O1334"/>
  <c r="Q1346"/>
  <c r="P1346"/>
  <c r="O1346"/>
  <c r="Q1350"/>
  <c r="P1350"/>
  <c r="O1350"/>
  <c r="Q1356"/>
  <c r="P1356"/>
  <c r="O1356"/>
  <c r="Q1332"/>
  <c r="O1332"/>
  <c r="P1332"/>
  <c r="Q1386"/>
  <c r="P1386"/>
  <c r="O1386"/>
  <c r="Q1390"/>
  <c r="O1390"/>
  <c r="P1390"/>
  <c r="Q1379"/>
  <c r="O1379"/>
  <c r="P1379"/>
  <c r="Q1391"/>
  <c r="O1391"/>
  <c r="P1391"/>
  <c r="Q1362"/>
  <c r="O1362"/>
  <c r="P1362"/>
  <c r="Q1381"/>
  <c r="O1381"/>
  <c r="P1381"/>
  <c r="Q1349"/>
  <c r="P1349"/>
  <c r="Q1310"/>
  <c r="O1310"/>
  <c r="P1310"/>
  <c r="Q1294"/>
  <c r="O1294"/>
  <c r="P1294"/>
  <c r="Q1278"/>
  <c r="O1278"/>
  <c r="P1278"/>
  <c r="Q1393"/>
  <c r="O1393"/>
  <c r="P1393"/>
  <c r="Q1385"/>
  <c r="P1385"/>
  <c r="O1385"/>
  <c r="Q1399"/>
  <c r="O1399"/>
  <c r="P1399"/>
  <c r="Q1343"/>
  <c r="O1343"/>
  <c r="P1343"/>
  <c r="Q1366"/>
  <c r="O1366"/>
  <c r="P1366"/>
  <c r="Q1377"/>
  <c r="O1377"/>
  <c r="P1377"/>
  <c r="Q1540"/>
  <c r="P1540"/>
  <c r="O1540"/>
  <c r="Q1536"/>
  <c r="P1536"/>
  <c r="O1536"/>
  <c r="Q1532"/>
  <c r="P1532"/>
  <c r="O1532"/>
  <c r="Q1528"/>
  <c r="P1528"/>
  <c r="O1528"/>
  <c r="Q1342"/>
  <c r="P1342"/>
  <c r="O1342"/>
  <c r="Q1348"/>
  <c r="P1348"/>
  <c r="O1348"/>
  <c r="Q1352"/>
  <c r="P1352"/>
  <c r="O1352"/>
  <c r="Q1477"/>
  <c r="O1477"/>
  <c r="P1477"/>
  <c r="Q1338"/>
  <c r="P1338"/>
  <c r="O1338"/>
  <c r="O1480"/>
  <c r="Q1409"/>
  <c r="P1409"/>
  <c r="O1409"/>
  <c r="Q1360"/>
  <c r="P1360"/>
  <c r="O1360"/>
  <c r="Q1401"/>
  <c r="P1401"/>
  <c r="O1401"/>
  <c r="Q1339"/>
  <c r="O1339"/>
  <c r="P1339"/>
  <c r="Q1407"/>
  <c r="O1407"/>
  <c r="P1407"/>
  <c r="Q1370"/>
  <c r="O1370"/>
  <c r="P1370"/>
  <c r="Q1410"/>
  <c r="P1410"/>
  <c r="O1410"/>
  <c r="Q1355"/>
  <c r="P1355"/>
  <c r="O1355"/>
  <c r="Q1314"/>
  <c r="O1314"/>
  <c r="P1314"/>
  <c r="Q1298"/>
  <c r="O1298"/>
  <c r="P1298"/>
  <c r="Q1282"/>
  <c r="O1282"/>
  <c r="P1282"/>
  <c r="Q1463"/>
  <c r="P1463"/>
  <c r="O1463"/>
  <c r="Q1364"/>
  <c r="P1364"/>
  <c r="O1364"/>
  <c r="Q1359"/>
  <c r="O1359"/>
  <c r="P1359"/>
  <c r="Q1397"/>
  <c r="P1397"/>
  <c r="O1397"/>
  <c r="Q1374"/>
  <c r="O1374"/>
  <c r="P1374"/>
  <c r="Q1394"/>
  <c r="P1394"/>
  <c r="O1394"/>
  <c r="Q1537"/>
  <c r="P1537"/>
  <c r="O1537"/>
  <c r="Q1533"/>
  <c r="P1533"/>
  <c r="O1533"/>
  <c r="Q1529"/>
  <c r="P1529"/>
  <c r="O1529"/>
  <c r="Q1344"/>
  <c r="P1344"/>
  <c r="O1344"/>
  <c r="Q1475"/>
  <c r="P1475"/>
  <c r="O1475"/>
  <c r="Q1324"/>
  <c r="O1324"/>
  <c r="P1324"/>
  <c r="P1326"/>
  <c r="Q1326"/>
  <c r="O1326"/>
  <c r="Q1340"/>
  <c r="O1340"/>
  <c r="P1340"/>
  <c r="P1480"/>
  <c r="Z7"/>
  <c r="Z5"/>
  <c r="R1526"/>
  <c r="R1494"/>
  <c r="R1505"/>
  <c r="R1345"/>
  <c r="R1303"/>
  <c r="R1287"/>
  <c r="R1460"/>
  <c r="R1319"/>
  <c r="R1478"/>
  <c r="R1457"/>
  <c r="R1449"/>
  <c r="R1441"/>
  <c r="R1433"/>
  <c r="R1424"/>
  <c r="R1500"/>
  <c r="R1411"/>
  <c r="R1308"/>
  <c r="R1276"/>
  <c r="R1525"/>
  <c r="R1517"/>
  <c r="R1509"/>
  <c r="R1501"/>
  <c r="R1522"/>
  <c r="R1498"/>
  <c r="R1519"/>
  <c r="R1503"/>
  <c r="R1487"/>
  <c r="R1513"/>
  <c r="R1481"/>
  <c r="R1341"/>
  <c r="R1426"/>
  <c r="R1418"/>
  <c r="R1523"/>
  <c r="R1491"/>
  <c r="R1396"/>
  <c r="R1337"/>
  <c r="R1470"/>
  <c r="R1320"/>
  <c r="R1472"/>
  <c r="R1450"/>
  <c r="R1438"/>
  <c r="R1318"/>
  <c r="R1383"/>
  <c r="R1510"/>
  <c r="R1521"/>
  <c r="R1357"/>
  <c r="R1279"/>
  <c r="R1462"/>
  <c r="R1316"/>
  <c r="R1353"/>
  <c r="R1464"/>
  <c r="R1476"/>
  <c r="R1443"/>
  <c r="R1431"/>
  <c r="R1516"/>
  <c r="R1484"/>
  <c r="R1300"/>
  <c r="R1425"/>
  <c r="R1387"/>
  <c r="R1518"/>
  <c r="R1486"/>
  <c r="R1392"/>
  <c r="R1283"/>
  <c r="R1414"/>
  <c r="R1507"/>
  <c r="R1400"/>
  <c r="R1415"/>
  <c r="R1404"/>
  <c r="R1468"/>
  <c r="R1304"/>
  <c r="R1288"/>
  <c r="R1432"/>
  <c r="R1317"/>
  <c r="P602"/>
  <c r="P679"/>
  <c r="O362"/>
  <c r="O234"/>
  <c r="P298"/>
  <c r="R298" s="1"/>
  <c r="Q508"/>
  <c r="P348"/>
  <c r="Q35"/>
  <c r="O1043"/>
  <c r="P1095"/>
  <c r="O757"/>
  <c r="R757" s="1"/>
  <c r="O661"/>
  <c r="Q616"/>
  <c r="Q1265"/>
  <c r="P1082"/>
  <c r="Q664"/>
  <c r="P583"/>
  <c r="P1017"/>
  <c r="Q1119"/>
  <c r="O927"/>
  <c r="P1024"/>
  <c r="O615"/>
  <c r="Q663"/>
  <c r="O391"/>
  <c r="O1143"/>
  <c r="Q711"/>
  <c r="Q615"/>
  <c r="O815"/>
  <c r="P847"/>
  <c r="Q991"/>
  <c r="Q1116"/>
  <c r="Q876"/>
  <c r="Q439"/>
  <c r="Q799"/>
  <c r="O514"/>
  <c r="O1251"/>
  <c r="O1017"/>
  <c r="P928"/>
  <c r="P759"/>
  <c r="O631"/>
  <c r="P519"/>
  <c r="P455"/>
  <c r="Q375"/>
  <c r="Q423"/>
  <c r="P1169"/>
  <c r="O226"/>
  <c r="O844"/>
  <c r="Q604"/>
  <c r="O1082"/>
  <c r="P1008"/>
  <c r="P234"/>
  <c r="O1014"/>
  <c r="P444"/>
  <c r="R444" s="1"/>
  <c r="Q412"/>
  <c r="O348"/>
  <c r="R348" s="1"/>
  <c r="P217"/>
  <c r="O443"/>
  <c r="P699"/>
  <c r="Q522"/>
  <c r="P844"/>
  <c r="Q539"/>
  <c r="Q830"/>
  <c r="O1054"/>
  <c r="O993"/>
  <c r="R993" s="1"/>
  <c r="O961"/>
  <c r="R961" s="1"/>
  <c r="P1210"/>
  <c r="P394"/>
  <c r="Q1021"/>
  <c r="O476"/>
  <c r="R476" s="1"/>
  <c r="O380"/>
  <c r="P1041"/>
  <c r="O784"/>
  <c r="R784" s="1"/>
  <c r="P879"/>
  <c r="O698"/>
  <c r="P279"/>
  <c r="O692"/>
  <c r="O801"/>
  <c r="R801" s="1"/>
  <c r="O667"/>
  <c r="O1227"/>
  <c r="Q1216"/>
  <c r="O1008"/>
  <c r="Q151"/>
  <c r="O1064"/>
  <c r="Q1209"/>
  <c r="O616"/>
  <c r="R616" s="1"/>
  <c r="P61"/>
  <c r="P555"/>
  <c r="Q66"/>
  <c r="P762"/>
  <c r="O125"/>
  <c r="O1259"/>
  <c r="Q622"/>
  <c r="O635"/>
  <c r="O1216"/>
  <c r="Q1050"/>
  <c r="O830"/>
  <c r="Q1109"/>
  <c r="Q1262"/>
  <c r="Q1054"/>
  <c r="Q766"/>
  <c r="P694"/>
  <c r="P1015"/>
  <c r="P311"/>
  <c r="P831"/>
  <c r="P423"/>
  <c r="O295"/>
  <c r="O895"/>
  <c r="O354"/>
  <c r="P1044"/>
  <c r="P1230"/>
  <c r="Q1166"/>
  <c r="Q343"/>
  <c r="O340"/>
  <c r="O760"/>
  <c r="Q218"/>
  <c r="P991"/>
  <c r="O74"/>
  <c r="O1067"/>
  <c r="P1241"/>
  <c r="Q712"/>
  <c r="P584"/>
  <c r="P711"/>
  <c r="R711" s="1"/>
  <c r="O647"/>
  <c r="O567"/>
  <c r="O327"/>
  <c r="Q988"/>
  <c r="Q1101"/>
  <c r="P503"/>
  <c r="O271"/>
  <c r="O826"/>
  <c r="Q816"/>
  <c r="Q418"/>
  <c r="P84"/>
  <c r="R84" s="1"/>
  <c r="Q1189"/>
  <c r="O1230"/>
  <c r="P990"/>
  <c r="O404"/>
  <c r="R404" s="1"/>
  <c r="P41"/>
  <c r="P782"/>
  <c r="O468"/>
  <c r="R468" s="1"/>
  <c r="P471"/>
  <c r="P340"/>
  <c r="Q1112"/>
  <c r="O806"/>
  <c r="O394"/>
  <c r="P603"/>
  <c r="O253"/>
  <c r="O952"/>
  <c r="P1209"/>
  <c r="Q808"/>
  <c r="P622"/>
  <c r="O490"/>
  <c r="R490" s="1"/>
  <c r="P362"/>
  <c r="P223"/>
  <c r="Q715"/>
  <c r="O587"/>
  <c r="O1161"/>
  <c r="P1047"/>
  <c r="P175"/>
  <c r="O922"/>
  <c r="O426"/>
  <c r="P731"/>
  <c r="P1037"/>
  <c r="O189"/>
  <c r="Q1259"/>
  <c r="Q1227"/>
  <c r="Q1099"/>
  <c r="O32"/>
  <c r="O808"/>
  <c r="P458"/>
  <c r="P330"/>
  <c r="P253"/>
  <c r="P157"/>
  <c r="O736"/>
  <c r="P1023"/>
  <c r="Q1046"/>
  <c r="Q747"/>
  <c r="Q619"/>
  <c r="P1040"/>
  <c r="Q779"/>
  <c r="Q74"/>
  <c r="Q791"/>
  <c r="Q743"/>
  <c r="O879"/>
  <c r="Q943"/>
  <c r="O1116"/>
  <c r="Q1020"/>
  <c r="O546"/>
  <c r="P375"/>
  <c r="O311"/>
  <c r="P816"/>
  <c r="R816" s="1"/>
  <c r="Q1091"/>
  <c r="P582"/>
  <c r="R582" s="1"/>
  <c r="P418"/>
  <c r="O290"/>
  <c r="Q895"/>
  <c r="Q487"/>
  <c r="Q359"/>
  <c r="P1134"/>
  <c r="R1134" s="1"/>
  <c r="O1166"/>
  <c r="O782"/>
  <c r="Q372"/>
  <c r="P149"/>
  <c r="P586"/>
  <c r="Q407"/>
  <c r="P692"/>
  <c r="Q1067"/>
  <c r="O1192"/>
  <c r="Q760"/>
  <c r="P574"/>
  <c r="P791"/>
  <c r="P743"/>
  <c r="Q695"/>
  <c r="P631"/>
  <c r="P567"/>
  <c r="Q455"/>
  <c r="P391"/>
  <c r="P943"/>
  <c r="O1020"/>
  <c r="R1020" s="1"/>
  <c r="Q1261"/>
  <c r="Q578"/>
  <c r="Q947"/>
  <c r="Q1024"/>
  <c r="Q1249"/>
  <c r="R1249" s="1"/>
  <c r="P1162"/>
  <c r="Q482"/>
  <c r="Q354"/>
  <c r="Q226"/>
  <c r="P50"/>
  <c r="P815"/>
  <c r="P359"/>
  <c r="P996"/>
  <c r="Q990"/>
  <c r="O500"/>
  <c r="P277"/>
  <c r="P746"/>
  <c r="P1214"/>
  <c r="O660"/>
  <c r="O372"/>
  <c r="P407"/>
  <c r="P1173"/>
  <c r="Q928"/>
  <c r="Q756"/>
  <c r="O88"/>
  <c r="P1251"/>
  <c r="Q1034"/>
  <c r="O1015"/>
  <c r="O948"/>
  <c r="O85"/>
  <c r="P660"/>
  <c r="O1170"/>
  <c r="O799"/>
  <c r="P1101"/>
  <c r="Q1195"/>
  <c r="Q1170"/>
  <c r="Q584"/>
  <c r="O504"/>
  <c r="P218"/>
  <c r="O775"/>
  <c r="R775" s="1"/>
  <c r="Q759"/>
  <c r="Q727"/>
  <c r="O695"/>
  <c r="O663"/>
  <c r="R663" s="1"/>
  <c r="Q647"/>
  <c r="Q583"/>
  <c r="P551"/>
  <c r="Q519"/>
  <c r="Q327"/>
  <c r="Q1143"/>
  <c r="O1169"/>
  <c r="O1041"/>
  <c r="R1041" s="1"/>
  <c r="P1119"/>
  <c r="Q959"/>
  <c r="Q927"/>
  <c r="O988"/>
  <c r="O1261"/>
  <c r="R1261" s="1"/>
  <c r="Q902"/>
  <c r="O908"/>
  <c r="O876"/>
  <c r="O578"/>
  <c r="Q546"/>
  <c r="Q503"/>
  <c r="P439"/>
  <c r="Q271"/>
  <c r="O116"/>
  <c r="R116" s="1"/>
  <c r="O1162"/>
  <c r="O599"/>
  <c r="R599" s="1"/>
  <c r="O487"/>
  <c r="O1219"/>
  <c r="O1091"/>
  <c r="Q944"/>
  <c r="P1178"/>
  <c r="R1178" s="1"/>
  <c r="O1034"/>
  <c r="R1034" s="1"/>
  <c r="Q858"/>
  <c r="Q762"/>
  <c r="O624"/>
  <c r="Q514"/>
  <c r="Q450"/>
  <c r="Q386"/>
  <c r="Q322"/>
  <c r="Q258"/>
  <c r="P863"/>
  <c r="O244"/>
  <c r="R244" s="1"/>
  <c r="Q148"/>
  <c r="Q1044"/>
  <c r="Q996"/>
  <c r="O1189"/>
  <c r="O820"/>
  <c r="O308"/>
  <c r="Q277"/>
  <c r="Q181"/>
  <c r="Q746"/>
  <c r="Q602"/>
  <c r="R602" s="1"/>
  <c r="Q586"/>
  <c r="P343"/>
  <c r="Q111"/>
  <c r="Q1173"/>
  <c r="Q1006"/>
  <c r="Q740"/>
  <c r="O532"/>
  <c r="R532" s="1"/>
  <c r="Q436"/>
  <c r="P714"/>
  <c r="P535"/>
  <c r="R535" s="1"/>
  <c r="P247"/>
  <c r="Q624"/>
  <c r="Q820"/>
  <c r="P1219"/>
  <c r="O1195"/>
  <c r="Q1192"/>
  <c r="O727"/>
  <c r="Q679"/>
  <c r="O50"/>
  <c r="P959"/>
  <c r="R959" s="1"/>
  <c r="Q1085"/>
  <c r="R1085" s="1"/>
  <c r="O1174"/>
  <c r="P902"/>
  <c r="Q594"/>
  <c r="Q831"/>
  <c r="P944"/>
  <c r="R944" s="1"/>
  <c r="P911"/>
  <c r="O1001"/>
  <c r="R1001" s="1"/>
  <c r="O241"/>
  <c r="O662"/>
  <c r="Q598"/>
  <c r="P450"/>
  <c r="R450" s="1"/>
  <c r="P386"/>
  <c r="O322"/>
  <c r="O258"/>
  <c r="O1214"/>
  <c r="R1214" s="1"/>
  <c r="P111"/>
  <c r="O740"/>
  <c r="R740" s="1"/>
  <c r="P235"/>
  <c r="R235" s="1"/>
  <c r="O105"/>
  <c r="P241"/>
  <c r="O248"/>
  <c r="Q184"/>
  <c r="P975"/>
  <c r="P1156"/>
  <c r="O518"/>
  <c r="P93"/>
  <c r="P1099"/>
  <c r="O664"/>
  <c r="Q686"/>
  <c r="P90"/>
  <c r="O1046"/>
  <c r="P1226"/>
  <c r="O93"/>
  <c r="Q1151"/>
  <c r="Q1084"/>
  <c r="Q1037"/>
  <c r="Q838"/>
  <c r="P522"/>
  <c r="P604"/>
  <c r="P779"/>
  <c r="O747"/>
  <c r="O715"/>
  <c r="O683"/>
  <c r="Q651"/>
  <c r="O619"/>
  <c r="P587"/>
  <c r="Q571"/>
  <c r="O539"/>
  <c r="Q523"/>
  <c r="Q96"/>
  <c r="O177"/>
  <c r="P963"/>
  <c r="O1265"/>
  <c r="O1050"/>
  <c r="O678"/>
  <c r="Q194"/>
  <c r="Q162"/>
  <c r="Q130"/>
  <c r="P151"/>
  <c r="O1109"/>
  <c r="P766"/>
  <c r="P113"/>
  <c r="R113" s="1"/>
  <c r="O363"/>
  <c r="O157"/>
  <c r="P1257"/>
  <c r="Q840"/>
  <c r="P1254"/>
  <c r="Q1064"/>
  <c r="Q952"/>
  <c r="Q32"/>
  <c r="O946"/>
  <c r="O840"/>
  <c r="P571"/>
  <c r="O1073"/>
  <c r="O1151"/>
  <c r="O1084"/>
  <c r="Q1014"/>
  <c r="O838"/>
  <c r="Q806"/>
  <c r="Q763"/>
  <c r="P683"/>
  <c r="P651"/>
  <c r="Q603"/>
  <c r="Q555"/>
  <c r="O523"/>
  <c r="P99"/>
  <c r="R99" s="1"/>
  <c r="Q160"/>
  <c r="Q995"/>
  <c r="Q1184"/>
  <c r="Q1201"/>
  <c r="O1210"/>
  <c r="O970"/>
  <c r="Q922"/>
  <c r="O194"/>
  <c r="O162"/>
  <c r="O130"/>
  <c r="Q1076"/>
  <c r="Q1028"/>
  <c r="O1038"/>
  <c r="O215"/>
  <c r="Q87"/>
  <c r="P878"/>
  <c r="P819"/>
  <c r="O175"/>
  <c r="P47"/>
  <c r="O788"/>
  <c r="P803"/>
  <c r="P379"/>
  <c r="O911"/>
  <c r="P145"/>
  <c r="R145" s="1"/>
  <c r="O459"/>
  <c r="P459"/>
  <c r="Q223"/>
  <c r="Q275"/>
  <c r="Q1023"/>
  <c r="Q1254"/>
  <c r="Q1174"/>
  <c r="R1174" s="1"/>
  <c r="O763"/>
  <c r="O731"/>
  <c r="Q699"/>
  <c r="Q667"/>
  <c r="Q635"/>
  <c r="Q224"/>
  <c r="O1123"/>
  <c r="Q1104"/>
  <c r="Q1226"/>
  <c r="P698"/>
  <c r="Q883"/>
  <c r="Q279"/>
  <c r="R279" s="1"/>
  <c r="O87"/>
  <c r="P900"/>
  <c r="Q915"/>
  <c r="Q884"/>
  <c r="P788"/>
  <c r="O899"/>
  <c r="P491"/>
  <c r="P315"/>
  <c r="P283"/>
  <c r="X8"/>
  <c r="Z8"/>
  <c r="Q1218"/>
  <c r="O224"/>
  <c r="O160"/>
  <c r="R160" s="1"/>
  <c r="O96"/>
  <c r="P1123"/>
  <c r="O995"/>
  <c r="Q979"/>
  <c r="O947"/>
  <c r="Q931"/>
  <c r="Q1040"/>
  <c r="O1201"/>
  <c r="Q320"/>
  <c r="P598"/>
  <c r="Q550"/>
  <c r="O1047"/>
  <c r="R1047" s="1"/>
  <c r="Q1204"/>
  <c r="O1076"/>
  <c r="R1076" s="1"/>
  <c r="Q1125"/>
  <c r="P1038"/>
  <c r="Q596"/>
  <c r="O883"/>
  <c r="Q835"/>
  <c r="O878"/>
  <c r="O915"/>
  <c r="Q867"/>
  <c r="O1262"/>
  <c r="O884"/>
  <c r="P899"/>
  <c r="Q851"/>
  <c r="O427"/>
  <c r="P299"/>
  <c r="O507"/>
  <c r="O217"/>
  <c r="P507"/>
  <c r="O331"/>
  <c r="P347"/>
  <c r="O299"/>
  <c r="O395"/>
  <c r="P946"/>
  <c r="P189"/>
  <c r="P125"/>
  <c r="O61"/>
  <c r="Q854"/>
  <c r="Q256"/>
  <c r="Q192"/>
  <c r="Q128"/>
  <c r="Q64"/>
  <c r="O979"/>
  <c r="Q963"/>
  <c r="O931"/>
  <c r="P986"/>
  <c r="Q778"/>
  <c r="Q736"/>
  <c r="Q384"/>
  <c r="O550"/>
  <c r="P66"/>
  <c r="Q127"/>
  <c r="Q1175"/>
  <c r="O1204"/>
  <c r="O1125"/>
  <c r="O835"/>
  <c r="Q900"/>
  <c r="O867"/>
  <c r="Q819"/>
  <c r="O1077"/>
  <c r="Q714"/>
  <c r="O851"/>
  <c r="Q803"/>
  <c r="O491"/>
  <c r="O379"/>
  <c r="P177"/>
  <c r="O49"/>
  <c r="O411"/>
  <c r="P411"/>
  <c r="P331"/>
  <c r="O283"/>
  <c r="P363"/>
  <c r="O256"/>
  <c r="O192"/>
  <c r="O128"/>
  <c r="O64"/>
  <c r="O1175"/>
  <c r="R1175" s="1"/>
  <c r="P678"/>
  <c r="P1073"/>
  <c r="Q448"/>
  <c r="P191"/>
  <c r="O315"/>
  <c r="P443"/>
  <c r="P684"/>
  <c r="R684" s="1"/>
  <c r="P475"/>
  <c r="O475"/>
  <c r="P395"/>
  <c r="P427"/>
  <c r="O347"/>
  <c r="Q694"/>
  <c r="P614"/>
  <c r="O1118"/>
  <c r="O239"/>
  <c r="P496"/>
  <c r="R6"/>
  <c r="W6" s="1"/>
  <c r="Y6"/>
  <c r="Z6"/>
  <c r="P1056"/>
  <c r="Q1257"/>
  <c r="O1218"/>
  <c r="R1218" s="1"/>
  <c r="O686"/>
  <c r="P275"/>
  <c r="Q1004"/>
  <c r="Q1181"/>
  <c r="O854"/>
  <c r="Q774"/>
  <c r="O1104"/>
  <c r="Q1056"/>
  <c r="P778"/>
  <c r="Q544"/>
  <c r="Q512"/>
  <c r="O448"/>
  <c r="R448" s="1"/>
  <c r="O384"/>
  <c r="R384" s="1"/>
  <c r="O320"/>
  <c r="O614"/>
  <c r="O1028"/>
  <c r="Q868"/>
  <c r="O596"/>
  <c r="P774"/>
  <c r="O480"/>
  <c r="O1004"/>
  <c r="O1181"/>
  <c r="O1097"/>
  <c r="Q986"/>
  <c r="P544"/>
  <c r="O512"/>
  <c r="Q480"/>
  <c r="Q416"/>
  <c r="Q352"/>
  <c r="Q288"/>
  <c r="Q1156"/>
  <c r="R1156" s="1"/>
  <c r="O868"/>
  <c r="Q1013"/>
  <c r="O416"/>
  <c r="O352"/>
  <c r="O288"/>
  <c r="P1198"/>
  <c r="O832"/>
  <c r="P1186"/>
  <c r="O999"/>
  <c r="P166"/>
  <c r="P361"/>
  <c r="P281"/>
  <c r="O649"/>
  <c r="O850"/>
  <c r="P520"/>
  <c r="O100"/>
  <c r="P498"/>
  <c r="O716"/>
  <c r="O441"/>
  <c r="Q869"/>
  <c r="P69"/>
  <c r="Q901"/>
  <c r="O1179"/>
  <c r="P770"/>
  <c r="Q115"/>
  <c r="O1155"/>
  <c r="P548"/>
  <c r="Q452"/>
  <c r="P356"/>
  <c r="P992"/>
  <c r="P832"/>
  <c r="Q392"/>
  <c r="Q1132"/>
  <c r="P1036"/>
  <c r="O1030"/>
  <c r="P982"/>
  <c r="P143"/>
  <c r="P196"/>
  <c r="P358"/>
  <c r="O697"/>
  <c r="P1090"/>
  <c r="O802"/>
  <c r="Q728"/>
  <c r="Q456"/>
  <c r="Q489"/>
  <c r="Q51"/>
  <c r="Q228"/>
  <c r="P132"/>
  <c r="Q924"/>
  <c r="P716"/>
  <c r="O601"/>
  <c r="Q1075"/>
  <c r="O1088"/>
  <c r="Q768"/>
  <c r="Q687"/>
  <c r="P1252"/>
  <c r="Q885"/>
  <c r="P942"/>
  <c r="O949"/>
  <c r="O708"/>
  <c r="O420"/>
  <c r="O390"/>
  <c r="O933"/>
  <c r="Q326"/>
  <c r="P40"/>
  <c r="O1025"/>
  <c r="O251"/>
  <c r="O457"/>
  <c r="O91"/>
  <c r="R4"/>
  <c r="W4" s="1"/>
  <c r="P392"/>
  <c r="P1025"/>
  <c r="O745"/>
  <c r="O569"/>
  <c r="P488"/>
  <c r="Q521"/>
  <c r="Q702"/>
  <c r="Q823"/>
  <c r="Q1244"/>
  <c r="Q1213"/>
  <c r="P796"/>
  <c r="Q690"/>
  <c r="P207"/>
  <c r="P79"/>
  <c r="P639"/>
  <c r="P260"/>
  <c r="Q164"/>
  <c r="P68"/>
  <c r="P751"/>
  <c r="P409"/>
  <c r="P153"/>
  <c r="P1098"/>
  <c r="P890"/>
  <c r="P672"/>
  <c r="P1127"/>
  <c r="O917"/>
  <c r="P454"/>
  <c r="P262"/>
  <c r="Q38"/>
  <c r="P72"/>
  <c r="O197"/>
  <c r="O486"/>
  <c r="Q198"/>
  <c r="P981"/>
  <c r="O422"/>
  <c r="O361"/>
  <c r="P601"/>
  <c r="P729"/>
  <c r="P1120"/>
  <c r="P457"/>
  <c r="O777"/>
  <c r="O617"/>
  <c r="Q1234"/>
  <c r="Q824"/>
  <c r="Q600"/>
  <c r="Q328"/>
  <c r="P903"/>
  <c r="Q179"/>
  <c r="O537"/>
  <c r="Q1133"/>
  <c r="Q1270"/>
  <c r="P231"/>
  <c r="P976"/>
  <c r="O1200"/>
  <c r="Q992"/>
  <c r="O951"/>
  <c r="P965"/>
  <c r="O102"/>
  <c r="Q264"/>
  <c r="P1070"/>
  <c r="O294"/>
  <c r="O70"/>
  <c r="O104"/>
  <c r="P805"/>
  <c r="O388"/>
  <c r="P165"/>
  <c r="Q230"/>
  <c r="P702"/>
  <c r="P626"/>
  <c r="O106"/>
  <c r="P424"/>
  <c r="P296"/>
  <c r="P1133"/>
  <c r="Q1051"/>
  <c r="Q1224"/>
  <c r="Q1144"/>
  <c r="Q1080"/>
  <c r="Q761"/>
  <c r="Q713"/>
  <c r="Q681"/>
  <c r="Q633"/>
  <c r="Q585"/>
  <c r="Q553"/>
  <c r="O1234"/>
  <c r="O1186"/>
  <c r="O770"/>
  <c r="R770" s="1"/>
  <c r="O824"/>
  <c r="O728"/>
  <c r="O600"/>
  <c r="R600" s="1"/>
  <c r="Q552"/>
  <c r="O456"/>
  <c r="O328"/>
  <c r="O521"/>
  <c r="O489"/>
  <c r="Q106"/>
  <c r="O919"/>
  <c r="P839"/>
  <c r="O415"/>
  <c r="O287"/>
  <c r="P179"/>
  <c r="R179" s="1"/>
  <c r="P115"/>
  <c r="P51"/>
  <c r="O228"/>
  <c r="P100"/>
  <c r="O1244"/>
  <c r="R1244" s="1"/>
  <c r="Q1263"/>
  <c r="Q1231"/>
  <c r="O1132"/>
  <c r="Q940"/>
  <c r="O1229"/>
  <c r="P1270"/>
  <c r="R1270" s="1"/>
  <c r="Q1190"/>
  <c r="P1078"/>
  <c r="Q934"/>
  <c r="Q812"/>
  <c r="P780"/>
  <c r="P690"/>
  <c r="Q610"/>
  <c r="P562"/>
  <c r="O463"/>
  <c r="O335"/>
  <c r="O207"/>
  <c r="O143"/>
  <c r="R143" s="1"/>
  <c r="O79"/>
  <c r="Q703"/>
  <c r="P511"/>
  <c r="O231"/>
  <c r="Q103"/>
  <c r="O164"/>
  <c r="R164" s="1"/>
  <c r="O1033"/>
  <c r="O377"/>
  <c r="P329"/>
  <c r="O209"/>
  <c r="P121"/>
  <c r="O1267"/>
  <c r="O1075"/>
  <c r="Q1027"/>
  <c r="Q874"/>
  <c r="O848"/>
  <c r="O688"/>
  <c r="O640"/>
  <c r="Q751"/>
  <c r="Q36"/>
  <c r="O1127"/>
  <c r="Q983"/>
  <c r="O1252"/>
  <c r="R1252" s="1"/>
  <c r="Q1060"/>
  <c r="Q1221"/>
  <c r="P917"/>
  <c r="O885"/>
  <c r="Q837"/>
  <c r="Q894"/>
  <c r="O452"/>
  <c r="Q133"/>
  <c r="P102"/>
  <c r="O38"/>
  <c r="Q367"/>
  <c r="O264"/>
  <c r="Q168"/>
  <c r="P949"/>
  <c r="O869"/>
  <c r="Q821"/>
  <c r="P708"/>
  <c r="Q612"/>
  <c r="Q516"/>
  <c r="P420"/>
  <c r="Q324"/>
  <c r="P197"/>
  <c r="O69"/>
  <c r="P390"/>
  <c r="P294"/>
  <c r="O198"/>
  <c r="P70"/>
  <c r="O200"/>
  <c r="P933"/>
  <c r="O901"/>
  <c r="R901" s="1"/>
  <c r="Q853"/>
  <c r="Q484"/>
  <c r="P388"/>
  <c r="Q292"/>
  <c r="P101"/>
  <c r="P518"/>
  <c r="P422"/>
  <c r="O326"/>
  <c r="O230"/>
  <c r="Q134"/>
  <c r="P232"/>
  <c r="P393"/>
  <c r="O233"/>
  <c r="P537"/>
  <c r="P251"/>
  <c r="O57"/>
  <c r="O89"/>
  <c r="P377"/>
  <c r="O281"/>
  <c r="O153"/>
  <c r="O219"/>
  <c r="R7"/>
  <c r="W7" s="1"/>
  <c r="P559"/>
  <c r="P783"/>
  <c r="O1145"/>
  <c r="O1049"/>
  <c r="O221"/>
  <c r="P37"/>
  <c r="O672"/>
  <c r="Q1179"/>
  <c r="O1051"/>
  <c r="O1224"/>
  <c r="O1144"/>
  <c r="Q1096"/>
  <c r="Q1048"/>
  <c r="Q1016"/>
  <c r="O761"/>
  <c r="O713"/>
  <c r="O681"/>
  <c r="O633"/>
  <c r="O585"/>
  <c r="O553"/>
  <c r="Q1026"/>
  <c r="Q802"/>
  <c r="R802" s="1"/>
  <c r="O872"/>
  <c r="Q520"/>
  <c r="Q488"/>
  <c r="Q424"/>
  <c r="Q360"/>
  <c r="Q296"/>
  <c r="Q505"/>
  <c r="Q42"/>
  <c r="O855"/>
  <c r="Q147"/>
  <c r="Q132"/>
  <c r="P738"/>
  <c r="P242"/>
  <c r="P1103"/>
  <c r="P1049"/>
  <c r="P793"/>
  <c r="O473"/>
  <c r="O409"/>
  <c r="P221"/>
  <c r="O37"/>
  <c r="R37" s="1"/>
  <c r="P1263"/>
  <c r="P1231"/>
  <c r="Q1183"/>
  <c r="Q1036"/>
  <c r="R1036" s="1"/>
  <c r="O940"/>
  <c r="R940" s="1"/>
  <c r="Q1117"/>
  <c r="Q1222"/>
  <c r="O1190"/>
  <c r="R1190" s="1"/>
  <c r="O934"/>
  <c r="O828"/>
  <c r="Q796"/>
  <c r="O738"/>
  <c r="R738" s="1"/>
  <c r="O610"/>
  <c r="O735"/>
  <c r="Q575"/>
  <c r="P167"/>
  <c r="Q260"/>
  <c r="Q68"/>
  <c r="P1203"/>
  <c r="P1200"/>
  <c r="P441"/>
  <c r="P345"/>
  <c r="P297"/>
  <c r="P89"/>
  <c r="Q1203"/>
  <c r="Q976"/>
  <c r="O1242"/>
  <c r="O874"/>
  <c r="Q794"/>
  <c r="Q559"/>
  <c r="O255"/>
  <c r="Q196"/>
  <c r="R196" s="1"/>
  <c r="O36"/>
  <c r="Q999"/>
  <c r="Q1220"/>
  <c r="O1060"/>
  <c r="P964"/>
  <c r="O1221"/>
  <c r="Q965"/>
  <c r="O837"/>
  <c r="O894"/>
  <c r="Q548"/>
  <c r="Q356"/>
  <c r="O133"/>
  <c r="P554"/>
  <c r="Q454"/>
  <c r="Q358"/>
  <c r="Q262"/>
  <c r="R262" s="1"/>
  <c r="Q166"/>
  <c r="P431"/>
  <c r="O168"/>
  <c r="R168" s="1"/>
  <c r="Q72"/>
  <c r="O821"/>
  <c r="O612"/>
  <c r="O516"/>
  <c r="O324"/>
  <c r="Q486"/>
  <c r="O303"/>
  <c r="P200"/>
  <c r="P1205"/>
  <c r="Q1045"/>
  <c r="Q981"/>
  <c r="O853"/>
  <c r="Q805"/>
  <c r="R805" s="1"/>
  <c r="P958"/>
  <c r="Q628"/>
  <c r="O484"/>
  <c r="O292"/>
  <c r="R292" s="1"/>
  <c r="O101"/>
  <c r="R101" s="1"/>
  <c r="P618"/>
  <c r="O134"/>
  <c r="Q136"/>
  <c r="O665"/>
  <c r="O297"/>
  <c r="P665"/>
  <c r="O1153"/>
  <c r="O185"/>
  <c r="P91"/>
  <c r="X7"/>
  <c r="O1090"/>
  <c r="O42"/>
  <c r="P1088"/>
  <c r="P360"/>
  <c r="P1153"/>
  <c r="O793"/>
  <c r="P425"/>
  <c r="O729"/>
  <c r="O1096"/>
  <c r="O1016"/>
  <c r="Q777"/>
  <c r="Q745"/>
  <c r="Q697"/>
  <c r="Q649"/>
  <c r="Q617"/>
  <c r="Q569"/>
  <c r="P1026"/>
  <c r="Q850"/>
  <c r="O505"/>
  <c r="Q887"/>
  <c r="P479"/>
  <c r="O351"/>
  <c r="P147"/>
  <c r="R147" s="1"/>
  <c r="P370"/>
  <c r="P655"/>
  <c r="O1117"/>
  <c r="Q1142"/>
  <c r="Q982"/>
  <c r="P950"/>
  <c r="O706"/>
  <c r="Q626"/>
  <c r="O399"/>
  <c r="P767"/>
  <c r="O607"/>
  <c r="O383"/>
  <c r="P1235"/>
  <c r="P473"/>
  <c r="O393"/>
  <c r="P313"/>
  <c r="P185"/>
  <c r="P57"/>
  <c r="P1248"/>
  <c r="Q1120"/>
  <c r="Q890"/>
  <c r="P794"/>
  <c r="Q623"/>
  <c r="O1079"/>
  <c r="P935"/>
  <c r="P1236"/>
  <c r="P1061"/>
  <c r="O1086"/>
  <c r="P495"/>
  <c r="O1070"/>
  <c r="R1070" s="1"/>
  <c r="Q634"/>
  <c r="Q104"/>
  <c r="Q165"/>
  <c r="O136"/>
  <c r="R136" s="1"/>
  <c r="O40"/>
  <c r="O1103"/>
  <c r="R1103" s="1"/>
  <c r="O425"/>
  <c r="O329"/>
  <c r="R329" s="1"/>
  <c r="O313"/>
  <c r="O345"/>
  <c r="R345" s="1"/>
  <c r="O121"/>
  <c r="P219"/>
  <c r="P216"/>
  <c r="Q120"/>
  <c r="O117"/>
  <c r="Q47"/>
  <c r="P152"/>
  <c r="P1013"/>
  <c r="Q1198"/>
  <c r="P53"/>
  <c r="Q280"/>
  <c r="O847"/>
  <c r="O975"/>
  <c r="O676"/>
  <c r="O267"/>
  <c r="R1081"/>
  <c r="R825"/>
  <c r="R953"/>
  <c r="R841"/>
  <c r="R641"/>
  <c r="R1137"/>
  <c r="R385"/>
  <c r="R129"/>
  <c r="R1009"/>
  <c r="R817"/>
  <c r="R937"/>
  <c r="R873"/>
  <c r="R225"/>
  <c r="R513"/>
  <c r="P662"/>
  <c r="O138"/>
  <c r="P813"/>
  <c r="R813" s="1"/>
  <c r="O673"/>
  <c r="O1080"/>
  <c r="Q1250"/>
  <c r="Q1010"/>
  <c r="O744"/>
  <c r="O552"/>
  <c r="P504"/>
  <c r="Q138"/>
  <c r="O903"/>
  <c r="Q871"/>
  <c r="P823"/>
  <c r="P268"/>
  <c r="R268" s="1"/>
  <c r="Q236"/>
  <c r="P204"/>
  <c r="R204" s="1"/>
  <c r="Q172"/>
  <c r="P140"/>
  <c r="R140" s="1"/>
  <c r="Q108"/>
  <c r="P76"/>
  <c r="R76" s="1"/>
  <c r="Q44"/>
  <c r="Q83"/>
  <c r="Q1191"/>
  <c r="O1142"/>
  <c r="P534"/>
  <c r="R534" s="1"/>
  <c r="O402"/>
  <c r="P274"/>
  <c r="P737"/>
  <c r="R737" s="1"/>
  <c r="O657"/>
  <c r="P481"/>
  <c r="R481" s="1"/>
  <c r="O1183"/>
  <c r="Q1167"/>
  <c r="Q1055"/>
  <c r="Q1212"/>
  <c r="Q1148"/>
  <c r="O924"/>
  <c r="P1229"/>
  <c r="O1213"/>
  <c r="O1005"/>
  <c r="R1005" s="1"/>
  <c r="O941"/>
  <c r="R941" s="1"/>
  <c r="O909"/>
  <c r="R909" s="1"/>
  <c r="O877"/>
  <c r="P1222"/>
  <c r="P1030"/>
  <c r="Q918"/>
  <c r="P892"/>
  <c r="R892" s="1"/>
  <c r="Q860"/>
  <c r="P828"/>
  <c r="O812"/>
  <c r="Q620"/>
  <c r="Q460"/>
  <c r="P428"/>
  <c r="R428" s="1"/>
  <c r="Q396"/>
  <c r="P364"/>
  <c r="Q332"/>
  <c r="P300"/>
  <c r="Q754"/>
  <c r="O594"/>
  <c r="O562"/>
  <c r="Q530"/>
  <c r="O247"/>
  <c r="Q34"/>
  <c r="P735"/>
  <c r="O703"/>
  <c r="Q671"/>
  <c r="P607"/>
  <c r="O575"/>
  <c r="Q543"/>
  <c r="O167"/>
  <c r="P103"/>
  <c r="Q63"/>
  <c r="Q1207"/>
  <c r="P646"/>
  <c r="P1139"/>
  <c r="R1139" s="1"/>
  <c r="P1105"/>
  <c r="P785"/>
  <c r="P657"/>
  <c r="P529"/>
  <c r="P265"/>
  <c r="P233"/>
  <c r="P201"/>
  <c r="P169"/>
  <c r="P137"/>
  <c r="P105"/>
  <c r="P73"/>
  <c r="P1267"/>
  <c r="O1027"/>
  <c r="O1184"/>
  <c r="Q960"/>
  <c r="P1217"/>
  <c r="Q1258"/>
  <c r="Q1066"/>
  <c r="P970"/>
  <c r="Q842"/>
  <c r="O810"/>
  <c r="R810" s="1"/>
  <c r="O768"/>
  <c r="P688"/>
  <c r="P640"/>
  <c r="Q646"/>
  <c r="O687"/>
  <c r="O623"/>
  <c r="Q447"/>
  <c r="Q319"/>
  <c r="O191"/>
  <c r="P127"/>
  <c r="Q39"/>
  <c r="O1063"/>
  <c r="P983"/>
  <c r="Q967"/>
  <c r="O935"/>
  <c r="P1268"/>
  <c r="O1236"/>
  <c r="P1220"/>
  <c r="P1172"/>
  <c r="R1172" s="1"/>
  <c r="O1012"/>
  <c r="R1012" s="1"/>
  <c r="P948"/>
  <c r="P1253"/>
  <c r="R1253" s="1"/>
  <c r="Q1093"/>
  <c r="P1182"/>
  <c r="Q846"/>
  <c r="O756"/>
  <c r="O181"/>
  <c r="Q650"/>
  <c r="O554"/>
  <c r="P502"/>
  <c r="R502" s="1"/>
  <c r="O310"/>
  <c r="O431"/>
  <c r="P367"/>
  <c r="O120"/>
  <c r="Q926"/>
  <c r="O564"/>
  <c r="O245"/>
  <c r="P117"/>
  <c r="Q730"/>
  <c r="Q438"/>
  <c r="P342"/>
  <c r="R342" s="1"/>
  <c r="Q246"/>
  <c r="P150"/>
  <c r="R150" s="1"/>
  <c r="O118"/>
  <c r="P248"/>
  <c r="Q56"/>
  <c r="P1077"/>
  <c r="O1045"/>
  <c r="O1102"/>
  <c r="R1102" s="1"/>
  <c r="P676"/>
  <c r="O628"/>
  <c r="Q261"/>
  <c r="O53"/>
  <c r="Q570"/>
  <c r="P470"/>
  <c r="Q374"/>
  <c r="P278"/>
  <c r="R278" s="1"/>
  <c r="Q182"/>
  <c r="P86"/>
  <c r="R86" s="1"/>
  <c r="O54"/>
  <c r="R54" s="1"/>
  <c r="O280"/>
  <c r="O184"/>
  <c r="P88"/>
  <c r="P289"/>
  <c r="O265"/>
  <c r="O137"/>
  <c r="O497"/>
  <c r="P305"/>
  <c r="P769"/>
  <c r="P1161"/>
  <c r="O139"/>
  <c r="P203"/>
  <c r="O83"/>
  <c r="P1039"/>
  <c r="P753"/>
  <c r="P497"/>
  <c r="O1115"/>
  <c r="R1115" s="1"/>
  <c r="O1112"/>
  <c r="R1112" s="1"/>
  <c r="O1048"/>
  <c r="Q1106"/>
  <c r="Q1074"/>
  <c r="Q866"/>
  <c r="Q834"/>
  <c r="Q888"/>
  <c r="Q536"/>
  <c r="Q718"/>
  <c r="Q202"/>
  <c r="Q170"/>
  <c r="P887"/>
  <c r="O839"/>
  <c r="Q807"/>
  <c r="O906"/>
  <c r="O170"/>
  <c r="O1055"/>
  <c r="P689"/>
  <c r="R689" s="1"/>
  <c r="O609"/>
  <c r="O449"/>
  <c r="Q1131"/>
  <c r="Q1003"/>
  <c r="Q1160"/>
  <c r="Q1128"/>
  <c r="Q1000"/>
  <c r="Q1177"/>
  <c r="O1250"/>
  <c r="O1106"/>
  <c r="P1074"/>
  <c r="P1010"/>
  <c r="P866"/>
  <c r="P834"/>
  <c r="Q786"/>
  <c r="O888"/>
  <c r="Q776"/>
  <c r="O536"/>
  <c r="R536" s="1"/>
  <c r="Q472"/>
  <c r="Q440"/>
  <c r="Q408"/>
  <c r="Q376"/>
  <c r="Q344"/>
  <c r="Q312"/>
  <c r="P718"/>
  <c r="P202"/>
  <c r="Q919"/>
  <c r="P871"/>
  <c r="Q855"/>
  <c r="P807"/>
  <c r="Q479"/>
  <c r="Q415"/>
  <c r="Q351"/>
  <c r="Q287"/>
  <c r="O236"/>
  <c r="O172"/>
  <c r="O108"/>
  <c r="O44"/>
  <c r="O1191"/>
  <c r="O434"/>
  <c r="P306"/>
  <c r="P527"/>
  <c r="P1145"/>
  <c r="P673"/>
  <c r="O593"/>
  <c r="P449"/>
  <c r="P1167"/>
  <c r="P1212"/>
  <c r="Q1196"/>
  <c r="R1196" s="1"/>
  <c r="O1148"/>
  <c r="Q989"/>
  <c r="Q957"/>
  <c r="Q925"/>
  <c r="Q893"/>
  <c r="Q861"/>
  <c r="Q829"/>
  <c r="Q797"/>
  <c r="Q1110"/>
  <c r="Q1078"/>
  <c r="Q998"/>
  <c r="Q950"/>
  <c r="O918"/>
  <c r="O860"/>
  <c r="Q700"/>
  <c r="P620"/>
  <c r="O460"/>
  <c r="O396"/>
  <c r="O332"/>
  <c r="O754"/>
  <c r="Q658"/>
  <c r="R658" s="1"/>
  <c r="P530"/>
  <c r="Q463"/>
  <c r="Q399"/>
  <c r="Q335"/>
  <c r="P34"/>
  <c r="Q767"/>
  <c r="O671"/>
  <c r="Q639"/>
  <c r="O543"/>
  <c r="Q511"/>
  <c r="Q383"/>
  <c r="P63"/>
  <c r="P1207"/>
  <c r="P848"/>
  <c r="O1129"/>
  <c r="O705"/>
  <c r="O577"/>
  <c r="O465"/>
  <c r="O401"/>
  <c r="O369"/>
  <c r="O337"/>
  <c r="O305"/>
  <c r="Q1235"/>
  <c r="Q1155"/>
  <c r="Q1011"/>
  <c r="R1011" s="1"/>
  <c r="Q1248"/>
  <c r="O960"/>
  <c r="O1258"/>
  <c r="Q1242"/>
  <c r="Q1098"/>
  <c r="O1066"/>
  <c r="Q938"/>
  <c r="Q906"/>
  <c r="O842"/>
  <c r="Q656"/>
  <c r="R656" s="1"/>
  <c r="Q608"/>
  <c r="Q498"/>
  <c r="Q466"/>
  <c r="Q434"/>
  <c r="Q402"/>
  <c r="Q370"/>
  <c r="Q338"/>
  <c r="Q306"/>
  <c r="Q274"/>
  <c r="Q242"/>
  <c r="Q82"/>
  <c r="Q719"/>
  <c r="Q655"/>
  <c r="Q591"/>
  <c r="Q527"/>
  <c r="P447"/>
  <c r="P319"/>
  <c r="Q255"/>
  <c r="P39"/>
  <c r="Q1079"/>
  <c r="P967"/>
  <c r="Q951"/>
  <c r="Q964"/>
  <c r="O1093"/>
  <c r="Q1061"/>
  <c r="Q1086"/>
  <c r="P846"/>
  <c r="Q85"/>
  <c r="P650"/>
  <c r="Q406"/>
  <c r="R406" s="1"/>
  <c r="Q214"/>
  <c r="R214" s="1"/>
  <c r="Q495"/>
  <c r="Q215"/>
  <c r="Q216"/>
  <c r="Q41"/>
  <c r="R41" s="1"/>
  <c r="P926"/>
  <c r="Q149"/>
  <c r="O730"/>
  <c r="O438"/>
  <c r="O246"/>
  <c r="Q303"/>
  <c r="Q152"/>
  <c r="O56"/>
  <c r="Q1150"/>
  <c r="R1150" s="1"/>
  <c r="Q958"/>
  <c r="O261"/>
  <c r="Q213"/>
  <c r="R213" s="1"/>
  <c r="P570"/>
  <c r="O374"/>
  <c r="O182"/>
  <c r="P465"/>
  <c r="P321"/>
  <c r="P1129"/>
  <c r="P433"/>
  <c r="R433" s="1"/>
  <c r="O169"/>
  <c r="P577"/>
  <c r="P337"/>
  <c r="P209"/>
  <c r="O1039"/>
  <c r="O783"/>
  <c r="P267"/>
  <c r="P1089"/>
  <c r="R1089" s="1"/>
  <c r="O1131"/>
  <c r="O1003"/>
  <c r="O1160"/>
  <c r="O1128"/>
  <c r="O1000"/>
  <c r="Q1241"/>
  <c r="O1177"/>
  <c r="O786"/>
  <c r="Q872"/>
  <c r="O472"/>
  <c r="O440"/>
  <c r="O408"/>
  <c r="O376"/>
  <c r="O344"/>
  <c r="O312"/>
  <c r="Q574"/>
  <c r="Q90"/>
  <c r="P706"/>
  <c r="O466"/>
  <c r="P338"/>
  <c r="O82"/>
  <c r="R82" s="1"/>
  <c r="O1105"/>
  <c r="O785"/>
  <c r="P609"/>
  <c r="O529"/>
  <c r="P417"/>
  <c r="R417" s="1"/>
  <c r="Q1247"/>
  <c r="R1247" s="1"/>
  <c r="O989"/>
  <c r="R989" s="1"/>
  <c r="O957"/>
  <c r="R957" s="1"/>
  <c r="O925"/>
  <c r="R925" s="1"/>
  <c r="O893"/>
  <c r="R893" s="1"/>
  <c r="O861"/>
  <c r="R861" s="1"/>
  <c r="O829"/>
  <c r="R829" s="1"/>
  <c r="O797"/>
  <c r="R797" s="1"/>
  <c r="Q780"/>
  <c r="Q748"/>
  <c r="R748" s="1"/>
  <c r="O700"/>
  <c r="R700" s="1"/>
  <c r="Q524"/>
  <c r="Q492"/>
  <c r="R492" s="1"/>
  <c r="P721"/>
  <c r="R721" s="1"/>
  <c r="P593"/>
  <c r="P608"/>
  <c r="O719"/>
  <c r="O591"/>
  <c r="R591" s="1"/>
  <c r="O171"/>
  <c r="R171" s="1"/>
  <c r="O625"/>
  <c r="P353"/>
  <c r="R353" s="1"/>
  <c r="O561"/>
  <c r="R561" s="1"/>
  <c r="O201"/>
  <c r="O73"/>
  <c r="O753"/>
  <c r="P369"/>
  <c r="O75"/>
  <c r="P139"/>
  <c r="Q942"/>
  <c r="O634"/>
  <c r="Q1205"/>
  <c r="Q618"/>
  <c r="Q232"/>
  <c r="P1033"/>
  <c r="P1097"/>
  <c r="R1097" s="1"/>
  <c r="R889"/>
  <c r="R285"/>
  <c r="Y3"/>
  <c r="Z3"/>
  <c r="R3"/>
  <c r="W3" s="1"/>
  <c r="Q642"/>
  <c r="O1072"/>
  <c r="R1072" s="1"/>
  <c r="O1194"/>
  <c r="R1194" s="1"/>
  <c r="P528"/>
  <c r="P916"/>
  <c r="R916" s="1"/>
  <c r="P1022"/>
  <c r="R1022" s="1"/>
  <c r="Q1141"/>
  <c r="Q814"/>
  <c r="O1094"/>
  <c r="R1094" s="1"/>
  <c r="O822"/>
  <c r="R822" s="1"/>
  <c r="Q732"/>
  <c r="R732" s="1"/>
  <c r="Q572"/>
  <c r="R572" s="1"/>
  <c r="P642"/>
  <c r="R642" s="1"/>
  <c r="Q272"/>
  <c r="Q240"/>
  <c r="R240" s="1"/>
  <c r="Q208"/>
  <c r="R208" s="1"/>
  <c r="Q176"/>
  <c r="R176" s="1"/>
  <c r="Q144"/>
  <c r="Q112"/>
  <c r="R112" s="1"/>
  <c r="Q80"/>
  <c r="Q48"/>
  <c r="R48" s="1"/>
  <c r="Q496"/>
  <c r="Q464"/>
  <c r="R464" s="1"/>
  <c r="Q432"/>
  <c r="R432" s="1"/>
  <c r="Q400"/>
  <c r="R400" s="1"/>
  <c r="Q368"/>
  <c r="Q336"/>
  <c r="R336" s="1"/>
  <c r="Q304"/>
  <c r="Q1118"/>
  <c r="Q239"/>
  <c r="O1141"/>
  <c r="R1141" s="1"/>
  <c r="P814"/>
  <c r="R814" s="1"/>
  <c r="Q259"/>
  <c r="R259" s="1"/>
  <c r="Y5"/>
  <c r="X5"/>
  <c r="Y4"/>
  <c r="X4"/>
  <c r="AA27"/>
  <c r="AB27"/>
  <c r="Z27"/>
  <c r="R704"/>
  <c r="R163"/>
  <c r="R458"/>
  <c r="R397"/>
  <c r="R333"/>
  <c r="R205"/>
  <c r="R141"/>
  <c r="R193"/>
  <c r="R419"/>
  <c r="R652"/>
  <c r="R477"/>
  <c r="R914"/>
  <c r="R576"/>
  <c r="R1243"/>
  <c r="R1211"/>
  <c r="R654"/>
  <c r="R526"/>
  <c r="R371"/>
  <c r="R1087"/>
  <c r="R733"/>
  <c r="R669"/>
  <c r="R605"/>
  <c r="R573"/>
  <c r="R541"/>
  <c r="R1158"/>
  <c r="R827"/>
  <c r="R483"/>
  <c r="R355"/>
  <c r="R227"/>
  <c r="R35"/>
  <c r="R818"/>
  <c r="R904"/>
  <c r="R670"/>
  <c r="R506"/>
  <c r="R442"/>
  <c r="R378"/>
  <c r="R314"/>
  <c r="R250"/>
  <c r="R122"/>
  <c r="R58"/>
  <c r="R95"/>
  <c r="R52"/>
  <c r="R1071"/>
  <c r="R1260"/>
  <c r="R1180"/>
  <c r="R781"/>
  <c r="R717"/>
  <c r="R685"/>
  <c r="R589"/>
  <c r="R557"/>
  <c r="R412"/>
  <c r="R510"/>
  <c r="R430"/>
  <c r="R366"/>
  <c r="R302"/>
  <c r="R238"/>
  <c r="R174"/>
  <c r="R110"/>
  <c r="R46"/>
  <c r="R875"/>
  <c r="R843"/>
  <c r="R1187"/>
  <c r="R1216"/>
  <c r="R1152"/>
  <c r="R928"/>
  <c r="R1130"/>
  <c r="R592"/>
  <c r="R758"/>
  <c r="R630"/>
  <c r="R566"/>
  <c r="R997"/>
  <c r="R677"/>
  <c r="R389"/>
  <c r="R787"/>
  <c r="R595"/>
  <c r="R597"/>
  <c r="R373"/>
  <c r="R675"/>
  <c r="R1006"/>
  <c r="R707"/>
  <c r="R67"/>
  <c r="R897"/>
  <c r="R107"/>
  <c r="R1272"/>
  <c r="R898"/>
  <c r="R696"/>
  <c r="R632"/>
  <c r="R542"/>
  <c r="R474"/>
  <c r="R410"/>
  <c r="R282"/>
  <c r="R154"/>
  <c r="R551"/>
  <c r="R159"/>
  <c r="R1052"/>
  <c r="R1069"/>
  <c r="R749"/>
  <c r="R365"/>
  <c r="R173"/>
  <c r="R109"/>
  <c r="R1266"/>
  <c r="R273"/>
  <c r="R418"/>
  <c r="R98"/>
  <c r="R1240"/>
  <c r="R962"/>
  <c r="R499"/>
  <c r="R956"/>
  <c r="R1245"/>
  <c r="R701"/>
  <c r="R1238"/>
  <c r="R886"/>
  <c r="R790"/>
  <c r="R908"/>
  <c r="R380"/>
  <c r="R462"/>
  <c r="R334"/>
  <c r="R270"/>
  <c r="R206"/>
  <c r="R78"/>
  <c r="R1107"/>
  <c r="R1059"/>
  <c r="R1002"/>
  <c r="R1188"/>
  <c r="R1108"/>
  <c r="R691"/>
  <c r="R804"/>
  <c r="R293"/>
  <c r="R579"/>
  <c r="R980"/>
  <c r="R862"/>
  <c r="R357"/>
  <c r="R611"/>
  <c r="R1057"/>
  <c r="R1255"/>
  <c r="R1113"/>
  <c r="R857"/>
  <c r="R1147"/>
  <c r="R1083"/>
  <c r="R987"/>
  <c r="R955"/>
  <c r="R1256"/>
  <c r="R1208"/>
  <c r="R984"/>
  <c r="R1225"/>
  <c r="R1193"/>
  <c r="R1202"/>
  <c r="R1122"/>
  <c r="R680"/>
  <c r="R750"/>
  <c r="R263"/>
  <c r="R199"/>
  <c r="R71"/>
  <c r="R188"/>
  <c r="R124"/>
  <c r="R1239"/>
  <c r="R1135"/>
  <c r="R1100"/>
  <c r="R1126"/>
  <c r="R668"/>
  <c r="R636"/>
  <c r="R540"/>
  <c r="R525"/>
  <c r="R493"/>
  <c r="R461"/>
  <c r="R722"/>
  <c r="R494"/>
  <c r="R414"/>
  <c r="R350"/>
  <c r="R286"/>
  <c r="R222"/>
  <c r="R158"/>
  <c r="R94"/>
  <c r="R311"/>
  <c r="R183"/>
  <c r="R119"/>
  <c r="R55"/>
  <c r="R1111"/>
  <c r="R1271"/>
  <c r="R809"/>
  <c r="R177"/>
  <c r="R1018"/>
  <c r="R896"/>
  <c r="R864"/>
  <c r="R800"/>
  <c r="R752"/>
  <c r="R720"/>
  <c r="R742"/>
  <c r="R614"/>
  <c r="R148"/>
  <c r="R629"/>
  <c r="R724"/>
  <c r="R500"/>
  <c r="R739"/>
  <c r="R693"/>
  <c r="R1246"/>
  <c r="R852"/>
  <c r="R660"/>
  <c r="R341"/>
  <c r="R627"/>
  <c r="R1237"/>
  <c r="R910"/>
  <c r="R692"/>
  <c r="R405"/>
  <c r="R659"/>
  <c r="R65"/>
  <c r="R81"/>
  <c r="R317"/>
  <c r="R930"/>
  <c r="R734"/>
  <c r="R606"/>
  <c r="R765"/>
  <c r="R637"/>
  <c r="R1206"/>
  <c r="R478"/>
  <c r="R795"/>
  <c r="R1136"/>
  <c r="R1114"/>
  <c r="R726"/>
  <c r="R773"/>
  <c r="R517"/>
  <c r="R682"/>
  <c r="R565"/>
  <c r="R195"/>
  <c r="R97"/>
  <c r="R187"/>
  <c r="R155"/>
  <c r="R653"/>
  <c r="R381"/>
  <c r="R863"/>
  <c r="R921"/>
  <c r="R1035"/>
  <c r="R971"/>
  <c r="R939"/>
  <c r="R968"/>
  <c r="R936"/>
  <c r="R1042"/>
  <c r="R638"/>
  <c r="R590"/>
  <c r="R284"/>
  <c r="R156"/>
  <c r="R276"/>
  <c r="R1007"/>
  <c r="R977"/>
  <c r="R913"/>
  <c r="R849"/>
  <c r="R45"/>
  <c r="R1215"/>
  <c r="R1068"/>
  <c r="R509"/>
  <c r="R445"/>
  <c r="R413"/>
  <c r="R254"/>
  <c r="R190"/>
  <c r="R699"/>
  <c r="R523"/>
  <c r="R969"/>
  <c r="R905"/>
  <c r="R161"/>
  <c r="R947"/>
  <c r="R1232"/>
  <c r="R1185"/>
  <c r="R1146"/>
  <c r="R912"/>
  <c r="R880"/>
  <c r="R710"/>
  <c r="R210"/>
  <c r="R146"/>
  <c r="R114"/>
  <c r="R1031"/>
  <c r="R1092"/>
  <c r="R1157"/>
  <c r="R1029"/>
  <c r="R501"/>
  <c r="R437"/>
  <c r="R229"/>
  <c r="R789"/>
  <c r="R645"/>
  <c r="R772"/>
  <c r="R372"/>
  <c r="R915"/>
  <c r="R723"/>
  <c r="R932"/>
  <c r="R709"/>
  <c r="R666"/>
  <c r="R755"/>
  <c r="R563"/>
  <c r="R387"/>
  <c r="R833"/>
  <c r="R43"/>
  <c r="AC35"/>
  <c r="R1420" l="1"/>
  <c r="R881"/>
  <c r="R1228"/>
  <c r="R1273"/>
  <c r="R291"/>
  <c r="R1165"/>
  <c r="R307"/>
  <c r="R451"/>
  <c r="R467"/>
  <c r="R1138"/>
  <c r="R1163"/>
  <c r="R1307"/>
  <c r="R421"/>
  <c r="R1269"/>
  <c r="R978"/>
  <c r="R33"/>
  <c r="R870"/>
  <c r="R482"/>
  <c r="R212"/>
  <c r="R1299"/>
  <c r="R1171"/>
  <c r="R92"/>
  <c r="R1032"/>
  <c r="R446"/>
  <c r="R725"/>
  <c r="R588"/>
  <c r="R1121"/>
  <c r="R613"/>
  <c r="R60"/>
  <c r="R972"/>
  <c r="R1154"/>
  <c r="R323"/>
  <c r="R538"/>
  <c r="R1168"/>
  <c r="R954"/>
  <c r="R643"/>
  <c r="R249"/>
  <c r="R403"/>
  <c r="R1159"/>
  <c r="R531"/>
  <c r="R77"/>
  <c r="R1164"/>
  <c r="R1483"/>
  <c r="R508"/>
  <c r="R74"/>
  <c r="R368"/>
  <c r="R144"/>
  <c r="R272"/>
  <c r="R1445"/>
  <c r="R1430"/>
  <c r="R62"/>
  <c r="R318"/>
  <c r="R1412"/>
  <c r="R1490"/>
  <c r="R524"/>
  <c r="R290"/>
  <c r="R304"/>
  <c r="R80"/>
  <c r="R528"/>
  <c r="R300"/>
  <c r="R1021"/>
  <c r="R622"/>
  <c r="R715"/>
  <c r="R1119"/>
  <c r="R661"/>
  <c r="R756"/>
  <c r="R963"/>
  <c r="R125"/>
  <c r="R1265"/>
  <c r="R679"/>
  <c r="R1189"/>
  <c r="R988"/>
  <c r="R1015"/>
  <c r="R61"/>
  <c r="R1262"/>
  <c r="R698"/>
  <c r="R1210"/>
  <c r="R714"/>
  <c r="R1295"/>
  <c r="R1292"/>
  <c r="R1423"/>
  <c r="R1459"/>
  <c r="R1514"/>
  <c r="R731"/>
  <c r="R151"/>
  <c r="R1067"/>
  <c r="R1422"/>
  <c r="R1489"/>
  <c r="R1297"/>
  <c r="R1454"/>
  <c r="R1293"/>
  <c r="R1395"/>
  <c r="R1331"/>
  <c r="R1455"/>
  <c r="R1497"/>
  <c r="R1499"/>
  <c r="R218"/>
  <c r="R1116"/>
  <c r="R1508"/>
  <c r="R1437"/>
  <c r="R1417"/>
  <c r="R1448"/>
  <c r="R1333"/>
  <c r="R1435"/>
  <c r="R1439"/>
  <c r="R347"/>
  <c r="R379"/>
  <c r="R799"/>
  <c r="R234"/>
  <c r="R239"/>
  <c r="R90"/>
  <c r="R88"/>
  <c r="R1217"/>
  <c r="R364"/>
  <c r="R1496"/>
  <c r="R49"/>
  <c r="R1440"/>
  <c r="R359"/>
  <c r="R791"/>
  <c r="R1506"/>
  <c r="R1502"/>
  <c r="R1384"/>
  <c r="R1195"/>
  <c r="R674"/>
  <c r="R973"/>
  <c r="R1296"/>
  <c r="R1474"/>
  <c r="R1230"/>
  <c r="R1456"/>
  <c r="R1019"/>
  <c r="R884"/>
  <c r="R762"/>
  <c r="R1444"/>
  <c r="R1520"/>
  <c r="R277"/>
  <c r="R615"/>
  <c r="R830"/>
  <c r="R1037"/>
  <c r="R175"/>
  <c r="R895"/>
  <c r="R555"/>
  <c r="R1064"/>
  <c r="R1227"/>
  <c r="R1312"/>
  <c r="R631"/>
  <c r="R815"/>
  <c r="R1511"/>
  <c r="R59"/>
  <c r="R1349"/>
  <c r="R1305"/>
  <c r="R1170"/>
  <c r="R1040"/>
  <c r="R1054"/>
  <c r="R858"/>
  <c r="R330"/>
  <c r="R845"/>
  <c r="R1429"/>
  <c r="R1527"/>
  <c r="R295"/>
  <c r="R180"/>
  <c r="R743"/>
  <c r="R1095"/>
  <c r="R945"/>
  <c r="R712"/>
  <c r="R1446"/>
  <c r="R1335"/>
  <c r="R1408"/>
  <c r="R764"/>
  <c r="R1321"/>
  <c r="R1480"/>
  <c r="R470"/>
  <c r="R310"/>
  <c r="R1241"/>
  <c r="R321"/>
  <c r="R401"/>
  <c r="R776"/>
  <c r="R203"/>
  <c r="R289"/>
  <c r="R118"/>
  <c r="R564"/>
  <c r="R1182"/>
  <c r="R1268"/>
  <c r="R1063"/>
  <c r="R744"/>
  <c r="R1023"/>
  <c r="R436"/>
  <c r="R308"/>
  <c r="R514"/>
  <c r="R426"/>
  <c r="R471"/>
  <c r="R1043"/>
  <c r="R75"/>
  <c r="R998"/>
  <c r="R181"/>
  <c r="R1050"/>
  <c r="R522"/>
  <c r="R149"/>
  <c r="R938"/>
  <c r="R1110"/>
  <c r="R769"/>
  <c r="R248"/>
  <c r="R245"/>
  <c r="R1184"/>
  <c r="R662"/>
  <c r="R826"/>
  <c r="R1329"/>
  <c r="R1326"/>
  <c r="R1324"/>
  <c r="R1529"/>
  <c r="R1463"/>
  <c r="R1282"/>
  <c r="R1355"/>
  <c r="R1528"/>
  <c r="R1366"/>
  <c r="R1385"/>
  <c r="R1393"/>
  <c r="R1391"/>
  <c r="R1386"/>
  <c r="R1332"/>
  <c r="R1346"/>
  <c r="R1535"/>
  <c r="R1347"/>
  <c r="R1388"/>
  <c r="R1375"/>
  <c r="R1290"/>
  <c r="R1398"/>
  <c r="R1461"/>
  <c r="R1376"/>
  <c r="R1330"/>
  <c r="R1328"/>
  <c r="R1534"/>
  <c r="R1367"/>
  <c r="R1286"/>
  <c r="R1471"/>
  <c r="R759"/>
  <c r="R1340"/>
  <c r="R1314"/>
  <c r="R1407"/>
  <c r="R1399"/>
  <c r="R1294"/>
  <c r="R1381"/>
  <c r="R1390"/>
  <c r="R1351"/>
  <c r="R1373"/>
  <c r="R1325"/>
  <c r="R1361"/>
  <c r="R1365"/>
  <c r="R603"/>
  <c r="R1344"/>
  <c r="R1394"/>
  <c r="R1374"/>
  <c r="R1364"/>
  <c r="R1339"/>
  <c r="R1409"/>
  <c r="R1338"/>
  <c r="R1477"/>
  <c r="R1342"/>
  <c r="R1540"/>
  <c r="R1377"/>
  <c r="R1310"/>
  <c r="R1362"/>
  <c r="R1350"/>
  <c r="R1531"/>
  <c r="R1389"/>
  <c r="R1274"/>
  <c r="R1465"/>
  <c r="R1336"/>
  <c r="R1530"/>
  <c r="R1382"/>
  <c r="R1372"/>
  <c r="R1473"/>
  <c r="R1469"/>
  <c r="R1533"/>
  <c r="R1397"/>
  <c r="R1359"/>
  <c r="R1298"/>
  <c r="R1410"/>
  <c r="R1370"/>
  <c r="R1401"/>
  <c r="R1352"/>
  <c r="R1532"/>
  <c r="R1343"/>
  <c r="R1278"/>
  <c r="R1379"/>
  <c r="R1334"/>
  <c r="R1539"/>
  <c r="R1369"/>
  <c r="R1402"/>
  <c r="R1306"/>
  <c r="R1371"/>
  <c r="R1406"/>
  <c r="R1538"/>
  <c r="R1403"/>
  <c r="R1302"/>
  <c r="R1467"/>
  <c r="R1378"/>
  <c r="R1368"/>
  <c r="R1475"/>
  <c r="R1537"/>
  <c r="R1360"/>
  <c r="R1348"/>
  <c r="R1536"/>
  <c r="R1356"/>
  <c r="R1479"/>
  <c r="R1380"/>
  <c r="R1354"/>
  <c r="R1358"/>
  <c r="R1405"/>
  <c r="R1363"/>
  <c r="R550"/>
  <c r="R979"/>
  <c r="R899"/>
  <c r="R819"/>
  <c r="R1254"/>
  <c r="R258"/>
  <c r="R1219"/>
  <c r="R1101"/>
  <c r="R1044"/>
  <c r="R694"/>
  <c r="R1008"/>
  <c r="R1169"/>
  <c r="R1143"/>
  <c r="R362"/>
  <c r="R1099"/>
  <c r="R1204"/>
  <c r="R647"/>
  <c r="R375"/>
  <c r="R162"/>
  <c r="R1082"/>
  <c r="R44"/>
  <c r="R544"/>
  <c r="R1004"/>
  <c r="R256"/>
  <c r="R507"/>
  <c r="R1125"/>
  <c r="R995"/>
  <c r="R283"/>
  <c r="R1226"/>
  <c r="R763"/>
  <c r="R788"/>
  <c r="R194"/>
  <c r="R651"/>
  <c r="R840"/>
  <c r="R130"/>
  <c r="R96"/>
  <c r="R111"/>
  <c r="R820"/>
  <c r="R322"/>
  <c r="R948"/>
  <c r="R746"/>
  <c r="R996"/>
  <c r="R226"/>
  <c r="R455"/>
  <c r="R586"/>
  <c r="R1166"/>
  <c r="R1091"/>
  <c r="R779"/>
  <c r="R253"/>
  <c r="R32"/>
  <c r="R189"/>
  <c r="R587"/>
  <c r="R503"/>
  <c r="R567"/>
  <c r="R991"/>
  <c r="R343"/>
  <c r="R354"/>
  <c r="R831"/>
  <c r="R66"/>
  <c r="R844"/>
  <c r="R217"/>
  <c r="R876"/>
  <c r="R927"/>
  <c r="R664"/>
  <c r="R783"/>
  <c r="R275"/>
  <c r="R475"/>
  <c r="R854"/>
  <c r="R299"/>
  <c r="R878"/>
  <c r="R1201"/>
  <c r="R900"/>
  <c r="R224"/>
  <c r="R459"/>
  <c r="R806"/>
  <c r="R1151"/>
  <c r="R604"/>
  <c r="R1046"/>
  <c r="R1192"/>
  <c r="R624"/>
  <c r="R546"/>
  <c r="R1251"/>
  <c r="R990"/>
  <c r="R391"/>
  <c r="R760"/>
  <c r="R782"/>
  <c r="R1259"/>
  <c r="R1209"/>
  <c r="R394"/>
  <c r="R942"/>
  <c r="R191"/>
  <c r="R184"/>
  <c r="R247"/>
  <c r="R1014"/>
  <c r="R438"/>
  <c r="R683"/>
  <c r="R331"/>
  <c r="R803"/>
  <c r="R1038"/>
  <c r="R946"/>
  <c r="R678"/>
  <c r="R1084"/>
  <c r="R105"/>
  <c r="R902"/>
  <c r="R727"/>
  <c r="R1173"/>
  <c r="R50"/>
  <c r="R1162"/>
  <c r="R578"/>
  <c r="R695"/>
  <c r="R407"/>
  <c r="R487"/>
  <c r="R943"/>
  <c r="R808"/>
  <c r="R1161"/>
  <c r="R271"/>
  <c r="R327"/>
  <c r="R584"/>
  <c r="R340"/>
  <c r="R423"/>
  <c r="R1109"/>
  <c r="R635"/>
  <c r="R879"/>
  <c r="R539"/>
  <c r="R443"/>
  <c r="R519"/>
  <c r="R1017"/>
  <c r="R439"/>
  <c r="R1024"/>
  <c r="R583"/>
  <c r="R496"/>
  <c r="R85"/>
  <c r="R847"/>
  <c r="R504"/>
  <c r="R975"/>
  <c r="R594"/>
  <c r="R1013"/>
  <c r="R688"/>
  <c r="R823"/>
  <c r="R1198"/>
  <c r="R352"/>
  <c r="R774"/>
  <c r="R395"/>
  <c r="R128"/>
  <c r="R778"/>
  <c r="R157"/>
  <c r="R386"/>
  <c r="R241"/>
  <c r="R667"/>
  <c r="R215"/>
  <c r="R970"/>
  <c r="R574"/>
  <c r="R1073"/>
  <c r="R736"/>
  <c r="R569"/>
  <c r="R223"/>
  <c r="R922"/>
  <c r="R766"/>
  <c r="R952"/>
  <c r="R747"/>
  <c r="R399"/>
  <c r="R619"/>
  <c r="R167"/>
  <c r="R1028"/>
  <c r="R363"/>
  <c r="R598"/>
  <c r="R911"/>
  <c r="R596"/>
  <c r="R320"/>
  <c r="R796"/>
  <c r="R868"/>
  <c r="R986"/>
  <c r="R480"/>
  <c r="R427"/>
  <c r="R64"/>
  <c r="R411"/>
  <c r="R491"/>
  <c r="R835"/>
  <c r="R192"/>
  <c r="R851"/>
  <c r="R867"/>
  <c r="R883"/>
  <c r="R931"/>
  <c r="R1123"/>
  <c r="R315"/>
  <c r="R1104"/>
  <c r="R87"/>
  <c r="R571"/>
  <c r="R1257"/>
  <c r="R838"/>
  <c r="R93"/>
  <c r="R686"/>
  <c r="R127"/>
  <c r="R47"/>
  <c r="R255"/>
  <c r="R370"/>
  <c r="R1242"/>
  <c r="R1077"/>
  <c r="R1118"/>
  <c r="R846"/>
  <c r="R1048"/>
  <c r="R562"/>
  <c r="R903"/>
  <c r="R1088"/>
  <c r="R999"/>
  <c r="R518"/>
  <c r="R575"/>
  <c r="R1222"/>
  <c r="R303"/>
  <c r="R201"/>
  <c r="R960"/>
  <c r="R671"/>
  <c r="R754"/>
  <c r="R280"/>
  <c r="R351"/>
  <c r="R185"/>
  <c r="R855"/>
  <c r="R416"/>
  <c r="R288"/>
  <c r="R512"/>
  <c r="R1181"/>
  <c r="R1056"/>
  <c r="R628"/>
  <c r="R570"/>
  <c r="R246"/>
  <c r="R609"/>
  <c r="R261"/>
  <c r="R1183"/>
  <c r="R1234"/>
  <c r="R753"/>
  <c r="R860"/>
  <c r="R1207"/>
  <c r="R530"/>
  <c r="R1167"/>
  <c r="R409"/>
  <c r="R768"/>
  <c r="R716"/>
  <c r="R850"/>
  <c r="R166"/>
  <c r="R1155"/>
  <c r="R951"/>
  <c r="R1205"/>
  <c r="R313"/>
  <c r="R486"/>
  <c r="R260"/>
  <c r="R934"/>
  <c r="R1144"/>
  <c r="R672"/>
  <c r="R69"/>
  <c r="R452"/>
  <c r="R690"/>
  <c r="R392"/>
  <c r="R681"/>
  <c r="R554"/>
  <c r="R964"/>
  <c r="R36"/>
  <c r="R983"/>
  <c r="R1080"/>
  <c r="R965"/>
  <c r="R38"/>
  <c r="R488"/>
  <c r="R251"/>
  <c r="R687"/>
  <c r="R361"/>
  <c r="R601"/>
  <c r="R390"/>
  <c r="R441"/>
  <c r="R832"/>
  <c r="R706"/>
  <c r="R56"/>
  <c r="R623"/>
  <c r="R634"/>
  <c r="R267"/>
  <c r="R958"/>
  <c r="R1061"/>
  <c r="R335"/>
  <c r="R1145"/>
  <c r="R640"/>
  <c r="R607"/>
  <c r="R620"/>
  <c r="R626"/>
  <c r="R1142"/>
  <c r="R777"/>
  <c r="R425"/>
  <c r="R548"/>
  <c r="R1221"/>
  <c r="R976"/>
  <c r="R828"/>
  <c r="R1117"/>
  <c r="R520"/>
  <c r="R1179"/>
  <c r="R537"/>
  <c r="R821"/>
  <c r="R207"/>
  <c r="R51"/>
  <c r="R165"/>
  <c r="R1133"/>
  <c r="R328"/>
  <c r="R1098"/>
  <c r="R521"/>
  <c r="R1025"/>
  <c r="R457"/>
  <c r="R326"/>
  <c r="R869"/>
  <c r="R100"/>
  <c r="R1186"/>
  <c r="R209"/>
  <c r="R152"/>
  <c r="R216"/>
  <c r="R242"/>
  <c r="R1078"/>
  <c r="R1045"/>
  <c r="R1027"/>
  <c r="R360"/>
  <c r="R853"/>
  <c r="R516"/>
  <c r="R358"/>
  <c r="R388"/>
  <c r="R933"/>
  <c r="R294"/>
  <c r="R228"/>
  <c r="R872"/>
  <c r="R1248"/>
  <c r="R367"/>
  <c r="R233"/>
  <c r="R703"/>
  <c r="R1030"/>
  <c r="R219"/>
  <c r="R794"/>
  <c r="R473"/>
  <c r="R633"/>
  <c r="R153"/>
  <c r="R198"/>
  <c r="R949"/>
  <c r="R34"/>
  <c r="R1235"/>
  <c r="R982"/>
  <c r="R1203"/>
  <c r="R221"/>
  <c r="R281"/>
  <c r="R102"/>
  <c r="R837"/>
  <c r="R848"/>
  <c r="R231"/>
  <c r="R1231"/>
  <c r="R824"/>
  <c r="R230"/>
  <c r="R104"/>
  <c r="R992"/>
  <c r="R422"/>
  <c r="R890"/>
  <c r="R745"/>
  <c r="R40"/>
  <c r="R1132"/>
  <c r="R356"/>
  <c r="R115"/>
  <c r="R498"/>
  <c r="R649"/>
  <c r="R305"/>
  <c r="R332"/>
  <c r="R108"/>
  <c r="R265"/>
  <c r="R924"/>
  <c r="R676"/>
  <c r="R1026"/>
  <c r="R1090"/>
  <c r="R324"/>
  <c r="R1060"/>
  <c r="R89"/>
  <c r="R793"/>
  <c r="R42"/>
  <c r="R424"/>
  <c r="R1016"/>
  <c r="R1224"/>
  <c r="R197"/>
  <c r="R1127"/>
  <c r="R728"/>
  <c r="R702"/>
  <c r="R232"/>
  <c r="R1105"/>
  <c r="R495"/>
  <c r="R434"/>
  <c r="R287"/>
  <c r="R834"/>
  <c r="R887"/>
  <c r="R117"/>
  <c r="R1220"/>
  <c r="R646"/>
  <c r="R812"/>
  <c r="R274"/>
  <c r="R63"/>
  <c r="R639"/>
  <c r="R460"/>
  <c r="R236"/>
  <c r="R139"/>
  <c r="R935"/>
  <c r="R1267"/>
  <c r="R402"/>
  <c r="R120"/>
  <c r="R1086"/>
  <c r="R1120"/>
  <c r="R505"/>
  <c r="R91"/>
  <c r="R297"/>
  <c r="R431"/>
  <c r="R454"/>
  <c r="R559"/>
  <c r="R735"/>
  <c r="R553"/>
  <c r="R713"/>
  <c r="R1049"/>
  <c r="R377"/>
  <c r="R134"/>
  <c r="R484"/>
  <c r="R200"/>
  <c r="R420"/>
  <c r="R264"/>
  <c r="R885"/>
  <c r="R751"/>
  <c r="R121"/>
  <c r="R610"/>
  <c r="R1229"/>
  <c r="R1263"/>
  <c r="R415"/>
  <c r="R489"/>
  <c r="R585"/>
  <c r="R761"/>
  <c r="R1051"/>
  <c r="R106"/>
  <c r="R70"/>
  <c r="R617"/>
  <c r="R729"/>
  <c r="R981"/>
  <c r="R917"/>
  <c r="R68"/>
  <c r="R708"/>
  <c r="R132"/>
  <c r="R456"/>
  <c r="R1033"/>
  <c r="R1010"/>
  <c r="R665"/>
  <c r="R1131"/>
  <c r="R511"/>
  <c r="R1212"/>
  <c r="R718"/>
  <c r="R552"/>
  <c r="R1236"/>
  <c r="R767"/>
  <c r="R950"/>
  <c r="R697"/>
  <c r="R1096"/>
  <c r="R1153"/>
  <c r="R72"/>
  <c r="R133"/>
  <c r="R874"/>
  <c r="R1200"/>
  <c r="R57"/>
  <c r="R393"/>
  <c r="R612"/>
  <c r="R894"/>
  <c r="R1075"/>
  <c r="R79"/>
  <c r="R463"/>
  <c r="R919"/>
  <c r="R296"/>
  <c r="W12"/>
  <c r="R618"/>
  <c r="R344"/>
  <c r="R472"/>
  <c r="R1093"/>
  <c r="R1079"/>
  <c r="R306"/>
  <c r="R1066"/>
  <c r="R383"/>
  <c r="R396"/>
  <c r="R1055"/>
  <c r="R657"/>
  <c r="R172"/>
  <c r="R1250"/>
  <c r="R73"/>
  <c r="R719"/>
  <c r="R780"/>
  <c r="R967"/>
  <c r="R655"/>
  <c r="R479"/>
  <c r="R1074"/>
  <c r="R103"/>
  <c r="R1128"/>
  <c r="R182"/>
  <c r="R807"/>
  <c r="R202"/>
  <c r="R376"/>
  <c r="R527"/>
  <c r="R906"/>
  <c r="R170"/>
  <c r="R1106"/>
  <c r="R53"/>
  <c r="R926"/>
  <c r="R447"/>
  <c r="R138"/>
  <c r="R338"/>
  <c r="R408"/>
  <c r="R543"/>
  <c r="R871"/>
  <c r="R888"/>
  <c r="R1003"/>
  <c r="R137"/>
  <c r="R785"/>
  <c r="R312"/>
  <c r="R1177"/>
  <c r="R1160"/>
  <c r="R650"/>
  <c r="R319"/>
  <c r="R786"/>
  <c r="R1000"/>
  <c r="R866"/>
  <c r="R1039"/>
  <c r="R730"/>
  <c r="R39"/>
  <c r="R842"/>
  <c r="R169"/>
  <c r="R529"/>
  <c r="R83"/>
  <c r="R440"/>
  <c r="R625"/>
  <c r="R374"/>
  <c r="R1258"/>
  <c r="R705"/>
  <c r="R1213"/>
  <c r="R497"/>
  <c r="W11"/>
  <c r="R466"/>
  <c r="R918"/>
  <c r="R839"/>
  <c r="R1148"/>
  <c r="R1191"/>
  <c r="R877"/>
  <c r="R608"/>
  <c r="R369"/>
  <c r="R1129"/>
  <c r="R449"/>
  <c r="R337"/>
  <c r="R577"/>
  <c r="R673"/>
  <c r="R465"/>
  <c r="R593"/>
  <c r="Z31"/>
  <c r="AG1395" s="1"/>
  <c r="AB31"/>
  <c r="AI1338" s="1"/>
  <c r="AA31"/>
  <c r="AH1523" s="1"/>
  <c r="AC27"/>
  <c r="AI1330" l="1"/>
  <c r="AI1445"/>
  <c r="AI1420"/>
  <c r="AH1396"/>
  <c r="AH1471"/>
  <c r="AI1478"/>
  <c r="AH1286"/>
  <c r="AI1375"/>
  <c r="AH1499"/>
  <c r="AH1283"/>
  <c r="AI1494"/>
  <c r="AH1341"/>
  <c r="AH1451"/>
  <c r="AH1440"/>
  <c r="AH1520"/>
  <c r="AH1406"/>
  <c r="AH1481"/>
  <c r="AH1428"/>
  <c r="AI1286"/>
  <c r="AI1394"/>
  <c r="AH1276"/>
  <c r="AI1438"/>
  <c r="AH1304"/>
  <c r="AH1324"/>
  <c r="AH1389"/>
  <c r="AH1524"/>
  <c r="AI1462"/>
  <c r="AH1516"/>
  <c r="AI1382"/>
  <c r="AH1301"/>
  <c r="AH1296"/>
  <c r="AI1509"/>
  <c r="AH1343"/>
  <c r="AH1364"/>
  <c r="AI1487"/>
  <c r="AH1442"/>
  <c r="AI1444"/>
  <c r="AI1273"/>
  <c r="AI1279"/>
  <c r="AI1476"/>
  <c r="AI1309"/>
  <c r="AI1514"/>
  <c r="AI1299"/>
  <c r="AI1400"/>
  <c r="AI1322"/>
  <c r="AI1289"/>
  <c r="AI1327"/>
  <c r="AI1311"/>
  <c r="AI1277"/>
  <c r="AI1501"/>
  <c r="AI1503"/>
  <c r="AI1392"/>
  <c r="AI1305"/>
  <c r="AI1320"/>
  <c r="AI1357"/>
  <c r="AI1295"/>
  <c r="AI1293"/>
  <c r="AI1482"/>
  <c r="AI1315"/>
  <c r="AI1283"/>
  <c r="AI1333"/>
  <c r="AI1471"/>
  <c r="AI1332"/>
  <c r="AI1347"/>
  <c r="AI1401"/>
  <c r="AI1366"/>
  <c r="AI1390"/>
  <c r="AI1535"/>
  <c r="AI1346"/>
  <c r="AI1405"/>
  <c r="AI1528"/>
  <c r="AI1536"/>
  <c r="AI1343"/>
  <c r="AI1469"/>
  <c r="AI1356"/>
  <c r="AI1282"/>
  <c r="AI1314"/>
  <c r="AI1520"/>
  <c r="AI1369"/>
  <c r="AI1342"/>
  <c r="AI1371"/>
  <c r="AI1389"/>
  <c r="AI1406"/>
  <c r="AI1340"/>
  <c r="AI1278"/>
  <c r="AI1310"/>
  <c r="AI1512"/>
  <c r="AI1373"/>
  <c r="AI1440"/>
  <c r="AI1456"/>
  <c r="AI1468"/>
  <c r="AI1495"/>
  <c r="AI1525"/>
  <c r="AI1443"/>
  <c r="AI1459"/>
  <c r="AI1521"/>
  <c r="AI1421"/>
  <c r="AI1424"/>
  <c r="AI1441"/>
  <c r="AI1457"/>
  <c r="AI1515"/>
  <c r="AI1297"/>
  <c r="AI1485"/>
  <c r="AI1349"/>
  <c r="AI1337"/>
  <c r="AI1275"/>
  <c r="AI1329"/>
  <c r="AI1411"/>
  <c r="AI1319"/>
  <c r="AI1303"/>
  <c r="AI1475"/>
  <c r="AI1324"/>
  <c r="AI1473"/>
  <c r="AI1407"/>
  <c r="AI1362"/>
  <c r="AI1378"/>
  <c r="AI1533"/>
  <c r="AI1351"/>
  <c r="AI1410"/>
  <c r="AI1479"/>
  <c r="AI1534"/>
  <c r="AI1325"/>
  <c r="AI1397"/>
  <c r="AI1380"/>
  <c r="AI1274"/>
  <c r="AI1306"/>
  <c r="AI1504"/>
  <c r="AI1361"/>
  <c r="AI1334"/>
  <c r="AI1367"/>
  <c r="AI1328"/>
  <c r="AI1398"/>
  <c r="AI1376"/>
  <c r="AI1461"/>
  <c r="AI1302"/>
  <c r="AI1496"/>
  <c r="AI1365"/>
  <c r="AI1436"/>
  <c r="AI1452"/>
  <c r="AI1524"/>
  <c r="AI1423"/>
  <c r="AI1518"/>
  <c r="AI1493"/>
  <c r="AI1425"/>
  <c r="AI1439"/>
  <c r="AI1455"/>
  <c r="AI1489"/>
  <c r="AI1472"/>
  <c r="AI1427"/>
  <c r="AI1426"/>
  <c r="AI1413"/>
  <c r="AI1416"/>
  <c r="AI1437"/>
  <c r="AI1453"/>
  <c r="AI1483"/>
  <c r="AI1395"/>
  <c r="AI1281"/>
  <c r="AI1498"/>
  <c r="AI1300"/>
  <c r="AI1321"/>
  <c r="AI1412"/>
  <c r="AI1318"/>
  <c r="AI1312"/>
  <c r="AI1341"/>
  <c r="AI1308"/>
  <c r="AI1301"/>
  <c r="AI1287"/>
  <c r="AI1387"/>
  <c r="AI1430"/>
  <c r="AI1522"/>
  <c r="AI1516"/>
  <c r="AI1434"/>
  <c r="AI1450"/>
  <c r="AI1508"/>
  <c r="AI1502"/>
  <c r="AI1505"/>
  <c r="AI1467"/>
  <c r="AI1348"/>
  <c r="AI1391"/>
  <c r="AI1383"/>
  <c r="AI1374"/>
  <c r="AI1531"/>
  <c r="AI1539"/>
  <c r="AI1402"/>
  <c r="AI1409"/>
  <c r="AI1532"/>
  <c r="AI1540"/>
  <c r="AI1399"/>
  <c r="AI1372"/>
  <c r="AI1477"/>
  <c r="AI1298"/>
  <c r="AI1488"/>
  <c r="AI1350"/>
  <c r="AI1326"/>
  <c r="AI1363"/>
  <c r="AI1379"/>
  <c r="AI1344"/>
  <c r="AI1368"/>
  <c r="AI1352"/>
  <c r="AI1294"/>
  <c r="AI1403"/>
  <c r="AI1355"/>
  <c r="AI1432"/>
  <c r="AI1448"/>
  <c r="AI1492"/>
  <c r="AI1415"/>
  <c r="AI1486"/>
  <c r="AI1506"/>
  <c r="AI1417"/>
  <c r="AI1435"/>
  <c r="AI1451"/>
  <c r="AI1464"/>
  <c r="AI1474"/>
  <c r="AI1470"/>
  <c r="AI1419"/>
  <c r="AI1418"/>
  <c r="AI1433"/>
  <c r="AI1449"/>
  <c r="AI1317"/>
  <c r="AI1304"/>
  <c r="AI1404"/>
  <c r="AI1519"/>
  <c r="AI1284"/>
  <c r="AI1353"/>
  <c r="AI1296"/>
  <c r="AI1307"/>
  <c r="AI1292"/>
  <c r="AI1285"/>
  <c r="AI1408"/>
  <c r="AI1422"/>
  <c r="AI1490"/>
  <c r="AI1484"/>
  <c r="AI1446"/>
  <c r="AI1523"/>
  <c r="AI1513"/>
  <c r="AI1331"/>
  <c r="AG1357"/>
  <c r="AG1513"/>
  <c r="AG1508"/>
  <c r="AG1485"/>
  <c r="AG1464"/>
  <c r="AG1539"/>
  <c r="AG1473"/>
  <c r="AG1540"/>
  <c r="AG1298"/>
  <c r="AG1469"/>
  <c r="AG1344"/>
  <c r="AG1467"/>
  <c r="AG1396"/>
  <c r="AG1408"/>
  <c r="AI1526"/>
  <c r="AG1319"/>
  <c r="AH1433"/>
  <c r="AH1292"/>
  <c r="AI1481"/>
  <c r="AI1491"/>
  <c r="AH1312"/>
  <c r="AI1442"/>
  <c r="AG1511"/>
  <c r="AH1455"/>
  <c r="AI1428"/>
  <c r="AH1335"/>
  <c r="AI1414"/>
  <c r="AH1395"/>
  <c r="AN1395" s="1"/>
  <c r="AH1444"/>
  <c r="AH1318"/>
  <c r="AH1362"/>
  <c r="AH1332"/>
  <c r="AH1350"/>
  <c r="AH1302"/>
  <c r="AH1380"/>
  <c r="AH1355"/>
  <c r="AH1473"/>
  <c r="AH1405"/>
  <c r="AI1345"/>
  <c r="AI1276"/>
  <c r="AG1273"/>
  <c r="AG1438"/>
  <c r="AI1316"/>
  <c r="AI1517"/>
  <c r="AI1313"/>
  <c r="AH1331"/>
  <c r="AG1530"/>
  <c r="AG1374"/>
  <c r="AG1479"/>
  <c r="AG1314"/>
  <c r="AG1356"/>
  <c r="AG1512"/>
  <c r="AG1359"/>
  <c r="AI1466"/>
  <c r="AG1335"/>
  <c r="AH1458"/>
  <c r="AI1384"/>
  <c r="AI1431"/>
  <c r="AI1497"/>
  <c r="AI1354"/>
  <c r="AI1388"/>
  <c r="AI1339"/>
  <c r="AI1364"/>
  <c r="AI1393"/>
  <c r="AI1370"/>
  <c r="AI1463"/>
  <c r="AG1141"/>
  <c r="AG1307"/>
  <c r="AG1280"/>
  <c r="AG1501"/>
  <c r="AG1482"/>
  <c r="AG1521"/>
  <c r="AG1447"/>
  <c r="AG1435"/>
  <c r="AG1300"/>
  <c r="AG1417"/>
  <c r="AG1518"/>
  <c r="AG1497"/>
  <c r="AG1281"/>
  <c r="AG1524"/>
  <c r="AG1288"/>
  <c r="AG1456"/>
  <c r="AG1444"/>
  <c r="AG1432"/>
  <c r="AG1287"/>
  <c r="AG1483"/>
  <c r="AG1457"/>
  <c r="AG1449"/>
  <c r="AG1441"/>
  <c r="AG1433"/>
  <c r="AG1301"/>
  <c r="AG1424"/>
  <c r="AG1308"/>
  <c r="AG1429"/>
  <c r="AG1413"/>
  <c r="AG1275"/>
  <c r="AG1418"/>
  <c r="AG1419"/>
  <c r="AG1296"/>
  <c r="AG1503"/>
  <c r="AG1489"/>
  <c r="AG1451"/>
  <c r="AG1439"/>
  <c r="AG1425"/>
  <c r="AG1507"/>
  <c r="AG1415"/>
  <c r="AG1297"/>
  <c r="AG1304"/>
  <c r="AG1448"/>
  <c r="AG1436"/>
  <c r="AG1303"/>
  <c r="AG1515"/>
  <c r="AG1453"/>
  <c r="AG1445"/>
  <c r="AG1437"/>
  <c r="AG1285"/>
  <c r="AG1416"/>
  <c r="AG1292"/>
  <c r="AG1276"/>
  <c r="AG1421"/>
  <c r="AG1291"/>
  <c r="AG1426"/>
  <c r="AG1427"/>
  <c r="AG1312"/>
  <c r="AG1387"/>
  <c r="AG1514"/>
  <c r="AG1510"/>
  <c r="AG1455"/>
  <c r="AG1443"/>
  <c r="AG1431"/>
  <c r="AG1284"/>
  <c r="AG1486"/>
  <c r="AG1423"/>
  <c r="AG1313"/>
  <c r="AG1492"/>
  <c r="AG1452"/>
  <c r="AG1440"/>
  <c r="AG1412"/>
  <c r="AG1506"/>
  <c r="AG1349"/>
  <c r="AG1337"/>
  <c r="AG1341"/>
  <c r="AG1471"/>
  <c r="AG1465"/>
  <c r="AG1371"/>
  <c r="AG1338"/>
  <c r="AG1403"/>
  <c r="AG1504"/>
  <c r="AG1350"/>
  <c r="AG1364"/>
  <c r="AG1380"/>
  <c r="AG1340"/>
  <c r="AG1352"/>
  <c r="AG1278"/>
  <c r="AG1294"/>
  <c r="AG1310"/>
  <c r="AG1365"/>
  <c r="AG1381"/>
  <c r="AG1536"/>
  <c r="AG1382"/>
  <c r="AG1385"/>
  <c r="AG1410"/>
  <c r="AG1358"/>
  <c r="AG1370"/>
  <c r="AG1355"/>
  <c r="AG1529"/>
  <c r="AG1537"/>
  <c r="AG1347"/>
  <c r="AG1328"/>
  <c r="AG1333"/>
  <c r="AG1414"/>
  <c r="AG1299"/>
  <c r="AG1484"/>
  <c r="AG1277"/>
  <c r="AG1459"/>
  <c r="AG1499"/>
  <c r="AG1295"/>
  <c r="AG1498"/>
  <c r="AG1434"/>
  <c r="AG1450"/>
  <c r="AG1472"/>
  <c r="AG1470"/>
  <c r="AG1481"/>
  <c r="AG1494"/>
  <c r="AG1353"/>
  <c r="AG1527"/>
  <c r="AG1463"/>
  <c r="AG1367"/>
  <c r="AG1343"/>
  <c r="AG1388"/>
  <c r="AG1496"/>
  <c r="AG1461"/>
  <c r="AG1360"/>
  <c r="AG1376"/>
  <c r="AG1407"/>
  <c r="AG1336"/>
  <c r="AG1274"/>
  <c r="AG1290"/>
  <c r="AG1306"/>
  <c r="AG1361"/>
  <c r="AG1377"/>
  <c r="AG1532"/>
  <c r="AG1406"/>
  <c r="AG1346"/>
  <c r="AG1402"/>
  <c r="AG1409"/>
  <c r="AG1366"/>
  <c r="AG1339"/>
  <c r="AG1397"/>
  <c r="AG1535"/>
  <c r="AG1334"/>
  <c r="AG1538"/>
  <c r="AG1480"/>
  <c r="AG1283"/>
  <c r="AG1428"/>
  <c r="AG1279"/>
  <c r="AG1519"/>
  <c r="AG1446"/>
  <c r="AG1323"/>
  <c r="AG1305"/>
  <c r="AG1523"/>
  <c r="AG1327"/>
  <c r="AG1505"/>
  <c r="AG1384"/>
  <c r="AG1522"/>
  <c r="AG1495"/>
  <c r="AG1525"/>
  <c r="AG1383"/>
  <c r="AG1411"/>
  <c r="AG1478"/>
  <c r="AG1345"/>
  <c r="AG1475"/>
  <c r="AG1363"/>
  <c r="AG1379"/>
  <c r="AG1389"/>
  <c r="AG1488"/>
  <c r="AG1520"/>
  <c r="AG1332"/>
  <c r="AG1372"/>
  <c r="AG1391"/>
  <c r="AG1386"/>
  <c r="AG1401"/>
  <c r="AG1286"/>
  <c r="AG1302"/>
  <c r="AG1330"/>
  <c r="AG1373"/>
  <c r="AG1528"/>
  <c r="AG1325"/>
  <c r="AG1351"/>
  <c r="AG1394"/>
  <c r="AG1393"/>
  <c r="AG1362"/>
  <c r="AG1378"/>
  <c r="AG1390"/>
  <c r="AG1533"/>
  <c r="AG1326"/>
  <c r="AG1534"/>
  <c r="AG1468"/>
  <c r="AG1430"/>
  <c r="AG1420"/>
  <c r="AG1309"/>
  <c r="AG1462"/>
  <c r="AG1487"/>
  <c r="AG1517"/>
  <c r="AG1442"/>
  <c r="AG1458"/>
  <c r="AG1289"/>
  <c r="AG1491"/>
  <c r="AG1502"/>
  <c r="AG1331"/>
  <c r="AG1321"/>
  <c r="AG1316"/>
  <c r="AG1490"/>
  <c r="AG1318"/>
  <c r="AG1474"/>
  <c r="AH944"/>
  <c r="AH1327"/>
  <c r="AH1472"/>
  <c r="AH1466"/>
  <c r="AH1514"/>
  <c r="AH1400"/>
  <c r="AH1430"/>
  <c r="AH1392"/>
  <c r="AH1420"/>
  <c r="AH1309"/>
  <c r="AH1311"/>
  <c r="AH1438"/>
  <c r="AH1454"/>
  <c r="AH1289"/>
  <c r="AH1485"/>
  <c r="AH1321"/>
  <c r="AH1491"/>
  <c r="AH1319"/>
  <c r="AH1493"/>
  <c r="AH1492"/>
  <c r="AH1518"/>
  <c r="AH1521"/>
  <c r="AH1322"/>
  <c r="AH1509"/>
  <c r="AH1469"/>
  <c r="AH1346"/>
  <c r="AH1465"/>
  <c r="AH1534"/>
  <c r="AH1398"/>
  <c r="AH1397"/>
  <c r="AH1334"/>
  <c r="AH1367"/>
  <c r="AH1328"/>
  <c r="AH1339"/>
  <c r="AH1461"/>
  <c r="AH1374"/>
  <c r="AH1360"/>
  <c r="AH1376"/>
  <c r="AH1356"/>
  <c r="AH1477"/>
  <c r="AH1282"/>
  <c r="AH1298"/>
  <c r="AH1314"/>
  <c r="AH1488"/>
  <c r="AH1468"/>
  <c r="AH1316"/>
  <c r="AH1500"/>
  <c r="AH1526"/>
  <c r="AH1422"/>
  <c r="AH1315"/>
  <c r="AH1293"/>
  <c r="AH1295"/>
  <c r="AH1434"/>
  <c r="AH1450"/>
  <c r="AH1273"/>
  <c r="AH1506"/>
  <c r="AH1527"/>
  <c r="AH1484"/>
  <c r="AH1470"/>
  <c r="AH1478"/>
  <c r="AH1482"/>
  <c r="AH1507"/>
  <c r="AH1486"/>
  <c r="AH1489"/>
  <c r="AH1474"/>
  <c r="AH1515"/>
  <c r="AH1463"/>
  <c r="AH1467"/>
  <c r="AH1409"/>
  <c r="AH1532"/>
  <c r="AH1540"/>
  <c r="AH1399"/>
  <c r="AH1326"/>
  <c r="AH1363"/>
  <c r="AH1379"/>
  <c r="AH1344"/>
  <c r="AH1410"/>
  <c r="AH1366"/>
  <c r="AH1539"/>
  <c r="AH1372"/>
  <c r="AH1340"/>
  <c r="AH1352"/>
  <c r="AH1278"/>
  <c r="AH1294"/>
  <c r="AH1310"/>
  <c r="AH1403"/>
  <c r="AH1512"/>
  <c r="AH1365"/>
  <c r="AH1381"/>
  <c r="AH1394"/>
  <c r="AH1401"/>
  <c r="AH1378"/>
  <c r="AH1537"/>
  <c r="AH1323"/>
  <c r="AH1436"/>
  <c r="AH1452"/>
  <c r="AH1288"/>
  <c r="AH1297"/>
  <c r="AH1423"/>
  <c r="AH1425"/>
  <c r="AH1431"/>
  <c r="AH1447"/>
  <c r="AH1353"/>
  <c r="AH1280"/>
  <c r="AH1337"/>
  <c r="AH1418"/>
  <c r="AH1307"/>
  <c r="AH1429"/>
  <c r="AH1411"/>
  <c r="AH1285"/>
  <c r="AH1441"/>
  <c r="AH1457"/>
  <c r="AH1287"/>
  <c r="AH1522"/>
  <c r="AH1519"/>
  <c r="AH1317"/>
  <c r="AH1464"/>
  <c r="AH1513"/>
  <c r="AH1505"/>
  <c r="AH1414"/>
  <c r="AH1299"/>
  <c r="AH1277"/>
  <c r="AH1279"/>
  <c r="AH1357"/>
  <c r="AH1446"/>
  <c r="AH1495"/>
  <c r="AH1480"/>
  <c r="AH1462"/>
  <c r="AH1502"/>
  <c r="AH1494"/>
  <c r="AH1497"/>
  <c r="AH1384"/>
  <c r="AH1320"/>
  <c r="AH1483"/>
  <c r="AH1498"/>
  <c r="AH1479"/>
  <c r="AH1475"/>
  <c r="AH1393"/>
  <c r="AH1530"/>
  <c r="AH1538"/>
  <c r="AH1382"/>
  <c r="AH1351"/>
  <c r="AH1359"/>
  <c r="AH1375"/>
  <c r="AH1388"/>
  <c r="AH1348"/>
  <c r="AH1330"/>
  <c r="AH1535"/>
  <c r="AH1368"/>
  <c r="AH1347"/>
  <c r="AH1336"/>
  <c r="AH1274"/>
  <c r="AH1290"/>
  <c r="AH1306"/>
  <c r="AH1354"/>
  <c r="AH1504"/>
  <c r="AH1361"/>
  <c r="AH1377"/>
  <c r="AH1385"/>
  <c r="AH1391"/>
  <c r="AH1370"/>
  <c r="AH1533"/>
  <c r="AH1508"/>
  <c r="AH1432"/>
  <c r="AH1448"/>
  <c r="AH1333"/>
  <c r="AH1281"/>
  <c r="AH1415"/>
  <c r="AH1417"/>
  <c r="AH1443"/>
  <c r="AH1476"/>
  <c r="AH1349"/>
  <c r="AH1427"/>
  <c r="AH1291"/>
  <c r="AH1421"/>
  <c r="AH1308"/>
  <c r="AH1424"/>
  <c r="AH1437"/>
  <c r="AH1453"/>
  <c r="AH1408"/>
  <c r="AH1490"/>
  <c r="AH1511"/>
  <c r="AG1400"/>
  <c r="AG1460"/>
  <c r="AH1501"/>
  <c r="AH1303"/>
  <c r="AH1445"/>
  <c r="AI1500"/>
  <c r="AH1387"/>
  <c r="AH1426"/>
  <c r="AI1323"/>
  <c r="AI1454"/>
  <c r="AG1509"/>
  <c r="AH1412"/>
  <c r="AH1435"/>
  <c r="AH1284"/>
  <c r="AG1392"/>
  <c r="AH1313"/>
  <c r="AH1456"/>
  <c r="AH1503"/>
  <c r="AH1390"/>
  <c r="AH1402"/>
  <c r="AH1369"/>
  <c r="AH1338"/>
  <c r="AH1386"/>
  <c r="AH1407"/>
  <c r="AH1342"/>
  <c r="AH1528"/>
  <c r="AG1526"/>
  <c r="AG1500"/>
  <c r="AI1396"/>
  <c r="AG1454"/>
  <c r="AG1311"/>
  <c r="AG1516"/>
  <c r="AG1422"/>
  <c r="AH1525"/>
  <c r="AG1398"/>
  <c r="AG1399"/>
  <c r="AG1348"/>
  <c r="AG1369"/>
  <c r="AG1477"/>
  <c r="AG1324"/>
  <c r="AG1375"/>
  <c r="AI1460"/>
  <c r="AI1429"/>
  <c r="AG1320"/>
  <c r="AI1510"/>
  <c r="AI1447"/>
  <c r="AI1527"/>
  <c r="AG1404"/>
  <c r="AH1460"/>
  <c r="AI1465"/>
  <c r="AI1360"/>
  <c r="AI1377"/>
  <c r="AI1336"/>
  <c r="AI1530"/>
  <c r="AI1529"/>
  <c r="AI1385"/>
  <c r="AH1329"/>
  <c r="AH1345"/>
  <c r="AH1449"/>
  <c r="AH1416"/>
  <c r="AH1413"/>
  <c r="AH1275"/>
  <c r="AH1419"/>
  <c r="AI1458"/>
  <c r="AI1335"/>
  <c r="AI1499"/>
  <c r="AH1439"/>
  <c r="AH1300"/>
  <c r="AI1511"/>
  <c r="AH1404"/>
  <c r="AI1480"/>
  <c r="AG1317"/>
  <c r="AH1531"/>
  <c r="AH1358"/>
  <c r="AH1373"/>
  <c r="AH1496"/>
  <c r="AH1325"/>
  <c r="AH1529"/>
  <c r="AH1371"/>
  <c r="AH1536"/>
  <c r="AH1487"/>
  <c r="AG1466"/>
  <c r="AI1291"/>
  <c r="AI1280"/>
  <c r="AH1510"/>
  <c r="AG1293"/>
  <c r="AG1315"/>
  <c r="AI1288"/>
  <c r="AH1459"/>
  <c r="AG1531"/>
  <c r="AG1405"/>
  <c r="AG1342"/>
  <c r="AG1282"/>
  <c r="AG1368"/>
  <c r="AG1354"/>
  <c r="AH1517"/>
  <c r="AG1322"/>
  <c r="AH1305"/>
  <c r="AG1493"/>
  <c r="AG1476"/>
  <c r="AG1329"/>
  <c r="AI1507"/>
  <c r="AH1383"/>
  <c r="AI1381"/>
  <c r="AI1386"/>
  <c r="AI1359"/>
  <c r="AI1290"/>
  <c r="AI1538"/>
  <c r="AI1537"/>
  <c r="AI1358"/>
  <c r="AG343"/>
  <c r="AH932"/>
  <c r="AH1178"/>
  <c r="AH649"/>
  <c r="AH259"/>
  <c r="AH1225"/>
  <c r="AH1221"/>
  <c r="AH595"/>
  <c r="AH982"/>
  <c r="AH380"/>
  <c r="AG992"/>
  <c r="AG890"/>
  <c r="AG206"/>
  <c r="AG1212"/>
  <c r="AG254"/>
  <c r="AG558"/>
  <c r="AG913"/>
  <c r="AG377"/>
  <c r="AG656"/>
  <c r="AG740"/>
  <c r="AG706"/>
  <c r="AG1010"/>
  <c r="AG148"/>
  <c r="AG851"/>
  <c r="AG213"/>
  <c r="AG909"/>
  <c r="AG1115"/>
  <c r="AG671"/>
  <c r="AG246"/>
  <c r="AG617"/>
  <c r="AG499"/>
  <c r="AG52"/>
  <c r="AG207"/>
  <c r="AG277"/>
  <c r="AG121"/>
  <c r="AG635"/>
  <c r="AH474"/>
  <c r="AH187"/>
  <c r="AG386"/>
  <c r="AG1268"/>
  <c r="AG1185"/>
  <c r="AG102"/>
  <c r="AG714"/>
  <c r="AG1023"/>
  <c r="AG138"/>
  <c r="AG120"/>
  <c r="AG44"/>
  <c r="AG1066"/>
  <c r="AG344"/>
  <c r="AG1194"/>
  <c r="AG1211"/>
  <c r="AG521"/>
  <c r="AG537"/>
  <c r="AG302"/>
  <c r="AG848"/>
  <c r="AG451"/>
  <c r="AG414"/>
  <c r="AG949"/>
  <c r="AG400"/>
  <c r="AG130"/>
  <c r="AH218"/>
  <c r="AG845"/>
  <c r="AG62"/>
  <c r="AG698"/>
  <c r="AG471"/>
  <c r="AG90"/>
  <c r="AG623"/>
  <c r="AG1106"/>
  <c r="AG960"/>
  <c r="AG472"/>
  <c r="AG75"/>
  <c r="AG1163"/>
  <c r="AG1011"/>
  <c r="AG819"/>
  <c r="AG812"/>
  <c r="AG170"/>
  <c r="AG1129"/>
  <c r="AG1003"/>
  <c r="AG171"/>
  <c r="AG636"/>
  <c r="AG814"/>
  <c r="AG951"/>
  <c r="AG72"/>
  <c r="AG1105"/>
  <c r="AH515"/>
  <c r="AH455"/>
  <c r="AH936"/>
  <c r="AH525"/>
  <c r="AH1018"/>
  <c r="AH225"/>
  <c r="AH372"/>
  <c r="AH743"/>
  <c r="AH1020"/>
  <c r="AH382"/>
  <c r="AH241"/>
  <c r="AH694"/>
  <c r="AH538"/>
  <c r="AH411"/>
  <c r="AH120"/>
  <c r="AH925"/>
  <c r="AH1028"/>
  <c r="AH573"/>
  <c r="AH240"/>
  <c r="AG737"/>
  <c r="AG863"/>
  <c r="AH556"/>
  <c r="AG124"/>
  <c r="AG1126"/>
  <c r="AH164"/>
  <c r="AG322"/>
  <c r="AG676"/>
  <c r="AG1222"/>
  <c r="AH93"/>
  <c r="AG1171"/>
  <c r="AG501"/>
  <c r="AH457"/>
  <c r="AH188"/>
  <c r="AH895"/>
  <c r="AH389"/>
  <c r="AH281"/>
  <c r="AG902"/>
  <c r="AH1217"/>
  <c r="AG748"/>
  <c r="AG509"/>
  <c r="AH295"/>
  <c r="AH986"/>
  <c r="AG581"/>
  <c r="AG830"/>
  <c r="AH910"/>
  <c r="AH233"/>
  <c r="AG127"/>
  <c r="AG657"/>
  <c r="AG247"/>
  <c r="AG756"/>
  <c r="AG137"/>
  <c r="AH449"/>
  <c r="AG754"/>
  <c r="AG401"/>
  <c r="AG1093"/>
  <c r="AH1003"/>
  <c r="AG925"/>
  <c r="AH201"/>
  <c r="AH446"/>
  <c r="AH105"/>
  <c r="AH130"/>
  <c r="AH1014"/>
  <c r="AH371"/>
  <c r="AH755"/>
  <c r="AH244"/>
  <c r="AH738"/>
  <c r="AH623"/>
  <c r="AO623" s="1"/>
  <c r="AR623" s="1"/>
  <c r="AH184"/>
  <c r="AH1066"/>
  <c r="AH62"/>
  <c r="AH149"/>
  <c r="AH117"/>
  <c r="AH891"/>
  <c r="AH314"/>
  <c r="AH379"/>
  <c r="AH404"/>
  <c r="AH487"/>
  <c r="AH317"/>
  <c r="AH338"/>
  <c r="AH605"/>
  <c r="AH1155"/>
  <c r="AH51"/>
  <c r="AH35"/>
  <c r="AH138"/>
  <c r="AH909"/>
  <c r="AH170"/>
  <c r="AH1106"/>
  <c r="AH671"/>
  <c r="AO671" s="1"/>
  <c r="AR671" s="1"/>
  <c r="AH783"/>
  <c r="AH171"/>
  <c r="AH75"/>
  <c r="AH513"/>
  <c r="AH776"/>
  <c r="AH1237"/>
  <c r="AH937"/>
  <c r="AH1158"/>
  <c r="AH203"/>
  <c r="AH469"/>
  <c r="AH1114"/>
  <c r="AH632"/>
  <c r="AH566"/>
  <c r="AH646"/>
  <c r="AH1117"/>
  <c r="AH167"/>
  <c r="AH532"/>
  <c r="AH947"/>
  <c r="AH1263"/>
  <c r="AH901"/>
  <c r="AH720"/>
  <c r="AH519"/>
  <c r="AH495"/>
  <c r="AH1197"/>
  <c r="AH899"/>
  <c r="AH435"/>
  <c r="AH1231"/>
  <c r="AH747"/>
  <c r="AH1146"/>
  <c r="AH741"/>
  <c r="AH1103"/>
  <c r="AH363"/>
  <c r="AH608"/>
  <c r="AH701"/>
  <c r="AH523"/>
  <c r="AH113"/>
  <c r="AH800"/>
  <c r="AH917"/>
  <c r="AH612"/>
  <c r="AH805"/>
  <c r="AH833"/>
  <c r="AH44"/>
  <c r="AH246"/>
  <c r="AH193"/>
  <c r="AH190"/>
  <c r="AH765"/>
  <c r="AH1025"/>
  <c r="AH1054"/>
  <c r="AH643"/>
  <c r="AH1043"/>
  <c r="AH78"/>
  <c r="AH76"/>
  <c r="AH378"/>
  <c r="AH304"/>
  <c r="AH425"/>
  <c r="AH239"/>
  <c r="AH677"/>
  <c r="AH784"/>
  <c r="AH177"/>
  <c r="AH461"/>
  <c r="AH498"/>
  <c r="AH121"/>
  <c r="AH1077"/>
  <c r="AH452"/>
  <c r="AH258"/>
  <c r="AH202"/>
  <c r="AH459"/>
  <c r="AH1006"/>
  <c r="AH547"/>
  <c r="AH84"/>
  <c r="AC3"/>
  <c r="AI48"/>
  <c r="AI64"/>
  <c r="AI80"/>
  <c r="AI96"/>
  <c r="AI33"/>
  <c r="AI49"/>
  <c r="AI65"/>
  <c r="AI81"/>
  <c r="AI97"/>
  <c r="AI211"/>
  <c r="AI42"/>
  <c r="AI58"/>
  <c r="AI74"/>
  <c r="AI90"/>
  <c r="AI103"/>
  <c r="AI107"/>
  <c r="AI111"/>
  <c r="AI115"/>
  <c r="AI119"/>
  <c r="AI123"/>
  <c r="AI127"/>
  <c r="AI131"/>
  <c r="AI135"/>
  <c r="AI139"/>
  <c r="AI143"/>
  <c r="AI147"/>
  <c r="AI151"/>
  <c r="AI155"/>
  <c r="AI159"/>
  <c r="AI163"/>
  <c r="AI167"/>
  <c r="AI171"/>
  <c r="AI175"/>
  <c r="AI179"/>
  <c r="AI183"/>
  <c r="AI187"/>
  <c r="AI191"/>
  <c r="AI44"/>
  <c r="AI60"/>
  <c r="AI76"/>
  <c r="AI92"/>
  <c r="AI208"/>
  <c r="AI45"/>
  <c r="AI61"/>
  <c r="AI77"/>
  <c r="AI93"/>
  <c r="AI207"/>
  <c r="AI38"/>
  <c r="AI54"/>
  <c r="AI70"/>
  <c r="AI86"/>
  <c r="AI102"/>
  <c r="AI106"/>
  <c r="AI110"/>
  <c r="AI114"/>
  <c r="AI118"/>
  <c r="AI122"/>
  <c r="AI126"/>
  <c r="AI130"/>
  <c r="AI134"/>
  <c r="AI138"/>
  <c r="AI142"/>
  <c r="AI146"/>
  <c r="AI150"/>
  <c r="AI154"/>
  <c r="AI158"/>
  <c r="AI162"/>
  <c r="AI166"/>
  <c r="AI170"/>
  <c r="AI174"/>
  <c r="AI178"/>
  <c r="AI182"/>
  <c r="AI186"/>
  <c r="AI190"/>
  <c r="AI194"/>
  <c r="AI198"/>
  <c r="AI202"/>
  <c r="AI218"/>
  <c r="AI47"/>
  <c r="AI63"/>
  <c r="AI79"/>
  <c r="AI95"/>
  <c r="AI213"/>
  <c r="AI231"/>
  <c r="AI219"/>
  <c r="AI223"/>
  <c r="AI243"/>
  <c r="AI259"/>
  <c r="AI275"/>
  <c r="AI291"/>
  <c r="AI416"/>
  <c r="AI430"/>
  <c r="AI448"/>
  <c r="AI225"/>
  <c r="AI230"/>
  <c r="AI256"/>
  <c r="AI272"/>
  <c r="AI288"/>
  <c r="AI295"/>
  <c r="AI299"/>
  <c r="AI303"/>
  <c r="AI307"/>
  <c r="AI311"/>
  <c r="AI315"/>
  <c r="AI319"/>
  <c r="AI323"/>
  <c r="AI327"/>
  <c r="AI331"/>
  <c r="AI335"/>
  <c r="AI339"/>
  <c r="AI343"/>
  <c r="AI347"/>
  <c r="AI351"/>
  <c r="AI355"/>
  <c r="AI359"/>
  <c r="AI363"/>
  <c r="AI367"/>
  <c r="AI371"/>
  <c r="AI375"/>
  <c r="AI379"/>
  <c r="AI383"/>
  <c r="AI387"/>
  <c r="AI391"/>
  <c r="AI395"/>
  <c r="AI399"/>
  <c r="AI411"/>
  <c r="AI425"/>
  <c r="AI443"/>
  <c r="AI457"/>
  <c r="AI234"/>
  <c r="AI257"/>
  <c r="AI273"/>
  <c r="AI289"/>
  <c r="AI414"/>
  <c r="AI432"/>
  <c r="AI446"/>
  <c r="AI238"/>
  <c r="AI258"/>
  <c r="AI274"/>
  <c r="AI290"/>
  <c r="AI413"/>
  <c r="AI431"/>
  <c r="AI445"/>
  <c r="AI463"/>
  <c r="AI480"/>
  <c r="AI498"/>
  <c r="AI514"/>
  <c r="AI530"/>
  <c r="AI477"/>
  <c r="AI499"/>
  <c r="AI517"/>
  <c r="AI538"/>
  <c r="AI554"/>
  <c r="AI570"/>
  <c r="AI583"/>
  <c r="AI607"/>
  <c r="AI623"/>
  <c r="AI639"/>
  <c r="AI655"/>
  <c r="AI671"/>
  <c r="AI687"/>
  <c r="AI703"/>
  <c r="AI719"/>
  <c r="AI735"/>
  <c r="AI751"/>
  <c r="AI767"/>
  <c r="AI482"/>
  <c r="AI487"/>
  <c r="AI504"/>
  <c r="AI527"/>
  <c r="AI543"/>
  <c r="AI559"/>
  <c r="AI572"/>
  <c r="AI579"/>
  <c r="AI603"/>
  <c r="AI617"/>
  <c r="AI633"/>
  <c r="AI649"/>
  <c r="AI665"/>
  <c r="AI681"/>
  <c r="AI697"/>
  <c r="AI713"/>
  <c r="AI729"/>
  <c r="AI748"/>
  <c r="AI764"/>
  <c r="AI500"/>
  <c r="AI523"/>
  <c r="AI544"/>
  <c r="AI560"/>
  <c r="AI574"/>
  <c r="AI590"/>
  <c r="AI598"/>
  <c r="AI618"/>
  <c r="AI634"/>
  <c r="AI650"/>
  <c r="AI666"/>
  <c r="AI682"/>
  <c r="AI698"/>
  <c r="AI714"/>
  <c r="AI730"/>
  <c r="AI745"/>
  <c r="AI761"/>
  <c r="AI468"/>
  <c r="AI473"/>
  <c r="AI496"/>
  <c r="AI519"/>
  <c r="AI537"/>
  <c r="AI553"/>
  <c r="AI569"/>
  <c r="AI587"/>
  <c r="AI595"/>
  <c r="AI621"/>
  <c r="AI637"/>
  <c r="AI653"/>
  <c r="AI669"/>
  <c r="AI685"/>
  <c r="AI701"/>
  <c r="AI717"/>
  <c r="AI733"/>
  <c r="AI750"/>
  <c r="AI766"/>
  <c r="AI784"/>
  <c r="AI806"/>
  <c r="AI822"/>
  <c r="AI40"/>
  <c r="AI56"/>
  <c r="AI72"/>
  <c r="AI88"/>
  <c r="AI204"/>
  <c r="AI41"/>
  <c r="AI57"/>
  <c r="AI73"/>
  <c r="AI89"/>
  <c r="AI203"/>
  <c r="AI34"/>
  <c r="AI50"/>
  <c r="AI66"/>
  <c r="AI82"/>
  <c r="AI98"/>
  <c r="AI105"/>
  <c r="AI109"/>
  <c r="AI113"/>
  <c r="AI117"/>
  <c r="AI121"/>
  <c r="AI125"/>
  <c r="AI129"/>
  <c r="AI133"/>
  <c r="AI137"/>
  <c r="AI141"/>
  <c r="AI145"/>
  <c r="AI149"/>
  <c r="AI153"/>
  <c r="AI157"/>
  <c r="AI161"/>
  <c r="AI165"/>
  <c r="AI169"/>
  <c r="AI173"/>
  <c r="AI177"/>
  <c r="AI181"/>
  <c r="AI185"/>
  <c r="AI189"/>
  <c r="AI193"/>
  <c r="AI197"/>
  <c r="AI201"/>
  <c r="AI214"/>
  <c r="AI43"/>
  <c r="AI36"/>
  <c r="AI52"/>
  <c r="AI68"/>
  <c r="AI84"/>
  <c r="AI100"/>
  <c r="AI37"/>
  <c r="AI53"/>
  <c r="AI69"/>
  <c r="AI85"/>
  <c r="AI101"/>
  <c r="AI215"/>
  <c r="AI46"/>
  <c r="AI62"/>
  <c r="AI78"/>
  <c r="AI94"/>
  <c r="AI104"/>
  <c r="AI108"/>
  <c r="AI112"/>
  <c r="AI116"/>
  <c r="AI120"/>
  <c r="AI124"/>
  <c r="AI128"/>
  <c r="AI132"/>
  <c r="AI136"/>
  <c r="AI140"/>
  <c r="AI144"/>
  <c r="AI148"/>
  <c r="AI152"/>
  <c r="AI156"/>
  <c r="AI160"/>
  <c r="AI164"/>
  <c r="AI168"/>
  <c r="AI172"/>
  <c r="AI176"/>
  <c r="AI180"/>
  <c r="AI184"/>
  <c r="AI188"/>
  <c r="AI192"/>
  <c r="AI196"/>
  <c r="AI200"/>
  <c r="AI210"/>
  <c r="AI39"/>
  <c r="AI55"/>
  <c r="AI71"/>
  <c r="AI87"/>
  <c r="AI205"/>
  <c r="AI224"/>
  <c r="AI239"/>
  <c r="AI221"/>
  <c r="AI241"/>
  <c r="AI251"/>
  <c r="AI267"/>
  <c r="AI283"/>
  <c r="AI405"/>
  <c r="AI423"/>
  <c r="AI437"/>
  <c r="AI455"/>
  <c r="AI227"/>
  <c r="AI248"/>
  <c r="AI264"/>
  <c r="AI280"/>
  <c r="AI293"/>
  <c r="AI297"/>
  <c r="AI301"/>
  <c r="AI305"/>
  <c r="AI309"/>
  <c r="AI313"/>
  <c r="AI317"/>
  <c r="AI321"/>
  <c r="AI325"/>
  <c r="AI329"/>
  <c r="AI333"/>
  <c r="AI337"/>
  <c r="AI341"/>
  <c r="AI345"/>
  <c r="AI349"/>
  <c r="AI353"/>
  <c r="AI357"/>
  <c r="AI361"/>
  <c r="AI365"/>
  <c r="AI369"/>
  <c r="AI373"/>
  <c r="AI377"/>
  <c r="AI381"/>
  <c r="AI385"/>
  <c r="AI389"/>
  <c r="AI393"/>
  <c r="AI397"/>
  <c r="AI404"/>
  <c r="AI418"/>
  <c r="AI436"/>
  <c r="AI450"/>
  <c r="AI232"/>
  <c r="AI249"/>
  <c r="AI265"/>
  <c r="AI281"/>
  <c r="AI407"/>
  <c r="AI421"/>
  <c r="AI439"/>
  <c r="AI236"/>
  <c r="AI250"/>
  <c r="AI266"/>
  <c r="AI282"/>
  <c r="AI406"/>
  <c r="AI424"/>
  <c r="AI438"/>
  <c r="AI456"/>
  <c r="AI470"/>
  <c r="AI490"/>
  <c r="AI506"/>
  <c r="AI522"/>
  <c r="AI462"/>
  <c r="AI479"/>
  <c r="AI508"/>
  <c r="AI531"/>
  <c r="AI546"/>
  <c r="AI562"/>
  <c r="AI581"/>
  <c r="AI605"/>
  <c r="AI615"/>
  <c r="AI35"/>
  <c r="AI75"/>
  <c r="AI209"/>
  <c r="AI216"/>
  <c r="AI242"/>
  <c r="AI271"/>
  <c r="AI412"/>
  <c r="AI444"/>
  <c r="AI229"/>
  <c r="AI268"/>
  <c r="AI294"/>
  <c r="AI302"/>
  <c r="AI310"/>
  <c r="AI318"/>
  <c r="AI326"/>
  <c r="AI334"/>
  <c r="AI342"/>
  <c r="AI350"/>
  <c r="AI358"/>
  <c r="AI366"/>
  <c r="AI374"/>
  <c r="AI382"/>
  <c r="AI390"/>
  <c r="AI398"/>
  <c r="AI422"/>
  <c r="AI454"/>
  <c r="AI253"/>
  <c r="AI285"/>
  <c r="AI428"/>
  <c r="AI237"/>
  <c r="AI270"/>
  <c r="AI409"/>
  <c r="AI441"/>
  <c r="AI476"/>
  <c r="AI510"/>
  <c r="AI465"/>
  <c r="AI515"/>
  <c r="AI550"/>
  <c r="AI582"/>
  <c r="AI622"/>
  <c r="AI646"/>
  <c r="AI663"/>
  <c r="AI686"/>
  <c r="AI710"/>
  <c r="AI727"/>
  <c r="AI747"/>
  <c r="AI453"/>
  <c r="AI485"/>
  <c r="AI497"/>
  <c r="AI529"/>
  <c r="AI551"/>
  <c r="AI571"/>
  <c r="AI600"/>
  <c r="AI609"/>
  <c r="AI632"/>
  <c r="AI656"/>
  <c r="AI673"/>
  <c r="AI696"/>
  <c r="AI720"/>
  <c r="AI737"/>
  <c r="AI760"/>
  <c r="AI507"/>
  <c r="AI532"/>
  <c r="AI556"/>
  <c r="AI575"/>
  <c r="AI596"/>
  <c r="AI611"/>
  <c r="AI635"/>
  <c r="AI658"/>
  <c r="AI675"/>
  <c r="AI699"/>
  <c r="AI722"/>
  <c r="AI739"/>
  <c r="AI765"/>
  <c r="AI471"/>
  <c r="AI489"/>
  <c r="AI521"/>
  <c r="AI545"/>
  <c r="AI565"/>
  <c r="AI592"/>
  <c r="AI613"/>
  <c r="AI636"/>
  <c r="AI660"/>
  <c r="AI677"/>
  <c r="AI700"/>
  <c r="AI724"/>
  <c r="AI741"/>
  <c r="AI762"/>
  <c r="AI785"/>
  <c r="AI814"/>
  <c r="AI831"/>
  <c r="AI847"/>
  <c r="AI863"/>
  <c r="AI879"/>
  <c r="AI895"/>
  <c r="AI911"/>
  <c r="AI780"/>
  <c r="AI802"/>
  <c r="AI817"/>
  <c r="AI840"/>
  <c r="AI866"/>
  <c r="AI881"/>
  <c r="AI904"/>
  <c r="AI919"/>
  <c r="AI938"/>
  <c r="AI954"/>
  <c r="AI970"/>
  <c r="AI986"/>
  <c r="AI1002"/>
  <c r="AI776"/>
  <c r="AI796"/>
  <c r="AI820"/>
  <c r="AI835"/>
  <c r="AI861"/>
  <c r="AI884"/>
  <c r="AI899"/>
  <c r="AI928"/>
  <c r="AI943"/>
  <c r="AI959"/>
  <c r="AI975"/>
  <c r="AI991"/>
  <c r="AI1007"/>
  <c r="AI787"/>
  <c r="AI812"/>
  <c r="AI827"/>
  <c r="AI853"/>
  <c r="AI876"/>
  <c r="AI891"/>
  <c r="AI915"/>
  <c r="AI931"/>
  <c r="AI947"/>
  <c r="AI963"/>
  <c r="AI979"/>
  <c r="AI995"/>
  <c r="AI1011"/>
  <c r="AI1015"/>
  <c r="AI1019"/>
  <c r="AI1023"/>
  <c r="AI1027"/>
  <c r="AI1031"/>
  <c r="AI1035"/>
  <c r="AI1039"/>
  <c r="AI1043"/>
  <c r="AI1047"/>
  <c r="AI1051"/>
  <c r="AI1055"/>
  <c r="AI1059"/>
  <c r="AI1063"/>
  <c r="AI1067"/>
  <c r="AI1071"/>
  <c r="AI1075"/>
  <c r="AI768"/>
  <c r="AI788"/>
  <c r="AI810"/>
  <c r="AI825"/>
  <c r="AI848"/>
  <c r="AI874"/>
  <c r="AI889"/>
  <c r="AI912"/>
  <c r="AI925"/>
  <c r="AI936"/>
  <c r="AI952"/>
  <c r="AI968"/>
  <c r="AI984"/>
  <c r="AI1000"/>
  <c r="AI1099"/>
  <c r="AI1115"/>
  <c r="AI1131"/>
  <c r="AI1147"/>
  <c r="AI1163"/>
  <c r="AI1179"/>
  <c r="AI1195"/>
  <c r="AI1208"/>
  <c r="AI1212"/>
  <c r="AI1228"/>
  <c r="AI1244"/>
  <c r="AI1260"/>
  <c r="AI1081"/>
  <c r="AI1092"/>
  <c r="AI1108"/>
  <c r="AI1124"/>
  <c r="AI1140"/>
  <c r="AI1156"/>
  <c r="AI1172"/>
  <c r="AI1188"/>
  <c r="AI1204"/>
  <c r="AI1226"/>
  <c r="AI1242"/>
  <c r="AI1258"/>
  <c r="AI1093"/>
  <c r="AI1109"/>
  <c r="AI1125"/>
  <c r="AI1141"/>
  <c r="AI1157"/>
  <c r="AI1173"/>
  <c r="AI1189"/>
  <c r="AI1205"/>
  <c r="AI1222"/>
  <c r="AI1238"/>
  <c r="AI1254"/>
  <c r="AI1270"/>
  <c r="AI1086"/>
  <c r="AI1102"/>
  <c r="AI1118"/>
  <c r="AI1134"/>
  <c r="AI1150"/>
  <c r="AI1166"/>
  <c r="AI1182"/>
  <c r="AI1198"/>
  <c r="AI1216"/>
  <c r="AI1232"/>
  <c r="AI1248"/>
  <c r="AI1264"/>
  <c r="AI206"/>
  <c r="AI67"/>
  <c r="AI99"/>
  <c r="AI235"/>
  <c r="AI240"/>
  <c r="AI263"/>
  <c r="AI401"/>
  <c r="AI433"/>
  <c r="AI226"/>
  <c r="AI260"/>
  <c r="AI292"/>
  <c r="AI300"/>
  <c r="AI308"/>
  <c r="AI316"/>
  <c r="AI324"/>
  <c r="AI332"/>
  <c r="AI340"/>
  <c r="AI348"/>
  <c r="AI356"/>
  <c r="AI364"/>
  <c r="AI372"/>
  <c r="AI380"/>
  <c r="AI388"/>
  <c r="AI396"/>
  <c r="AI415"/>
  <c r="AI447"/>
  <c r="AI245"/>
  <c r="AI277"/>
  <c r="AI417"/>
  <c r="AI449"/>
  <c r="AI262"/>
  <c r="AI402"/>
  <c r="AI434"/>
  <c r="AI466"/>
  <c r="AI502"/>
  <c r="AI534"/>
  <c r="AI501"/>
  <c r="AI542"/>
  <c r="AI580"/>
  <c r="AI614"/>
  <c r="AI638"/>
  <c r="AI662"/>
  <c r="AI679"/>
  <c r="AI702"/>
  <c r="AI726"/>
  <c r="AI743"/>
  <c r="AI763"/>
  <c r="AI483"/>
  <c r="AI495"/>
  <c r="AI520"/>
  <c r="AI547"/>
  <c r="AI567"/>
  <c r="AI578"/>
  <c r="AI608"/>
  <c r="AI625"/>
  <c r="AI648"/>
  <c r="AI672"/>
  <c r="AI689"/>
  <c r="AI712"/>
  <c r="AI736"/>
  <c r="AI756"/>
  <c r="AI493"/>
  <c r="AI525"/>
  <c r="AI552"/>
  <c r="AI573"/>
  <c r="AI591"/>
  <c r="AI610"/>
  <c r="AI627"/>
  <c r="AI651"/>
  <c r="AI674"/>
  <c r="AI691"/>
  <c r="AI715"/>
  <c r="AI738"/>
  <c r="AI757"/>
  <c r="AI469"/>
  <c r="AI475"/>
  <c r="AI512"/>
  <c r="AI541"/>
  <c r="AI561"/>
  <c r="AI586"/>
  <c r="AI612"/>
  <c r="AI629"/>
  <c r="AI652"/>
  <c r="AI676"/>
  <c r="AI693"/>
  <c r="AI716"/>
  <c r="AI740"/>
  <c r="AI758"/>
  <c r="AI783"/>
  <c r="AI807"/>
  <c r="AI830"/>
  <c r="AI846"/>
  <c r="AI862"/>
  <c r="AI878"/>
  <c r="AI894"/>
  <c r="AI910"/>
  <c r="AI779"/>
  <c r="AI795"/>
  <c r="AI811"/>
  <c r="AI837"/>
  <c r="AI860"/>
  <c r="AI875"/>
  <c r="AI901"/>
  <c r="AI918"/>
  <c r="AI937"/>
  <c r="AI953"/>
  <c r="AI969"/>
  <c r="AI985"/>
  <c r="AI1001"/>
  <c r="AI769"/>
  <c r="AI791"/>
  <c r="AI809"/>
  <c r="AI832"/>
  <c r="AI858"/>
  <c r="AI873"/>
  <c r="AI896"/>
  <c r="AI921"/>
  <c r="AI942"/>
  <c r="AI958"/>
  <c r="AI974"/>
  <c r="AI990"/>
  <c r="AI1006"/>
  <c r="AI782"/>
  <c r="AI801"/>
  <c r="AI824"/>
  <c r="AI850"/>
  <c r="AI865"/>
  <c r="AI888"/>
  <c r="AI914"/>
  <c r="AI930"/>
  <c r="AI946"/>
  <c r="AI962"/>
  <c r="AI978"/>
  <c r="AI994"/>
  <c r="AI1010"/>
  <c r="AI1014"/>
  <c r="AI1018"/>
  <c r="AI1022"/>
  <c r="AI1026"/>
  <c r="AI1030"/>
  <c r="AI1034"/>
  <c r="AI1038"/>
  <c r="AI1042"/>
  <c r="AI1046"/>
  <c r="AI1050"/>
  <c r="AI1054"/>
  <c r="AI1058"/>
  <c r="AI1062"/>
  <c r="AI1066"/>
  <c r="AI1070"/>
  <c r="AI1074"/>
  <c r="AI1078"/>
  <c r="AI778"/>
  <c r="AI804"/>
  <c r="AI819"/>
  <c r="AI845"/>
  <c r="AI868"/>
  <c r="AI883"/>
  <c r="AI909"/>
  <c r="AI924"/>
  <c r="AI935"/>
  <c r="AI951"/>
  <c r="AI967"/>
  <c r="AI983"/>
  <c r="AI999"/>
  <c r="AI1095"/>
  <c r="AI1111"/>
  <c r="AI1127"/>
  <c r="AI1143"/>
  <c r="AI1159"/>
  <c r="AI1175"/>
  <c r="AI1191"/>
  <c r="AI1207"/>
  <c r="AI1211"/>
  <c r="AI1227"/>
  <c r="AI1243"/>
  <c r="AI1259"/>
  <c r="AI1079"/>
  <c r="AI1088"/>
  <c r="AI1104"/>
  <c r="AI1120"/>
  <c r="AI1136"/>
  <c r="AI1152"/>
  <c r="AI1168"/>
  <c r="AI1184"/>
  <c r="AI1200"/>
  <c r="AI1225"/>
  <c r="AI1241"/>
  <c r="AI1257"/>
  <c r="AI1089"/>
  <c r="AI1105"/>
  <c r="AI1121"/>
  <c r="AI1137"/>
  <c r="AI1153"/>
  <c r="AI1169"/>
  <c r="AI1185"/>
  <c r="AI1201"/>
  <c r="AI1221"/>
  <c r="AI1237"/>
  <c r="AI1253"/>
  <c r="AI1269"/>
  <c r="AI1084"/>
  <c r="AI1098"/>
  <c r="AI1114"/>
  <c r="AI1130"/>
  <c r="AI1146"/>
  <c r="AI1162"/>
  <c r="AI1178"/>
  <c r="AI1194"/>
  <c r="AI1215"/>
  <c r="AI1231"/>
  <c r="AI1247"/>
  <c r="AI1263"/>
  <c r="AI199"/>
  <c r="AI59"/>
  <c r="AI91"/>
  <c r="AI228"/>
  <c r="AI222"/>
  <c r="AI255"/>
  <c r="AI287"/>
  <c r="AI426"/>
  <c r="AI212"/>
  <c r="AI252"/>
  <c r="AI284"/>
  <c r="AI298"/>
  <c r="AI306"/>
  <c r="AI314"/>
  <c r="AI322"/>
  <c r="AI330"/>
  <c r="AI338"/>
  <c r="AI346"/>
  <c r="AI354"/>
  <c r="AI362"/>
  <c r="AI370"/>
  <c r="AI378"/>
  <c r="AI386"/>
  <c r="AI394"/>
  <c r="AI408"/>
  <c r="AI440"/>
  <c r="AI233"/>
  <c r="AI269"/>
  <c r="AI410"/>
  <c r="AI442"/>
  <c r="AI254"/>
  <c r="AI286"/>
  <c r="AI427"/>
  <c r="AI459"/>
  <c r="AI494"/>
  <c r="AI526"/>
  <c r="AI492"/>
  <c r="AI533"/>
  <c r="AI566"/>
  <c r="AI606"/>
  <c r="AI631"/>
  <c r="AI654"/>
  <c r="AI678"/>
  <c r="AI695"/>
  <c r="AI718"/>
  <c r="AI742"/>
  <c r="AI759"/>
  <c r="AI481"/>
  <c r="AI488"/>
  <c r="AI513"/>
  <c r="AI539"/>
  <c r="AI563"/>
  <c r="AI577"/>
  <c r="AI602"/>
  <c r="AI624"/>
  <c r="AI641"/>
  <c r="AI664"/>
  <c r="AI688"/>
  <c r="AI705"/>
  <c r="AI728"/>
  <c r="AI752"/>
  <c r="AI491"/>
  <c r="AI516"/>
  <c r="AI548"/>
  <c r="AI568"/>
  <c r="AI589"/>
  <c r="AI599"/>
  <c r="AI626"/>
  <c r="AI643"/>
  <c r="AI667"/>
  <c r="AI690"/>
  <c r="AI707"/>
  <c r="AI731"/>
  <c r="AI753"/>
  <c r="AI467"/>
  <c r="AI474"/>
  <c r="AI505"/>
  <c r="AI535"/>
  <c r="AI557"/>
  <c r="AI585"/>
  <c r="AI594"/>
  <c r="AI628"/>
  <c r="AI645"/>
  <c r="AI668"/>
  <c r="AI692"/>
  <c r="AI709"/>
  <c r="AI732"/>
  <c r="AI754"/>
  <c r="AI774"/>
  <c r="AI799"/>
  <c r="AI823"/>
  <c r="AI839"/>
  <c r="AI855"/>
  <c r="AI871"/>
  <c r="AI887"/>
  <c r="AI903"/>
  <c r="AI773"/>
  <c r="AI794"/>
  <c r="AI808"/>
  <c r="AI834"/>
  <c r="AI849"/>
  <c r="AI872"/>
  <c r="AI898"/>
  <c r="AI913"/>
  <c r="AI927"/>
  <c r="AI940"/>
  <c r="AI956"/>
  <c r="AI972"/>
  <c r="AI988"/>
  <c r="AI1004"/>
  <c r="AI790"/>
  <c r="AI803"/>
  <c r="AI829"/>
  <c r="AI852"/>
  <c r="AI867"/>
  <c r="AI893"/>
  <c r="AI920"/>
  <c r="AI941"/>
  <c r="AI957"/>
  <c r="AI973"/>
  <c r="AI989"/>
  <c r="AI1005"/>
  <c r="AI772"/>
  <c r="AI797"/>
  <c r="AI821"/>
  <c r="AI844"/>
  <c r="AI859"/>
  <c r="AI885"/>
  <c r="AI908"/>
  <c r="AI923"/>
  <c r="AI945"/>
  <c r="AI961"/>
  <c r="AI977"/>
  <c r="AI993"/>
  <c r="AI1009"/>
  <c r="AI1013"/>
  <c r="AI1017"/>
  <c r="AI1021"/>
  <c r="AI1025"/>
  <c r="AI1029"/>
  <c r="AI1033"/>
  <c r="AI1037"/>
  <c r="AI1041"/>
  <c r="AI1045"/>
  <c r="AI1049"/>
  <c r="AI1053"/>
  <c r="AI1057"/>
  <c r="AI1061"/>
  <c r="AI1065"/>
  <c r="AI1069"/>
  <c r="AI1073"/>
  <c r="AI1077"/>
  <c r="AI777"/>
  <c r="AI798"/>
  <c r="AI816"/>
  <c r="AI842"/>
  <c r="AI857"/>
  <c r="AI880"/>
  <c r="AI906"/>
  <c r="AI917"/>
  <c r="AI934"/>
  <c r="AI950"/>
  <c r="AI966"/>
  <c r="AI982"/>
  <c r="AI998"/>
  <c r="AI1091"/>
  <c r="AI1107"/>
  <c r="AI1123"/>
  <c r="AI1139"/>
  <c r="AI1155"/>
  <c r="AI1171"/>
  <c r="AI1187"/>
  <c r="AI1203"/>
  <c r="AI1210"/>
  <c r="AI1214"/>
  <c r="AI1230"/>
  <c r="AI1246"/>
  <c r="AI1262"/>
  <c r="AI1085"/>
  <c r="AI1100"/>
  <c r="AI1116"/>
  <c r="AI1132"/>
  <c r="AI1148"/>
  <c r="AI1164"/>
  <c r="AI1180"/>
  <c r="AI1196"/>
  <c r="AI1224"/>
  <c r="AI1240"/>
  <c r="AI1256"/>
  <c r="AI1272"/>
  <c r="AI1101"/>
  <c r="AI1117"/>
  <c r="AI1133"/>
  <c r="AI1149"/>
  <c r="AI1165"/>
  <c r="AI1181"/>
  <c r="AI1197"/>
  <c r="AI1220"/>
  <c r="AI1236"/>
  <c r="AI1252"/>
  <c r="AI1268"/>
  <c r="AI1082"/>
  <c r="AI1094"/>
  <c r="AI1110"/>
  <c r="AI1126"/>
  <c r="AI1142"/>
  <c r="AI1158"/>
  <c r="AI1174"/>
  <c r="AI1190"/>
  <c r="AI1206"/>
  <c r="AI1218"/>
  <c r="AI1234"/>
  <c r="AI1250"/>
  <c r="AI1266"/>
  <c r="AI195"/>
  <c r="AI51"/>
  <c r="AI83"/>
  <c r="AI217"/>
  <c r="AI220"/>
  <c r="AI247"/>
  <c r="AI279"/>
  <c r="AI419"/>
  <c r="AI451"/>
  <c r="AI244"/>
  <c r="AI276"/>
  <c r="AI296"/>
  <c r="AI304"/>
  <c r="AI312"/>
  <c r="AI320"/>
  <c r="AI328"/>
  <c r="AI336"/>
  <c r="AI344"/>
  <c r="AI352"/>
  <c r="AI360"/>
  <c r="AI368"/>
  <c r="AI376"/>
  <c r="AI384"/>
  <c r="AI392"/>
  <c r="AI400"/>
  <c r="AI429"/>
  <c r="AI461"/>
  <c r="AI261"/>
  <c r="AI403"/>
  <c r="AI435"/>
  <c r="AI246"/>
  <c r="AI278"/>
  <c r="AI420"/>
  <c r="AI452"/>
  <c r="AI484"/>
  <c r="AI518"/>
  <c r="AI478"/>
  <c r="AI524"/>
  <c r="AI558"/>
  <c r="AI604"/>
  <c r="AI630"/>
  <c r="AI647"/>
  <c r="AI670"/>
  <c r="AI694"/>
  <c r="AI711"/>
  <c r="AI734"/>
  <c r="AI755"/>
  <c r="AI460"/>
  <c r="AI486"/>
  <c r="AI511"/>
  <c r="AI536"/>
  <c r="AI555"/>
  <c r="AI576"/>
  <c r="AI601"/>
  <c r="AI616"/>
  <c r="AI640"/>
  <c r="AI657"/>
  <c r="AI680"/>
  <c r="AI704"/>
  <c r="AI721"/>
  <c r="AI744"/>
  <c r="AI458"/>
  <c r="AI509"/>
  <c r="AI540"/>
  <c r="AI564"/>
  <c r="AI588"/>
  <c r="AI597"/>
  <c r="AI619"/>
  <c r="AI642"/>
  <c r="AI659"/>
  <c r="AI683"/>
  <c r="AI706"/>
  <c r="AI723"/>
  <c r="AI749"/>
  <c r="AI464"/>
  <c r="AI472"/>
  <c r="AI503"/>
  <c r="AI528"/>
  <c r="AI549"/>
  <c r="AI584"/>
  <c r="AI593"/>
  <c r="AI620"/>
  <c r="AI644"/>
  <c r="AI661"/>
  <c r="AI684"/>
  <c r="AI708"/>
  <c r="AI725"/>
  <c r="AI746"/>
  <c r="AI770"/>
  <c r="AI786"/>
  <c r="AI815"/>
  <c r="AI838"/>
  <c r="AI854"/>
  <c r="AI870"/>
  <c r="AI886"/>
  <c r="AI902"/>
  <c r="AI771"/>
  <c r="AI789"/>
  <c r="AI805"/>
  <c r="AI828"/>
  <c r="AI843"/>
  <c r="AI869"/>
  <c r="AI892"/>
  <c r="AI907"/>
  <c r="AI926"/>
  <c r="AI939"/>
  <c r="AI955"/>
  <c r="AI971"/>
  <c r="AI987"/>
  <c r="AI1003"/>
  <c r="AI781"/>
  <c r="AI800"/>
  <c r="AI826"/>
  <c r="AI841"/>
  <c r="AI864"/>
  <c r="AI890"/>
  <c r="AI905"/>
  <c r="AI929"/>
  <c r="AI944"/>
  <c r="AI960"/>
  <c r="AI976"/>
  <c r="AI992"/>
  <c r="AI1008"/>
  <c r="AI792"/>
  <c r="AI818"/>
  <c r="AI833"/>
  <c r="AI856"/>
  <c r="AI882"/>
  <c r="AI897"/>
  <c r="AI922"/>
  <c r="AI932"/>
  <c r="AI948"/>
  <c r="AI964"/>
  <c r="AI980"/>
  <c r="AI996"/>
  <c r="AI1012"/>
  <c r="AI1016"/>
  <c r="AI1020"/>
  <c r="AI1024"/>
  <c r="AI1028"/>
  <c r="AI1032"/>
  <c r="AI1036"/>
  <c r="AI1040"/>
  <c r="AI1044"/>
  <c r="AI1048"/>
  <c r="AI1052"/>
  <c r="AI1056"/>
  <c r="AI1060"/>
  <c r="AI1064"/>
  <c r="AI1068"/>
  <c r="AI1072"/>
  <c r="AI1076"/>
  <c r="AI775"/>
  <c r="AI793"/>
  <c r="AI813"/>
  <c r="AI836"/>
  <c r="AI851"/>
  <c r="AI877"/>
  <c r="AI900"/>
  <c r="AI916"/>
  <c r="AI933"/>
  <c r="AI949"/>
  <c r="AI965"/>
  <c r="AI981"/>
  <c r="AI997"/>
  <c r="AI1087"/>
  <c r="AI1103"/>
  <c r="AI1119"/>
  <c r="AI1135"/>
  <c r="AI1151"/>
  <c r="AI1167"/>
  <c r="AI1183"/>
  <c r="AI1199"/>
  <c r="AI1209"/>
  <c r="AI1213"/>
  <c r="AI1229"/>
  <c r="AI1245"/>
  <c r="AI1261"/>
  <c r="AI1083"/>
  <c r="AI1096"/>
  <c r="AI1112"/>
  <c r="AI1128"/>
  <c r="AI1144"/>
  <c r="AI1160"/>
  <c r="AI1176"/>
  <c r="AI1192"/>
  <c r="AI1223"/>
  <c r="AI1239"/>
  <c r="AI1255"/>
  <c r="AI1271"/>
  <c r="AI1097"/>
  <c r="AI1113"/>
  <c r="AI1129"/>
  <c r="AI1145"/>
  <c r="AI1161"/>
  <c r="AI1177"/>
  <c r="AI1193"/>
  <c r="AI1219"/>
  <c r="AI1235"/>
  <c r="AI1251"/>
  <c r="AI1267"/>
  <c r="AI1080"/>
  <c r="AI1090"/>
  <c r="AI1106"/>
  <c r="AI1122"/>
  <c r="AI1138"/>
  <c r="AI1154"/>
  <c r="AI1170"/>
  <c r="AI1186"/>
  <c r="AI1202"/>
  <c r="AI1217"/>
  <c r="AI1233"/>
  <c r="AI1249"/>
  <c r="AI1265"/>
  <c r="AB5"/>
  <c r="AH806"/>
  <c r="AH712"/>
  <c r="AH713"/>
  <c r="AH174"/>
  <c r="AH1252"/>
  <c r="AH274"/>
  <c r="AH736"/>
  <c r="AH1190"/>
  <c r="AH286"/>
  <c r="AH1059"/>
  <c r="AH782"/>
  <c r="AH403"/>
  <c r="AH876"/>
  <c r="AH1065"/>
  <c r="AH358"/>
  <c r="AH549"/>
  <c r="AH1010"/>
  <c r="AH1011"/>
  <c r="AH1268"/>
  <c r="AH651"/>
  <c r="AH912"/>
  <c r="AH662"/>
  <c r="AH102"/>
  <c r="AH471"/>
  <c r="AH714"/>
  <c r="AH59"/>
  <c r="AH1089"/>
  <c r="AH1023"/>
  <c r="AO1023" s="1"/>
  <c r="AR1023" s="1"/>
  <c r="AH1227"/>
  <c r="AH1122"/>
  <c r="AH253"/>
  <c r="AH100"/>
  <c r="AH683"/>
  <c r="AH841"/>
  <c r="AH210"/>
  <c r="AH739"/>
  <c r="AH443"/>
  <c r="AH958"/>
  <c r="AH447"/>
  <c r="AH375"/>
  <c r="AH229"/>
  <c r="AH123"/>
  <c r="AH410"/>
  <c r="AH132"/>
  <c r="AH1100"/>
  <c r="AH578"/>
  <c r="AH1079"/>
  <c r="AH57"/>
  <c r="AH679"/>
  <c r="AH41"/>
  <c r="AH1167"/>
  <c r="AH1196"/>
  <c r="AH214"/>
  <c r="AH669"/>
  <c r="AH844"/>
  <c r="AH546"/>
  <c r="AH212"/>
  <c r="AH1130"/>
  <c r="AH320"/>
  <c r="AH1204"/>
  <c r="AH819"/>
  <c r="AH911"/>
  <c r="AH127"/>
  <c r="AO127" s="1"/>
  <c r="AR127" s="1"/>
  <c r="AH802"/>
  <c r="AH1032"/>
  <c r="AH946"/>
  <c r="AH1049"/>
  <c r="AH284"/>
  <c r="AH1255"/>
  <c r="AH729"/>
  <c r="AH654"/>
  <c r="AH263"/>
  <c r="AH428"/>
  <c r="AH942"/>
  <c r="AH751"/>
  <c r="AH769"/>
  <c r="AH874"/>
  <c r="AH524"/>
  <c r="AH544"/>
  <c r="AH896"/>
  <c r="AH1086"/>
  <c r="AH219"/>
  <c r="AH846"/>
  <c r="AH959"/>
  <c r="AH998"/>
  <c r="AH570"/>
  <c r="AH445"/>
  <c r="AH148"/>
  <c r="AH533"/>
  <c r="AH698"/>
  <c r="AH151"/>
  <c r="AH830"/>
  <c r="AO830" s="1"/>
  <c r="AR830" s="1"/>
  <c r="AH980"/>
  <c r="AH851"/>
  <c r="AH49"/>
  <c r="AH90"/>
  <c r="AH66"/>
  <c r="AH213"/>
  <c r="AH625"/>
  <c r="AH440"/>
  <c r="AH1258"/>
  <c r="AH918"/>
  <c r="AH989"/>
  <c r="AH786"/>
  <c r="AH577"/>
  <c r="AH396"/>
  <c r="AH434"/>
  <c r="AH431"/>
  <c r="AH562"/>
  <c r="AH1183"/>
  <c r="AH744"/>
  <c r="AH836"/>
  <c r="AH804"/>
  <c r="AH787"/>
  <c r="AH820"/>
  <c r="AH999"/>
  <c r="AH601"/>
  <c r="AH779"/>
  <c r="AH413"/>
  <c r="AH1182"/>
  <c r="AH331"/>
  <c r="AH993"/>
  <c r="AH342"/>
  <c r="AH1172"/>
  <c r="AH1203"/>
  <c r="AH972"/>
  <c r="AH528"/>
  <c r="AH453"/>
  <c r="AH1078"/>
  <c r="AH1099"/>
  <c r="AH1272"/>
  <c r="AH1192"/>
  <c r="AH770"/>
  <c r="AH1055"/>
  <c r="AH82"/>
  <c r="AH1039"/>
  <c r="AH842"/>
  <c r="AH906"/>
  <c r="AH1236"/>
  <c r="AH147"/>
  <c r="AH659"/>
  <c r="AH627"/>
  <c r="AH951"/>
  <c r="AH832"/>
  <c r="AH1111"/>
  <c r="AH126"/>
  <c r="AH509"/>
  <c r="AH637"/>
  <c r="AH845"/>
  <c r="AH1110"/>
  <c r="AH1212"/>
  <c r="AH89"/>
  <c r="AH852"/>
  <c r="AH1159"/>
  <c r="AH412"/>
  <c r="AH691"/>
  <c r="AH735"/>
  <c r="AH621"/>
  <c r="AH39"/>
  <c r="AH1207"/>
  <c r="AH803"/>
  <c r="AH598"/>
  <c r="AH875"/>
  <c r="AH268"/>
  <c r="AH296"/>
  <c r="AH1239"/>
  <c r="AH813"/>
  <c r="AH753"/>
  <c r="AH172"/>
  <c r="AH1048"/>
  <c r="AH1045"/>
  <c r="AH1012"/>
  <c r="AH810"/>
  <c r="AH575"/>
  <c r="AH903"/>
  <c r="AH63"/>
  <c r="AH292"/>
  <c r="AH279"/>
  <c r="AH500"/>
  <c r="AH1092"/>
  <c r="AH448"/>
  <c r="AH979"/>
  <c r="AH571"/>
  <c r="AH1084"/>
  <c r="AH1247"/>
  <c r="AH418"/>
  <c r="AH152"/>
  <c r="AH347"/>
  <c r="AH853"/>
  <c r="AH798"/>
  <c r="AH976"/>
  <c r="AH483"/>
  <c r="AH491"/>
  <c r="AH639"/>
  <c r="AH1038"/>
  <c r="AH192"/>
  <c r="AH490"/>
  <c r="AH553"/>
  <c r="AH584"/>
  <c r="AH504"/>
  <c r="AH1081"/>
  <c r="AH719"/>
  <c r="AH1160"/>
  <c r="AH1148"/>
  <c r="AH628"/>
  <c r="AH594"/>
  <c r="AH402"/>
  <c r="AH1072"/>
  <c r="AH700"/>
  <c r="AH957"/>
  <c r="AH1000"/>
  <c r="AH56"/>
  <c r="AH465"/>
  <c r="AH593"/>
  <c r="AH1250"/>
  <c r="AH265"/>
  <c r="AH53"/>
  <c r="AH245"/>
  <c r="AH687"/>
  <c r="AH1184"/>
  <c r="AH941"/>
  <c r="AH1142"/>
  <c r="AH1080"/>
  <c r="AH1013"/>
  <c r="AH131"/>
  <c r="AH200"/>
  <c r="AH516"/>
  <c r="AH308"/>
  <c r="AH384"/>
  <c r="AH541"/>
  <c r="AH1253"/>
  <c r="AH551"/>
  <c r="AH574"/>
  <c r="AH97"/>
  <c r="AH334"/>
  <c r="AH45"/>
  <c r="AH476"/>
  <c r="AH313"/>
  <c r="AH468"/>
  <c r="AH463"/>
  <c r="AH1037"/>
  <c r="AH695"/>
  <c r="AH301"/>
  <c r="AH349"/>
  <c r="AH824"/>
  <c r="AH607"/>
  <c r="AH785"/>
  <c r="AH374"/>
  <c r="AH705"/>
  <c r="AH1094"/>
  <c r="AH861"/>
  <c r="AH408"/>
  <c r="AH1128"/>
  <c r="AH261"/>
  <c r="AH337"/>
  <c r="AH543"/>
  <c r="AH860"/>
  <c r="AH564"/>
  <c r="AH1005"/>
  <c r="AH673"/>
  <c r="AH1209"/>
  <c r="AH101"/>
  <c r="AH981"/>
  <c r="AH373"/>
  <c r="AH821"/>
  <c r="AH85"/>
  <c r="AH996"/>
  <c r="AH758"/>
  <c r="AH1088"/>
  <c r="AH311"/>
  <c r="AH318"/>
  <c r="AH733"/>
  <c r="AH938"/>
  <c r="AH47"/>
  <c r="AH179"/>
  <c r="AH251"/>
  <c r="AH405"/>
  <c r="AH624"/>
  <c r="AH260"/>
  <c r="AH604"/>
  <c r="AH122"/>
  <c r="AH198"/>
  <c r="AH685"/>
  <c r="AH319"/>
  <c r="AH512"/>
  <c r="AH722"/>
  <c r="AH424"/>
  <c r="AH394"/>
  <c r="AH181"/>
  <c r="AH169"/>
  <c r="AH108"/>
  <c r="AH191"/>
  <c r="AH768"/>
  <c r="AH1157"/>
  <c r="AH1185"/>
  <c r="AH1030"/>
  <c r="AH386"/>
  <c r="AH548"/>
  <c r="AH1249"/>
  <c r="AH1181"/>
  <c r="AH961"/>
  <c r="AH723"/>
  <c r="AH129"/>
  <c r="AH473"/>
  <c r="AH527"/>
  <c r="AH211"/>
  <c r="AH407"/>
  <c r="AH948"/>
  <c r="AH1056"/>
  <c r="AH1208"/>
  <c r="AH1224"/>
  <c r="AH106"/>
  <c r="AH634"/>
  <c r="AH591"/>
  <c r="AH182"/>
  <c r="AH730"/>
  <c r="AH888"/>
  <c r="AH54"/>
  <c r="AH118"/>
  <c r="AH1063"/>
  <c r="AH1027"/>
  <c r="AH1074"/>
  <c r="AH99"/>
  <c r="AH275"/>
  <c r="AH217"/>
  <c r="AH801"/>
  <c r="AH278"/>
  <c r="AH661"/>
  <c r="AH878"/>
  <c r="AH602"/>
  <c r="AH773"/>
  <c r="AH348"/>
  <c r="AH502"/>
  <c r="AH973"/>
  <c r="AH831"/>
  <c r="AH1241"/>
  <c r="AH40"/>
  <c r="AH1118"/>
  <c r="AH290"/>
  <c r="AH462"/>
  <c r="AH828"/>
  <c r="AH620"/>
  <c r="AH146"/>
  <c r="AH1267"/>
  <c r="AH46"/>
  <c r="AH954"/>
  <c r="AH545"/>
  <c r="AH711"/>
  <c r="AH125"/>
  <c r="AH312"/>
  <c r="AH369"/>
  <c r="AH1191"/>
  <c r="AH497"/>
  <c r="AH1213"/>
  <c r="AH822"/>
  <c r="AH561"/>
  <c r="AH829"/>
  <c r="AH529"/>
  <c r="AH376"/>
  <c r="AH1131"/>
  <c r="AH438"/>
  <c r="AH305"/>
  <c r="AH332"/>
  <c r="AH609"/>
  <c r="AH83"/>
  <c r="AH280"/>
  <c r="AH1102"/>
  <c r="AH554"/>
  <c r="AH703"/>
  <c r="AH924"/>
  <c r="AH552"/>
  <c r="AH914"/>
  <c r="AH34"/>
  <c r="AH155"/>
  <c r="AH150"/>
  <c r="AH581"/>
  <c r="AH614"/>
  <c r="AH1050"/>
  <c r="AH254"/>
  <c r="AO254" s="1"/>
  <c r="AR254" s="1"/>
  <c r="AH764"/>
  <c r="AH748"/>
  <c r="AH1139"/>
  <c r="AH154"/>
  <c r="AH902"/>
  <c r="AH710"/>
  <c r="AH271"/>
  <c r="AH115"/>
  <c r="AH596"/>
  <c r="AH763"/>
  <c r="AH940"/>
  <c r="AH232"/>
  <c r="AH862"/>
  <c r="AH778"/>
  <c r="AH1041"/>
  <c r="AH727"/>
  <c r="AH808"/>
  <c r="AH506"/>
  <c r="AH141"/>
  <c r="AH460"/>
  <c r="AH935"/>
  <c r="AH74"/>
  <c r="AH1176"/>
  <c r="AH734"/>
  <c r="AH799"/>
  <c r="AH1163"/>
  <c r="AH664"/>
  <c r="AH919"/>
  <c r="AH1170"/>
  <c r="AH882"/>
  <c r="AH962"/>
  <c r="AH590"/>
  <c r="AH716"/>
  <c r="AH204"/>
  <c r="AH1135"/>
  <c r="AH1068"/>
  <c r="AH1126"/>
  <c r="AO1126" s="1"/>
  <c r="AR1126" s="1"/>
  <c r="AH636"/>
  <c r="AH207"/>
  <c r="AH1097"/>
  <c r="AH209"/>
  <c r="AH1168"/>
  <c r="AH848"/>
  <c r="AH1127"/>
  <c r="AH277"/>
  <c r="AH645"/>
  <c r="AH771"/>
  <c r="AH309"/>
  <c r="AH1121"/>
  <c r="AH1235"/>
  <c r="AH964"/>
  <c r="AH508"/>
  <c r="AH715"/>
  <c r="AH1171"/>
  <c r="AH752"/>
  <c r="AH582"/>
  <c r="AH1124"/>
  <c r="AH746"/>
  <c r="AH293"/>
  <c r="AH1173"/>
  <c r="AH326"/>
  <c r="AH33"/>
  <c r="AH1266"/>
  <c r="AH272"/>
  <c r="AH355"/>
  <c r="AH227"/>
  <c r="AH223"/>
  <c r="AH881"/>
  <c r="AH478"/>
  <c r="AH667"/>
  <c r="AH995"/>
  <c r="AH1015"/>
  <c r="AH682"/>
  <c r="AH189"/>
  <c r="AH898"/>
  <c r="AH221"/>
  <c r="AH681"/>
  <c r="AH855"/>
  <c r="AH1179"/>
  <c r="AH1083"/>
  <c r="AH266"/>
  <c r="AH1147"/>
  <c r="AH840"/>
  <c r="AH505"/>
  <c r="AH663"/>
  <c r="AH759"/>
  <c r="AH276"/>
  <c r="AH977"/>
  <c r="AH731"/>
  <c r="AH1033"/>
  <c r="AH1024"/>
  <c r="AH1047"/>
  <c r="AH70"/>
  <c r="AH611"/>
  <c r="AH81"/>
  <c r="AH395"/>
  <c r="AH780"/>
  <c r="AH950"/>
  <c r="AH511"/>
  <c r="AH718"/>
  <c r="AH1116"/>
  <c r="AH493"/>
  <c r="AH133"/>
  <c r="AH642"/>
  <c r="AH1009"/>
  <c r="AH790"/>
  <c r="AH383"/>
  <c r="AH864"/>
  <c r="AH869"/>
  <c r="AH709"/>
  <c r="AH1154"/>
  <c r="AH825"/>
  <c r="AH328"/>
  <c r="AH362"/>
  <c r="AH173"/>
  <c r="AH124"/>
  <c r="AO124" s="1"/>
  <c r="AR124" s="1"/>
  <c r="AH1132"/>
  <c r="AH510"/>
  <c r="AH1123"/>
  <c r="AH742"/>
  <c r="AH87"/>
  <c r="AH427"/>
  <c r="AH807"/>
  <c r="AH610"/>
  <c r="AH970"/>
  <c r="AH437"/>
  <c r="AH387"/>
  <c r="AH43"/>
  <c r="AH250"/>
  <c r="AH945"/>
  <c r="AH393"/>
  <c r="AH1044"/>
  <c r="AH73"/>
  <c r="AH987"/>
  <c r="AH680"/>
  <c r="AH458"/>
  <c r="AH269"/>
  <c r="AH760"/>
  <c r="AH702"/>
  <c r="AH991"/>
  <c r="AH234"/>
  <c r="AH109"/>
  <c r="AH745"/>
  <c r="AH1071"/>
  <c r="AH415"/>
  <c r="AH1244"/>
  <c r="AH1151"/>
  <c r="AH1101"/>
  <c r="AH732"/>
  <c r="AH555"/>
  <c r="AH1175"/>
  <c r="AH377"/>
  <c r="AH1264"/>
  <c r="AH1226"/>
  <c r="AH359"/>
  <c r="AH644"/>
  <c r="AH72"/>
  <c r="AH294"/>
  <c r="AH676"/>
  <c r="AH88"/>
  <c r="AH165"/>
  <c r="AH103"/>
  <c r="AH1270"/>
  <c r="AH94"/>
  <c r="AH385"/>
  <c r="AH816"/>
  <c r="AH726"/>
  <c r="AH1095"/>
  <c r="AH501"/>
  <c r="AH517"/>
  <c r="AH248"/>
  <c r="AH388"/>
  <c r="AH65"/>
  <c r="AH814"/>
  <c r="AO814" s="1"/>
  <c r="AR814" s="1"/>
  <c r="AH336"/>
  <c r="AH1087"/>
  <c r="AH282"/>
  <c r="AH477"/>
  <c r="AH1169"/>
  <c r="AH674"/>
  <c r="AH859"/>
  <c r="AH1251"/>
  <c r="AH196"/>
  <c r="AH421"/>
  <c r="AH136"/>
  <c r="AH994"/>
  <c r="AH953"/>
  <c r="AH1257"/>
  <c r="AH542"/>
  <c r="AH921"/>
  <c r="AH672"/>
  <c r="AH1193"/>
  <c r="AH1090"/>
  <c r="AH365"/>
  <c r="AH1202"/>
  <c r="AH360"/>
  <c r="AH775"/>
  <c r="AH569"/>
  <c r="AH71"/>
  <c r="AH50"/>
  <c r="AH843"/>
  <c r="AH599"/>
  <c r="AH963"/>
  <c r="AH114"/>
  <c r="AH772"/>
  <c r="AH86"/>
  <c r="AH1153"/>
  <c r="AH299"/>
  <c r="AH1120"/>
  <c r="AH823"/>
  <c r="AH559"/>
  <c r="AH370"/>
  <c r="AH1098"/>
  <c r="AH37"/>
  <c r="AH781"/>
  <c r="AH364"/>
  <c r="AH350"/>
  <c r="AH257"/>
  <c r="AH894"/>
  <c r="AH597"/>
  <c r="AH485"/>
  <c r="AH572"/>
  <c r="AH176"/>
  <c r="AH492"/>
  <c r="AH1073"/>
  <c r="AH1180"/>
  <c r="AH1174"/>
  <c r="AH444"/>
  <c r="AH795"/>
  <c r="AH96"/>
  <c r="AH1161"/>
  <c r="AH1152"/>
  <c r="AH1002"/>
  <c r="AH534"/>
  <c r="AH629"/>
  <c r="AH262"/>
  <c r="AH974"/>
  <c r="AH1109"/>
  <c r="AH340"/>
  <c r="AH684"/>
  <c r="AH697"/>
  <c r="AH638"/>
  <c r="AH535"/>
  <c r="AH205"/>
  <c r="AH1234"/>
  <c r="AH456"/>
  <c r="AH647"/>
  <c r="AH955"/>
  <c r="AH761"/>
  <c r="AH157"/>
  <c r="AH1017"/>
  <c r="AH520"/>
  <c r="AH135"/>
  <c r="AH721"/>
  <c r="AH92"/>
  <c r="AH1199"/>
  <c r="AH1133"/>
  <c r="AH838"/>
  <c r="AH316"/>
  <c r="AH603"/>
  <c r="AH231"/>
  <c r="AH289"/>
  <c r="AH1177"/>
  <c r="AH236"/>
  <c r="AH1112"/>
  <c r="AH310"/>
  <c r="AH877"/>
  <c r="AH1211"/>
  <c r="AO1211" s="1"/>
  <c r="AR1211" s="1"/>
  <c r="AH617"/>
  <c r="AH704"/>
  <c r="AH397"/>
  <c r="AH1186"/>
  <c r="AH521"/>
  <c r="AO521" s="1"/>
  <c r="AR521" s="1"/>
  <c r="AH499"/>
  <c r="AH180"/>
  <c r="AH237"/>
  <c r="AH1035"/>
  <c r="AH156"/>
  <c r="AH537"/>
  <c r="AH52"/>
  <c r="AH77"/>
  <c r="AH1165"/>
  <c r="AH774"/>
  <c r="AH302"/>
  <c r="AH64"/>
  <c r="AH641"/>
  <c r="AH1075"/>
  <c r="AH1265"/>
  <c r="AH322"/>
  <c r="AH725"/>
  <c r="AH264"/>
  <c r="AH486"/>
  <c r="AH613"/>
  <c r="AH451"/>
  <c r="AH618"/>
  <c r="AH530"/>
  <c r="AH589"/>
  <c r="AH222"/>
  <c r="AH826"/>
  <c r="AH1242"/>
  <c r="AH352"/>
  <c r="AH36"/>
  <c r="AH1230"/>
  <c r="AH708"/>
  <c r="AH343"/>
  <c r="AH740"/>
  <c r="AH929"/>
  <c r="AH283"/>
  <c r="AH400"/>
  <c r="AH80"/>
  <c r="AH346"/>
  <c r="AH1260"/>
  <c r="AH1007"/>
  <c r="AH1021"/>
  <c r="AH923"/>
  <c r="AH145"/>
  <c r="AH162"/>
  <c r="AH835"/>
  <c r="AH707"/>
  <c r="AH985"/>
  <c r="AH792"/>
  <c r="AH971"/>
  <c r="AH648"/>
  <c r="AH252"/>
  <c r="AH285"/>
  <c r="AH1144"/>
  <c r="AH622"/>
  <c r="AH1113"/>
  <c r="AH968"/>
  <c r="AH568"/>
  <c r="AH606"/>
  <c r="AH1243"/>
  <c r="AH391"/>
  <c r="AH1046"/>
  <c r="AH907"/>
  <c r="AH128"/>
  <c r="AH1219"/>
  <c r="AH178"/>
  <c r="AH168"/>
  <c r="AH757"/>
  <c r="AH297"/>
  <c r="AH475"/>
  <c r="AH1205"/>
  <c r="AH887"/>
  <c r="AH655"/>
  <c r="AH367"/>
  <c r="AH926"/>
  <c r="AH409"/>
  <c r="AH1261"/>
  <c r="AH934"/>
  <c r="AH494"/>
  <c r="AH423"/>
  <c r="AH1060"/>
  <c r="AH1269"/>
  <c r="AH104"/>
  <c r="AH1022"/>
  <c r="AH432"/>
  <c r="AH442"/>
  <c r="AH588"/>
  <c r="AH480"/>
  <c r="AH1085"/>
  <c r="AH796"/>
  <c r="AH270"/>
  <c r="AH224"/>
  <c r="AH1162"/>
  <c r="AH1091"/>
  <c r="AH1210"/>
  <c r="AH630"/>
  <c r="AH1189"/>
  <c r="AH356"/>
  <c r="AH1246"/>
  <c r="AH1140"/>
  <c r="AH692"/>
  <c r="AH315"/>
  <c r="AH1064"/>
  <c r="AH616"/>
  <c r="AH1119"/>
  <c r="AH333"/>
  <c r="AH984"/>
  <c r="AH600"/>
  <c r="AH670"/>
  <c r="AH857"/>
  <c r="AH1051"/>
  <c r="AH417"/>
  <c r="AH42"/>
  <c r="AH930"/>
  <c r="AH850"/>
  <c r="AH815"/>
  <c r="AH287"/>
  <c r="AH849"/>
  <c r="AH1229"/>
  <c r="AH966"/>
  <c r="AH540"/>
  <c r="AH238"/>
  <c r="AH256"/>
  <c r="AH433"/>
  <c r="AH1136"/>
  <c r="AH893"/>
  <c r="AH466"/>
  <c r="AH839"/>
  <c r="AH139"/>
  <c r="AH381"/>
  <c r="AH777"/>
  <c r="AH558"/>
  <c r="AH737"/>
  <c r="AO737" s="1"/>
  <c r="AR737" s="1"/>
  <c r="AH952"/>
  <c r="AH392"/>
  <c r="AH631"/>
  <c r="AH863"/>
  <c r="AH793"/>
  <c r="AH488"/>
  <c r="AH199"/>
  <c r="AH441"/>
  <c r="AH60"/>
  <c r="AH913"/>
  <c r="AH956"/>
  <c r="AH886"/>
  <c r="AH430"/>
  <c r="AH79"/>
  <c r="AH969"/>
  <c r="AH1187"/>
  <c r="AH992"/>
  <c r="AH640"/>
  <c r="AH1156"/>
  <c r="AH215"/>
  <c r="AH1070"/>
  <c r="AH933"/>
  <c r="AH422"/>
  <c r="AH794"/>
  <c r="AH767"/>
  <c r="AH626"/>
  <c r="AH690"/>
  <c r="AH183"/>
  <c r="AH1104"/>
  <c r="AH656"/>
  <c r="AH255"/>
  <c r="AH837"/>
  <c r="AH949"/>
  <c r="AH69"/>
  <c r="AH565"/>
  <c r="AH563"/>
  <c r="AH91"/>
  <c r="AH464"/>
  <c r="AH208"/>
  <c r="AH307"/>
  <c r="AH576"/>
  <c r="AH95"/>
  <c r="AH1036"/>
  <c r="AH142"/>
  <c r="AH353"/>
  <c r="AH226"/>
  <c r="AH454"/>
  <c r="AH867"/>
  <c r="AH858"/>
  <c r="AH856"/>
  <c r="AH1195"/>
  <c r="AH872"/>
  <c r="AH327"/>
  <c r="AH889"/>
  <c r="AH939"/>
  <c r="AH1218"/>
  <c r="AH927"/>
  <c r="AH1096"/>
  <c r="AH696"/>
  <c r="AH686"/>
  <c r="AH298"/>
  <c r="AH583"/>
  <c r="AH1143"/>
  <c r="AH110"/>
  <c r="AH143"/>
  <c r="AH161"/>
  <c r="AH1034"/>
  <c r="AH38"/>
  <c r="AH175"/>
  <c r="AH865"/>
  <c r="AH345"/>
  <c r="AH243"/>
  <c r="AH983"/>
  <c r="AH1248"/>
  <c r="AH479"/>
  <c r="AH242"/>
  <c r="AH943"/>
  <c r="AH988"/>
  <c r="AH653"/>
  <c r="AH429"/>
  <c r="AH55"/>
  <c r="AH1031"/>
  <c r="AH883"/>
  <c r="AH915"/>
  <c r="AH507"/>
  <c r="AH496"/>
  <c r="AH58"/>
  <c r="AH159"/>
  <c r="AH817"/>
  <c r="AH1149"/>
  <c r="AH908"/>
  <c r="AH398"/>
  <c r="AH399"/>
  <c r="AH68"/>
  <c r="AH809"/>
  <c r="AH928"/>
  <c r="AH560"/>
  <c r="AH1108"/>
  <c r="AH868"/>
  <c r="AH693"/>
  <c r="AH303"/>
  <c r="AH766"/>
  <c r="AH323"/>
  <c r="AH1256"/>
  <c r="AH904"/>
  <c r="AH330"/>
  <c r="AH481"/>
  <c r="AH1240"/>
  <c r="AH728"/>
  <c r="AH489"/>
  <c r="AH426"/>
  <c r="AH1145"/>
  <c r="AH1062"/>
  <c r="AH978"/>
  <c r="AH1016"/>
  <c r="AH922"/>
  <c r="AH870"/>
  <c r="AH1215"/>
  <c r="AH879"/>
  <c r="AH1004"/>
  <c r="AH1206"/>
  <c r="AH668"/>
  <c r="AH366"/>
  <c r="AH335"/>
  <c r="AH905"/>
  <c r="AH1232"/>
  <c r="AH880"/>
  <c r="AH550"/>
  <c r="AH1076"/>
  <c r="AH916"/>
  <c r="AH789"/>
  <c r="AH579"/>
  <c r="AH436"/>
  <c r="AH897"/>
  <c r="AH1026"/>
  <c r="AH1061"/>
  <c r="AH1220"/>
  <c r="AH749"/>
  <c r="AH414"/>
  <c r="AH116"/>
  <c r="AH1216"/>
  <c r="AH762"/>
  <c r="AH288"/>
  <c r="AH997"/>
  <c r="AH900"/>
  <c r="AH531"/>
  <c r="AH580"/>
  <c r="AH847"/>
  <c r="AH975"/>
  <c r="AH368"/>
  <c r="AH467"/>
  <c r="AH291"/>
  <c r="AH652"/>
  <c r="AH220"/>
  <c r="AH1053"/>
  <c r="AH206"/>
  <c r="AH619"/>
  <c r="AH273"/>
  <c r="AH482"/>
  <c r="AH166"/>
  <c r="AH111"/>
  <c r="AH134"/>
  <c r="AH834"/>
  <c r="AH163"/>
  <c r="AH658"/>
  <c r="AH699"/>
  <c r="AH931"/>
  <c r="AH1194"/>
  <c r="AH1105"/>
  <c r="AH472"/>
  <c r="AO472" s="1"/>
  <c r="AR472" s="1"/>
  <c r="AH1093"/>
  <c r="AO1093" s="1"/>
  <c r="AR1093" s="1"/>
  <c r="AH960"/>
  <c r="AH1129"/>
  <c r="AO1129" s="1"/>
  <c r="AR1129" s="1"/>
  <c r="AH754"/>
  <c r="AH1115"/>
  <c r="AO1115" s="1"/>
  <c r="AR1115" s="1"/>
  <c r="AH756"/>
  <c r="AH812"/>
  <c r="AH657"/>
  <c r="AH1198"/>
  <c r="AH185"/>
  <c r="AH1057"/>
  <c r="AH357"/>
  <c r="AH324"/>
  <c r="AH325"/>
  <c r="AH1200"/>
  <c r="AH321"/>
  <c r="AH1164"/>
  <c r="AH1150"/>
  <c r="AH650"/>
  <c r="AH450"/>
  <c r="AH216"/>
  <c r="AH153"/>
  <c r="AH361"/>
  <c r="AH965"/>
  <c r="AH522"/>
  <c r="AH144"/>
  <c r="AH557"/>
  <c r="AH967"/>
  <c r="AH665"/>
  <c r="AH811"/>
  <c r="AH1058"/>
  <c r="AH1259"/>
  <c r="AH633"/>
  <c r="AH306"/>
  <c r="AH717"/>
  <c r="AH587"/>
  <c r="AH514"/>
  <c r="AH197"/>
  <c r="AH666"/>
  <c r="AH112"/>
  <c r="AH818"/>
  <c r="AH1245"/>
  <c r="AH300"/>
  <c r="AH539"/>
  <c r="AH1001"/>
  <c r="AH1008"/>
  <c r="AH354"/>
  <c r="AH990"/>
  <c r="AH660"/>
  <c r="AH470"/>
  <c r="AH1067"/>
  <c r="AH526"/>
  <c r="AH615"/>
  <c r="AH1138"/>
  <c r="AH567"/>
  <c r="AH140"/>
  <c r="AH1019"/>
  <c r="AH791"/>
  <c r="AH61"/>
  <c r="AH228"/>
  <c r="AH1069"/>
  <c r="AH892"/>
  <c r="AH503"/>
  <c r="AH1082"/>
  <c r="AH1233"/>
  <c r="AH1188"/>
  <c r="AH1134"/>
  <c r="AH390"/>
  <c r="AH788"/>
  <c r="AH107"/>
  <c r="AH866"/>
  <c r="AH1052"/>
  <c r="AH119"/>
  <c r="AH1107"/>
  <c r="AH416"/>
  <c r="AH1223"/>
  <c r="AH586"/>
  <c r="AH1262"/>
  <c r="AH329"/>
  <c r="AH48"/>
  <c r="AH339"/>
  <c r="AH351"/>
  <c r="AH706"/>
  <c r="AO706" s="1"/>
  <c r="AR706" s="1"/>
  <c r="AH827"/>
  <c r="AH1040"/>
  <c r="AH1042"/>
  <c r="AH585"/>
  <c r="AH920"/>
  <c r="AH750"/>
  <c r="AH1029"/>
  <c r="AH98"/>
  <c r="AH873"/>
  <c r="AH884"/>
  <c r="AH689"/>
  <c r="AH406"/>
  <c r="AH854"/>
  <c r="AH1271"/>
  <c r="AH724"/>
  <c r="AH1214"/>
  <c r="AH484"/>
  <c r="AH235"/>
  <c r="AH267"/>
  <c r="AH247"/>
  <c r="AH137"/>
  <c r="AH536"/>
  <c r="AH401"/>
  <c r="AH344"/>
  <c r="AH797"/>
  <c r="AH1141"/>
  <c r="AO1141" s="1"/>
  <c r="AR1141" s="1"/>
  <c r="AH439"/>
  <c r="AH1238"/>
  <c r="AH186"/>
  <c r="AH195"/>
  <c r="AH675"/>
  <c r="AH194"/>
  <c r="AH160"/>
  <c r="AH1254"/>
  <c r="AH1228"/>
  <c r="AH419"/>
  <c r="AH249"/>
  <c r="AH230"/>
  <c r="AH420"/>
  <c r="AH678"/>
  <c r="AH1201"/>
  <c r="AH158"/>
  <c r="AH890"/>
  <c r="AH1222"/>
  <c r="AH518"/>
  <c r="AH1166"/>
  <c r="AH1125"/>
  <c r="AH688"/>
  <c r="AH635"/>
  <c r="AH1137"/>
  <c r="AH871"/>
  <c r="AH67"/>
  <c r="AH341"/>
  <c r="AH885"/>
  <c r="AH592"/>
  <c r="AG1017"/>
  <c r="AG520"/>
  <c r="AG850"/>
  <c r="AG415"/>
  <c r="AG1165"/>
  <c r="AG1175"/>
  <c r="AG1265"/>
  <c r="AG645"/>
  <c r="AG309"/>
  <c r="AG459"/>
  <c r="AG871"/>
  <c r="AG177"/>
  <c r="AG36"/>
  <c r="AG388"/>
  <c r="AG91"/>
  <c r="AG477"/>
  <c r="AG881"/>
  <c r="AG78"/>
  <c r="AG1040"/>
  <c r="AG482"/>
  <c r="AG532"/>
  <c r="AG361"/>
  <c r="AG281"/>
  <c r="AG218"/>
  <c r="AG450"/>
  <c r="AG608"/>
  <c r="AG1164"/>
  <c r="AG605"/>
  <c r="AG380"/>
  <c r="AG382"/>
  <c r="AG1271"/>
  <c r="AG979"/>
  <c r="AG996"/>
  <c r="AG500"/>
  <c r="AG1214"/>
  <c r="AG324"/>
  <c r="AG910"/>
  <c r="AG411"/>
  <c r="AG1198"/>
  <c r="AG987"/>
  <c r="AG1244"/>
  <c r="AG886"/>
  <c r="AG1264"/>
  <c r="AG933"/>
  <c r="AG352"/>
  <c r="AG248"/>
  <c r="AG336"/>
  <c r="AG1053"/>
  <c r="AG1237"/>
  <c r="AG993"/>
  <c r="AG179"/>
  <c r="AG152"/>
  <c r="AG779"/>
  <c r="AG193"/>
  <c r="AG917"/>
  <c r="AG325"/>
  <c r="AG595"/>
  <c r="AG612"/>
  <c r="AG805"/>
  <c r="AG357"/>
  <c r="AG259"/>
  <c r="AG217"/>
  <c r="AG51"/>
  <c r="AG35"/>
  <c r="AG704"/>
  <c r="AG397"/>
  <c r="AG664"/>
  <c r="AG702"/>
  <c r="AG991"/>
  <c r="AG1051"/>
  <c r="AG1062"/>
  <c r="AG1071"/>
  <c r="AG77"/>
  <c r="AG79"/>
  <c r="AG209"/>
  <c r="AG725"/>
  <c r="AG294"/>
  <c r="AG749"/>
  <c r="AG461"/>
  <c r="AG837"/>
  <c r="AG69"/>
  <c r="AG563"/>
  <c r="AG1266"/>
  <c r="AG80"/>
  <c r="AG619"/>
  <c r="AG117"/>
  <c r="AG195"/>
  <c r="AG1025"/>
  <c r="AG186"/>
  <c r="AG765"/>
  <c r="AG1238"/>
  <c r="AG190"/>
  <c r="AG439"/>
  <c r="AG321"/>
  <c r="AG1200"/>
  <c r="AG800"/>
  <c r="AG538"/>
  <c r="AG484"/>
  <c r="AG801"/>
  <c r="AG985"/>
  <c r="AG946"/>
  <c r="AG125"/>
  <c r="AG1195"/>
  <c r="AG872"/>
  <c r="AG327"/>
  <c r="AG889"/>
  <c r="AG939"/>
  <c r="AG1218"/>
  <c r="AG927"/>
  <c r="AG1096"/>
  <c r="AG696"/>
  <c r="AG686"/>
  <c r="AG298"/>
  <c r="AG583"/>
  <c r="AG1143"/>
  <c r="AG428"/>
  <c r="AG875"/>
  <c r="AG192"/>
  <c r="AG778"/>
  <c r="AG146"/>
  <c r="AG1038"/>
  <c r="AG932"/>
  <c r="AG1153"/>
  <c r="AG299"/>
  <c r="AG1120"/>
  <c r="AG823"/>
  <c r="AG559"/>
  <c r="AG370"/>
  <c r="AG1098"/>
  <c r="AG37"/>
  <c r="AG781"/>
  <c r="AG364"/>
  <c r="AG350"/>
  <c r="AG257"/>
  <c r="AG874"/>
  <c r="AG691"/>
  <c r="AG453"/>
  <c r="AG961"/>
  <c r="AG144"/>
  <c r="AG474"/>
  <c r="AG188"/>
  <c r="AG480"/>
  <c r="AG1085"/>
  <c r="AG796"/>
  <c r="AG270"/>
  <c r="AG224"/>
  <c r="AG1162"/>
  <c r="AG1091"/>
  <c r="AG1210"/>
  <c r="AG630"/>
  <c r="AG1189"/>
  <c r="AG356"/>
  <c r="AG1246"/>
  <c r="AG1140"/>
  <c r="AG692"/>
  <c r="AG74"/>
  <c r="AG1064"/>
  <c r="AG616"/>
  <c r="AG1119"/>
  <c r="AG333"/>
  <c r="AG984"/>
  <c r="AG600"/>
  <c r="AG670"/>
  <c r="AG857"/>
  <c r="AG180"/>
  <c r="AG237"/>
  <c r="AG1035"/>
  <c r="AG156"/>
  <c r="AG61"/>
  <c r="AG228"/>
  <c r="AG1132"/>
  <c r="AG1069"/>
  <c r="AG892"/>
  <c r="AG510"/>
  <c r="AG503"/>
  <c r="AG1082"/>
  <c r="AG1123"/>
  <c r="AG1233"/>
  <c r="AG742"/>
  <c r="AG1188"/>
  <c r="AG1134"/>
  <c r="AG87"/>
  <c r="AG390"/>
  <c r="AG788"/>
  <c r="AG427"/>
  <c r="AG1235"/>
  <c r="AG964"/>
  <c r="AG1270"/>
  <c r="AG94"/>
  <c r="AG487"/>
  <c r="AG1114"/>
  <c r="AG720"/>
  <c r="AG244"/>
  <c r="AG404"/>
  <c r="AG469"/>
  <c r="AG901"/>
  <c r="AG755"/>
  <c r="AG379"/>
  <c r="AG203"/>
  <c r="AG240"/>
  <c r="AG371"/>
  <c r="AG314"/>
  <c r="AG1158"/>
  <c r="AG1263"/>
  <c r="AG478"/>
  <c r="AG667"/>
  <c r="AG145"/>
  <c r="AG162"/>
  <c r="AG835"/>
  <c r="AG707"/>
  <c r="AG858"/>
  <c r="AG856"/>
  <c r="AG1192"/>
  <c r="AG506"/>
  <c r="AG317"/>
  <c r="AG1225"/>
  <c r="AG1255"/>
  <c r="AG301"/>
  <c r="AG1122"/>
  <c r="AG296"/>
  <c r="AG253"/>
  <c r="AG490"/>
  <c r="AG268"/>
  <c r="AG50"/>
  <c r="AG843"/>
  <c r="AG599"/>
  <c r="AG1219"/>
  <c r="AG178"/>
  <c r="AG168"/>
  <c r="AG757"/>
  <c r="AG665"/>
  <c r="AG982"/>
  <c r="AG620"/>
  <c r="AG751"/>
  <c r="AG447"/>
  <c r="AG39"/>
  <c r="AG93"/>
  <c r="AG685"/>
  <c r="AG828"/>
  <c r="AG763"/>
  <c r="AG514"/>
  <c r="AG133"/>
  <c r="AG197"/>
  <c r="AG666"/>
  <c r="AG642"/>
  <c r="AG112"/>
  <c r="AG818"/>
  <c r="AG45"/>
  <c r="AG1181"/>
  <c r="AG604"/>
  <c r="AG334"/>
  <c r="AG607"/>
  <c r="AG1065"/>
  <c r="AG1203"/>
  <c r="AG896"/>
  <c r="AG290"/>
  <c r="AG1086"/>
  <c r="AG358"/>
  <c r="AG852"/>
  <c r="AG884"/>
  <c r="AG1103"/>
  <c r="AG331"/>
  <c r="AG846"/>
  <c r="AG743"/>
  <c r="AG1110"/>
  <c r="AG1139"/>
  <c r="AG938"/>
  <c r="AG701"/>
  <c r="AG348"/>
  <c r="AG295"/>
  <c r="AG1130"/>
  <c r="AG320"/>
  <c r="AG1204"/>
  <c r="AG724"/>
  <c r="AG634"/>
  <c r="AG591"/>
  <c r="AG182"/>
  <c r="AG730"/>
  <c r="AG888"/>
  <c r="AG54"/>
  <c r="AG118"/>
  <c r="AG1063"/>
  <c r="AG1027"/>
  <c r="AG267"/>
  <c r="AG914"/>
  <c r="AG34"/>
  <c r="AG155"/>
  <c r="AG911"/>
  <c r="AG659"/>
  <c r="AG627"/>
  <c r="AG912"/>
  <c r="AG573"/>
  <c r="AG214"/>
  <c r="AG1253"/>
  <c r="AG679"/>
  <c r="AG574"/>
  <c r="AG891"/>
  <c r="AG346"/>
  <c r="AG746"/>
  <c r="AG816"/>
  <c r="AG738"/>
  <c r="AG807"/>
  <c r="AG897"/>
  <c r="AG771"/>
  <c r="AG1156"/>
  <c r="AG1168"/>
  <c r="AG555"/>
  <c r="AG1101"/>
  <c r="AG716"/>
  <c r="AG1019"/>
  <c r="AG458"/>
  <c r="AG719"/>
  <c r="AG1160"/>
  <c r="AG1148"/>
  <c r="AG628"/>
  <c r="AG594"/>
  <c r="AG402"/>
  <c r="AG1072"/>
  <c r="AG700"/>
  <c r="AG957"/>
  <c r="AG1000"/>
  <c r="AG56"/>
  <c r="AG465"/>
  <c r="AG593"/>
  <c r="AG1250"/>
  <c r="AG265"/>
  <c r="AG53"/>
  <c r="AG245"/>
  <c r="AG687"/>
  <c r="AG1184"/>
  <c r="AG941"/>
  <c r="AG1142"/>
  <c r="AG1080"/>
  <c r="AG63"/>
  <c r="AG233"/>
  <c r="AG836"/>
  <c r="AG804"/>
  <c r="AG787"/>
  <c r="AG820"/>
  <c r="AG601"/>
  <c r="AG502"/>
  <c r="AG831"/>
  <c r="AG315"/>
  <c r="AG194"/>
  <c r="AG945"/>
  <c r="AG282"/>
  <c r="AG464"/>
  <c r="AG326"/>
  <c r="AG752"/>
  <c r="AG264"/>
  <c r="AG641"/>
  <c r="AG1068"/>
  <c r="AG42"/>
  <c r="AG1170"/>
  <c r="AG1186"/>
  <c r="AG381"/>
  <c r="AG785"/>
  <c r="AG374"/>
  <c r="AG705"/>
  <c r="AG106"/>
  <c r="AG1042"/>
  <c r="AG504"/>
  <c r="AG221"/>
  <c r="AG681"/>
  <c r="AG855"/>
  <c r="AG1179"/>
  <c r="AG1083"/>
  <c r="AG633"/>
  <c r="AG266"/>
  <c r="AG1147"/>
  <c r="AG840"/>
  <c r="AG505"/>
  <c r="AG663"/>
  <c r="AG759"/>
  <c r="AG276"/>
  <c r="AG1037"/>
  <c r="AG46"/>
  <c r="AG463"/>
  <c r="AG1056"/>
  <c r="AG210"/>
  <c r="AG1029"/>
  <c r="AG407"/>
  <c r="AG297"/>
  <c r="AG475"/>
  <c r="AG1205"/>
  <c r="AG887"/>
  <c r="AG655"/>
  <c r="AG367"/>
  <c r="AG926"/>
  <c r="AG409"/>
  <c r="AG1261"/>
  <c r="AG934"/>
  <c r="AG494"/>
  <c r="AG423"/>
  <c r="AG1018"/>
  <c r="AG229"/>
  <c r="AG723"/>
  <c r="AG123"/>
  <c r="AG528"/>
  <c r="AG403"/>
  <c r="AG524"/>
  <c r="AG817"/>
  <c r="AG1149"/>
  <c r="AG908"/>
  <c r="AG398"/>
  <c r="AG399"/>
  <c r="AG68"/>
  <c r="AG809"/>
  <c r="AG928"/>
  <c r="AG560"/>
  <c r="AG1108"/>
  <c r="AG868"/>
  <c r="AG693"/>
  <c r="AG303"/>
  <c r="AG766"/>
  <c r="AG323"/>
  <c r="AG1256"/>
  <c r="AG904"/>
  <c r="AG330"/>
  <c r="AG481"/>
  <c r="AG1240"/>
  <c r="AG728"/>
  <c r="AG489"/>
  <c r="AG426"/>
  <c r="AG1145"/>
  <c r="AG793"/>
  <c r="AG488"/>
  <c r="AG199"/>
  <c r="AG721"/>
  <c r="AG92"/>
  <c r="AG1199"/>
  <c r="AG1133"/>
  <c r="AG838"/>
  <c r="AG316"/>
  <c r="AG603"/>
  <c r="AG231"/>
  <c r="AG289"/>
  <c r="AG944"/>
  <c r="AG592"/>
  <c r="AG84"/>
  <c r="AG885"/>
  <c r="AG547"/>
  <c r="AG341"/>
  <c r="AG1006"/>
  <c r="AG67"/>
  <c r="AO67" s="1"/>
  <c r="AR67" s="1"/>
  <c r="AG165"/>
  <c r="AG103"/>
  <c r="AG589"/>
  <c r="AG222"/>
  <c r="AG826"/>
  <c r="AG1201"/>
  <c r="AG784"/>
  <c r="AG678"/>
  <c r="AG677"/>
  <c r="AG420"/>
  <c r="AG239"/>
  <c r="AG230"/>
  <c r="AG425"/>
  <c r="AG249"/>
  <c r="AG304"/>
  <c r="AG419"/>
  <c r="AG378"/>
  <c r="AG1228"/>
  <c r="AG76"/>
  <c r="AG674"/>
  <c r="AG859"/>
  <c r="AG273"/>
  <c r="AG226"/>
  <c r="AG454"/>
  <c r="AG867"/>
  <c r="AG189"/>
  <c r="AG898"/>
  <c r="AG1259"/>
  <c r="AG584"/>
  <c r="AG1239"/>
  <c r="AG1224"/>
  <c r="AG920"/>
  <c r="AG545"/>
  <c r="AG936"/>
  <c r="AG424"/>
  <c r="AG695"/>
  <c r="AG649"/>
  <c r="AG263"/>
  <c r="AG1046"/>
  <c r="AG907"/>
  <c r="AG128"/>
  <c r="AG161"/>
  <c r="AG1034"/>
  <c r="AG38"/>
  <c r="AG175"/>
  <c r="AG865"/>
  <c r="AG211"/>
  <c r="AG958"/>
  <c r="AG646"/>
  <c r="AG495"/>
  <c r="AG274"/>
  <c r="AG473"/>
  <c r="AG1197"/>
  <c r="AG1190"/>
  <c r="AG286"/>
  <c r="AG769"/>
  <c r="AG894"/>
  <c r="AG597"/>
  <c r="AG485"/>
  <c r="AG572"/>
  <c r="AG176"/>
  <c r="AG492"/>
  <c r="AG1009"/>
  <c r="AG972"/>
  <c r="AG876"/>
  <c r="AG462"/>
  <c r="AG271"/>
  <c r="AG895"/>
  <c r="AG544"/>
  <c r="AG1146"/>
  <c r="AG566"/>
  <c r="AG965"/>
  <c r="AG389"/>
  <c r="AG1118"/>
  <c r="AG853"/>
  <c r="AG40"/>
  <c r="AG89"/>
  <c r="AG1241"/>
  <c r="AG959"/>
  <c r="AG1178"/>
  <c r="AG1217"/>
  <c r="AG1150"/>
  <c r="AG1084"/>
  <c r="AG764"/>
  <c r="AG571"/>
  <c r="AG1088"/>
  <c r="AG448"/>
  <c r="AG999"/>
  <c r="AG533"/>
  <c r="AG1094"/>
  <c r="AG861"/>
  <c r="AG408"/>
  <c r="AG1128"/>
  <c r="AG261"/>
  <c r="AG337"/>
  <c r="AG543"/>
  <c r="AG860"/>
  <c r="AG564"/>
  <c r="AG1005"/>
  <c r="AG673"/>
  <c r="AG640"/>
  <c r="AG147"/>
  <c r="AG1089"/>
  <c r="AG131"/>
  <c r="AG200"/>
  <c r="AG516"/>
  <c r="AG546"/>
  <c r="AG1030"/>
  <c r="AG1196"/>
  <c r="AG105"/>
  <c r="AG1254"/>
  <c r="AG227"/>
  <c r="AG272"/>
  <c r="AG708"/>
  <c r="AG726"/>
  <c r="AG158"/>
  <c r="AG1052"/>
  <c r="AG107"/>
  <c r="AG613"/>
  <c r="AG1226"/>
  <c r="AG774"/>
  <c r="AG204"/>
  <c r="AG930"/>
  <c r="AG1055"/>
  <c r="AG82"/>
  <c r="AG1039"/>
  <c r="AG842"/>
  <c r="AG906"/>
  <c r="AG1236"/>
  <c r="AG1209"/>
  <c r="AG833"/>
  <c r="AG292"/>
  <c r="AG279"/>
  <c r="AG1092"/>
  <c r="AG931"/>
  <c r="AG513"/>
  <c r="AG699"/>
  <c r="AG413"/>
  <c r="AG163"/>
  <c r="AG650"/>
  <c r="AG153"/>
  <c r="AG675"/>
  <c r="AG1044"/>
  <c r="AG1043"/>
  <c r="AG576"/>
  <c r="AG208"/>
  <c r="AG929"/>
  <c r="AG517"/>
  <c r="AG582"/>
  <c r="AG385"/>
  <c r="AG1220"/>
  <c r="AG1061"/>
  <c r="AG359"/>
  <c r="AG1187"/>
  <c r="AG441"/>
  <c r="AG417"/>
  <c r="AG777"/>
  <c r="AG802"/>
  <c r="AG1032"/>
  <c r="AG824"/>
  <c r="AG953"/>
  <c r="AG1257"/>
  <c r="AG542"/>
  <c r="AG921"/>
  <c r="AG672"/>
  <c r="AG1193"/>
  <c r="AG1090"/>
  <c r="AG365"/>
  <c r="AG1202"/>
  <c r="AG360"/>
  <c r="AG775"/>
  <c r="AG569"/>
  <c r="AG71"/>
  <c r="AG1041"/>
  <c r="AG174"/>
  <c r="AG683"/>
  <c r="AG1267"/>
  <c r="AG598"/>
  <c r="AG948"/>
  <c r="AG468"/>
  <c r="AG803"/>
  <c r="AG345"/>
  <c r="AG243"/>
  <c r="AG983"/>
  <c r="AG1248"/>
  <c r="AG479"/>
  <c r="AG242"/>
  <c r="AG943"/>
  <c r="AG988"/>
  <c r="AG653"/>
  <c r="AG429"/>
  <c r="AG55"/>
  <c r="AG1059"/>
  <c r="AG596"/>
  <c r="AG198"/>
  <c r="AG491"/>
  <c r="AG115"/>
  <c r="AG435"/>
  <c r="AG98"/>
  <c r="AG1073"/>
  <c r="AG1245"/>
  <c r="AG790"/>
  <c r="AG300"/>
  <c r="AG539"/>
  <c r="AG383"/>
  <c r="AG1001"/>
  <c r="AG1008"/>
  <c r="AG864"/>
  <c r="AG354"/>
  <c r="AG990"/>
  <c r="AG869"/>
  <c r="AG660"/>
  <c r="AG709"/>
  <c r="AG470"/>
  <c r="AG1067"/>
  <c r="AG1154"/>
  <c r="AG526"/>
  <c r="AG825"/>
  <c r="AG615"/>
  <c r="AG1138"/>
  <c r="AG328"/>
  <c r="AG567"/>
  <c r="AG362"/>
  <c r="AG882"/>
  <c r="AG962"/>
  <c r="AG590"/>
  <c r="AG815"/>
  <c r="AG287"/>
  <c r="AG849"/>
  <c r="AG1229"/>
  <c r="AG966"/>
  <c r="AG540"/>
  <c r="AG238"/>
  <c r="AG256"/>
  <c r="AG433"/>
  <c r="AG1136"/>
  <c r="AG688"/>
  <c r="AG258"/>
  <c r="AG1125"/>
  <c r="AG452"/>
  <c r="AG1166"/>
  <c r="AG1077"/>
  <c r="AG518"/>
  <c r="AG618"/>
  <c r="AG530"/>
  <c r="AG1137"/>
  <c r="AG690"/>
  <c r="AG183"/>
  <c r="AG1216"/>
  <c r="AG762"/>
  <c r="AG288"/>
  <c r="AG997"/>
  <c r="AG900"/>
  <c r="AG531"/>
  <c r="AG580"/>
  <c r="AG847"/>
  <c r="AG975"/>
  <c r="AG368"/>
  <c r="AG467"/>
  <c r="AG291"/>
  <c r="AG652"/>
  <c r="AG220"/>
  <c r="AG1021"/>
  <c r="AG923"/>
  <c r="AG393"/>
  <c r="AG995"/>
  <c r="AG1015"/>
  <c r="AG682"/>
  <c r="AG806"/>
  <c r="AG994"/>
  <c r="AG349"/>
  <c r="AG712"/>
  <c r="AG284"/>
  <c r="AG1227"/>
  <c r="AG553"/>
  <c r="AG556"/>
  <c r="AG1272"/>
  <c r="AG632"/>
  <c r="AG654"/>
  <c r="AG1208"/>
  <c r="AG519"/>
  <c r="AG954"/>
  <c r="AG110"/>
  <c r="AG143"/>
  <c r="AG841"/>
  <c r="AG1024"/>
  <c r="AG1047"/>
  <c r="AG70"/>
  <c r="AG611"/>
  <c r="AG313"/>
  <c r="AG232"/>
  <c r="AG967"/>
  <c r="AG527"/>
  <c r="AG338"/>
  <c r="AG1078"/>
  <c r="AG940"/>
  <c r="AG557"/>
  <c r="AG525"/>
  <c r="AG735"/>
  <c r="AG1060"/>
  <c r="AG1269"/>
  <c r="AG104"/>
  <c r="AG1022"/>
  <c r="AG432"/>
  <c r="AG442"/>
  <c r="AG588"/>
  <c r="AG1100"/>
  <c r="AG522"/>
  <c r="AG578"/>
  <c r="AG483"/>
  <c r="AG1159"/>
  <c r="AG225"/>
  <c r="AG1249"/>
  <c r="AG710"/>
  <c r="AG1172"/>
  <c r="AG548"/>
  <c r="AG549"/>
  <c r="AG342"/>
  <c r="AG515"/>
  <c r="AG689"/>
  <c r="AG363"/>
  <c r="AG47"/>
  <c r="AG418"/>
  <c r="AG998"/>
  <c r="AG813"/>
  <c r="AG406"/>
  <c r="AG854"/>
  <c r="AG318"/>
  <c r="AG1155"/>
  <c r="AG832"/>
  <c r="AG614"/>
  <c r="AG773"/>
  <c r="AG753"/>
  <c r="AG172"/>
  <c r="AG1048"/>
  <c r="AG1045"/>
  <c r="AG1012"/>
  <c r="AG810"/>
  <c r="AG575"/>
  <c r="AG903"/>
  <c r="AG88"/>
  <c r="AG1013"/>
  <c r="AG49"/>
  <c r="AG59"/>
  <c r="AG844"/>
  <c r="AG1167"/>
  <c r="AG154"/>
  <c r="AG166"/>
  <c r="AG223"/>
  <c r="AG33"/>
  <c r="AG1095"/>
  <c r="AG119"/>
  <c r="AG1026"/>
  <c r="AG422"/>
  <c r="AG215"/>
  <c r="AG1097"/>
  <c r="AG1135"/>
  <c r="AG135"/>
  <c r="AG140"/>
  <c r="AG919"/>
  <c r="AG269"/>
  <c r="AG1176"/>
  <c r="AG312"/>
  <c r="AG369"/>
  <c r="AG1191"/>
  <c r="AG497"/>
  <c r="AG1213"/>
  <c r="AG822"/>
  <c r="AG561"/>
  <c r="AG829"/>
  <c r="AG529"/>
  <c r="AG376"/>
  <c r="AG1131"/>
  <c r="AG438"/>
  <c r="AG305"/>
  <c r="AG332"/>
  <c r="AG609"/>
  <c r="AG83"/>
  <c r="AG280"/>
  <c r="AG1102"/>
  <c r="AG554"/>
  <c r="AG703"/>
  <c r="AG924"/>
  <c r="AG552"/>
  <c r="AG99"/>
  <c r="AG275"/>
  <c r="AG185"/>
  <c r="AG1057"/>
  <c r="AG101"/>
  <c r="AG981"/>
  <c r="AG373"/>
  <c r="AG821"/>
  <c r="AG85"/>
  <c r="AG758"/>
  <c r="AG241"/>
  <c r="AG523"/>
  <c r="AG446"/>
  <c r="AG1020"/>
  <c r="AG776"/>
  <c r="AG1247"/>
  <c r="AG149"/>
  <c r="AG347"/>
  <c r="AG187"/>
  <c r="AG1054"/>
  <c r="AG827"/>
  <c r="AG95"/>
  <c r="AG1087"/>
  <c r="AG1124"/>
  <c r="AG610"/>
  <c r="AG64"/>
  <c r="AG732"/>
  <c r="AG60"/>
  <c r="AG1016"/>
  <c r="AG761"/>
  <c r="AG392"/>
  <c r="AG734"/>
  <c r="AG625"/>
  <c r="AG440"/>
  <c r="AG1258"/>
  <c r="AG918"/>
  <c r="AG141"/>
  <c r="AG770"/>
  <c r="AG1049"/>
  <c r="AG971"/>
  <c r="AG648"/>
  <c r="AG252"/>
  <c r="AG285"/>
  <c r="AG1144"/>
  <c r="AG622"/>
  <c r="AG1113"/>
  <c r="AG968"/>
  <c r="AG568"/>
  <c r="AG606"/>
  <c r="AG1243"/>
  <c r="AG391"/>
  <c r="AG1058"/>
  <c r="AG722"/>
  <c r="AG811"/>
  <c r="AG164"/>
  <c r="AG512"/>
  <c r="AG1252"/>
  <c r="AG739"/>
  <c r="AG862"/>
  <c r="AG81"/>
  <c r="AG395"/>
  <c r="AG780"/>
  <c r="AG950"/>
  <c r="AG511"/>
  <c r="AG306"/>
  <c r="AG718"/>
  <c r="AG1116"/>
  <c r="AG717"/>
  <c r="AG493"/>
  <c r="AG587"/>
  <c r="AG129"/>
  <c r="AG1221"/>
  <c r="AG782"/>
  <c r="AG899"/>
  <c r="AG457"/>
  <c r="AG122"/>
  <c r="AG410"/>
  <c r="AG132"/>
  <c r="AG1180"/>
  <c r="AG1174"/>
  <c r="AG444"/>
  <c r="AG795"/>
  <c r="AG96"/>
  <c r="AG1161"/>
  <c r="AG1152"/>
  <c r="AG1002"/>
  <c r="AG534"/>
  <c r="AG629"/>
  <c r="AG262"/>
  <c r="AG974"/>
  <c r="AG1109"/>
  <c r="AG340"/>
  <c r="AG684"/>
  <c r="AG697"/>
  <c r="AG638"/>
  <c r="AG535"/>
  <c r="AG205"/>
  <c r="AG1234"/>
  <c r="AG456"/>
  <c r="AG647"/>
  <c r="AG955"/>
  <c r="AG234"/>
  <c r="AG109"/>
  <c r="AG745"/>
  <c r="AG870"/>
  <c r="AG1215"/>
  <c r="AG879"/>
  <c r="AG1004"/>
  <c r="AG1206"/>
  <c r="AG668"/>
  <c r="AG366"/>
  <c r="AG335"/>
  <c r="AG905"/>
  <c r="AG1232"/>
  <c r="AG880"/>
  <c r="AG550"/>
  <c r="AG1076"/>
  <c r="AG916"/>
  <c r="AG789"/>
  <c r="AG579"/>
  <c r="AG436"/>
  <c r="AG794"/>
  <c r="AG767"/>
  <c r="AG626"/>
  <c r="AG508"/>
  <c r="AG715"/>
  <c r="AG1107"/>
  <c r="AG970"/>
  <c r="AG416"/>
  <c r="AG1223"/>
  <c r="AG437"/>
  <c r="AG586"/>
  <c r="AG1262"/>
  <c r="AG387"/>
  <c r="AG329"/>
  <c r="AG43"/>
  <c r="AG48"/>
  <c r="AG339"/>
  <c r="AG250"/>
  <c r="AG351"/>
  <c r="AG1036"/>
  <c r="AG142"/>
  <c r="AG937"/>
  <c r="AG1251"/>
  <c r="AG196"/>
  <c r="AG421"/>
  <c r="AG136"/>
  <c r="AG1081"/>
  <c r="AG792"/>
  <c r="AG585"/>
  <c r="AG455"/>
  <c r="AG711"/>
  <c r="AG713"/>
  <c r="AG394"/>
  <c r="AG729"/>
  <c r="AG808"/>
  <c r="AG750"/>
  <c r="AG1099"/>
  <c r="AG727"/>
  <c r="AG100"/>
  <c r="AG977"/>
  <c r="AG731"/>
  <c r="AG1033"/>
  <c r="AG963"/>
  <c r="AG114"/>
  <c r="AG772"/>
  <c r="AG86"/>
  <c r="AG443"/>
  <c r="AG942"/>
  <c r="AG1207"/>
  <c r="AG639"/>
  <c r="AG319"/>
  <c r="AG1074"/>
  <c r="AG736"/>
  <c r="AG621"/>
  <c r="AG476"/>
  <c r="AG375"/>
  <c r="AG1031"/>
  <c r="AG883"/>
  <c r="AG915"/>
  <c r="AG507"/>
  <c r="AG496"/>
  <c r="AG58"/>
  <c r="AG159"/>
  <c r="AG1231"/>
  <c r="AG1117"/>
  <c r="AG412"/>
  <c r="AG747"/>
  <c r="AG260"/>
  <c r="AG873"/>
  <c r="AG976"/>
  <c r="AG624"/>
  <c r="AG1079"/>
  <c r="AG798"/>
  <c r="AG741"/>
  <c r="AG372"/>
  <c r="AG405"/>
  <c r="AG97"/>
  <c r="AG219"/>
  <c r="AG216"/>
  <c r="AG551"/>
  <c r="AG1182"/>
  <c r="AG973"/>
  <c r="AG570"/>
  <c r="AG637"/>
  <c r="AG445"/>
  <c r="AG1111"/>
  <c r="AG986"/>
  <c r="AG694"/>
  <c r="AG1157"/>
  <c r="AG308"/>
  <c r="AG989"/>
  <c r="AG786"/>
  <c r="AG577"/>
  <c r="AG396"/>
  <c r="AG434"/>
  <c r="AG431"/>
  <c r="AG562"/>
  <c r="AG1183"/>
  <c r="AG744"/>
  <c r="AG150"/>
  <c r="AG662"/>
  <c r="AG1050"/>
  <c r="AG212"/>
  <c r="AG126"/>
  <c r="AG669"/>
  <c r="AG41"/>
  <c r="AG57"/>
  <c r="AG353"/>
  <c r="AG1007"/>
  <c r="AG355"/>
  <c r="AG283"/>
  <c r="AG1173"/>
  <c r="AG1230"/>
  <c r="AG1104"/>
  <c r="AG202"/>
  <c r="AG1121"/>
  <c r="AG1070"/>
  <c r="AG1151"/>
  <c r="AG791"/>
  <c r="AG952"/>
  <c r="AG680"/>
  <c r="AG181"/>
  <c r="AG169"/>
  <c r="AG108"/>
  <c r="AG191"/>
  <c r="AG768"/>
  <c r="AG235"/>
  <c r="AG278"/>
  <c r="AG661"/>
  <c r="AG878"/>
  <c r="AG602"/>
  <c r="AG113"/>
  <c r="AG311"/>
  <c r="AG733"/>
  <c r="AG834"/>
  <c r="AG251"/>
  <c r="AG134"/>
  <c r="AG643"/>
  <c r="AG1014"/>
  <c r="AG1169"/>
  <c r="AG307"/>
  <c r="AG565"/>
  <c r="AG1242"/>
  <c r="AG498"/>
  <c r="AG644"/>
  <c r="AG969"/>
  <c r="AG430"/>
  <c r="AG978"/>
  <c r="AG631"/>
  <c r="AG799"/>
  <c r="AG760"/>
  <c r="AG157"/>
  <c r="AG173"/>
  <c r="AG922"/>
  <c r="AG956"/>
  <c r="AG1075"/>
  <c r="AG1127"/>
  <c r="AG486"/>
  <c r="AG866"/>
  <c r="AG116"/>
  <c r="AG255"/>
  <c r="AG293"/>
  <c r="AG65"/>
  <c r="AG1260"/>
  <c r="AG160"/>
  <c r="AG947"/>
  <c r="AG111"/>
  <c r="AG541"/>
  <c r="AG658"/>
  <c r="AG651"/>
  <c r="AG384"/>
  <c r="AG1028"/>
  <c r="AG151"/>
  <c r="AG980"/>
  <c r="AG66"/>
  <c r="AG167"/>
  <c r="AG184"/>
  <c r="AG449"/>
  <c r="AG536"/>
  <c r="AG783"/>
  <c r="AG797"/>
  <c r="AG201"/>
  <c r="AG935"/>
  <c r="AG460"/>
  <c r="AG893"/>
  <c r="AG877"/>
  <c r="AG310"/>
  <c r="AG1112"/>
  <c r="AG236"/>
  <c r="AG1177"/>
  <c r="AG139"/>
  <c r="AG839"/>
  <c r="AG466"/>
  <c r="AG73"/>
  <c r="AA7"/>
  <c r="AA6"/>
  <c r="AA3"/>
  <c r="AA5"/>
  <c r="AA4"/>
  <c r="AA8"/>
  <c r="AC8"/>
  <c r="AC7"/>
  <c r="AB4"/>
  <c r="AB3"/>
  <c r="AC4"/>
  <c r="AB7"/>
  <c r="AB6"/>
  <c r="AB8"/>
  <c r="AC6"/>
  <c r="AC5"/>
  <c r="AC31"/>
  <c r="AH32"/>
  <c r="AI32"/>
  <c r="AG32"/>
  <c r="AN1014" l="1"/>
  <c r="AP1014" s="1"/>
  <c r="AS1014" s="1"/>
  <c r="AN624"/>
  <c r="AP624" s="1"/>
  <c r="AS624" s="1"/>
  <c r="AO81"/>
  <c r="AR81" s="1"/>
  <c r="AN918"/>
  <c r="AP918" s="1"/>
  <c r="AS918" s="1"/>
  <c r="AO59"/>
  <c r="AR59" s="1"/>
  <c r="AN1208"/>
  <c r="AP1208" s="1"/>
  <c r="AS1208" s="1"/>
  <c r="AN906"/>
  <c r="AP906" s="1"/>
  <c r="AS906" s="1"/>
  <c r="AN678"/>
  <c r="AP678" s="1"/>
  <c r="AS678" s="1"/>
  <c r="AN723"/>
  <c r="AP723" s="1"/>
  <c r="AS723" s="1"/>
  <c r="AO1003"/>
  <c r="AR1003" s="1"/>
  <c r="AO48"/>
  <c r="AR48" s="1"/>
  <c r="AN827"/>
  <c r="AP827" s="1"/>
  <c r="AS827" s="1"/>
  <c r="AO85"/>
  <c r="AR85" s="1"/>
  <c r="AN1135"/>
  <c r="AP1135" s="1"/>
  <c r="AS1135" s="1"/>
  <c r="AN359"/>
  <c r="AP359" s="1"/>
  <c r="AS359" s="1"/>
  <c r="AN646"/>
  <c r="AP646" s="1"/>
  <c r="AS646" s="1"/>
  <c r="AO302"/>
  <c r="AR302" s="1"/>
  <c r="AO377"/>
  <c r="AR377" s="1"/>
  <c r="AO1212"/>
  <c r="AR1212" s="1"/>
  <c r="AN669"/>
  <c r="AP669" s="1"/>
  <c r="AS669" s="1"/>
  <c r="AO97"/>
  <c r="AR97" s="1"/>
  <c r="AO95"/>
  <c r="AR95" s="1"/>
  <c r="AN1176"/>
  <c r="AP1176" s="1"/>
  <c r="AS1176" s="1"/>
  <c r="AO47"/>
  <c r="AR47" s="1"/>
  <c r="AN368"/>
  <c r="AP368" s="1"/>
  <c r="AS368" s="1"/>
  <c r="AN1041"/>
  <c r="AP1041" s="1"/>
  <c r="AS1041" s="1"/>
  <c r="AN564"/>
  <c r="AP564" s="1"/>
  <c r="AS564" s="1"/>
  <c r="AN1094"/>
  <c r="AP1094" s="1"/>
  <c r="AS1094" s="1"/>
  <c r="AN1122"/>
  <c r="AP1122" s="1"/>
  <c r="AS1122" s="1"/>
  <c r="AN964"/>
  <c r="AP964" s="1"/>
  <c r="AS964" s="1"/>
  <c r="AN801"/>
  <c r="AP801" s="1"/>
  <c r="AS801" s="1"/>
  <c r="AO51"/>
  <c r="AR51" s="1"/>
  <c r="AO1194"/>
  <c r="AR1194" s="1"/>
  <c r="AO322"/>
  <c r="AR322" s="1"/>
  <c r="AO617"/>
  <c r="AR617" s="1"/>
  <c r="AO277"/>
  <c r="AR277" s="1"/>
  <c r="AN648"/>
  <c r="AP648" s="1"/>
  <c r="AS648" s="1"/>
  <c r="AO101"/>
  <c r="AR101" s="1"/>
  <c r="AN962"/>
  <c r="AP962" s="1"/>
  <c r="AS962" s="1"/>
  <c r="AO71"/>
  <c r="AR71" s="1"/>
  <c r="AN627"/>
  <c r="AP627" s="1"/>
  <c r="AS627" s="1"/>
  <c r="AN311"/>
  <c r="AP311" s="1"/>
  <c r="AS311" s="1"/>
  <c r="AO41"/>
  <c r="AR41" s="1"/>
  <c r="AN396"/>
  <c r="AP396" s="1"/>
  <c r="AS396" s="1"/>
  <c r="AN729"/>
  <c r="AP729" s="1"/>
  <c r="AS729" s="1"/>
  <c r="AN924"/>
  <c r="AP924" s="1"/>
  <c r="AS924" s="1"/>
  <c r="AN280"/>
  <c r="AP280" s="1"/>
  <c r="AS280" s="1"/>
  <c r="AN305"/>
  <c r="AP305" s="1"/>
  <c r="AS305" s="1"/>
  <c r="AN140"/>
  <c r="AP140" s="1"/>
  <c r="AS140" s="1"/>
  <c r="AN575"/>
  <c r="AP575" s="1"/>
  <c r="AS575" s="1"/>
  <c r="AN1048"/>
  <c r="AP1048" s="1"/>
  <c r="AS1048" s="1"/>
  <c r="AN274"/>
  <c r="AP274" s="1"/>
  <c r="AS274" s="1"/>
  <c r="AN898"/>
  <c r="AP898" s="1"/>
  <c r="AS898" s="1"/>
  <c r="AN304"/>
  <c r="AP304" s="1"/>
  <c r="AS304" s="1"/>
  <c r="AO84"/>
  <c r="AR84" s="1"/>
  <c r="AN593"/>
  <c r="AP593" s="1"/>
  <c r="AS593" s="1"/>
  <c r="AN719"/>
  <c r="AP719" s="1"/>
  <c r="AS719" s="1"/>
  <c r="AO54"/>
  <c r="AR54" s="1"/>
  <c r="AN1270"/>
  <c r="AP1270" s="1"/>
  <c r="AS1270" s="1"/>
  <c r="AO949"/>
  <c r="AR949" s="1"/>
  <c r="AO1171"/>
  <c r="AR1171" s="1"/>
  <c r="AO845"/>
  <c r="AR845" s="1"/>
  <c r="AO819"/>
  <c r="AR819" s="1"/>
  <c r="AO1010"/>
  <c r="AR1010" s="1"/>
  <c r="AN702"/>
  <c r="AP702" s="1"/>
  <c r="AS702" s="1"/>
  <c r="AN1178"/>
  <c r="AP1178" s="1"/>
  <c r="AS1178" s="1"/>
  <c r="AN1112"/>
  <c r="AP1112" s="1"/>
  <c r="AS1112" s="1"/>
  <c r="AN167"/>
  <c r="AP167" s="1"/>
  <c r="AS167" s="1"/>
  <c r="AN541"/>
  <c r="AP541" s="1"/>
  <c r="AS541" s="1"/>
  <c r="AN1075"/>
  <c r="AP1075" s="1"/>
  <c r="AS1075" s="1"/>
  <c r="AN251"/>
  <c r="AP251" s="1"/>
  <c r="AS251" s="1"/>
  <c r="AN1121"/>
  <c r="AP1121" s="1"/>
  <c r="AS1121" s="1"/>
  <c r="AN637"/>
  <c r="AP637" s="1"/>
  <c r="AS637" s="1"/>
  <c r="AN551"/>
  <c r="AP551" s="1"/>
  <c r="AS551" s="1"/>
  <c r="AN375"/>
  <c r="AP375" s="1"/>
  <c r="AS375" s="1"/>
  <c r="AN942"/>
  <c r="AP942" s="1"/>
  <c r="AS942" s="1"/>
  <c r="AN196"/>
  <c r="AP196" s="1"/>
  <c r="AS196" s="1"/>
  <c r="AN141"/>
  <c r="AP141" s="1"/>
  <c r="AS141" s="1"/>
  <c r="AN554"/>
  <c r="AP554" s="1"/>
  <c r="AS554" s="1"/>
  <c r="AN1191"/>
  <c r="AP1191" s="1"/>
  <c r="AS1191" s="1"/>
  <c r="AN549"/>
  <c r="AP549" s="1"/>
  <c r="AS549" s="1"/>
  <c r="AN284"/>
  <c r="AP284" s="1"/>
  <c r="AS284" s="1"/>
  <c r="AN393"/>
  <c r="AP393" s="1"/>
  <c r="AS393" s="1"/>
  <c r="AN383"/>
  <c r="AP383" s="1"/>
  <c r="AS383" s="1"/>
  <c r="AN1059"/>
  <c r="AP1059" s="1"/>
  <c r="AS1059" s="1"/>
  <c r="AN988"/>
  <c r="AP988" s="1"/>
  <c r="AS988" s="1"/>
  <c r="AN777"/>
  <c r="AN279"/>
  <c r="AP279" s="1"/>
  <c r="AS279" s="1"/>
  <c r="AN1197"/>
  <c r="AP1197" s="1"/>
  <c r="AS1197" s="1"/>
  <c r="AN1179"/>
  <c r="AP1179" s="1"/>
  <c r="AS1179" s="1"/>
  <c r="AN787"/>
  <c r="AP787" s="1"/>
  <c r="AS787" s="1"/>
  <c r="AN117"/>
  <c r="AP117" s="1"/>
  <c r="AS117" s="1"/>
  <c r="AO635"/>
  <c r="AR635" s="1"/>
  <c r="AN676"/>
  <c r="AP676" s="1"/>
  <c r="AS676" s="1"/>
  <c r="AN134"/>
  <c r="AP134" s="1"/>
  <c r="AS134" s="1"/>
  <c r="AN680"/>
  <c r="AP680" s="1"/>
  <c r="AS680" s="1"/>
  <c r="AN1230"/>
  <c r="AP1230" s="1"/>
  <c r="AS1230" s="1"/>
  <c r="AN1157"/>
  <c r="AP1157" s="1"/>
  <c r="AS1157" s="1"/>
  <c r="AN1117"/>
  <c r="AP1117" s="1"/>
  <c r="AS1117" s="1"/>
  <c r="AN1099"/>
  <c r="AP1099" s="1"/>
  <c r="AS1099" s="1"/>
  <c r="AN585"/>
  <c r="AP585" s="1"/>
  <c r="AS585" s="1"/>
  <c r="AN668"/>
  <c r="AP668" s="1"/>
  <c r="AS668" s="1"/>
  <c r="AN954"/>
  <c r="AP954" s="1"/>
  <c r="AS954" s="1"/>
  <c r="AN256"/>
  <c r="AP256" s="1"/>
  <c r="AS256" s="1"/>
  <c r="AN990"/>
  <c r="AP990" s="1"/>
  <c r="AS990" s="1"/>
  <c r="AN598"/>
  <c r="AP598" s="1"/>
  <c r="AS598" s="1"/>
  <c r="AN495"/>
  <c r="AP495" s="1"/>
  <c r="AS495" s="1"/>
  <c r="AN936"/>
  <c r="AP936" s="1"/>
  <c r="AS936" s="1"/>
  <c r="AN155"/>
  <c r="AP155" s="1"/>
  <c r="AS155" s="1"/>
  <c r="AN1114"/>
  <c r="AP1114" s="1"/>
  <c r="AS1114" s="1"/>
  <c r="AO1479"/>
  <c r="AR1479" s="1"/>
  <c r="AO1395"/>
  <c r="AR1395" s="1"/>
  <c r="AN1493"/>
  <c r="AP1493" s="1"/>
  <c r="AS1493" s="1"/>
  <c r="AO1493"/>
  <c r="AR1493" s="1"/>
  <c r="AO1354"/>
  <c r="AR1354" s="1"/>
  <c r="AN1354"/>
  <c r="AP1354" s="1"/>
  <c r="AS1354" s="1"/>
  <c r="AN1405"/>
  <c r="AP1405" s="1"/>
  <c r="AS1405" s="1"/>
  <c r="AO1405"/>
  <c r="AR1405" s="1"/>
  <c r="AO1315"/>
  <c r="AR1315" s="1"/>
  <c r="AN1315"/>
  <c r="AO1477"/>
  <c r="AR1477" s="1"/>
  <c r="AN1477"/>
  <c r="AP1477" s="1"/>
  <c r="AS1477" s="1"/>
  <c r="AN1398"/>
  <c r="AP1398" s="1"/>
  <c r="AS1398" s="1"/>
  <c r="AO1398"/>
  <c r="AR1398" s="1"/>
  <c r="AN1311"/>
  <c r="AP1311" s="1"/>
  <c r="AS1311" s="1"/>
  <c r="AO1311"/>
  <c r="AR1311" s="1"/>
  <c r="AO1526"/>
  <c r="AR1526" s="1"/>
  <c r="AN1526"/>
  <c r="AP1526" s="1"/>
  <c r="AS1526" s="1"/>
  <c r="AO1392"/>
  <c r="AR1392" s="1"/>
  <c r="AN1392"/>
  <c r="AP1392" s="1"/>
  <c r="AS1392" s="1"/>
  <c r="AO1509"/>
  <c r="AR1509" s="1"/>
  <c r="AN1509"/>
  <c r="AP1509" s="1"/>
  <c r="AS1509" s="1"/>
  <c r="AO1490"/>
  <c r="AR1490" s="1"/>
  <c r="AN1490"/>
  <c r="AP1490" s="1"/>
  <c r="AS1490" s="1"/>
  <c r="AN1502"/>
  <c r="AP1502" s="1"/>
  <c r="AS1502" s="1"/>
  <c r="AO1502"/>
  <c r="AR1502" s="1"/>
  <c r="AO1442"/>
  <c r="AR1442" s="1"/>
  <c r="AN1442"/>
  <c r="AP1442" s="1"/>
  <c r="AS1442" s="1"/>
  <c r="AO1309"/>
  <c r="AR1309" s="1"/>
  <c r="AN1309"/>
  <c r="AN1534"/>
  <c r="AP1534" s="1"/>
  <c r="AS1534" s="1"/>
  <c r="AO1534"/>
  <c r="AR1534" s="1"/>
  <c r="AN1378"/>
  <c r="AP1378" s="1"/>
  <c r="AS1378" s="1"/>
  <c r="AO1378"/>
  <c r="AR1378" s="1"/>
  <c r="AO1351"/>
  <c r="AR1351" s="1"/>
  <c r="AN1351"/>
  <c r="AP1351" s="1"/>
  <c r="AS1351" s="1"/>
  <c r="AO1330"/>
  <c r="AR1330" s="1"/>
  <c r="AN1330"/>
  <c r="AP1330" s="1"/>
  <c r="AS1330" s="1"/>
  <c r="AN1386"/>
  <c r="AP1386" s="1"/>
  <c r="AS1386" s="1"/>
  <c r="AO1386"/>
  <c r="AR1386" s="1"/>
  <c r="AN1520"/>
  <c r="AP1520" s="1"/>
  <c r="AS1520" s="1"/>
  <c r="AO1520"/>
  <c r="AR1520" s="1"/>
  <c r="AN1363"/>
  <c r="AP1363" s="1"/>
  <c r="AS1363" s="1"/>
  <c r="AO1363"/>
  <c r="AR1363" s="1"/>
  <c r="AN1411"/>
  <c r="AP1411" s="1"/>
  <c r="AS1411" s="1"/>
  <c r="AO1411"/>
  <c r="AR1411" s="1"/>
  <c r="AN1522"/>
  <c r="AP1522" s="1"/>
  <c r="AS1522" s="1"/>
  <c r="AO1522"/>
  <c r="AR1522" s="1"/>
  <c r="AO1523"/>
  <c r="AR1523" s="1"/>
  <c r="AN1523"/>
  <c r="AP1523" s="1"/>
  <c r="AS1523" s="1"/>
  <c r="AN1519"/>
  <c r="AP1519" s="1"/>
  <c r="AS1519" s="1"/>
  <c r="AO1519"/>
  <c r="AR1519" s="1"/>
  <c r="AO1480"/>
  <c r="AR1480" s="1"/>
  <c r="AN1480"/>
  <c r="AP1480" s="1"/>
  <c r="AS1480" s="1"/>
  <c r="AO1397"/>
  <c r="AR1397" s="1"/>
  <c r="AN1397"/>
  <c r="AP1397" s="1"/>
  <c r="AS1397" s="1"/>
  <c r="AN1402"/>
  <c r="AP1402" s="1"/>
  <c r="AS1402" s="1"/>
  <c r="AO1402"/>
  <c r="AR1402" s="1"/>
  <c r="AN1377"/>
  <c r="AP1377" s="1"/>
  <c r="AS1377" s="1"/>
  <c r="AO1377"/>
  <c r="AR1377" s="1"/>
  <c r="AN1274"/>
  <c r="AP1274" s="1"/>
  <c r="AS1274" s="1"/>
  <c r="AO1274"/>
  <c r="AR1274" s="1"/>
  <c r="AO1360"/>
  <c r="AR1360" s="1"/>
  <c r="AN1360"/>
  <c r="AP1360" s="1"/>
  <c r="AS1360" s="1"/>
  <c r="AO1343"/>
  <c r="AR1343" s="1"/>
  <c r="AN1343"/>
  <c r="AP1343" s="1"/>
  <c r="AS1343" s="1"/>
  <c r="AN1353"/>
  <c r="AP1353" s="1"/>
  <c r="AS1353" s="1"/>
  <c r="AO1353"/>
  <c r="AR1353" s="1"/>
  <c r="AN1472"/>
  <c r="AP1472" s="1"/>
  <c r="AS1472" s="1"/>
  <c r="AO1472"/>
  <c r="AR1472" s="1"/>
  <c r="AO1295"/>
  <c r="AR1295" s="1"/>
  <c r="AN1295"/>
  <c r="AP1295" s="1"/>
  <c r="AS1295" s="1"/>
  <c r="AO1484"/>
  <c r="AR1484" s="1"/>
  <c r="AN1484"/>
  <c r="AN1328"/>
  <c r="AP1328" s="1"/>
  <c r="AS1328" s="1"/>
  <c r="AO1328"/>
  <c r="AR1328" s="1"/>
  <c r="AN1355"/>
  <c r="AP1355" s="1"/>
  <c r="AS1355" s="1"/>
  <c r="AO1355"/>
  <c r="AR1355" s="1"/>
  <c r="AO1385"/>
  <c r="AR1385" s="1"/>
  <c r="AN1385"/>
  <c r="AP1385" s="1"/>
  <c r="AS1385" s="1"/>
  <c r="AO1365"/>
  <c r="AR1365" s="1"/>
  <c r="AN1365"/>
  <c r="AP1365" s="1"/>
  <c r="AS1365" s="1"/>
  <c r="AN1352"/>
  <c r="AP1352" s="1"/>
  <c r="AS1352" s="1"/>
  <c r="AO1352"/>
  <c r="AR1352" s="1"/>
  <c r="AN1350"/>
  <c r="AP1350" s="1"/>
  <c r="AS1350" s="1"/>
  <c r="AO1350"/>
  <c r="AR1350" s="1"/>
  <c r="AN1371"/>
  <c r="AP1371" s="1"/>
  <c r="AS1371" s="1"/>
  <c r="AO1371"/>
  <c r="AR1371" s="1"/>
  <c r="AO1337"/>
  <c r="AR1337" s="1"/>
  <c r="AN1337"/>
  <c r="AP1337" s="1"/>
  <c r="AS1337" s="1"/>
  <c r="AO1440"/>
  <c r="AR1440" s="1"/>
  <c r="AN1440"/>
  <c r="AP1440" s="1"/>
  <c r="AS1440" s="1"/>
  <c r="AN1423"/>
  <c r="AP1423" s="1"/>
  <c r="AS1423" s="1"/>
  <c r="AO1423"/>
  <c r="AR1423" s="1"/>
  <c r="AO1443"/>
  <c r="AR1443" s="1"/>
  <c r="AN1443"/>
  <c r="AP1443" s="1"/>
  <c r="AS1443" s="1"/>
  <c r="AN1387"/>
  <c r="AP1387" s="1"/>
  <c r="AS1387" s="1"/>
  <c r="AO1387"/>
  <c r="AR1387" s="1"/>
  <c r="AO1291"/>
  <c r="AR1291" s="1"/>
  <c r="AN1291"/>
  <c r="AP1291" s="1"/>
  <c r="AS1291" s="1"/>
  <c r="AO1416"/>
  <c r="AR1416" s="1"/>
  <c r="AN1416"/>
  <c r="AP1416" s="1"/>
  <c r="AS1416" s="1"/>
  <c r="AN1453"/>
  <c r="AP1453" s="1"/>
  <c r="AS1453" s="1"/>
  <c r="AO1453"/>
  <c r="AR1453" s="1"/>
  <c r="AO1448"/>
  <c r="AR1448" s="1"/>
  <c r="AN1448"/>
  <c r="AN1507"/>
  <c r="AP1507" s="1"/>
  <c r="AS1507" s="1"/>
  <c r="AO1507"/>
  <c r="AR1507" s="1"/>
  <c r="AO1489"/>
  <c r="AR1489" s="1"/>
  <c r="AN1489"/>
  <c r="AP1489" s="1"/>
  <c r="AS1489" s="1"/>
  <c r="AN1418"/>
  <c r="AP1418" s="1"/>
  <c r="AS1418" s="1"/>
  <c r="AO1418"/>
  <c r="AR1418" s="1"/>
  <c r="AO1308"/>
  <c r="AR1308" s="1"/>
  <c r="AN1308"/>
  <c r="AP1308" s="1"/>
  <c r="AS1308" s="1"/>
  <c r="AO1441"/>
  <c r="AR1441" s="1"/>
  <c r="AN1441"/>
  <c r="AP1441" s="1"/>
  <c r="AS1441" s="1"/>
  <c r="AO1287"/>
  <c r="AR1287" s="1"/>
  <c r="AN1287"/>
  <c r="AP1287" s="1"/>
  <c r="AS1287" s="1"/>
  <c r="AO1288"/>
  <c r="AR1288" s="1"/>
  <c r="AN1288"/>
  <c r="AP1288" s="1"/>
  <c r="AS1288" s="1"/>
  <c r="AO1518"/>
  <c r="AR1518" s="1"/>
  <c r="AN1518"/>
  <c r="AP1518" s="1"/>
  <c r="AS1518" s="1"/>
  <c r="AN1447"/>
  <c r="AP1447" s="1"/>
  <c r="AS1447" s="1"/>
  <c r="AO1447"/>
  <c r="AR1447" s="1"/>
  <c r="AO1280"/>
  <c r="AR1280" s="1"/>
  <c r="AN1280"/>
  <c r="AP1280" s="1"/>
  <c r="AS1280" s="1"/>
  <c r="AO1359"/>
  <c r="AR1359" s="1"/>
  <c r="AN1359"/>
  <c r="AP1359" s="1"/>
  <c r="AS1359" s="1"/>
  <c r="AO1273"/>
  <c r="AR1273" s="1"/>
  <c r="AN1273"/>
  <c r="AP1273" s="1"/>
  <c r="AS1273" s="1"/>
  <c r="AN1396"/>
  <c r="AP1396" s="1"/>
  <c r="AS1396" s="1"/>
  <c r="AO1396"/>
  <c r="AR1396" s="1"/>
  <c r="AN1298"/>
  <c r="AP1298" s="1"/>
  <c r="AS1298" s="1"/>
  <c r="AO1298"/>
  <c r="AR1298" s="1"/>
  <c r="AN1464"/>
  <c r="AP1464" s="1"/>
  <c r="AS1464" s="1"/>
  <c r="AO1464"/>
  <c r="AR1464" s="1"/>
  <c r="AN1357"/>
  <c r="AP1357" s="1"/>
  <c r="AS1357" s="1"/>
  <c r="AO1357"/>
  <c r="AR1357" s="1"/>
  <c r="AO1476"/>
  <c r="AR1476" s="1"/>
  <c r="AN1476"/>
  <c r="AP1476" s="1"/>
  <c r="AS1476" s="1"/>
  <c r="AN1342"/>
  <c r="AP1342" s="1"/>
  <c r="AS1342" s="1"/>
  <c r="AO1342"/>
  <c r="AR1342" s="1"/>
  <c r="AO1317"/>
  <c r="AR1317" s="1"/>
  <c r="AN1317"/>
  <c r="AP1317" s="1"/>
  <c r="AS1317" s="1"/>
  <c r="AN1404"/>
  <c r="AP1404" s="1"/>
  <c r="AS1404" s="1"/>
  <c r="AO1404"/>
  <c r="AR1404" s="1"/>
  <c r="AO1320"/>
  <c r="AR1320" s="1"/>
  <c r="AN1320"/>
  <c r="AP1320" s="1"/>
  <c r="AS1320" s="1"/>
  <c r="AN1324"/>
  <c r="AP1324" s="1"/>
  <c r="AS1324" s="1"/>
  <c r="AO1324"/>
  <c r="AR1324" s="1"/>
  <c r="AO1399"/>
  <c r="AR1399" s="1"/>
  <c r="AN1399"/>
  <c r="AP1399" s="1"/>
  <c r="AS1399" s="1"/>
  <c r="AN1516"/>
  <c r="AP1516" s="1"/>
  <c r="AS1516" s="1"/>
  <c r="AO1516"/>
  <c r="AR1516" s="1"/>
  <c r="AO1500"/>
  <c r="AR1500" s="1"/>
  <c r="AN1500"/>
  <c r="AP1500" s="1"/>
  <c r="AS1500" s="1"/>
  <c r="AN1318"/>
  <c r="AP1318" s="1"/>
  <c r="AS1318" s="1"/>
  <c r="AO1318"/>
  <c r="AR1318" s="1"/>
  <c r="AO1331"/>
  <c r="AR1331" s="1"/>
  <c r="AN1331"/>
  <c r="AP1331" s="1"/>
  <c r="AS1331" s="1"/>
  <c r="AO1458"/>
  <c r="AR1458" s="1"/>
  <c r="AN1458"/>
  <c r="AP1458" s="1"/>
  <c r="AS1458" s="1"/>
  <c r="AN1462"/>
  <c r="AP1462" s="1"/>
  <c r="AS1462" s="1"/>
  <c r="AO1462"/>
  <c r="AR1462" s="1"/>
  <c r="AN1468"/>
  <c r="AP1468" s="1"/>
  <c r="AS1468" s="1"/>
  <c r="AO1468"/>
  <c r="AR1468" s="1"/>
  <c r="AN1390"/>
  <c r="AP1390" s="1"/>
  <c r="AS1390" s="1"/>
  <c r="AO1390"/>
  <c r="AR1390" s="1"/>
  <c r="AO1394"/>
  <c r="AR1394" s="1"/>
  <c r="AN1394"/>
  <c r="AP1394" s="1"/>
  <c r="AS1394" s="1"/>
  <c r="AO1373"/>
  <c r="AR1373" s="1"/>
  <c r="AN1373"/>
  <c r="AP1373" s="1"/>
  <c r="AS1373" s="1"/>
  <c r="AN1401"/>
  <c r="AP1401" s="1"/>
  <c r="AS1401" s="1"/>
  <c r="AO1401"/>
  <c r="AR1401" s="1"/>
  <c r="AO1332"/>
  <c r="AR1332" s="1"/>
  <c r="AN1332"/>
  <c r="AP1332" s="1"/>
  <c r="AS1332" s="1"/>
  <c r="AN1379"/>
  <c r="AP1379" s="1"/>
  <c r="AS1379" s="1"/>
  <c r="AO1379"/>
  <c r="AR1379" s="1"/>
  <c r="AN1478"/>
  <c r="AP1478" s="1"/>
  <c r="AS1478" s="1"/>
  <c r="AO1478"/>
  <c r="AR1478" s="1"/>
  <c r="AO1495"/>
  <c r="AR1495" s="1"/>
  <c r="AN1495"/>
  <c r="AP1495" s="1"/>
  <c r="AS1495" s="1"/>
  <c r="AO1327"/>
  <c r="AR1327" s="1"/>
  <c r="AN1327"/>
  <c r="AP1327" s="1"/>
  <c r="AS1327" s="1"/>
  <c r="AN1446"/>
  <c r="AP1446" s="1"/>
  <c r="AS1446" s="1"/>
  <c r="AO1446"/>
  <c r="AR1446" s="1"/>
  <c r="AO1283"/>
  <c r="AR1283" s="1"/>
  <c r="AN1283"/>
  <c r="AP1283" s="1"/>
  <c r="AS1283" s="1"/>
  <c r="AO1535"/>
  <c r="AR1535" s="1"/>
  <c r="AN1535"/>
  <c r="AP1535" s="1"/>
  <c r="AS1535" s="1"/>
  <c r="AN1409"/>
  <c r="AP1409" s="1"/>
  <c r="AS1409" s="1"/>
  <c r="AO1409"/>
  <c r="AR1409" s="1"/>
  <c r="AO1532"/>
  <c r="AR1532" s="1"/>
  <c r="AN1532"/>
  <c r="AP1532" s="1"/>
  <c r="AS1532" s="1"/>
  <c r="AN1290"/>
  <c r="AP1290" s="1"/>
  <c r="AS1290" s="1"/>
  <c r="AO1290"/>
  <c r="AR1290" s="1"/>
  <c r="AO1376"/>
  <c r="AR1376" s="1"/>
  <c r="AN1376"/>
  <c r="AP1376" s="1"/>
  <c r="AS1376" s="1"/>
  <c r="AO1388"/>
  <c r="AR1388" s="1"/>
  <c r="AN1388"/>
  <c r="AP1388" s="1"/>
  <c r="AS1388" s="1"/>
  <c r="AO1527"/>
  <c r="AR1527" s="1"/>
  <c r="AN1527"/>
  <c r="AP1527" s="1"/>
  <c r="AS1527" s="1"/>
  <c r="AO1470"/>
  <c r="AR1470" s="1"/>
  <c r="AN1470"/>
  <c r="AP1470" s="1"/>
  <c r="AS1470" s="1"/>
  <c r="AO1498"/>
  <c r="AR1498" s="1"/>
  <c r="AN1498"/>
  <c r="AP1498" s="1"/>
  <c r="AS1498" s="1"/>
  <c r="AO1277"/>
  <c r="AR1277" s="1"/>
  <c r="AN1277"/>
  <c r="AP1277" s="1"/>
  <c r="AS1277" s="1"/>
  <c r="AN1333"/>
  <c r="AP1333" s="1"/>
  <c r="AS1333" s="1"/>
  <c r="AO1333"/>
  <c r="AR1333" s="1"/>
  <c r="AN1529"/>
  <c r="AP1529" s="1"/>
  <c r="AS1529" s="1"/>
  <c r="AO1529"/>
  <c r="AR1529" s="1"/>
  <c r="AO1410"/>
  <c r="AR1410" s="1"/>
  <c r="AN1410"/>
  <c r="AP1410" s="1"/>
  <c r="AS1410" s="1"/>
  <c r="AO1381"/>
  <c r="AR1381" s="1"/>
  <c r="AN1381"/>
  <c r="AP1381" s="1"/>
  <c r="AS1381" s="1"/>
  <c r="AO1278"/>
  <c r="AR1278" s="1"/>
  <c r="AN1278"/>
  <c r="AP1278" s="1"/>
  <c r="AS1278" s="1"/>
  <c r="AN1364"/>
  <c r="AP1364" s="1"/>
  <c r="AS1364" s="1"/>
  <c r="AO1364"/>
  <c r="AR1364" s="1"/>
  <c r="AN1338"/>
  <c r="AP1338" s="1"/>
  <c r="AS1338" s="1"/>
  <c r="AO1338"/>
  <c r="AR1338" s="1"/>
  <c r="AO1341"/>
  <c r="AR1341" s="1"/>
  <c r="AN1341"/>
  <c r="AP1341" s="1"/>
  <c r="AS1341" s="1"/>
  <c r="AO1412"/>
  <c r="AR1412" s="1"/>
  <c r="AN1412"/>
  <c r="AP1412" s="1"/>
  <c r="AS1412" s="1"/>
  <c r="AO1313"/>
  <c r="AR1313" s="1"/>
  <c r="AN1313"/>
  <c r="AP1313" s="1"/>
  <c r="AS1313" s="1"/>
  <c r="AN1431"/>
  <c r="AP1431" s="1"/>
  <c r="AS1431" s="1"/>
  <c r="AO1431"/>
  <c r="AR1431" s="1"/>
  <c r="AO1514"/>
  <c r="AR1514" s="1"/>
  <c r="AN1514"/>
  <c r="AP1514" s="1"/>
  <c r="AS1514" s="1"/>
  <c r="AN1426"/>
  <c r="AP1426" s="1"/>
  <c r="AS1426" s="1"/>
  <c r="AO1426"/>
  <c r="AR1426" s="1"/>
  <c r="AN1292"/>
  <c r="AP1292" s="1"/>
  <c r="AS1292" s="1"/>
  <c r="AO1292"/>
  <c r="AR1292" s="1"/>
  <c r="AN1445"/>
  <c r="AP1445" s="1"/>
  <c r="AS1445" s="1"/>
  <c r="AO1445"/>
  <c r="AR1445" s="1"/>
  <c r="AN1436"/>
  <c r="AP1436" s="1"/>
  <c r="AS1436" s="1"/>
  <c r="AO1436"/>
  <c r="AR1436" s="1"/>
  <c r="AO1415"/>
  <c r="AR1415" s="1"/>
  <c r="AN1415"/>
  <c r="AP1415" s="1"/>
  <c r="AS1415" s="1"/>
  <c r="AN1451"/>
  <c r="AP1451" s="1"/>
  <c r="AS1451" s="1"/>
  <c r="AO1451"/>
  <c r="AR1451" s="1"/>
  <c r="AN1419"/>
  <c r="AP1419" s="1"/>
  <c r="AS1419" s="1"/>
  <c r="AO1419"/>
  <c r="AR1419" s="1"/>
  <c r="AO1429"/>
  <c r="AR1429" s="1"/>
  <c r="AN1429"/>
  <c r="AP1429" s="1"/>
  <c r="AS1429" s="1"/>
  <c r="AO1433"/>
  <c r="AR1433" s="1"/>
  <c r="AN1433"/>
  <c r="AP1433" s="1"/>
  <c r="AS1433" s="1"/>
  <c r="AO1483"/>
  <c r="AR1483" s="1"/>
  <c r="AN1483"/>
  <c r="AP1483" s="1"/>
  <c r="AS1483" s="1"/>
  <c r="AO1456"/>
  <c r="AR1456" s="1"/>
  <c r="AN1456"/>
  <c r="AP1456" s="1"/>
  <c r="AS1456" s="1"/>
  <c r="AO1497"/>
  <c r="AR1497" s="1"/>
  <c r="AN1497"/>
  <c r="AP1497" s="1"/>
  <c r="AS1497" s="1"/>
  <c r="AN1435"/>
  <c r="AP1435" s="1"/>
  <c r="AS1435" s="1"/>
  <c r="AO1435"/>
  <c r="AR1435" s="1"/>
  <c r="AO1501"/>
  <c r="AR1501" s="1"/>
  <c r="AN1501"/>
  <c r="AP1501" s="1"/>
  <c r="AS1501" s="1"/>
  <c r="AN1314"/>
  <c r="AP1314" s="1"/>
  <c r="AS1314" s="1"/>
  <c r="AO1314"/>
  <c r="AR1314" s="1"/>
  <c r="AN1438"/>
  <c r="AP1438" s="1"/>
  <c r="AS1438" s="1"/>
  <c r="AO1438"/>
  <c r="AR1438" s="1"/>
  <c r="AN1408"/>
  <c r="AP1408" s="1"/>
  <c r="AS1408" s="1"/>
  <c r="AO1408"/>
  <c r="AR1408" s="1"/>
  <c r="AO1469"/>
  <c r="AR1469" s="1"/>
  <c r="AN1469"/>
  <c r="AP1469" s="1"/>
  <c r="AS1469" s="1"/>
  <c r="AO1539"/>
  <c r="AR1539" s="1"/>
  <c r="AN1539"/>
  <c r="AP1539" s="1"/>
  <c r="AS1539" s="1"/>
  <c r="AO1513"/>
  <c r="AR1513" s="1"/>
  <c r="AN1513"/>
  <c r="AP1513" s="1"/>
  <c r="AS1513" s="1"/>
  <c r="AO1465"/>
  <c r="AR1465" s="1"/>
  <c r="AN1329"/>
  <c r="AP1329" s="1"/>
  <c r="AS1329" s="1"/>
  <c r="AO1329"/>
  <c r="AR1329" s="1"/>
  <c r="AN1322"/>
  <c r="AP1322" s="1"/>
  <c r="AS1322" s="1"/>
  <c r="AO1322"/>
  <c r="AR1322" s="1"/>
  <c r="AN1282"/>
  <c r="AP1282" s="1"/>
  <c r="AS1282" s="1"/>
  <c r="AO1282"/>
  <c r="AR1282" s="1"/>
  <c r="AO1375"/>
  <c r="AR1375" s="1"/>
  <c r="AN1375"/>
  <c r="AP1375" s="1"/>
  <c r="AS1375" s="1"/>
  <c r="AN1348"/>
  <c r="AP1348" s="1"/>
  <c r="AS1348" s="1"/>
  <c r="AO1348"/>
  <c r="AR1348" s="1"/>
  <c r="AN1422"/>
  <c r="AP1422" s="1"/>
  <c r="AS1422" s="1"/>
  <c r="AO1422"/>
  <c r="AR1422" s="1"/>
  <c r="AN1400"/>
  <c r="AP1400" s="1"/>
  <c r="AS1400" s="1"/>
  <c r="AO1400"/>
  <c r="AR1400" s="1"/>
  <c r="AN1474"/>
  <c r="AP1474" s="1"/>
  <c r="AS1474" s="1"/>
  <c r="AO1474"/>
  <c r="AR1474" s="1"/>
  <c r="AN1321"/>
  <c r="AP1321" s="1"/>
  <c r="AS1321" s="1"/>
  <c r="AO1321"/>
  <c r="AR1321" s="1"/>
  <c r="AN1289"/>
  <c r="AP1289" s="1"/>
  <c r="AS1289" s="1"/>
  <c r="AO1289"/>
  <c r="AR1289" s="1"/>
  <c r="AO1487"/>
  <c r="AR1487" s="1"/>
  <c r="AN1487"/>
  <c r="AP1487" s="1"/>
  <c r="AS1487" s="1"/>
  <c r="AO1430"/>
  <c r="AR1430" s="1"/>
  <c r="AN1430"/>
  <c r="AP1430" s="1"/>
  <c r="AS1430" s="1"/>
  <c r="AN1533"/>
  <c r="AP1533" s="1"/>
  <c r="AS1533" s="1"/>
  <c r="AO1533"/>
  <c r="AR1533" s="1"/>
  <c r="AO1393"/>
  <c r="AR1393" s="1"/>
  <c r="AN1393"/>
  <c r="AP1393" s="1"/>
  <c r="AS1393" s="1"/>
  <c r="AO1528"/>
  <c r="AR1528" s="1"/>
  <c r="AN1528"/>
  <c r="AP1528" s="1"/>
  <c r="AS1528" s="1"/>
  <c r="AO1286"/>
  <c r="AR1286" s="1"/>
  <c r="AN1286"/>
  <c r="AP1286" s="1"/>
  <c r="AS1286" s="1"/>
  <c r="AN1372"/>
  <c r="AP1372" s="1"/>
  <c r="AS1372" s="1"/>
  <c r="AO1372"/>
  <c r="AR1372" s="1"/>
  <c r="AN1389"/>
  <c r="AP1389" s="1"/>
  <c r="AS1389" s="1"/>
  <c r="AO1389"/>
  <c r="AR1389" s="1"/>
  <c r="AO1345"/>
  <c r="AR1345" s="1"/>
  <c r="AN1345"/>
  <c r="AP1345" s="1"/>
  <c r="AS1345" s="1"/>
  <c r="AO1525"/>
  <c r="AR1525" s="1"/>
  <c r="AN1525"/>
  <c r="AP1525" s="1"/>
  <c r="AS1525" s="1"/>
  <c r="AO1505"/>
  <c r="AR1505" s="1"/>
  <c r="AN1505"/>
  <c r="AP1505" s="1"/>
  <c r="AS1505" s="1"/>
  <c r="AO1323"/>
  <c r="AR1323" s="1"/>
  <c r="AN1323"/>
  <c r="AP1323" s="1"/>
  <c r="AS1323" s="1"/>
  <c r="AO1428"/>
  <c r="AR1428" s="1"/>
  <c r="AN1428"/>
  <c r="AP1428" s="1"/>
  <c r="AS1428" s="1"/>
  <c r="AO1334"/>
  <c r="AR1334" s="1"/>
  <c r="AN1334"/>
  <c r="AP1334" s="1"/>
  <c r="AS1334" s="1"/>
  <c r="AO1366"/>
  <c r="AR1366" s="1"/>
  <c r="AN1366"/>
  <c r="AP1366" s="1"/>
  <c r="AS1366" s="1"/>
  <c r="AO1406"/>
  <c r="AR1406" s="1"/>
  <c r="AN1406"/>
  <c r="AP1406" s="1"/>
  <c r="AS1406" s="1"/>
  <c r="AN1306"/>
  <c r="AP1306" s="1"/>
  <c r="AS1306" s="1"/>
  <c r="AO1306"/>
  <c r="AR1306" s="1"/>
  <c r="AO1407"/>
  <c r="AR1407" s="1"/>
  <c r="AN1407"/>
  <c r="AP1407" s="1"/>
  <c r="AS1407" s="1"/>
  <c r="AO1496"/>
  <c r="AR1496" s="1"/>
  <c r="AN1496"/>
  <c r="AP1496" s="1"/>
  <c r="AS1496" s="1"/>
  <c r="AO1463"/>
  <c r="AR1463" s="1"/>
  <c r="AN1463"/>
  <c r="AP1463" s="1"/>
  <c r="AS1463" s="1"/>
  <c r="AN1481"/>
  <c r="AP1481" s="1"/>
  <c r="AS1481" s="1"/>
  <c r="AO1481"/>
  <c r="AR1481" s="1"/>
  <c r="AO1434"/>
  <c r="AR1434" s="1"/>
  <c r="AN1434"/>
  <c r="AP1434" s="1"/>
  <c r="AS1434" s="1"/>
  <c r="AO1459"/>
  <c r="AR1459" s="1"/>
  <c r="AN1459"/>
  <c r="AP1459" s="1"/>
  <c r="AS1459" s="1"/>
  <c r="AO1414"/>
  <c r="AR1414" s="1"/>
  <c r="AN1414"/>
  <c r="AP1414" s="1"/>
  <c r="AS1414" s="1"/>
  <c r="AN1537"/>
  <c r="AP1537" s="1"/>
  <c r="AS1537" s="1"/>
  <c r="AO1537"/>
  <c r="AR1537" s="1"/>
  <c r="AO1358"/>
  <c r="AR1358" s="1"/>
  <c r="AN1358"/>
  <c r="AP1358" s="1"/>
  <c r="AS1358" s="1"/>
  <c r="AO1536"/>
  <c r="AR1536" s="1"/>
  <c r="AN1536"/>
  <c r="AP1536" s="1"/>
  <c r="AS1536" s="1"/>
  <c r="AO1294"/>
  <c r="AR1294" s="1"/>
  <c r="AN1294"/>
  <c r="AP1294" s="1"/>
  <c r="AS1294" s="1"/>
  <c r="AN1380"/>
  <c r="AP1380" s="1"/>
  <c r="AS1380" s="1"/>
  <c r="AO1380"/>
  <c r="AR1380" s="1"/>
  <c r="AN1403"/>
  <c r="AP1403" s="1"/>
  <c r="AS1403" s="1"/>
  <c r="AO1403"/>
  <c r="AR1403" s="1"/>
  <c r="AN1471"/>
  <c r="AP1471" s="1"/>
  <c r="AS1471" s="1"/>
  <c r="AO1471"/>
  <c r="AR1471" s="1"/>
  <c r="AO1506"/>
  <c r="AR1506" s="1"/>
  <c r="AN1506"/>
  <c r="AP1506" s="1"/>
  <c r="AS1506" s="1"/>
  <c r="AO1492"/>
  <c r="AR1492" s="1"/>
  <c r="AN1492"/>
  <c r="AP1492" s="1"/>
  <c r="AS1492" s="1"/>
  <c r="AO1284"/>
  <c r="AR1284" s="1"/>
  <c r="AN1284"/>
  <c r="AP1284" s="1"/>
  <c r="AS1284" s="1"/>
  <c r="AO1510"/>
  <c r="AR1510" s="1"/>
  <c r="AN1510"/>
  <c r="AP1510" s="1"/>
  <c r="AS1510" s="1"/>
  <c r="AO1427"/>
  <c r="AR1427" s="1"/>
  <c r="AN1427"/>
  <c r="AP1427" s="1"/>
  <c r="AS1427" s="1"/>
  <c r="AO1276"/>
  <c r="AR1276" s="1"/>
  <c r="AN1276"/>
  <c r="AP1276" s="1"/>
  <c r="AS1276" s="1"/>
  <c r="AN1437"/>
  <c r="AP1437" s="1"/>
  <c r="AS1437" s="1"/>
  <c r="AO1437"/>
  <c r="AR1437" s="1"/>
  <c r="AN1303"/>
  <c r="AP1303" s="1"/>
  <c r="AS1303" s="1"/>
  <c r="AO1303"/>
  <c r="AR1303" s="1"/>
  <c r="AN1297"/>
  <c r="AP1297" s="1"/>
  <c r="AS1297" s="1"/>
  <c r="AO1297"/>
  <c r="AR1297" s="1"/>
  <c r="AN1439"/>
  <c r="AP1439" s="1"/>
  <c r="AS1439" s="1"/>
  <c r="AO1439"/>
  <c r="AR1439" s="1"/>
  <c r="AO1296"/>
  <c r="AR1296" s="1"/>
  <c r="AN1296"/>
  <c r="AP1296" s="1"/>
  <c r="AS1296" s="1"/>
  <c r="AO1413"/>
  <c r="AR1413" s="1"/>
  <c r="AN1413"/>
  <c r="AP1413" s="1"/>
  <c r="AS1413" s="1"/>
  <c r="AO1301"/>
  <c r="AR1301" s="1"/>
  <c r="AN1301"/>
  <c r="AP1301" s="1"/>
  <c r="AS1301" s="1"/>
  <c r="AO1457"/>
  <c r="AR1457" s="1"/>
  <c r="AN1457"/>
  <c r="AP1457" s="1"/>
  <c r="AS1457" s="1"/>
  <c r="AN1444"/>
  <c r="AP1444" s="1"/>
  <c r="AS1444" s="1"/>
  <c r="AO1444"/>
  <c r="AR1444" s="1"/>
  <c r="AO1281"/>
  <c r="AR1281" s="1"/>
  <c r="AN1281"/>
  <c r="AP1281" s="1"/>
  <c r="AS1281" s="1"/>
  <c r="AO1300"/>
  <c r="AR1300" s="1"/>
  <c r="AN1300"/>
  <c r="AP1300" s="1"/>
  <c r="AS1300" s="1"/>
  <c r="AN1482"/>
  <c r="AP1482" s="1"/>
  <c r="AS1482" s="1"/>
  <c r="AO1482"/>
  <c r="AR1482" s="1"/>
  <c r="AO1335"/>
  <c r="AR1335" s="1"/>
  <c r="AN1335"/>
  <c r="AP1335" s="1"/>
  <c r="AS1335" s="1"/>
  <c r="AO1356"/>
  <c r="AR1356" s="1"/>
  <c r="AN1356"/>
  <c r="AP1356" s="1"/>
  <c r="AS1356" s="1"/>
  <c r="AN1530"/>
  <c r="AP1530" s="1"/>
  <c r="AS1530" s="1"/>
  <c r="AO1530"/>
  <c r="AR1530" s="1"/>
  <c r="AN1511"/>
  <c r="AP1511" s="1"/>
  <c r="AS1511" s="1"/>
  <c r="AO1511"/>
  <c r="AR1511" s="1"/>
  <c r="AO1344"/>
  <c r="AR1344" s="1"/>
  <c r="AN1344"/>
  <c r="AP1344" s="1"/>
  <c r="AS1344" s="1"/>
  <c r="AN1473"/>
  <c r="AP1473" s="1"/>
  <c r="AS1473" s="1"/>
  <c r="AO1473"/>
  <c r="AR1473" s="1"/>
  <c r="AN1508"/>
  <c r="AP1508" s="1"/>
  <c r="AS1508" s="1"/>
  <c r="AO1508"/>
  <c r="AR1508" s="1"/>
  <c r="AP1309"/>
  <c r="AS1309" s="1"/>
  <c r="AP1315"/>
  <c r="AS1315" s="1"/>
  <c r="AO1368"/>
  <c r="AR1368" s="1"/>
  <c r="AN1368"/>
  <c r="AP1368" s="1"/>
  <c r="AS1368" s="1"/>
  <c r="AO1531"/>
  <c r="AR1531" s="1"/>
  <c r="AN1531"/>
  <c r="AP1531" s="1"/>
  <c r="AS1531" s="1"/>
  <c r="AN1293"/>
  <c r="AP1293" s="1"/>
  <c r="AS1293" s="1"/>
  <c r="AO1293"/>
  <c r="AR1293" s="1"/>
  <c r="AN1466"/>
  <c r="AP1466" s="1"/>
  <c r="AS1466" s="1"/>
  <c r="AO1466"/>
  <c r="AR1466" s="1"/>
  <c r="AN1369"/>
  <c r="AP1369" s="1"/>
  <c r="AS1369" s="1"/>
  <c r="AO1369"/>
  <c r="AR1369" s="1"/>
  <c r="AN1454"/>
  <c r="AP1454" s="1"/>
  <c r="AS1454" s="1"/>
  <c r="AO1454"/>
  <c r="AR1454" s="1"/>
  <c r="AO1460"/>
  <c r="AR1460" s="1"/>
  <c r="AN1460"/>
  <c r="AP1460" s="1"/>
  <c r="AS1460" s="1"/>
  <c r="AO1316"/>
  <c r="AR1316" s="1"/>
  <c r="AN1316"/>
  <c r="AP1316" s="1"/>
  <c r="AS1316" s="1"/>
  <c r="AN1491"/>
  <c r="AP1491" s="1"/>
  <c r="AS1491" s="1"/>
  <c r="AO1491"/>
  <c r="AR1491" s="1"/>
  <c r="AO1517"/>
  <c r="AR1517" s="1"/>
  <c r="AN1517"/>
  <c r="AP1517" s="1"/>
  <c r="AS1517" s="1"/>
  <c r="AN1420"/>
  <c r="AP1420" s="1"/>
  <c r="AS1420" s="1"/>
  <c r="AO1420"/>
  <c r="AR1420" s="1"/>
  <c r="AN1326"/>
  <c r="AP1326" s="1"/>
  <c r="AS1326" s="1"/>
  <c r="AO1326"/>
  <c r="AR1326" s="1"/>
  <c r="AN1362"/>
  <c r="AP1362" s="1"/>
  <c r="AS1362" s="1"/>
  <c r="AO1362"/>
  <c r="AR1362" s="1"/>
  <c r="AO1325"/>
  <c r="AR1325" s="1"/>
  <c r="AN1325"/>
  <c r="AP1325" s="1"/>
  <c r="AS1325" s="1"/>
  <c r="AO1302"/>
  <c r="AR1302" s="1"/>
  <c r="AN1302"/>
  <c r="AP1302" s="1"/>
  <c r="AS1302" s="1"/>
  <c r="AN1391"/>
  <c r="AP1391" s="1"/>
  <c r="AS1391" s="1"/>
  <c r="AO1391"/>
  <c r="AR1391" s="1"/>
  <c r="AN1488"/>
  <c r="AP1488" s="1"/>
  <c r="AS1488" s="1"/>
  <c r="AO1488"/>
  <c r="AR1488" s="1"/>
  <c r="AN1475"/>
  <c r="AP1475" s="1"/>
  <c r="AS1475" s="1"/>
  <c r="AO1475"/>
  <c r="AR1475" s="1"/>
  <c r="AO1383"/>
  <c r="AR1383" s="1"/>
  <c r="AN1383"/>
  <c r="AP1383" s="1"/>
  <c r="AS1383" s="1"/>
  <c r="AO1384"/>
  <c r="AR1384" s="1"/>
  <c r="AN1384"/>
  <c r="AP1384" s="1"/>
  <c r="AS1384" s="1"/>
  <c r="AO1305"/>
  <c r="AR1305" s="1"/>
  <c r="AN1305"/>
  <c r="AP1305" s="1"/>
  <c r="AS1305" s="1"/>
  <c r="AN1279"/>
  <c r="AP1279" s="1"/>
  <c r="AS1279" s="1"/>
  <c r="AO1279"/>
  <c r="AR1279" s="1"/>
  <c r="AN1538"/>
  <c r="AP1538" s="1"/>
  <c r="AS1538" s="1"/>
  <c r="AO1538"/>
  <c r="AR1538" s="1"/>
  <c r="AO1339"/>
  <c r="AR1339" s="1"/>
  <c r="AN1339"/>
  <c r="AP1339" s="1"/>
  <c r="AS1339" s="1"/>
  <c r="AN1346"/>
  <c r="AP1346" s="1"/>
  <c r="AS1346" s="1"/>
  <c r="AO1346"/>
  <c r="AR1346" s="1"/>
  <c r="AN1361"/>
  <c r="AP1361" s="1"/>
  <c r="AS1361" s="1"/>
  <c r="AO1361"/>
  <c r="AR1361" s="1"/>
  <c r="AO1336"/>
  <c r="AR1336" s="1"/>
  <c r="AN1336"/>
  <c r="AP1336" s="1"/>
  <c r="AS1336" s="1"/>
  <c r="AO1461"/>
  <c r="AR1461" s="1"/>
  <c r="AN1461"/>
  <c r="AP1461" s="1"/>
  <c r="AS1461" s="1"/>
  <c r="AO1367"/>
  <c r="AR1367" s="1"/>
  <c r="AN1367"/>
  <c r="AP1367" s="1"/>
  <c r="AS1367" s="1"/>
  <c r="AO1494"/>
  <c r="AR1494" s="1"/>
  <c r="AN1494"/>
  <c r="AP1494" s="1"/>
  <c r="AS1494" s="1"/>
  <c r="AO1450"/>
  <c r="AR1450" s="1"/>
  <c r="AN1450"/>
  <c r="AP1450" s="1"/>
  <c r="AS1450" s="1"/>
  <c r="AN1499"/>
  <c r="AP1499" s="1"/>
  <c r="AS1499" s="1"/>
  <c r="AO1499"/>
  <c r="AR1499" s="1"/>
  <c r="AN1299"/>
  <c r="AP1299" s="1"/>
  <c r="AS1299" s="1"/>
  <c r="AO1299"/>
  <c r="AR1299" s="1"/>
  <c r="AO1347"/>
  <c r="AR1347" s="1"/>
  <c r="AN1347"/>
  <c r="AP1347" s="1"/>
  <c r="AS1347" s="1"/>
  <c r="AN1370"/>
  <c r="AP1370" s="1"/>
  <c r="AS1370" s="1"/>
  <c r="AO1370"/>
  <c r="AR1370" s="1"/>
  <c r="AN1382"/>
  <c r="AP1382" s="1"/>
  <c r="AS1382" s="1"/>
  <c r="AO1382"/>
  <c r="AR1382" s="1"/>
  <c r="AO1310"/>
  <c r="AR1310" s="1"/>
  <c r="AN1310"/>
  <c r="AP1310" s="1"/>
  <c r="AS1310" s="1"/>
  <c r="AN1340"/>
  <c r="AP1340" s="1"/>
  <c r="AS1340" s="1"/>
  <c r="AO1340"/>
  <c r="AR1340" s="1"/>
  <c r="AN1504"/>
  <c r="AP1504" s="1"/>
  <c r="AS1504" s="1"/>
  <c r="AO1504"/>
  <c r="AR1504" s="1"/>
  <c r="AO1349"/>
  <c r="AR1349" s="1"/>
  <c r="AN1349"/>
  <c r="AP1349" s="1"/>
  <c r="AS1349" s="1"/>
  <c r="AN1452"/>
  <c r="AP1452" s="1"/>
  <c r="AS1452" s="1"/>
  <c r="AO1452"/>
  <c r="AR1452" s="1"/>
  <c r="AN1486"/>
  <c r="AP1486" s="1"/>
  <c r="AS1486" s="1"/>
  <c r="AO1486"/>
  <c r="AR1486" s="1"/>
  <c r="AN1455"/>
  <c r="AP1455" s="1"/>
  <c r="AS1455" s="1"/>
  <c r="AO1455"/>
  <c r="AR1455" s="1"/>
  <c r="AO1312"/>
  <c r="AR1312" s="1"/>
  <c r="AN1312"/>
  <c r="AP1312" s="1"/>
  <c r="AS1312" s="1"/>
  <c r="AN1421"/>
  <c r="AP1421" s="1"/>
  <c r="AS1421" s="1"/>
  <c r="AO1421"/>
  <c r="AR1421" s="1"/>
  <c r="AN1285"/>
  <c r="AP1285" s="1"/>
  <c r="AS1285" s="1"/>
  <c r="AO1285"/>
  <c r="AR1285" s="1"/>
  <c r="AN1515"/>
  <c r="AP1515" s="1"/>
  <c r="AS1515" s="1"/>
  <c r="AO1515"/>
  <c r="AR1515" s="1"/>
  <c r="AN1304"/>
  <c r="AP1304" s="1"/>
  <c r="AS1304" s="1"/>
  <c r="AO1304"/>
  <c r="AR1304" s="1"/>
  <c r="AN1425"/>
  <c r="AP1425" s="1"/>
  <c r="AS1425" s="1"/>
  <c r="AO1425"/>
  <c r="AR1425" s="1"/>
  <c r="AO1503"/>
  <c r="AR1503" s="1"/>
  <c r="AN1503"/>
  <c r="AP1503" s="1"/>
  <c r="AS1503" s="1"/>
  <c r="AO1275"/>
  <c r="AR1275" s="1"/>
  <c r="AN1275"/>
  <c r="AP1275" s="1"/>
  <c r="AS1275" s="1"/>
  <c r="AN1424"/>
  <c r="AP1424" s="1"/>
  <c r="AS1424" s="1"/>
  <c r="AO1424"/>
  <c r="AR1424" s="1"/>
  <c r="AO1449"/>
  <c r="AR1449" s="1"/>
  <c r="AN1449"/>
  <c r="AP1449" s="1"/>
  <c r="AS1449" s="1"/>
  <c r="AO1432"/>
  <c r="AR1432" s="1"/>
  <c r="AN1432"/>
  <c r="AP1432" s="1"/>
  <c r="AS1432" s="1"/>
  <c r="AN1524"/>
  <c r="AP1524" s="1"/>
  <c r="AS1524" s="1"/>
  <c r="AO1524"/>
  <c r="AR1524" s="1"/>
  <c r="AN1417"/>
  <c r="AP1417" s="1"/>
  <c r="AS1417" s="1"/>
  <c r="AO1417"/>
  <c r="AR1417" s="1"/>
  <c r="AO1521"/>
  <c r="AR1521" s="1"/>
  <c r="AN1521"/>
  <c r="AP1521" s="1"/>
  <c r="AS1521" s="1"/>
  <c r="AO1307"/>
  <c r="AR1307" s="1"/>
  <c r="AN1307"/>
  <c r="AP1307" s="1"/>
  <c r="AS1307" s="1"/>
  <c r="AO1512"/>
  <c r="AR1512" s="1"/>
  <c r="AN1512"/>
  <c r="AP1512" s="1"/>
  <c r="AS1512" s="1"/>
  <c r="AO1374"/>
  <c r="AR1374" s="1"/>
  <c r="AN1374"/>
  <c r="AP1374" s="1"/>
  <c r="AS1374" s="1"/>
  <c r="AN1319"/>
  <c r="AP1319" s="1"/>
  <c r="AS1319" s="1"/>
  <c r="AO1319"/>
  <c r="AR1319" s="1"/>
  <c r="AO1467"/>
  <c r="AR1467" s="1"/>
  <c r="AN1467"/>
  <c r="AP1467" s="1"/>
  <c r="AS1467" s="1"/>
  <c r="AO1540"/>
  <c r="AR1540" s="1"/>
  <c r="AN1540"/>
  <c r="AP1540" s="1"/>
  <c r="AS1540" s="1"/>
  <c r="AN1485"/>
  <c r="AP1485" s="1"/>
  <c r="AS1485" s="1"/>
  <c r="AO1485"/>
  <c r="AR1485" s="1"/>
  <c r="AN1479"/>
  <c r="AP1479" s="1"/>
  <c r="AS1479" s="1"/>
  <c r="AN1465"/>
  <c r="AP1465" s="1"/>
  <c r="AS1465" s="1"/>
  <c r="AP1484"/>
  <c r="AS1484" s="1"/>
  <c r="AP1448"/>
  <c r="AS1448" s="1"/>
  <c r="AP1395"/>
  <c r="AS1395" s="1"/>
  <c r="AN629"/>
  <c r="AP629" s="1"/>
  <c r="AS629" s="1"/>
  <c r="AN618"/>
  <c r="AP618" s="1"/>
  <c r="AS618" s="1"/>
  <c r="AN595"/>
  <c r="AP595" s="1"/>
  <c r="AS595" s="1"/>
  <c r="AN1054"/>
  <c r="AP1054" s="1"/>
  <c r="AS1054" s="1"/>
  <c r="AN1043"/>
  <c r="AP1043" s="1"/>
  <c r="AS1043" s="1"/>
  <c r="AN151"/>
  <c r="AP151" s="1"/>
  <c r="AS151" s="1"/>
  <c r="AN736"/>
  <c r="AP736" s="1"/>
  <c r="AS736" s="1"/>
  <c r="AN342"/>
  <c r="AP342" s="1"/>
  <c r="AS342" s="1"/>
  <c r="AN588"/>
  <c r="AP588" s="1"/>
  <c r="AS588" s="1"/>
  <c r="AN1137"/>
  <c r="AP1137" s="1"/>
  <c r="AS1137" s="1"/>
  <c r="AN1077"/>
  <c r="AP1077" s="1"/>
  <c r="AS1077" s="1"/>
  <c r="AN516"/>
  <c r="AP516" s="1"/>
  <c r="AS516" s="1"/>
  <c r="AN1130"/>
  <c r="AP1130" s="1"/>
  <c r="AS1130" s="1"/>
  <c r="AN173"/>
  <c r="AP173" s="1"/>
  <c r="AS173" s="1"/>
  <c r="AN496"/>
  <c r="AP496" s="1"/>
  <c r="AS496" s="1"/>
  <c r="AN105"/>
  <c r="AP105" s="1"/>
  <c r="AS105" s="1"/>
  <c r="AN528"/>
  <c r="AP528" s="1"/>
  <c r="AS528" s="1"/>
  <c r="AN846"/>
  <c r="AP846" s="1"/>
  <c r="AS846" s="1"/>
  <c r="AN917"/>
  <c r="AP917" s="1"/>
  <c r="AS917" s="1"/>
  <c r="AN662"/>
  <c r="AP662" s="1"/>
  <c r="AS662" s="1"/>
  <c r="AN895"/>
  <c r="AP895" s="1"/>
  <c r="AS895" s="1"/>
  <c r="AO558"/>
  <c r="AR558" s="1"/>
  <c r="AN52"/>
  <c r="AP52" s="1"/>
  <c r="AS52" s="1"/>
  <c r="AN313"/>
  <c r="AP313" s="1"/>
  <c r="AS313" s="1"/>
  <c r="AN632"/>
  <c r="AP632" s="1"/>
  <c r="AS632" s="1"/>
  <c r="AN531"/>
  <c r="AP531" s="1"/>
  <c r="AS531" s="1"/>
  <c r="AN1158"/>
  <c r="AP1158" s="1"/>
  <c r="AS1158" s="1"/>
  <c r="AN1232"/>
  <c r="AP1232" s="1"/>
  <c r="AS1232" s="1"/>
  <c r="AO76"/>
  <c r="AR76" s="1"/>
  <c r="AO890"/>
  <c r="AR890" s="1"/>
  <c r="AN338"/>
  <c r="AP338" s="1"/>
  <c r="AS338" s="1"/>
  <c r="AN1215"/>
  <c r="AP1215" s="1"/>
  <c r="AS1215" s="1"/>
  <c r="AO57"/>
  <c r="AR57" s="1"/>
  <c r="AN319"/>
  <c r="AP319" s="1"/>
  <c r="AS319" s="1"/>
  <c r="AO100"/>
  <c r="AR100" s="1"/>
  <c r="AN1161"/>
  <c r="AP1161" s="1"/>
  <c r="AS1161" s="1"/>
  <c r="AN1221"/>
  <c r="AP1221" s="1"/>
  <c r="AS1221" s="1"/>
  <c r="AO951"/>
  <c r="AR951" s="1"/>
  <c r="AO102"/>
  <c r="AR102" s="1"/>
  <c r="AN121"/>
  <c r="AP121" s="1"/>
  <c r="AS121" s="1"/>
  <c r="AN1127"/>
  <c r="AP1127" s="1"/>
  <c r="AS1127" s="1"/>
  <c r="AN718"/>
  <c r="AP718" s="1"/>
  <c r="AS718" s="1"/>
  <c r="AN590"/>
  <c r="AP590" s="1"/>
  <c r="AS590" s="1"/>
  <c r="AN825"/>
  <c r="AP825" s="1"/>
  <c r="AS825" s="1"/>
  <c r="AN644"/>
  <c r="AP644" s="1"/>
  <c r="AS644" s="1"/>
  <c r="AN1243"/>
  <c r="AP1243" s="1"/>
  <c r="AS1243" s="1"/>
  <c r="AN1159"/>
  <c r="AP1159" s="1"/>
  <c r="AS1159" s="1"/>
  <c r="AN675"/>
  <c r="AP675" s="1"/>
  <c r="AS675" s="1"/>
  <c r="AN273"/>
  <c r="AP273" s="1"/>
  <c r="AS273" s="1"/>
  <c r="AN1228"/>
  <c r="AP1228" s="1"/>
  <c r="AS1228" s="1"/>
  <c r="AN488"/>
  <c r="AP488" s="1"/>
  <c r="AS488" s="1"/>
  <c r="AN330"/>
  <c r="AP330" s="1"/>
  <c r="AS330" s="1"/>
  <c r="AO68"/>
  <c r="AR68" s="1"/>
  <c r="AN897"/>
  <c r="AP897" s="1"/>
  <c r="AS897" s="1"/>
  <c r="AN390"/>
  <c r="AP390" s="1"/>
  <c r="AS390" s="1"/>
  <c r="AN559"/>
  <c r="AP559" s="1"/>
  <c r="AS559" s="1"/>
  <c r="AN336"/>
  <c r="AP336" s="1"/>
  <c r="AS336" s="1"/>
  <c r="AN539"/>
  <c r="AP539" s="1"/>
  <c r="AS539" s="1"/>
  <c r="AN494"/>
  <c r="AP494" s="1"/>
  <c r="AS494" s="1"/>
  <c r="AN926"/>
  <c r="AP926" s="1"/>
  <c r="AS926" s="1"/>
  <c r="AN1205"/>
  <c r="AP1205" s="1"/>
  <c r="AS1205" s="1"/>
  <c r="AN1064"/>
  <c r="AP1064" s="1"/>
  <c r="AS1064" s="1"/>
  <c r="AN699"/>
  <c r="AP699" s="1"/>
  <c r="AS699" s="1"/>
  <c r="AN826"/>
  <c r="AP826" s="1"/>
  <c r="AS826" s="1"/>
  <c r="AN316"/>
  <c r="AP316" s="1"/>
  <c r="AS316" s="1"/>
  <c r="AO92"/>
  <c r="AR92" s="1"/>
  <c r="AN807"/>
  <c r="AP807" s="1"/>
  <c r="AS807" s="1"/>
  <c r="AN133"/>
  <c r="AP133" s="1"/>
  <c r="AS133" s="1"/>
  <c r="AN248"/>
  <c r="AP248" s="1"/>
  <c r="AS248" s="1"/>
  <c r="AN631"/>
  <c r="AP631" s="1"/>
  <c r="AS631" s="1"/>
  <c r="AN394"/>
  <c r="AP394" s="1"/>
  <c r="AS394" s="1"/>
  <c r="AN715"/>
  <c r="AP715" s="1"/>
  <c r="AS715" s="1"/>
  <c r="AN780"/>
  <c r="AP780" s="1"/>
  <c r="AS780" s="1"/>
  <c r="AN1013"/>
  <c r="AP1013" s="1"/>
  <c r="AS1013" s="1"/>
  <c r="AN1024"/>
  <c r="AP1024" s="1"/>
  <c r="AS1024" s="1"/>
  <c r="AN802"/>
  <c r="AP802" s="1"/>
  <c r="AS802" s="1"/>
  <c r="AN191"/>
  <c r="AP191" s="1"/>
  <c r="AS191" s="1"/>
  <c r="AN1207"/>
  <c r="AP1207" s="1"/>
  <c r="AS1207" s="1"/>
  <c r="AN731"/>
  <c r="AP731" s="1"/>
  <c r="AS731" s="1"/>
  <c r="AN1223"/>
  <c r="AP1223" s="1"/>
  <c r="AS1223" s="1"/>
  <c r="AN132"/>
  <c r="AP132" s="1"/>
  <c r="AS132" s="1"/>
  <c r="AN347"/>
  <c r="AP347" s="1"/>
  <c r="AS347" s="1"/>
  <c r="AN275"/>
  <c r="AP275" s="1"/>
  <c r="AS275" s="1"/>
  <c r="AN1167"/>
  <c r="AP1167" s="1"/>
  <c r="AS1167" s="1"/>
  <c r="AN832"/>
  <c r="AP832" s="1"/>
  <c r="AS832" s="1"/>
  <c r="AE5"/>
  <c r="AG5" s="1"/>
  <c r="AQ5" s="1"/>
  <c r="AN697"/>
  <c r="AP697" s="1"/>
  <c r="AS697" s="1"/>
  <c r="AN1002"/>
  <c r="AP1002" s="1"/>
  <c r="AS1002" s="1"/>
  <c r="AN795"/>
  <c r="AP795" s="1"/>
  <c r="AS795" s="1"/>
  <c r="AN1234"/>
  <c r="AP1234" s="1"/>
  <c r="AS1234" s="1"/>
  <c r="AN974"/>
  <c r="AP974" s="1"/>
  <c r="AS974" s="1"/>
  <c r="AO64"/>
  <c r="AR64" s="1"/>
  <c r="AN135"/>
  <c r="AP135" s="1"/>
  <c r="AS135" s="1"/>
  <c r="AN116"/>
  <c r="AP116" s="1"/>
  <c r="AS116" s="1"/>
  <c r="AN1267"/>
  <c r="AP1267" s="1"/>
  <c r="AS1267" s="1"/>
  <c r="AN1217"/>
  <c r="AP1217" s="1"/>
  <c r="AS1217" s="1"/>
  <c r="AO89"/>
  <c r="AR89" s="1"/>
  <c r="AN867"/>
  <c r="AP867" s="1"/>
  <c r="AS867" s="1"/>
  <c r="AN859"/>
  <c r="AP859" s="1"/>
  <c r="AS859" s="1"/>
  <c r="AN165"/>
  <c r="AP165" s="1"/>
  <c r="AS165" s="1"/>
  <c r="AN944"/>
  <c r="AP944" s="1"/>
  <c r="AS944" s="1"/>
  <c r="AN504"/>
  <c r="AP504" s="1"/>
  <c r="AS504" s="1"/>
  <c r="AN374"/>
  <c r="AP374" s="1"/>
  <c r="AS374" s="1"/>
  <c r="AN282"/>
  <c r="AP282" s="1"/>
  <c r="AS282" s="1"/>
  <c r="AO63"/>
  <c r="AR63" s="1"/>
  <c r="AN265"/>
  <c r="AP265" s="1"/>
  <c r="AS265" s="1"/>
  <c r="AO56"/>
  <c r="AR56" s="1"/>
  <c r="AN1072"/>
  <c r="AP1072" s="1"/>
  <c r="AS1072" s="1"/>
  <c r="AN1148"/>
  <c r="AP1148" s="1"/>
  <c r="AS1148" s="1"/>
  <c r="AN1139"/>
  <c r="AP1139" s="1"/>
  <c r="AS1139" s="1"/>
  <c r="AO87"/>
  <c r="AR87" s="1"/>
  <c r="AN932"/>
  <c r="AP932" s="1"/>
  <c r="AS932" s="1"/>
  <c r="AN596"/>
  <c r="AP596" s="1"/>
  <c r="AS596" s="1"/>
  <c r="AN1187"/>
  <c r="AP1187" s="1"/>
  <c r="AS1187" s="1"/>
  <c r="AN385"/>
  <c r="AP385" s="1"/>
  <c r="AS385" s="1"/>
  <c r="AN1092"/>
  <c r="AP1092" s="1"/>
  <c r="AS1092" s="1"/>
  <c r="AN1039"/>
  <c r="AP1039" s="1"/>
  <c r="AS1039" s="1"/>
  <c r="AN1241"/>
  <c r="AP1241" s="1"/>
  <c r="AS1241" s="1"/>
  <c r="AN1190"/>
  <c r="AP1190" s="1"/>
  <c r="AS1190" s="1"/>
  <c r="AN263"/>
  <c r="AP263" s="1"/>
  <c r="AS263" s="1"/>
  <c r="AN1261"/>
  <c r="AP1261" s="1"/>
  <c r="AS1261" s="1"/>
  <c r="AN655"/>
  <c r="AP655" s="1"/>
  <c r="AS655" s="1"/>
  <c r="AN297"/>
  <c r="AP297" s="1"/>
  <c r="AS297" s="1"/>
  <c r="AN276"/>
  <c r="AP276" s="1"/>
  <c r="AS276" s="1"/>
  <c r="AN896"/>
  <c r="AP896" s="1"/>
  <c r="AS896" s="1"/>
  <c r="AN1219"/>
  <c r="AP1219" s="1"/>
  <c r="AS1219" s="1"/>
  <c r="AN268"/>
  <c r="AP268" s="1"/>
  <c r="AS268" s="1"/>
  <c r="AN781"/>
  <c r="AP781" s="1"/>
  <c r="AS781" s="1"/>
  <c r="AN1153"/>
  <c r="AP1153" s="1"/>
  <c r="AS1153" s="1"/>
  <c r="AN664"/>
  <c r="AP664" s="1"/>
  <c r="AS664" s="1"/>
  <c r="AN805"/>
  <c r="AP805" s="1"/>
  <c r="AS805" s="1"/>
  <c r="AN850"/>
  <c r="AP850" s="1"/>
  <c r="AS850" s="1"/>
  <c r="AN1023"/>
  <c r="AP1023" s="1"/>
  <c r="AS1023" s="1"/>
  <c r="AO509"/>
  <c r="AR509" s="1"/>
  <c r="AO1268"/>
  <c r="AR1268" s="1"/>
  <c r="AN1003"/>
  <c r="AP1003" s="1"/>
  <c r="AS1003" s="1"/>
  <c r="AN1264"/>
  <c r="AP1264" s="1"/>
  <c r="AS1264" s="1"/>
  <c r="AN1035"/>
  <c r="AP1035" s="1"/>
  <c r="AS1035" s="1"/>
  <c r="AN670"/>
  <c r="AP670" s="1"/>
  <c r="AS670" s="1"/>
  <c r="AN692"/>
  <c r="AP692" s="1"/>
  <c r="AS692" s="1"/>
  <c r="AN1085"/>
  <c r="AP1085" s="1"/>
  <c r="AS1085" s="1"/>
  <c r="AN306"/>
  <c r="AP306" s="1"/>
  <c r="AS306" s="1"/>
  <c r="AN1245"/>
  <c r="AP1245" s="1"/>
  <c r="AS1245" s="1"/>
  <c r="AN107"/>
  <c r="AP107" s="1"/>
  <c r="AS107" s="1"/>
  <c r="AN1150"/>
  <c r="AP1150" s="1"/>
  <c r="AS1150" s="1"/>
  <c r="AN197"/>
  <c r="AP197" s="1"/>
  <c r="AS197" s="1"/>
  <c r="AN144"/>
  <c r="AP144" s="1"/>
  <c r="AS144" s="1"/>
  <c r="AN1238"/>
  <c r="AP1238" s="1"/>
  <c r="AS1238" s="1"/>
  <c r="AN194"/>
  <c r="AP194" s="1"/>
  <c r="AS194" s="1"/>
  <c r="AN171"/>
  <c r="AP171" s="1"/>
  <c r="AS171" s="1"/>
  <c r="AN170"/>
  <c r="AP170" s="1"/>
  <c r="AS170" s="1"/>
  <c r="AO69"/>
  <c r="AR69" s="1"/>
  <c r="AN1271"/>
  <c r="AP1271" s="1"/>
  <c r="AS1271" s="1"/>
  <c r="AN186"/>
  <c r="AP186" s="1"/>
  <c r="AS186" s="1"/>
  <c r="AN597"/>
  <c r="AP597" s="1"/>
  <c r="AS597" s="1"/>
  <c r="AN603"/>
  <c r="AP603" s="1"/>
  <c r="AS603" s="1"/>
  <c r="AN1199"/>
  <c r="AP1199" s="1"/>
  <c r="AS1199" s="1"/>
  <c r="AN1083"/>
  <c r="AP1083" s="1"/>
  <c r="AS1083" s="1"/>
  <c r="AN665"/>
  <c r="AP665" s="1"/>
  <c r="AS665" s="1"/>
  <c r="AO73"/>
  <c r="AR73" s="1"/>
  <c r="AN733"/>
  <c r="AP733" s="1"/>
  <c r="AS733" s="1"/>
  <c r="AN250"/>
  <c r="AP250" s="1"/>
  <c r="AS250" s="1"/>
  <c r="AN1107"/>
  <c r="AP1107" s="1"/>
  <c r="AS1107" s="1"/>
  <c r="AN1116"/>
  <c r="AP1116" s="1"/>
  <c r="AS1116" s="1"/>
  <c r="AN391"/>
  <c r="AP391" s="1"/>
  <c r="AS391" s="1"/>
  <c r="AN968"/>
  <c r="AP968" s="1"/>
  <c r="AS968" s="1"/>
  <c r="AN732"/>
  <c r="AP732" s="1"/>
  <c r="AS732" s="1"/>
  <c r="AN1213"/>
  <c r="AP1213" s="1"/>
  <c r="AS1213" s="1"/>
  <c r="AN1008"/>
  <c r="AP1008" s="1"/>
  <c r="AS1008" s="1"/>
  <c r="AO98"/>
  <c r="AR98" s="1"/>
  <c r="AN243"/>
  <c r="AP243" s="1"/>
  <c r="AS243" s="1"/>
  <c r="AN1090"/>
  <c r="AP1090" s="1"/>
  <c r="AS1090" s="1"/>
  <c r="AN542"/>
  <c r="AP542" s="1"/>
  <c r="AS542" s="1"/>
  <c r="AN613"/>
  <c r="AP613" s="1"/>
  <c r="AS613" s="1"/>
  <c r="AN1084"/>
  <c r="AP1084" s="1"/>
  <c r="AS1084" s="1"/>
  <c r="AN1006"/>
  <c r="AP1006" s="1"/>
  <c r="AS1006" s="1"/>
  <c r="AN1133"/>
  <c r="AP1133" s="1"/>
  <c r="AS1133" s="1"/>
  <c r="AN106"/>
  <c r="AP106" s="1"/>
  <c r="AS106" s="1"/>
  <c r="AN326"/>
  <c r="AP326" s="1"/>
  <c r="AS326" s="1"/>
  <c r="AN594"/>
  <c r="AP594" s="1"/>
  <c r="AS594" s="1"/>
  <c r="AN591"/>
  <c r="AP591" s="1"/>
  <c r="AS591" s="1"/>
  <c r="AN701"/>
  <c r="AP701" s="1"/>
  <c r="AS701" s="1"/>
  <c r="AN884"/>
  <c r="AP884" s="1"/>
  <c r="AS884" s="1"/>
  <c r="AO45"/>
  <c r="AR45" s="1"/>
  <c r="AN856"/>
  <c r="AP856" s="1"/>
  <c r="AS856" s="1"/>
  <c r="AN162"/>
  <c r="AP162" s="1"/>
  <c r="AS162" s="1"/>
  <c r="AN1188"/>
  <c r="AP1188" s="1"/>
  <c r="AS1188" s="1"/>
  <c r="AN686"/>
  <c r="AP686" s="1"/>
  <c r="AS686" s="1"/>
  <c r="AN1218"/>
  <c r="AP1218" s="1"/>
  <c r="AS1218" s="1"/>
  <c r="AN837"/>
  <c r="AP837" s="1"/>
  <c r="AS837" s="1"/>
  <c r="AN605"/>
  <c r="AP605" s="1"/>
  <c r="AS605" s="1"/>
  <c r="AO1222"/>
  <c r="AR1222" s="1"/>
  <c r="AO1105"/>
  <c r="AR1105" s="1"/>
  <c r="AO740"/>
  <c r="AR740" s="1"/>
  <c r="AN451"/>
  <c r="AP451" s="1"/>
  <c r="AS451" s="1"/>
  <c r="AO636"/>
  <c r="AR636" s="1"/>
  <c r="AO1163"/>
  <c r="AR1163" s="1"/>
  <c r="AN925"/>
  <c r="AP925" s="1"/>
  <c r="AS925" s="1"/>
  <c r="AN1257"/>
  <c r="AP1257" s="1"/>
  <c r="AS1257" s="1"/>
  <c r="AN492"/>
  <c r="AP492" s="1"/>
  <c r="AS492" s="1"/>
  <c r="AN1186"/>
  <c r="AP1186" s="1"/>
  <c r="AS1186" s="1"/>
  <c r="AN818"/>
  <c r="AP818" s="1"/>
  <c r="AS818" s="1"/>
  <c r="AN1143"/>
  <c r="AP1143" s="1"/>
  <c r="AS1143" s="1"/>
  <c r="AN1198"/>
  <c r="AP1198" s="1"/>
  <c r="AS1198" s="1"/>
  <c r="AN1164"/>
  <c r="AP1164" s="1"/>
  <c r="AS1164" s="1"/>
  <c r="AN1265"/>
  <c r="AP1265" s="1"/>
  <c r="AS1265" s="1"/>
  <c r="AN536"/>
  <c r="AP536" s="1"/>
  <c r="AS536" s="1"/>
  <c r="AO65"/>
  <c r="AR65" s="1"/>
  <c r="AN159"/>
  <c r="AP159" s="1"/>
  <c r="AS159" s="1"/>
  <c r="AN915"/>
  <c r="AP915" s="1"/>
  <c r="AS915" s="1"/>
  <c r="AN808"/>
  <c r="AP808" s="1"/>
  <c r="AS808" s="1"/>
  <c r="AN711"/>
  <c r="AP711" s="1"/>
  <c r="AS711" s="1"/>
  <c r="AN351"/>
  <c r="AP351" s="1"/>
  <c r="AS351" s="1"/>
  <c r="AN970"/>
  <c r="AP970" s="1"/>
  <c r="AS970" s="1"/>
  <c r="AN335"/>
  <c r="AP335" s="1"/>
  <c r="AS335" s="1"/>
  <c r="AN1124"/>
  <c r="AP1124" s="1"/>
  <c r="AS1124" s="1"/>
  <c r="AO70"/>
  <c r="AR70" s="1"/>
  <c r="AN682"/>
  <c r="AP682" s="1"/>
  <c r="AS682" s="1"/>
  <c r="AN183"/>
  <c r="AP183" s="1"/>
  <c r="AS183" s="1"/>
  <c r="AN1136"/>
  <c r="AP1136" s="1"/>
  <c r="AS1136" s="1"/>
  <c r="AN287"/>
  <c r="AP287" s="1"/>
  <c r="AS287" s="1"/>
  <c r="AN1154"/>
  <c r="AP1154" s="1"/>
  <c r="AS1154" s="1"/>
  <c r="AN1073"/>
  <c r="AP1073" s="1"/>
  <c r="AS1073" s="1"/>
  <c r="AN1030"/>
  <c r="AP1030" s="1"/>
  <c r="AS1030" s="1"/>
  <c r="AN673"/>
  <c r="AP673" s="1"/>
  <c r="AS673" s="1"/>
  <c r="AN543"/>
  <c r="AP543" s="1"/>
  <c r="AS543" s="1"/>
  <c r="AO38"/>
  <c r="AR38" s="1"/>
  <c r="AN920"/>
  <c r="AP920" s="1"/>
  <c r="AS920" s="1"/>
  <c r="AN1256"/>
  <c r="AP1256" s="1"/>
  <c r="AS1256" s="1"/>
  <c r="AN928"/>
  <c r="AP928" s="1"/>
  <c r="AS928" s="1"/>
  <c r="AO42"/>
  <c r="AR42" s="1"/>
  <c r="AN716"/>
  <c r="AP716" s="1"/>
  <c r="AS716" s="1"/>
  <c r="AN348"/>
  <c r="AP348" s="1"/>
  <c r="AS348" s="1"/>
  <c r="AN1065"/>
  <c r="AP1065" s="1"/>
  <c r="AS1065" s="1"/>
  <c r="AN843"/>
  <c r="AP843" s="1"/>
  <c r="AS843" s="1"/>
  <c r="AN892"/>
  <c r="AP892" s="1"/>
  <c r="AS892" s="1"/>
  <c r="AN180"/>
  <c r="AP180" s="1"/>
  <c r="AS180" s="1"/>
  <c r="AN1246"/>
  <c r="AP1246" s="1"/>
  <c r="AS1246" s="1"/>
  <c r="AN270"/>
  <c r="AP270" s="1"/>
  <c r="AS270" s="1"/>
  <c r="AO77"/>
  <c r="AR77" s="1"/>
  <c r="AN352"/>
  <c r="AP352" s="1"/>
  <c r="AS352" s="1"/>
  <c r="AN380"/>
  <c r="AP380" s="1"/>
  <c r="AS380" s="1"/>
  <c r="AN1017"/>
  <c r="AP1017" s="1"/>
  <c r="AS1017" s="1"/>
  <c r="AN127"/>
  <c r="AP127" s="1"/>
  <c r="AS127" s="1"/>
  <c r="AO657"/>
  <c r="AR657" s="1"/>
  <c r="AO851"/>
  <c r="AR851" s="1"/>
  <c r="AO698"/>
  <c r="AR698" s="1"/>
  <c r="AN671"/>
  <c r="AP671" s="1"/>
  <c r="AS671" s="1"/>
  <c r="AO1106"/>
  <c r="AR1106" s="1"/>
  <c r="AO120"/>
  <c r="AR120" s="1"/>
  <c r="AN345"/>
  <c r="AP345" s="1"/>
  <c r="AS345" s="1"/>
  <c r="AN1193"/>
  <c r="AP1193" s="1"/>
  <c r="AS1193" s="1"/>
  <c r="AN708"/>
  <c r="AP708" s="1"/>
  <c r="AS708" s="1"/>
  <c r="AN696"/>
  <c r="AP696" s="1"/>
  <c r="AS696" s="1"/>
  <c r="AN583"/>
  <c r="AP583" s="1"/>
  <c r="AS583" s="1"/>
  <c r="AO79"/>
  <c r="AR79" s="1"/>
  <c r="AN1051"/>
  <c r="AP1051" s="1"/>
  <c r="AS1051" s="1"/>
  <c r="AN521"/>
  <c r="AP521" s="1"/>
  <c r="AS521" s="1"/>
  <c r="AN1040"/>
  <c r="AP1040" s="1"/>
  <c r="AS1040" s="1"/>
  <c r="AN1093"/>
  <c r="AP1093" s="1"/>
  <c r="AS1093" s="1"/>
  <c r="AN341"/>
  <c r="AP341" s="1"/>
  <c r="AS341" s="1"/>
  <c r="AN854"/>
  <c r="AP854" s="1"/>
  <c r="AS854" s="1"/>
  <c r="AN130"/>
  <c r="AP130" s="1"/>
  <c r="AS130" s="1"/>
  <c r="AN160"/>
  <c r="AP160" s="1"/>
  <c r="AS160" s="1"/>
  <c r="AN307"/>
  <c r="AP307" s="1"/>
  <c r="AS307" s="1"/>
  <c r="AN661"/>
  <c r="AP661" s="1"/>
  <c r="AS661" s="1"/>
  <c r="AN1070"/>
  <c r="AP1070" s="1"/>
  <c r="AS1070" s="1"/>
  <c r="AN562"/>
  <c r="AP562" s="1"/>
  <c r="AS562" s="1"/>
  <c r="AN577"/>
  <c r="AP577" s="1"/>
  <c r="AS577" s="1"/>
  <c r="AN1031"/>
  <c r="AP1031" s="1"/>
  <c r="AS1031" s="1"/>
  <c r="AN387"/>
  <c r="AP387" s="1"/>
  <c r="AS387" s="1"/>
  <c r="AN587"/>
  <c r="AP587" s="1"/>
  <c r="AS587" s="1"/>
  <c r="AN811"/>
  <c r="AP811" s="1"/>
  <c r="AS811" s="1"/>
  <c r="AN252"/>
  <c r="AP252" s="1"/>
  <c r="AS252" s="1"/>
  <c r="AN1020"/>
  <c r="AP1020" s="1"/>
  <c r="AS1020" s="1"/>
  <c r="AN703"/>
  <c r="AP703" s="1"/>
  <c r="AS703" s="1"/>
  <c r="AN497"/>
  <c r="AP497" s="1"/>
  <c r="AS497" s="1"/>
  <c r="AN710"/>
  <c r="AP710" s="1"/>
  <c r="AS710" s="1"/>
  <c r="AN104"/>
  <c r="AP104" s="1"/>
  <c r="AS104" s="1"/>
  <c r="AN525"/>
  <c r="AP525" s="1"/>
  <c r="AS525" s="1"/>
  <c r="AN1227"/>
  <c r="AP1227" s="1"/>
  <c r="AS1227" s="1"/>
  <c r="AN994"/>
  <c r="AP994" s="1"/>
  <c r="AS994" s="1"/>
  <c r="AN258"/>
  <c r="AP258" s="1"/>
  <c r="AS258" s="1"/>
  <c r="AN1229"/>
  <c r="AP1229" s="1"/>
  <c r="AS1229" s="1"/>
  <c r="AN567"/>
  <c r="AP567" s="1"/>
  <c r="AS567" s="1"/>
  <c r="AN790"/>
  <c r="AP790" s="1"/>
  <c r="AS790" s="1"/>
  <c r="AN653"/>
  <c r="AP653" s="1"/>
  <c r="AS653" s="1"/>
  <c r="AN360"/>
  <c r="AP360" s="1"/>
  <c r="AS360" s="1"/>
  <c r="AN1209"/>
  <c r="AP1209" s="1"/>
  <c r="AS1209" s="1"/>
  <c r="AN147"/>
  <c r="AP147" s="1"/>
  <c r="AS147" s="1"/>
  <c r="AN261"/>
  <c r="AP261" s="1"/>
  <c r="AS261" s="1"/>
  <c r="AN1088"/>
  <c r="AP1088" s="1"/>
  <c r="AS1088" s="1"/>
  <c r="AN1118"/>
  <c r="AP1118" s="1"/>
  <c r="AS1118" s="1"/>
  <c r="AN1146"/>
  <c r="AP1146" s="1"/>
  <c r="AS1146" s="1"/>
  <c r="AN865"/>
  <c r="AP865" s="1"/>
  <c r="AS865" s="1"/>
  <c r="AN161"/>
  <c r="AP161" s="1"/>
  <c r="AS161" s="1"/>
  <c r="AN1239"/>
  <c r="AP1239" s="1"/>
  <c r="AS1239" s="1"/>
  <c r="AN592"/>
  <c r="AP592" s="1"/>
  <c r="AS592" s="1"/>
  <c r="AN489"/>
  <c r="AP489" s="1"/>
  <c r="AS489" s="1"/>
  <c r="AN1108"/>
  <c r="AP1108" s="1"/>
  <c r="AS1108" s="1"/>
  <c r="AN1149"/>
  <c r="AP1149" s="1"/>
  <c r="AS1149" s="1"/>
  <c r="AN1018"/>
  <c r="AP1018" s="1"/>
  <c r="AS1018" s="1"/>
  <c r="AN840"/>
  <c r="AP840" s="1"/>
  <c r="AS840" s="1"/>
  <c r="AN820"/>
  <c r="AP820" s="1"/>
  <c r="AS820" s="1"/>
  <c r="AN334"/>
  <c r="AP334" s="1"/>
  <c r="AS334" s="1"/>
  <c r="AN317"/>
  <c r="AP317" s="1"/>
  <c r="AS317" s="1"/>
  <c r="AN145"/>
  <c r="AP145" s="1"/>
  <c r="AS145" s="1"/>
  <c r="AN1189"/>
  <c r="AP1189" s="1"/>
  <c r="AS1189" s="1"/>
  <c r="AN1195"/>
  <c r="AP1195" s="1"/>
  <c r="AS1195" s="1"/>
  <c r="AN179"/>
  <c r="AP179" s="1"/>
  <c r="AS179" s="1"/>
  <c r="AN281"/>
  <c r="AP281" s="1"/>
  <c r="AS281" s="1"/>
  <c r="AN893"/>
  <c r="AP893" s="1"/>
  <c r="AS893" s="1"/>
  <c r="AN797"/>
  <c r="AP797" s="1"/>
  <c r="AS797" s="1"/>
  <c r="AN184"/>
  <c r="AP184" s="1"/>
  <c r="AS184" s="1"/>
  <c r="AN658"/>
  <c r="AP658" s="1"/>
  <c r="AS658" s="1"/>
  <c r="AN255"/>
  <c r="AP255" s="1"/>
  <c r="AS255" s="1"/>
  <c r="AN1182"/>
  <c r="AP1182" s="1"/>
  <c r="AS1182" s="1"/>
  <c r="AN798"/>
  <c r="AP798" s="1"/>
  <c r="AS798" s="1"/>
  <c r="AN873"/>
  <c r="AP873" s="1"/>
  <c r="AS873" s="1"/>
  <c r="AN142"/>
  <c r="AP142" s="1"/>
  <c r="AS142" s="1"/>
  <c r="AN339"/>
  <c r="AP339" s="1"/>
  <c r="AS339" s="1"/>
  <c r="AN794"/>
  <c r="AP794" s="1"/>
  <c r="AS794" s="1"/>
  <c r="AN916"/>
  <c r="AP916" s="1"/>
  <c r="AS916" s="1"/>
  <c r="AN899"/>
  <c r="AP899" s="1"/>
  <c r="AS899" s="1"/>
  <c r="AN1113"/>
  <c r="AP1113" s="1"/>
  <c r="AS1113" s="1"/>
  <c r="AO83"/>
  <c r="AR83" s="1"/>
  <c r="AN829"/>
  <c r="AP829" s="1"/>
  <c r="AS829" s="1"/>
  <c r="AO33"/>
  <c r="AR33" s="1"/>
  <c r="AN810"/>
  <c r="AP810" s="1"/>
  <c r="AS810" s="1"/>
  <c r="AN172"/>
  <c r="AP172" s="1"/>
  <c r="AS172" s="1"/>
  <c r="AO343"/>
  <c r="AR343" s="1"/>
  <c r="AN189"/>
  <c r="AP189" s="1"/>
  <c r="AS189" s="1"/>
  <c r="AN249"/>
  <c r="AP249" s="1"/>
  <c r="AS249" s="1"/>
  <c r="AN1201"/>
  <c r="AP1201" s="1"/>
  <c r="AS1201" s="1"/>
  <c r="AN103"/>
  <c r="AP103" s="1"/>
  <c r="AS103" s="1"/>
  <c r="AN1056"/>
  <c r="AP1056" s="1"/>
  <c r="AS1056" s="1"/>
  <c r="AN705"/>
  <c r="AP705" s="1"/>
  <c r="AS705" s="1"/>
  <c r="AN641"/>
  <c r="AP641" s="1"/>
  <c r="AS641" s="1"/>
  <c r="AN315"/>
  <c r="AP315" s="1"/>
  <c r="AS315" s="1"/>
  <c r="AO53"/>
  <c r="AR53" s="1"/>
  <c r="AN700"/>
  <c r="AP700" s="1"/>
  <c r="AS700" s="1"/>
  <c r="AN628"/>
  <c r="AP628" s="1"/>
  <c r="AS628" s="1"/>
  <c r="AN555"/>
  <c r="AP555" s="1"/>
  <c r="AS555" s="1"/>
  <c r="AN679"/>
  <c r="AP679" s="1"/>
  <c r="AS679" s="1"/>
  <c r="AN912"/>
  <c r="AP912" s="1"/>
  <c r="AS912" s="1"/>
  <c r="AN1027"/>
  <c r="AP1027" s="1"/>
  <c r="AS1027" s="1"/>
  <c r="AN888"/>
  <c r="AP888" s="1"/>
  <c r="AS888" s="1"/>
  <c r="AN634"/>
  <c r="AP634" s="1"/>
  <c r="AS634" s="1"/>
  <c r="AN938"/>
  <c r="AP938" s="1"/>
  <c r="AS938" s="1"/>
  <c r="AN852"/>
  <c r="AP852" s="1"/>
  <c r="AS852" s="1"/>
  <c r="AN828"/>
  <c r="AP828" s="1"/>
  <c r="AS828" s="1"/>
  <c r="AN858"/>
  <c r="AP858" s="1"/>
  <c r="AS858" s="1"/>
  <c r="AN742"/>
  <c r="AP742" s="1"/>
  <c r="AS742" s="1"/>
  <c r="AN1132"/>
  <c r="AP1132" s="1"/>
  <c r="AS1132" s="1"/>
  <c r="AN1119"/>
  <c r="AP1119" s="1"/>
  <c r="AS1119" s="1"/>
  <c r="AN1162"/>
  <c r="AP1162" s="1"/>
  <c r="AS1162" s="1"/>
  <c r="AN874"/>
  <c r="AP874" s="1"/>
  <c r="AS874" s="1"/>
  <c r="AN778"/>
  <c r="AP778" s="1"/>
  <c r="AS778" s="1"/>
  <c r="AN1266"/>
  <c r="AP1266" s="1"/>
  <c r="AS1266" s="1"/>
  <c r="AN1214"/>
  <c r="AP1214" s="1"/>
  <c r="AS1214" s="1"/>
  <c r="AN871"/>
  <c r="AP871" s="1"/>
  <c r="AS871" s="1"/>
  <c r="AN830"/>
  <c r="AP830" s="1"/>
  <c r="AS830" s="1"/>
  <c r="AN909"/>
  <c r="AP909" s="1"/>
  <c r="AS909" s="1"/>
  <c r="AN1011"/>
  <c r="AP1011" s="1"/>
  <c r="AS1011" s="1"/>
  <c r="AN537"/>
  <c r="AP537" s="1"/>
  <c r="AS537" s="1"/>
  <c r="AN1185"/>
  <c r="AP1185" s="1"/>
  <c r="AS1185" s="1"/>
  <c r="AN246"/>
  <c r="AP246" s="1"/>
  <c r="AS246" s="1"/>
  <c r="AN1177"/>
  <c r="AP1177" s="1"/>
  <c r="AS1177" s="1"/>
  <c r="AN799"/>
  <c r="AP799" s="1"/>
  <c r="AS799" s="1"/>
  <c r="AN643"/>
  <c r="AP643" s="1"/>
  <c r="AS643" s="1"/>
  <c r="AN878"/>
  <c r="AP878" s="1"/>
  <c r="AS878" s="1"/>
  <c r="AN181"/>
  <c r="AP181" s="1"/>
  <c r="AS181" s="1"/>
  <c r="AN1104"/>
  <c r="AP1104" s="1"/>
  <c r="AS1104" s="1"/>
  <c r="AN355"/>
  <c r="AP355" s="1"/>
  <c r="AS355" s="1"/>
  <c r="AN1183"/>
  <c r="AP1183" s="1"/>
  <c r="AS1183" s="1"/>
  <c r="AN1111"/>
  <c r="AP1111" s="1"/>
  <c r="AS1111" s="1"/>
  <c r="AN639"/>
  <c r="AP639" s="1"/>
  <c r="AS639" s="1"/>
  <c r="AO86"/>
  <c r="AR86" s="1"/>
  <c r="AN1033"/>
  <c r="AP1033" s="1"/>
  <c r="AS1033" s="1"/>
  <c r="AN136"/>
  <c r="AP136" s="1"/>
  <c r="AS136" s="1"/>
  <c r="AN329"/>
  <c r="AP329" s="1"/>
  <c r="AS329" s="1"/>
  <c r="AN109"/>
  <c r="AP109" s="1"/>
  <c r="AS109" s="1"/>
  <c r="AN1109"/>
  <c r="AP1109" s="1"/>
  <c r="AS1109" s="1"/>
  <c r="AN534"/>
  <c r="AP534" s="1"/>
  <c r="AS534" s="1"/>
  <c r="AO96"/>
  <c r="AR96" s="1"/>
  <c r="AN1180"/>
  <c r="AP1180" s="1"/>
  <c r="AS1180" s="1"/>
  <c r="AN950"/>
  <c r="AP950" s="1"/>
  <c r="AS950" s="1"/>
  <c r="AN164"/>
  <c r="AP164" s="1"/>
  <c r="AS164" s="1"/>
  <c r="AN285"/>
  <c r="AP285" s="1"/>
  <c r="AS285" s="1"/>
  <c r="AN1258"/>
  <c r="AP1258" s="1"/>
  <c r="AS1258" s="1"/>
  <c r="AN392"/>
  <c r="AP392" s="1"/>
  <c r="AS392" s="1"/>
  <c r="AN614"/>
  <c r="AP614" s="1"/>
  <c r="AS614" s="1"/>
  <c r="AN515"/>
  <c r="AP515" s="1"/>
  <c r="AS515" s="1"/>
  <c r="AN1172"/>
  <c r="AP1172" s="1"/>
  <c r="AS1172" s="1"/>
  <c r="AN1078"/>
  <c r="AP1078" s="1"/>
  <c r="AS1078" s="1"/>
  <c r="AN110"/>
  <c r="AP110" s="1"/>
  <c r="AS110" s="1"/>
  <c r="AN349"/>
  <c r="AP349" s="1"/>
  <c r="AS349" s="1"/>
  <c r="AN1021"/>
  <c r="AP1021" s="1"/>
  <c r="AS1021" s="1"/>
  <c r="AN518"/>
  <c r="AP518" s="1"/>
  <c r="AS518" s="1"/>
  <c r="AN1125"/>
  <c r="AP1125" s="1"/>
  <c r="AS1125" s="1"/>
  <c r="AN1067"/>
  <c r="AP1067" s="1"/>
  <c r="AS1067" s="1"/>
  <c r="AN300"/>
  <c r="AP300" s="1"/>
  <c r="AS300" s="1"/>
  <c r="AN948"/>
  <c r="AP948" s="1"/>
  <c r="AS948" s="1"/>
  <c r="AN174"/>
  <c r="AP174" s="1"/>
  <c r="AS174" s="1"/>
  <c r="AN1032"/>
  <c r="AP1032" s="1"/>
  <c r="AS1032" s="1"/>
  <c r="AN1220"/>
  <c r="AP1220" s="1"/>
  <c r="AS1220" s="1"/>
  <c r="AN163"/>
  <c r="AP163" s="1"/>
  <c r="AS163" s="1"/>
  <c r="AN930"/>
  <c r="AP930" s="1"/>
  <c r="AS930" s="1"/>
  <c r="AN546"/>
  <c r="AP546" s="1"/>
  <c r="AS546" s="1"/>
  <c r="AN566"/>
  <c r="AP566" s="1"/>
  <c r="AS566" s="1"/>
  <c r="AN1046"/>
  <c r="AP1046" s="1"/>
  <c r="AS1046" s="1"/>
  <c r="AN784"/>
  <c r="AP784" s="1"/>
  <c r="AS784" s="1"/>
  <c r="AN589"/>
  <c r="AP589" s="1"/>
  <c r="AS589" s="1"/>
  <c r="AN1037"/>
  <c r="AP1037" s="1"/>
  <c r="AS1037" s="1"/>
  <c r="AN836"/>
  <c r="AP836" s="1"/>
  <c r="AS836" s="1"/>
  <c r="AN1142"/>
  <c r="AP1142" s="1"/>
  <c r="AS1142" s="1"/>
  <c r="AN245"/>
  <c r="AP245" s="1"/>
  <c r="AS245" s="1"/>
  <c r="AN574"/>
  <c r="AP574" s="1"/>
  <c r="AS574" s="1"/>
  <c r="AN911"/>
  <c r="AP911" s="1"/>
  <c r="AS911" s="1"/>
  <c r="AN296"/>
  <c r="AP296" s="1"/>
  <c r="AS296" s="1"/>
  <c r="AN1225"/>
  <c r="AP1225" s="1"/>
  <c r="AS1225" s="1"/>
  <c r="AN901"/>
  <c r="AP901" s="1"/>
  <c r="AS901" s="1"/>
  <c r="AN720"/>
  <c r="AP720" s="1"/>
  <c r="AS720" s="1"/>
  <c r="AN1082"/>
  <c r="AP1082" s="1"/>
  <c r="AS1082" s="1"/>
  <c r="AN691"/>
  <c r="AP691" s="1"/>
  <c r="AS691" s="1"/>
  <c r="AN872"/>
  <c r="AP872" s="1"/>
  <c r="AS872" s="1"/>
  <c r="AN800"/>
  <c r="AP800" s="1"/>
  <c r="AS800" s="1"/>
  <c r="AN190"/>
  <c r="AP190" s="1"/>
  <c r="AS190" s="1"/>
  <c r="AO344"/>
  <c r="AR344" s="1"/>
  <c r="AO754"/>
  <c r="AR754" s="1"/>
  <c r="AO913"/>
  <c r="AR913" s="1"/>
  <c r="AO537"/>
  <c r="AR537" s="1"/>
  <c r="AO207"/>
  <c r="AR207" s="1"/>
  <c r="AO213"/>
  <c r="AR213" s="1"/>
  <c r="AO1011"/>
  <c r="AR1011" s="1"/>
  <c r="AN310"/>
  <c r="AP310" s="1"/>
  <c r="AS310" s="1"/>
  <c r="AO66"/>
  <c r="AR66" s="1"/>
  <c r="AN384"/>
  <c r="AP384" s="1"/>
  <c r="AS384" s="1"/>
  <c r="AN111"/>
  <c r="AP111" s="1"/>
  <c r="AS111" s="1"/>
  <c r="AN866"/>
  <c r="AP866" s="1"/>
  <c r="AS866" s="1"/>
  <c r="AN602"/>
  <c r="AP602" s="1"/>
  <c r="AS602" s="1"/>
  <c r="AN791"/>
  <c r="AP791" s="1"/>
  <c r="AS791" s="1"/>
  <c r="AN986"/>
  <c r="AP986" s="1"/>
  <c r="AS986" s="1"/>
  <c r="AN570"/>
  <c r="AP570" s="1"/>
  <c r="AS570" s="1"/>
  <c r="AN1251"/>
  <c r="AP1251" s="1"/>
  <c r="AS1251" s="1"/>
  <c r="AN579"/>
  <c r="AP579" s="1"/>
  <c r="AS579" s="1"/>
  <c r="AN1004"/>
  <c r="AP1004" s="1"/>
  <c r="AS1004" s="1"/>
  <c r="AN535"/>
  <c r="AP535" s="1"/>
  <c r="AS535" s="1"/>
  <c r="AN122"/>
  <c r="AP122" s="1"/>
  <c r="AS122" s="1"/>
  <c r="AN717"/>
  <c r="AP717" s="1"/>
  <c r="AS717" s="1"/>
  <c r="AN1058"/>
  <c r="AP1058" s="1"/>
  <c r="AS1058" s="1"/>
  <c r="AN568"/>
  <c r="AP568" s="1"/>
  <c r="AS568" s="1"/>
  <c r="AN1144"/>
  <c r="AP1144" s="1"/>
  <c r="AS1144" s="1"/>
  <c r="AO60"/>
  <c r="AR60" s="1"/>
  <c r="AN1247"/>
  <c r="AP1247" s="1"/>
  <c r="AS1247" s="1"/>
  <c r="AN821"/>
  <c r="AP821" s="1"/>
  <c r="AS821" s="1"/>
  <c r="AN1057"/>
  <c r="AP1057" s="1"/>
  <c r="AS1057" s="1"/>
  <c r="AN998"/>
  <c r="AP998" s="1"/>
  <c r="AS998" s="1"/>
  <c r="AN1060"/>
  <c r="AP1060" s="1"/>
  <c r="AS1060" s="1"/>
  <c r="AN940"/>
  <c r="AP940" s="1"/>
  <c r="AS940" s="1"/>
  <c r="AN143"/>
  <c r="AP143" s="1"/>
  <c r="AS143" s="1"/>
  <c r="AN556"/>
  <c r="AP556" s="1"/>
  <c r="AS556" s="1"/>
  <c r="AN712"/>
  <c r="AP712" s="1"/>
  <c r="AS712" s="1"/>
  <c r="AN923"/>
  <c r="AP923" s="1"/>
  <c r="AS923" s="1"/>
  <c r="AN291"/>
  <c r="AP291" s="1"/>
  <c r="AS291" s="1"/>
  <c r="AN847"/>
  <c r="AP847" s="1"/>
  <c r="AS847" s="1"/>
  <c r="AN540"/>
  <c r="AP540" s="1"/>
  <c r="AS540" s="1"/>
  <c r="AN882"/>
  <c r="AP882" s="1"/>
  <c r="AS882" s="1"/>
  <c r="AN491"/>
  <c r="AP491" s="1"/>
  <c r="AS491" s="1"/>
  <c r="AO55"/>
  <c r="AR55" s="1"/>
  <c r="AN683"/>
  <c r="AP683" s="1"/>
  <c r="AS683" s="1"/>
  <c r="AN569"/>
  <c r="AP569" s="1"/>
  <c r="AS569" s="1"/>
  <c r="AN365"/>
  <c r="AP365" s="1"/>
  <c r="AS365" s="1"/>
  <c r="AN517"/>
  <c r="AP517" s="1"/>
  <c r="AS517" s="1"/>
  <c r="AN650"/>
  <c r="AP650" s="1"/>
  <c r="AS650" s="1"/>
  <c r="AN513"/>
  <c r="AP513" s="1"/>
  <c r="AS513" s="1"/>
  <c r="AN292"/>
  <c r="AP292" s="1"/>
  <c r="AS292" s="1"/>
  <c r="AN1226"/>
  <c r="AP1226" s="1"/>
  <c r="AS1226" s="1"/>
  <c r="AN131"/>
  <c r="AP131" s="1"/>
  <c r="AS131" s="1"/>
  <c r="AO40"/>
  <c r="AR40" s="1"/>
  <c r="AN572"/>
  <c r="AP572" s="1"/>
  <c r="AS572" s="1"/>
  <c r="AN958"/>
  <c r="AP958" s="1"/>
  <c r="AS958" s="1"/>
  <c r="AN907"/>
  <c r="AP907" s="1"/>
  <c r="AS907" s="1"/>
  <c r="AN289"/>
  <c r="AP289" s="1"/>
  <c r="AS289" s="1"/>
  <c r="AN838"/>
  <c r="AP838" s="1"/>
  <c r="AS838" s="1"/>
  <c r="AN721"/>
  <c r="AP721" s="1"/>
  <c r="AS721" s="1"/>
  <c r="AN398"/>
  <c r="AP398" s="1"/>
  <c r="AS398" s="1"/>
  <c r="AO46"/>
  <c r="AR46" s="1"/>
  <c r="AN855"/>
  <c r="AP855" s="1"/>
  <c r="AS855" s="1"/>
  <c r="AN502"/>
  <c r="AP502" s="1"/>
  <c r="AS502" s="1"/>
  <c r="AN804"/>
  <c r="AP804" s="1"/>
  <c r="AS804" s="1"/>
  <c r="AN891"/>
  <c r="AP891" s="1"/>
  <c r="AS891" s="1"/>
  <c r="AO93"/>
  <c r="AR93" s="1"/>
  <c r="AN168"/>
  <c r="AP168" s="1"/>
  <c r="AS168" s="1"/>
  <c r="AN1255"/>
  <c r="AP1255" s="1"/>
  <c r="AS1255" s="1"/>
  <c r="AN984"/>
  <c r="AP984" s="1"/>
  <c r="AS984" s="1"/>
  <c r="AN1210"/>
  <c r="AP1210" s="1"/>
  <c r="AS1210" s="1"/>
  <c r="AN188"/>
  <c r="AP188" s="1"/>
  <c r="AS188" s="1"/>
  <c r="AN1098"/>
  <c r="AP1098" s="1"/>
  <c r="AS1098" s="1"/>
  <c r="AN946"/>
  <c r="AP946" s="1"/>
  <c r="AS946" s="1"/>
  <c r="AN1237"/>
  <c r="AP1237" s="1"/>
  <c r="AS1237" s="1"/>
  <c r="AN910"/>
  <c r="AP910" s="1"/>
  <c r="AS910" s="1"/>
  <c r="AN532"/>
  <c r="AP532" s="1"/>
  <c r="AS532" s="1"/>
  <c r="AN414"/>
  <c r="AP414" s="1"/>
  <c r="AS414" s="1"/>
  <c r="AO1185"/>
  <c r="AR1185" s="1"/>
  <c r="AN1066"/>
  <c r="AP1066" s="1"/>
  <c r="AS1066" s="1"/>
  <c r="AO246"/>
  <c r="AR246" s="1"/>
  <c r="AN1028"/>
  <c r="AP1028" s="1"/>
  <c r="AS1028" s="1"/>
  <c r="AN157"/>
  <c r="AP157" s="1"/>
  <c r="AS157" s="1"/>
  <c r="AN498"/>
  <c r="AP498" s="1"/>
  <c r="AS498" s="1"/>
  <c r="AN1169"/>
  <c r="AP1169" s="1"/>
  <c r="AS1169" s="1"/>
  <c r="AN113"/>
  <c r="AP113" s="1"/>
  <c r="AS113" s="1"/>
  <c r="AN353"/>
  <c r="AP353" s="1"/>
  <c r="AS353" s="1"/>
  <c r="AN126"/>
  <c r="AP126" s="1"/>
  <c r="AS126" s="1"/>
  <c r="AN694"/>
  <c r="AP694" s="1"/>
  <c r="AS694" s="1"/>
  <c r="AN1074"/>
  <c r="AP1074" s="1"/>
  <c r="AS1074" s="1"/>
  <c r="AN792"/>
  <c r="AP792" s="1"/>
  <c r="AS792" s="1"/>
  <c r="AN1262"/>
  <c r="AP1262" s="1"/>
  <c r="AS1262" s="1"/>
  <c r="AN1076"/>
  <c r="AP1076" s="1"/>
  <c r="AS1076" s="1"/>
  <c r="AN905"/>
  <c r="AP905" s="1"/>
  <c r="AS905" s="1"/>
  <c r="AN1206"/>
  <c r="AP1206" s="1"/>
  <c r="AS1206" s="1"/>
  <c r="AN493"/>
  <c r="AP493" s="1"/>
  <c r="AS493" s="1"/>
  <c r="AN722"/>
  <c r="AP722" s="1"/>
  <c r="AS722" s="1"/>
  <c r="AN622"/>
  <c r="AP622" s="1"/>
  <c r="AS622" s="1"/>
  <c r="AN1131"/>
  <c r="AP1131" s="1"/>
  <c r="AS1131" s="1"/>
  <c r="AN561"/>
  <c r="AP561" s="1"/>
  <c r="AS561" s="1"/>
  <c r="AN1012"/>
  <c r="AP1012" s="1"/>
  <c r="AS1012" s="1"/>
  <c r="AN1155"/>
  <c r="AP1155" s="1"/>
  <c r="AS1155" s="1"/>
  <c r="AN557"/>
  <c r="AP557" s="1"/>
  <c r="AS557" s="1"/>
  <c r="AN527"/>
  <c r="AP527" s="1"/>
  <c r="AS527" s="1"/>
  <c r="AN611"/>
  <c r="AP611" s="1"/>
  <c r="AS611" s="1"/>
  <c r="AN519"/>
  <c r="AP519" s="1"/>
  <c r="AS519" s="1"/>
  <c r="AN806"/>
  <c r="AP806" s="1"/>
  <c r="AS806" s="1"/>
  <c r="AN652"/>
  <c r="AP652" s="1"/>
  <c r="AS652" s="1"/>
  <c r="AN900"/>
  <c r="AP900" s="1"/>
  <c r="AS900" s="1"/>
  <c r="AN688"/>
  <c r="AP688" s="1"/>
  <c r="AS688" s="1"/>
  <c r="AN849"/>
  <c r="AP849" s="1"/>
  <c r="AS849" s="1"/>
  <c r="AN328"/>
  <c r="AP328" s="1"/>
  <c r="AS328" s="1"/>
  <c r="AN709"/>
  <c r="AP709" s="1"/>
  <c r="AS709" s="1"/>
  <c r="AN354"/>
  <c r="AP354" s="1"/>
  <c r="AS354" s="1"/>
  <c r="AN1248"/>
  <c r="AP1248" s="1"/>
  <c r="AS1248" s="1"/>
  <c r="AN576"/>
  <c r="AP576" s="1"/>
  <c r="AS576" s="1"/>
  <c r="AN1196"/>
  <c r="AP1196" s="1"/>
  <c r="AS1196" s="1"/>
  <c r="AN200"/>
  <c r="AP200" s="1"/>
  <c r="AS200" s="1"/>
  <c r="AN640"/>
  <c r="AP640" s="1"/>
  <c r="AS640" s="1"/>
  <c r="AN533"/>
  <c r="AP533" s="1"/>
  <c r="AS533" s="1"/>
  <c r="AN876"/>
  <c r="AP876" s="1"/>
  <c r="AS876" s="1"/>
  <c r="AN894"/>
  <c r="AP894" s="1"/>
  <c r="AS894" s="1"/>
  <c r="AN175"/>
  <c r="AP175" s="1"/>
  <c r="AS175" s="1"/>
  <c r="AN649"/>
  <c r="AP649" s="1"/>
  <c r="AS649" s="1"/>
  <c r="AN378"/>
  <c r="AP378" s="1"/>
  <c r="AS378" s="1"/>
  <c r="AN677"/>
  <c r="AP677" s="1"/>
  <c r="AS677" s="1"/>
  <c r="AN547"/>
  <c r="AP547" s="1"/>
  <c r="AS547" s="1"/>
  <c r="AN904"/>
  <c r="AP904" s="1"/>
  <c r="AS904" s="1"/>
  <c r="AN303"/>
  <c r="AP303" s="1"/>
  <c r="AS303" s="1"/>
  <c r="AN560"/>
  <c r="AP560" s="1"/>
  <c r="AS560" s="1"/>
  <c r="AN399"/>
  <c r="AP399" s="1"/>
  <c r="AS399" s="1"/>
  <c r="AN817"/>
  <c r="AP817" s="1"/>
  <c r="AS817" s="1"/>
  <c r="AN1147"/>
  <c r="AP1147" s="1"/>
  <c r="AS1147" s="1"/>
  <c r="AN1170"/>
  <c r="AP1170" s="1"/>
  <c r="AS1170" s="1"/>
  <c r="AN264"/>
  <c r="AP264" s="1"/>
  <c r="AS264" s="1"/>
  <c r="AN1168"/>
  <c r="AP1168" s="1"/>
  <c r="AS1168" s="1"/>
  <c r="AN346"/>
  <c r="AP346" s="1"/>
  <c r="AS346" s="1"/>
  <c r="AO34"/>
  <c r="AR34" s="1"/>
  <c r="AN1063"/>
  <c r="AP1063" s="1"/>
  <c r="AS1063" s="1"/>
  <c r="AN295"/>
  <c r="AP295" s="1"/>
  <c r="AS295" s="1"/>
  <c r="AN1203"/>
  <c r="AP1203" s="1"/>
  <c r="AS1203" s="1"/>
  <c r="AN604"/>
  <c r="AP604" s="1"/>
  <c r="AS604" s="1"/>
  <c r="AN599"/>
  <c r="AP599" s="1"/>
  <c r="AS599" s="1"/>
  <c r="AN490"/>
  <c r="AP490" s="1"/>
  <c r="AS490" s="1"/>
  <c r="AN667"/>
  <c r="AP667" s="1"/>
  <c r="AS667" s="1"/>
  <c r="AN314"/>
  <c r="AP314" s="1"/>
  <c r="AS314" s="1"/>
  <c r="AN1235"/>
  <c r="AP1235" s="1"/>
  <c r="AS1235" s="1"/>
  <c r="AN1096"/>
  <c r="AP1096" s="1"/>
  <c r="AS1096" s="1"/>
  <c r="AN125"/>
  <c r="AP125" s="1"/>
  <c r="AS125" s="1"/>
  <c r="AN397"/>
  <c r="AP397" s="1"/>
  <c r="AS397" s="1"/>
  <c r="AN193"/>
  <c r="AP193" s="1"/>
  <c r="AS193" s="1"/>
  <c r="AN608"/>
  <c r="AP608" s="1"/>
  <c r="AS608" s="1"/>
  <c r="AN1175"/>
  <c r="AP1175" s="1"/>
  <c r="AS1175" s="1"/>
  <c r="AN401"/>
  <c r="AP401" s="1"/>
  <c r="AS401" s="1"/>
  <c r="AO247"/>
  <c r="AR247" s="1"/>
  <c r="AO960"/>
  <c r="AR960" s="1"/>
  <c r="AO206"/>
  <c r="AR206" s="1"/>
  <c r="AO863"/>
  <c r="AR863" s="1"/>
  <c r="AO902"/>
  <c r="AR902" s="1"/>
  <c r="AN90"/>
  <c r="AP90" s="1"/>
  <c r="AS90" s="1"/>
  <c r="AN471"/>
  <c r="AP471" s="1"/>
  <c r="AS471" s="1"/>
  <c r="AN138"/>
  <c r="AP138" s="1"/>
  <c r="AS138" s="1"/>
  <c r="AO138"/>
  <c r="AR138" s="1"/>
  <c r="AN934"/>
  <c r="AP934" s="1"/>
  <c r="AS934" s="1"/>
  <c r="AN367"/>
  <c r="AP367" s="1"/>
  <c r="AS367" s="1"/>
  <c r="AN381"/>
  <c r="AP381" s="1"/>
  <c r="AS381" s="1"/>
  <c r="AN816"/>
  <c r="AP816" s="1"/>
  <c r="AS816" s="1"/>
  <c r="AN267"/>
  <c r="AP267" s="1"/>
  <c r="AS267" s="1"/>
  <c r="AO74"/>
  <c r="AR74" s="1"/>
  <c r="AN835"/>
  <c r="AP835" s="1"/>
  <c r="AS835" s="1"/>
  <c r="AN1134"/>
  <c r="AP1134" s="1"/>
  <c r="AS1134" s="1"/>
  <c r="AO61"/>
  <c r="AR61" s="1"/>
  <c r="AN927"/>
  <c r="AP927" s="1"/>
  <c r="AS927" s="1"/>
  <c r="AN327"/>
  <c r="AP327" s="1"/>
  <c r="AS327" s="1"/>
  <c r="AN619"/>
  <c r="AP619" s="1"/>
  <c r="AS619" s="1"/>
  <c r="AN294"/>
  <c r="AP294" s="1"/>
  <c r="AS294" s="1"/>
  <c r="AN704"/>
  <c r="AP704" s="1"/>
  <c r="AS704" s="1"/>
  <c r="AN1244"/>
  <c r="AP1244" s="1"/>
  <c r="AS1244" s="1"/>
  <c r="AO36"/>
  <c r="AR36" s="1"/>
  <c r="AN1165"/>
  <c r="AP1165" s="1"/>
  <c r="AS1165" s="1"/>
  <c r="AO925"/>
  <c r="AR925" s="1"/>
  <c r="AN510"/>
  <c r="AP510" s="1"/>
  <c r="AS510" s="1"/>
  <c r="AN257"/>
  <c r="AP257" s="1"/>
  <c r="AS257" s="1"/>
  <c r="AO37"/>
  <c r="AR37" s="1"/>
  <c r="AN823"/>
  <c r="AP823" s="1"/>
  <c r="AS823" s="1"/>
  <c r="AN361"/>
  <c r="AP361" s="1"/>
  <c r="AS361" s="1"/>
  <c r="AN1105"/>
  <c r="AP1105" s="1"/>
  <c r="AS1105" s="1"/>
  <c r="AN740"/>
  <c r="AP740" s="1"/>
  <c r="AS740" s="1"/>
  <c r="AN503"/>
  <c r="AP503" s="1"/>
  <c r="AS503" s="1"/>
  <c r="AN1200"/>
  <c r="AP1200" s="1"/>
  <c r="AS1200" s="1"/>
  <c r="AN195"/>
  <c r="AP195" s="1"/>
  <c r="AS195" s="1"/>
  <c r="AN1062"/>
  <c r="AP1062" s="1"/>
  <c r="AS1062" s="1"/>
  <c r="AO91"/>
  <c r="AR91" s="1"/>
  <c r="AN819"/>
  <c r="AP819" s="1"/>
  <c r="AS819" s="1"/>
  <c r="AN706"/>
  <c r="AP706" s="1"/>
  <c r="AS706" s="1"/>
  <c r="AN845"/>
  <c r="AP845" s="1"/>
  <c r="AS845" s="1"/>
  <c r="AN178"/>
  <c r="AP178" s="1"/>
  <c r="AS178" s="1"/>
  <c r="AN156"/>
  <c r="AP156" s="1"/>
  <c r="AS156" s="1"/>
  <c r="AN857"/>
  <c r="AP857" s="1"/>
  <c r="AS857" s="1"/>
  <c r="AN333"/>
  <c r="AP333" s="1"/>
  <c r="AS333" s="1"/>
  <c r="AN356"/>
  <c r="AP356" s="1"/>
  <c r="AS356" s="1"/>
  <c r="AN1091"/>
  <c r="AP1091" s="1"/>
  <c r="AS1091" s="1"/>
  <c r="AN796"/>
  <c r="AP796" s="1"/>
  <c r="AS796" s="1"/>
  <c r="AO80"/>
  <c r="AR80" s="1"/>
  <c r="AN725"/>
  <c r="AP725" s="1"/>
  <c r="AS725" s="1"/>
  <c r="AN645"/>
  <c r="AP645" s="1"/>
  <c r="AS645" s="1"/>
  <c r="AO170"/>
  <c r="AR170" s="1"/>
  <c r="AN949"/>
  <c r="AP949" s="1"/>
  <c r="AS949" s="1"/>
  <c r="AN247"/>
  <c r="AP247" s="1"/>
  <c r="AS247" s="1"/>
  <c r="AN1163"/>
  <c r="AP1163" s="1"/>
  <c r="AS1163" s="1"/>
  <c r="AN814"/>
  <c r="AP814" s="1"/>
  <c r="AS814" s="1"/>
  <c r="AN636"/>
  <c r="AP636" s="1"/>
  <c r="AS636" s="1"/>
  <c r="AN617"/>
  <c r="AP617" s="1"/>
  <c r="AS617" s="1"/>
  <c r="AN581"/>
  <c r="AP581" s="1"/>
  <c r="AS581" s="1"/>
  <c r="AN124"/>
  <c r="AP124" s="1"/>
  <c r="AS124" s="1"/>
  <c r="AO75"/>
  <c r="AR75" s="1"/>
  <c r="AN714"/>
  <c r="AP714" s="1"/>
  <c r="AS714" s="1"/>
  <c r="AN386"/>
  <c r="AP386" s="1"/>
  <c r="AS386" s="1"/>
  <c r="AN148"/>
  <c r="AP148" s="1"/>
  <c r="AS148" s="1"/>
  <c r="AN656"/>
  <c r="AP656" s="1"/>
  <c r="AS656" s="1"/>
  <c r="AN254"/>
  <c r="AP254" s="1"/>
  <c r="AS254" s="1"/>
  <c r="AN992"/>
  <c r="AP992" s="1"/>
  <c r="AS992" s="1"/>
  <c r="AN877"/>
  <c r="AP877" s="1"/>
  <c r="AS877" s="1"/>
  <c r="AN293"/>
  <c r="AP293" s="1"/>
  <c r="AS293" s="1"/>
  <c r="AN922"/>
  <c r="AP922" s="1"/>
  <c r="AS922" s="1"/>
  <c r="AN308"/>
  <c r="AP308" s="1"/>
  <c r="AS308" s="1"/>
  <c r="AO58"/>
  <c r="AR58" s="1"/>
  <c r="AN880"/>
  <c r="AP880" s="1"/>
  <c r="AS880" s="1"/>
  <c r="AN879"/>
  <c r="AP879" s="1"/>
  <c r="AS879" s="1"/>
  <c r="AN638"/>
  <c r="AP638" s="1"/>
  <c r="AS638" s="1"/>
  <c r="AN129"/>
  <c r="AP129" s="1"/>
  <c r="AS129" s="1"/>
  <c r="AN862"/>
  <c r="AP862" s="1"/>
  <c r="AS862" s="1"/>
  <c r="AN1049"/>
  <c r="AP1049" s="1"/>
  <c r="AS1049" s="1"/>
  <c r="AN1087"/>
  <c r="AP1087" s="1"/>
  <c r="AS1087" s="1"/>
  <c r="AN187"/>
  <c r="AP187" s="1"/>
  <c r="AS187" s="1"/>
  <c r="AN373"/>
  <c r="AP373" s="1"/>
  <c r="AS373" s="1"/>
  <c r="AN185"/>
  <c r="AP185" s="1"/>
  <c r="AS185" s="1"/>
  <c r="AN529"/>
  <c r="AP529" s="1"/>
  <c r="AS529" s="1"/>
  <c r="AN312"/>
  <c r="AP312" s="1"/>
  <c r="AS312" s="1"/>
  <c r="AN1095"/>
  <c r="AP1095" s="1"/>
  <c r="AS1095" s="1"/>
  <c r="AN154"/>
  <c r="AP154" s="1"/>
  <c r="AS154" s="1"/>
  <c r="AO49"/>
  <c r="AR49" s="1"/>
  <c r="AN1100"/>
  <c r="AP1100" s="1"/>
  <c r="AS1100" s="1"/>
  <c r="AN1022"/>
  <c r="AP1022" s="1"/>
  <c r="AS1022" s="1"/>
  <c r="AN735"/>
  <c r="AP735" s="1"/>
  <c r="AS735" s="1"/>
  <c r="AN1047"/>
  <c r="AP1047" s="1"/>
  <c r="AS1047" s="1"/>
  <c r="AN654"/>
  <c r="AP654" s="1"/>
  <c r="AS654" s="1"/>
  <c r="AN553"/>
  <c r="AP553" s="1"/>
  <c r="AS553" s="1"/>
  <c r="AN1015"/>
  <c r="AP1015" s="1"/>
  <c r="AS1015" s="1"/>
  <c r="AN580"/>
  <c r="AP580" s="1"/>
  <c r="AS580" s="1"/>
  <c r="AN288"/>
  <c r="AP288" s="1"/>
  <c r="AS288" s="1"/>
  <c r="AN690"/>
  <c r="AP690" s="1"/>
  <c r="AS690" s="1"/>
  <c r="AN966"/>
  <c r="AP966" s="1"/>
  <c r="AS966" s="1"/>
  <c r="AN815"/>
  <c r="AP815" s="1"/>
  <c r="AS815" s="1"/>
  <c r="AN362"/>
  <c r="AP362" s="1"/>
  <c r="AS362" s="1"/>
  <c r="AN615"/>
  <c r="AP615" s="1"/>
  <c r="AS615" s="1"/>
  <c r="AN869"/>
  <c r="AP869" s="1"/>
  <c r="AS869" s="1"/>
  <c r="AN198"/>
  <c r="AP198" s="1"/>
  <c r="AS198" s="1"/>
  <c r="AN929"/>
  <c r="AP929" s="1"/>
  <c r="AS929" s="1"/>
  <c r="AN1044"/>
  <c r="AP1044" s="1"/>
  <c r="AS1044" s="1"/>
  <c r="AN833"/>
  <c r="AP833" s="1"/>
  <c r="AS833" s="1"/>
  <c r="AN842"/>
  <c r="AP842" s="1"/>
  <c r="AS842" s="1"/>
  <c r="AN726"/>
  <c r="AP726" s="1"/>
  <c r="AS726" s="1"/>
  <c r="AN1254"/>
  <c r="AP1254" s="1"/>
  <c r="AS1254" s="1"/>
  <c r="AN1089"/>
  <c r="AP1089" s="1"/>
  <c r="AS1089" s="1"/>
  <c r="AN337"/>
  <c r="AP337" s="1"/>
  <c r="AS337" s="1"/>
  <c r="AN861"/>
  <c r="AP861" s="1"/>
  <c r="AS861" s="1"/>
  <c r="AN853"/>
  <c r="AP853" s="1"/>
  <c r="AS853" s="1"/>
  <c r="AN271"/>
  <c r="AP271" s="1"/>
  <c r="AS271" s="1"/>
  <c r="AN286"/>
  <c r="AP286" s="1"/>
  <c r="AS286" s="1"/>
  <c r="AN1034"/>
  <c r="AP1034" s="1"/>
  <c r="AS1034" s="1"/>
  <c r="AN1224"/>
  <c r="AP1224" s="1"/>
  <c r="AS1224" s="1"/>
  <c r="AN199"/>
  <c r="AP199" s="1"/>
  <c r="AS199" s="1"/>
  <c r="AN323"/>
  <c r="AP323" s="1"/>
  <c r="AS323" s="1"/>
  <c r="AN868"/>
  <c r="AP868" s="1"/>
  <c r="AS868" s="1"/>
  <c r="AN809"/>
  <c r="AP809" s="1"/>
  <c r="AS809" s="1"/>
  <c r="AN908"/>
  <c r="AP908" s="1"/>
  <c r="AS908" s="1"/>
  <c r="AN505"/>
  <c r="AP505" s="1"/>
  <c r="AS505" s="1"/>
  <c r="AN633"/>
  <c r="AP633" s="1"/>
  <c r="AS633" s="1"/>
  <c r="AN681"/>
  <c r="AP681" s="1"/>
  <c r="AS681" s="1"/>
  <c r="AN1068"/>
  <c r="AP1068" s="1"/>
  <c r="AS1068" s="1"/>
  <c r="AN601"/>
  <c r="AP601" s="1"/>
  <c r="AS601" s="1"/>
  <c r="AN1101"/>
  <c r="AP1101" s="1"/>
  <c r="AS1101" s="1"/>
  <c r="AN573"/>
  <c r="AP573" s="1"/>
  <c r="AS573" s="1"/>
  <c r="AN320"/>
  <c r="AP320" s="1"/>
  <c r="AS320" s="1"/>
  <c r="AN290"/>
  <c r="AP290" s="1"/>
  <c r="AS290" s="1"/>
  <c r="AN607"/>
  <c r="AP607" s="1"/>
  <c r="AS607" s="1"/>
  <c r="AN666"/>
  <c r="AP666" s="1"/>
  <c r="AS666" s="1"/>
  <c r="AO39"/>
  <c r="AR39" s="1"/>
  <c r="AN982"/>
  <c r="AP982" s="1"/>
  <c r="AS982" s="1"/>
  <c r="AO50"/>
  <c r="AR50" s="1"/>
  <c r="AN1263"/>
  <c r="AP1263" s="1"/>
  <c r="AS1263" s="1"/>
  <c r="AN788"/>
  <c r="AP788" s="1"/>
  <c r="AS788" s="1"/>
  <c r="AN1069"/>
  <c r="AP1069" s="1"/>
  <c r="AS1069" s="1"/>
  <c r="AN364"/>
  <c r="AP364" s="1"/>
  <c r="AS364" s="1"/>
  <c r="AN370"/>
  <c r="AP370" s="1"/>
  <c r="AS370" s="1"/>
  <c r="AN299"/>
  <c r="AP299" s="1"/>
  <c r="AS299" s="1"/>
  <c r="AN146"/>
  <c r="AP146" s="1"/>
  <c r="AS146" s="1"/>
  <c r="AN1025"/>
  <c r="AP1025" s="1"/>
  <c r="AS1025" s="1"/>
  <c r="AN1071"/>
  <c r="AP1071" s="1"/>
  <c r="AS1071" s="1"/>
  <c r="AO35"/>
  <c r="AR35" s="1"/>
  <c r="AN357"/>
  <c r="AP357" s="1"/>
  <c r="AS357" s="1"/>
  <c r="AN152"/>
  <c r="AP152" s="1"/>
  <c r="AS152" s="1"/>
  <c r="AN1053"/>
  <c r="AP1053" s="1"/>
  <c r="AS1053" s="1"/>
  <c r="AN324"/>
  <c r="AP324" s="1"/>
  <c r="AS324" s="1"/>
  <c r="AN177"/>
  <c r="AP177" s="1"/>
  <c r="AS177" s="1"/>
  <c r="AN1212"/>
  <c r="AP1212" s="1"/>
  <c r="AS1212" s="1"/>
  <c r="AO414"/>
  <c r="AR414" s="1"/>
  <c r="AN756"/>
  <c r="AP756" s="1"/>
  <c r="AS756" s="1"/>
  <c r="AO400"/>
  <c r="AR400" s="1"/>
  <c r="AO501"/>
  <c r="AR501" s="1"/>
  <c r="AN72"/>
  <c r="AP72" s="1"/>
  <c r="AS72" s="1"/>
  <c r="AO581"/>
  <c r="AR581" s="1"/>
  <c r="AO148"/>
  <c r="AR148" s="1"/>
  <c r="AN623"/>
  <c r="AP623" s="1"/>
  <c r="AS623" s="1"/>
  <c r="AN651"/>
  <c r="AP651" s="1"/>
  <c r="AS651" s="1"/>
  <c r="AN565"/>
  <c r="AP565" s="1"/>
  <c r="AS565" s="1"/>
  <c r="AN1151"/>
  <c r="AP1151" s="1"/>
  <c r="AS1151" s="1"/>
  <c r="AN976"/>
  <c r="AP976" s="1"/>
  <c r="AS976" s="1"/>
  <c r="AN883"/>
  <c r="AP883" s="1"/>
  <c r="AS883" s="1"/>
  <c r="AN139"/>
  <c r="AP139" s="1"/>
  <c r="AS139" s="1"/>
  <c r="AN956"/>
  <c r="AP956" s="1"/>
  <c r="AS956" s="1"/>
  <c r="AN1242"/>
  <c r="AP1242" s="1"/>
  <c r="AS1242" s="1"/>
  <c r="AN834"/>
  <c r="AP834" s="1"/>
  <c r="AS834" s="1"/>
  <c r="AN169"/>
  <c r="AP169" s="1"/>
  <c r="AS169" s="1"/>
  <c r="AN283"/>
  <c r="AP283" s="1"/>
  <c r="AS283" s="1"/>
  <c r="AN372"/>
  <c r="AP372" s="1"/>
  <c r="AS372" s="1"/>
  <c r="AN1081"/>
  <c r="AP1081" s="1"/>
  <c r="AS1081" s="1"/>
  <c r="AO43"/>
  <c r="AR43" s="1"/>
  <c r="AN586"/>
  <c r="AP586" s="1"/>
  <c r="AS586" s="1"/>
  <c r="AN626"/>
  <c r="AP626" s="1"/>
  <c r="AS626" s="1"/>
  <c r="AN550"/>
  <c r="AP550" s="1"/>
  <c r="AS550" s="1"/>
  <c r="AN647"/>
  <c r="AP647" s="1"/>
  <c r="AS647" s="1"/>
  <c r="AN340"/>
  <c r="AP340" s="1"/>
  <c r="AS340" s="1"/>
  <c r="AN1174"/>
  <c r="AP1174" s="1"/>
  <c r="AS1174" s="1"/>
  <c r="AN511"/>
  <c r="AP511" s="1"/>
  <c r="AS511" s="1"/>
  <c r="AN512"/>
  <c r="AP512" s="1"/>
  <c r="AS512" s="1"/>
  <c r="AN734"/>
  <c r="AP734" s="1"/>
  <c r="AS734" s="1"/>
  <c r="AN523"/>
  <c r="AP523" s="1"/>
  <c r="AS523" s="1"/>
  <c r="AN552"/>
  <c r="AP552" s="1"/>
  <c r="AS552" s="1"/>
  <c r="AN1102"/>
  <c r="AP1102" s="1"/>
  <c r="AS1102" s="1"/>
  <c r="AN332"/>
  <c r="AP332" s="1"/>
  <c r="AS332" s="1"/>
  <c r="AN376"/>
  <c r="AP376" s="1"/>
  <c r="AS376" s="1"/>
  <c r="AN822"/>
  <c r="AP822" s="1"/>
  <c r="AS822" s="1"/>
  <c r="AN369"/>
  <c r="AP369" s="1"/>
  <c r="AS369" s="1"/>
  <c r="AN919"/>
  <c r="AP919" s="1"/>
  <c r="AS919" s="1"/>
  <c r="AN1097"/>
  <c r="AP1097" s="1"/>
  <c r="AS1097" s="1"/>
  <c r="AN119"/>
  <c r="AP119" s="1"/>
  <c r="AS119" s="1"/>
  <c r="AN166"/>
  <c r="AP166" s="1"/>
  <c r="AS166" s="1"/>
  <c r="AN903"/>
  <c r="AP903" s="1"/>
  <c r="AS903" s="1"/>
  <c r="AN1045"/>
  <c r="AP1045" s="1"/>
  <c r="AS1045" s="1"/>
  <c r="AN318"/>
  <c r="AP318" s="1"/>
  <c r="AS318" s="1"/>
  <c r="AN689"/>
  <c r="AP689" s="1"/>
  <c r="AS689" s="1"/>
  <c r="AN548"/>
  <c r="AP548" s="1"/>
  <c r="AS548" s="1"/>
  <c r="AN522"/>
  <c r="AP522" s="1"/>
  <c r="AS522" s="1"/>
  <c r="AN1138"/>
  <c r="AP1138" s="1"/>
  <c r="AS1138" s="1"/>
  <c r="AN660"/>
  <c r="AP660" s="1"/>
  <c r="AS660" s="1"/>
  <c r="AN864"/>
  <c r="AP864" s="1"/>
  <c r="AS864" s="1"/>
  <c r="AN921"/>
  <c r="AP921" s="1"/>
  <c r="AS921" s="1"/>
  <c r="AN824"/>
  <c r="AP824" s="1"/>
  <c r="AS824" s="1"/>
  <c r="AN1061"/>
  <c r="AP1061" s="1"/>
  <c r="AS1061" s="1"/>
  <c r="AN1055"/>
  <c r="AP1055" s="1"/>
  <c r="AS1055" s="1"/>
  <c r="AN158"/>
  <c r="AP158" s="1"/>
  <c r="AS158" s="1"/>
  <c r="AN972"/>
  <c r="AP972" s="1"/>
  <c r="AS972" s="1"/>
  <c r="AN695"/>
  <c r="AP695" s="1"/>
  <c r="AS695" s="1"/>
  <c r="AN1259"/>
  <c r="AP1259" s="1"/>
  <c r="AS1259" s="1"/>
  <c r="AN674"/>
  <c r="AP674" s="1"/>
  <c r="AS674" s="1"/>
  <c r="AN885"/>
  <c r="AP885" s="1"/>
  <c r="AS885" s="1"/>
  <c r="AN1145"/>
  <c r="AP1145" s="1"/>
  <c r="AS1145" s="1"/>
  <c r="AN1240"/>
  <c r="AP1240" s="1"/>
  <c r="AS1240" s="1"/>
  <c r="AN693"/>
  <c r="AP693" s="1"/>
  <c r="AS693" s="1"/>
  <c r="AN524"/>
  <c r="AP524" s="1"/>
  <c r="AS524" s="1"/>
  <c r="AN1029"/>
  <c r="AP1029" s="1"/>
  <c r="AS1029" s="1"/>
  <c r="AN663"/>
  <c r="AP663" s="1"/>
  <c r="AS663" s="1"/>
  <c r="AN266"/>
  <c r="AP266" s="1"/>
  <c r="AS266" s="1"/>
  <c r="AN1042"/>
  <c r="AP1042" s="1"/>
  <c r="AS1042" s="1"/>
  <c r="AN785"/>
  <c r="AP785" s="1"/>
  <c r="AS785" s="1"/>
  <c r="AN1080"/>
  <c r="AP1080" s="1"/>
  <c r="AS1080" s="1"/>
  <c r="AN687"/>
  <c r="AP687" s="1"/>
  <c r="AS687" s="1"/>
  <c r="AN1250"/>
  <c r="AP1250" s="1"/>
  <c r="AS1250" s="1"/>
  <c r="AN1000"/>
  <c r="AP1000" s="1"/>
  <c r="AS1000" s="1"/>
  <c r="AN1160"/>
  <c r="AP1160" s="1"/>
  <c r="AS1160" s="1"/>
  <c r="AN1156"/>
  <c r="AP1156" s="1"/>
  <c r="AS1156" s="1"/>
  <c r="AN738"/>
  <c r="AP738" s="1"/>
  <c r="AS738" s="1"/>
  <c r="AN659"/>
  <c r="AP659" s="1"/>
  <c r="AS659" s="1"/>
  <c r="AN914"/>
  <c r="AP914" s="1"/>
  <c r="AS914" s="1"/>
  <c r="AN118"/>
  <c r="AP118" s="1"/>
  <c r="AS118" s="1"/>
  <c r="AN182"/>
  <c r="AP182" s="1"/>
  <c r="AS182" s="1"/>
  <c r="AN1204"/>
  <c r="AP1204" s="1"/>
  <c r="AS1204" s="1"/>
  <c r="AN1110"/>
  <c r="AP1110" s="1"/>
  <c r="AS1110" s="1"/>
  <c r="AN1103"/>
  <c r="AP1103" s="1"/>
  <c r="AS1103" s="1"/>
  <c r="AN1086"/>
  <c r="AP1086" s="1"/>
  <c r="AS1086" s="1"/>
  <c r="AN1181"/>
  <c r="AP1181" s="1"/>
  <c r="AS1181" s="1"/>
  <c r="AN642"/>
  <c r="AP642" s="1"/>
  <c r="AS642" s="1"/>
  <c r="AN514"/>
  <c r="AP514" s="1"/>
  <c r="AS514" s="1"/>
  <c r="AN620"/>
  <c r="AP620" s="1"/>
  <c r="AS620" s="1"/>
  <c r="AN253"/>
  <c r="AP253" s="1"/>
  <c r="AS253" s="1"/>
  <c r="AN1192"/>
  <c r="AP1192" s="1"/>
  <c r="AS1192" s="1"/>
  <c r="AN371"/>
  <c r="AP371" s="1"/>
  <c r="AS371" s="1"/>
  <c r="AN244"/>
  <c r="AP244" s="1"/>
  <c r="AS244" s="1"/>
  <c r="AO94"/>
  <c r="AR94" s="1"/>
  <c r="AN1123"/>
  <c r="AP1123" s="1"/>
  <c r="AS1123" s="1"/>
  <c r="AN350"/>
  <c r="AP350" s="1"/>
  <c r="AS350" s="1"/>
  <c r="AN1120"/>
  <c r="AP1120" s="1"/>
  <c r="AS1120" s="1"/>
  <c r="AN1038"/>
  <c r="AP1038" s="1"/>
  <c r="AS1038" s="1"/>
  <c r="AN875"/>
  <c r="AP875" s="1"/>
  <c r="AS875" s="1"/>
  <c r="AN298"/>
  <c r="AP298" s="1"/>
  <c r="AS298" s="1"/>
  <c r="AN538"/>
  <c r="AP538" s="1"/>
  <c r="AS538" s="1"/>
  <c r="AN259"/>
  <c r="AP259" s="1"/>
  <c r="AS259" s="1"/>
  <c r="AN779"/>
  <c r="AP779" s="1"/>
  <c r="AS779" s="1"/>
  <c r="AN996"/>
  <c r="AP996" s="1"/>
  <c r="AS996" s="1"/>
  <c r="AN881"/>
  <c r="AP881" s="1"/>
  <c r="AS881" s="1"/>
  <c r="AN309"/>
  <c r="AP309" s="1"/>
  <c r="AS309" s="1"/>
  <c r="AN344"/>
  <c r="AP344" s="1"/>
  <c r="AS344" s="1"/>
  <c r="AN377"/>
  <c r="AP377" s="1"/>
  <c r="AS377" s="1"/>
  <c r="AN75"/>
  <c r="AP75" s="1"/>
  <c r="AS75" s="1"/>
  <c r="AN302"/>
  <c r="AP302" s="1"/>
  <c r="AS302" s="1"/>
  <c r="AO812"/>
  <c r="AR812" s="1"/>
  <c r="AO992"/>
  <c r="AR992" s="1"/>
  <c r="AO499"/>
  <c r="AR499" s="1"/>
  <c r="AN748"/>
  <c r="AP748" s="1"/>
  <c r="AS748" s="1"/>
  <c r="AO386"/>
  <c r="AR386" s="1"/>
  <c r="AO714"/>
  <c r="AR714" s="1"/>
  <c r="AN1106"/>
  <c r="AP1106" s="1"/>
  <c r="AS1106" s="1"/>
  <c r="AN120"/>
  <c r="AP120" s="1"/>
  <c r="AS120" s="1"/>
  <c r="AO909"/>
  <c r="AR909" s="1"/>
  <c r="AO1066"/>
  <c r="AR1066" s="1"/>
  <c r="AO130"/>
  <c r="AR130" s="1"/>
  <c r="AN201"/>
  <c r="AP201" s="1"/>
  <c r="AS201" s="1"/>
  <c r="AN980"/>
  <c r="AP980" s="1"/>
  <c r="AS980" s="1"/>
  <c r="AN1050"/>
  <c r="AP1050" s="1"/>
  <c r="AS1050" s="1"/>
  <c r="AN621"/>
  <c r="AP621" s="1"/>
  <c r="AS621" s="1"/>
  <c r="AN727"/>
  <c r="AP727" s="1"/>
  <c r="AS727" s="1"/>
  <c r="AN789"/>
  <c r="AP789" s="1"/>
  <c r="AS789" s="1"/>
  <c r="AN366"/>
  <c r="AP366" s="1"/>
  <c r="AS366" s="1"/>
  <c r="AN839"/>
  <c r="AP839" s="1"/>
  <c r="AS839" s="1"/>
  <c r="AN783"/>
  <c r="AP783" s="1"/>
  <c r="AS783" s="1"/>
  <c r="AN1260"/>
  <c r="AP1260" s="1"/>
  <c r="AS1260" s="1"/>
  <c r="AN978"/>
  <c r="AP978" s="1"/>
  <c r="AS978" s="1"/>
  <c r="AN278"/>
  <c r="AP278" s="1"/>
  <c r="AS278" s="1"/>
  <c r="AN108"/>
  <c r="AP108" s="1"/>
  <c r="AS108" s="1"/>
  <c r="AN952"/>
  <c r="AP952" s="1"/>
  <c r="AS952" s="1"/>
  <c r="AN1173"/>
  <c r="AP1173" s="1"/>
  <c r="AS1173" s="1"/>
  <c r="AN150"/>
  <c r="AP150" s="1"/>
  <c r="AS150" s="1"/>
  <c r="AN786"/>
  <c r="AP786" s="1"/>
  <c r="AS786" s="1"/>
  <c r="AN1079"/>
  <c r="AP1079" s="1"/>
  <c r="AS1079" s="1"/>
  <c r="AN260"/>
  <c r="AP260" s="1"/>
  <c r="AS260" s="1"/>
  <c r="AN1231"/>
  <c r="AP1231" s="1"/>
  <c r="AS1231" s="1"/>
  <c r="AN507"/>
  <c r="AP507" s="1"/>
  <c r="AS507" s="1"/>
  <c r="AN114"/>
  <c r="AP114" s="1"/>
  <c r="AS114" s="1"/>
  <c r="AN713"/>
  <c r="AP713" s="1"/>
  <c r="AS713" s="1"/>
  <c r="AN1036"/>
  <c r="AP1036" s="1"/>
  <c r="AS1036" s="1"/>
  <c r="AN508"/>
  <c r="AP508" s="1"/>
  <c r="AS508" s="1"/>
  <c r="AN870"/>
  <c r="AP870" s="1"/>
  <c r="AS870" s="1"/>
  <c r="AN684"/>
  <c r="AP684" s="1"/>
  <c r="AS684" s="1"/>
  <c r="AN262"/>
  <c r="AP262" s="1"/>
  <c r="AS262" s="1"/>
  <c r="AN1152"/>
  <c r="AP1152" s="1"/>
  <c r="AS1152" s="1"/>
  <c r="AN782"/>
  <c r="AP782" s="1"/>
  <c r="AS782" s="1"/>
  <c r="AN395"/>
  <c r="AP395" s="1"/>
  <c r="AS395" s="1"/>
  <c r="AN1252"/>
  <c r="AP1252" s="1"/>
  <c r="AS1252" s="1"/>
  <c r="AN606"/>
  <c r="AP606" s="1"/>
  <c r="AS606" s="1"/>
  <c r="AN625"/>
  <c r="AP625" s="1"/>
  <c r="AS625" s="1"/>
  <c r="AN1016"/>
  <c r="AP1016" s="1"/>
  <c r="AS1016" s="1"/>
  <c r="AN610"/>
  <c r="AP610" s="1"/>
  <c r="AS610" s="1"/>
  <c r="AN149"/>
  <c r="AP149" s="1"/>
  <c r="AS149" s="1"/>
  <c r="AO99"/>
  <c r="AR99" s="1"/>
  <c r="AN609"/>
  <c r="AP609" s="1"/>
  <c r="AS609" s="1"/>
  <c r="AN269"/>
  <c r="AP269" s="1"/>
  <c r="AS269" s="1"/>
  <c r="AN1026"/>
  <c r="AP1026" s="1"/>
  <c r="AS1026" s="1"/>
  <c r="AN844"/>
  <c r="AP844" s="1"/>
  <c r="AS844" s="1"/>
  <c r="AO88"/>
  <c r="AR88" s="1"/>
  <c r="AN813"/>
  <c r="AP813" s="1"/>
  <c r="AS813" s="1"/>
  <c r="AN363"/>
  <c r="AP363" s="1"/>
  <c r="AS363" s="1"/>
  <c r="AN1249"/>
  <c r="AP1249" s="1"/>
  <c r="AS1249" s="1"/>
  <c r="AN578"/>
  <c r="AP578" s="1"/>
  <c r="AS578" s="1"/>
  <c r="AN1269"/>
  <c r="AP1269" s="1"/>
  <c r="AS1269" s="1"/>
  <c r="AN841"/>
  <c r="AP841" s="1"/>
  <c r="AS841" s="1"/>
  <c r="AN1272"/>
  <c r="AP1272" s="1"/>
  <c r="AS1272" s="1"/>
  <c r="AN1216"/>
  <c r="AP1216" s="1"/>
  <c r="AS1216" s="1"/>
  <c r="AN530"/>
  <c r="AP530" s="1"/>
  <c r="AS530" s="1"/>
  <c r="AN1166"/>
  <c r="AP1166" s="1"/>
  <c r="AS1166" s="1"/>
  <c r="AN526"/>
  <c r="AP526" s="1"/>
  <c r="AS526" s="1"/>
  <c r="AN115"/>
  <c r="AP115" s="1"/>
  <c r="AS115" s="1"/>
  <c r="AN803"/>
  <c r="AP803" s="1"/>
  <c r="AS803" s="1"/>
  <c r="AN1202"/>
  <c r="AP1202" s="1"/>
  <c r="AS1202" s="1"/>
  <c r="AN672"/>
  <c r="AP672" s="1"/>
  <c r="AS672" s="1"/>
  <c r="AN582"/>
  <c r="AP582" s="1"/>
  <c r="AS582" s="1"/>
  <c r="AN153"/>
  <c r="AP153" s="1"/>
  <c r="AS153" s="1"/>
  <c r="AN1236"/>
  <c r="AP1236" s="1"/>
  <c r="AS1236" s="1"/>
  <c r="AO82"/>
  <c r="AR82" s="1"/>
  <c r="AN1052"/>
  <c r="AP1052" s="1"/>
  <c r="AS1052" s="1"/>
  <c r="AN272"/>
  <c r="AP272" s="1"/>
  <c r="AS272" s="1"/>
  <c r="AN860"/>
  <c r="AP860" s="1"/>
  <c r="AS860" s="1"/>
  <c r="AN1128"/>
  <c r="AP1128" s="1"/>
  <c r="AS1128" s="1"/>
  <c r="AN571"/>
  <c r="AP571" s="1"/>
  <c r="AS571" s="1"/>
  <c r="AN389"/>
  <c r="AP389" s="1"/>
  <c r="AS389" s="1"/>
  <c r="AN544"/>
  <c r="AP544" s="1"/>
  <c r="AS544" s="1"/>
  <c r="AN176"/>
  <c r="AP176" s="1"/>
  <c r="AS176" s="1"/>
  <c r="AN128"/>
  <c r="AP128" s="1"/>
  <c r="AS128" s="1"/>
  <c r="AN545"/>
  <c r="AP545" s="1"/>
  <c r="AS545" s="1"/>
  <c r="AN584"/>
  <c r="AP584" s="1"/>
  <c r="AS584" s="1"/>
  <c r="AN793"/>
  <c r="AP793" s="1"/>
  <c r="AS793" s="1"/>
  <c r="AN728"/>
  <c r="AP728" s="1"/>
  <c r="AS728" s="1"/>
  <c r="AN123"/>
  <c r="AP123" s="1"/>
  <c r="AS123" s="1"/>
  <c r="AN887"/>
  <c r="AP887" s="1"/>
  <c r="AS887" s="1"/>
  <c r="AN831"/>
  <c r="AP831" s="1"/>
  <c r="AS831" s="1"/>
  <c r="AN1184"/>
  <c r="AP1184" s="1"/>
  <c r="AS1184" s="1"/>
  <c r="AN1019"/>
  <c r="AP1019" s="1"/>
  <c r="AS1019" s="1"/>
  <c r="AN1253"/>
  <c r="AP1253" s="1"/>
  <c r="AS1253" s="1"/>
  <c r="AN730"/>
  <c r="AP730" s="1"/>
  <c r="AS730" s="1"/>
  <c r="AN724"/>
  <c r="AP724" s="1"/>
  <c r="AS724" s="1"/>
  <c r="AN331"/>
  <c r="AP331" s="1"/>
  <c r="AS331" s="1"/>
  <c r="AN358"/>
  <c r="AP358" s="1"/>
  <c r="AS358" s="1"/>
  <c r="AN112"/>
  <c r="AP112" s="1"/>
  <c r="AS112" s="1"/>
  <c r="AN685"/>
  <c r="AP685" s="1"/>
  <c r="AS685" s="1"/>
  <c r="AN301"/>
  <c r="AP301" s="1"/>
  <c r="AS301" s="1"/>
  <c r="AN506"/>
  <c r="AP506" s="1"/>
  <c r="AS506" s="1"/>
  <c r="AN707"/>
  <c r="AP707" s="1"/>
  <c r="AS707" s="1"/>
  <c r="AN379"/>
  <c r="AP379" s="1"/>
  <c r="AS379" s="1"/>
  <c r="AN1233"/>
  <c r="AP1233" s="1"/>
  <c r="AS1233" s="1"/>
  <c r="AN600"/>
  <c r="AP600" s="1"/>
  <c r="AS600" s="1"/>
  <c r="AN616"/>
  <c r="AP616" s="1"/>
  <c r="AS616" s="1"/>
  <c r="AN1140"/>
  <c r="AP1140" s="1"/>
  <c r="AS1140" s="1"/>
  <c r="AN630"/>
  <c r="AP630" s="1"/>
  <c r="AS630" s="1"/>
  <c r="AN192"/>
  <c r="AP192" s="1"/>
  <c r="AS192" s="1"/>
  <c r="AN889"/>
  <c r="AP889" s="1"/>
  <c r="AS889" s="1"/>
  <c r="AN612"/>
  <c r="AP612" s="1"/>
  <c r="AS612" s="1"/>
  <c r="AN500"/>
  <c r="AP500" s="1"/>
  <c r="AS500" s="1"/>
  <c r="AN382"/>
  <c r="AP382" s="1"/>
  <c r="AS382" s="1"/>
  <c r="AO78"/>
  <c r="AR78" s="1"/>
  <c r="AN388"/>
  <c r="AP388" s="1"/>
  <c r="AS388" s="1"/>
  <c r="AN520"/>
  <c r="AP520" s="1"/>
  <c r="AS520" s="1"/>
  <c r="AO137"/>
  <c r="AR137" s="1"/>
  <c r="AO656"/>
  <c r="AR656" s="1"/>
  <c r="AO676"/>
  <c r="AR676" s="1"/>
  <c r="AO848"/>
  <c r="AR848" s="1"/>
  <c r="AN62"/>
  <c r="AP62" s="1"/>
  <c r="AS62" s="1"/>
  <c r="AO121"/>
  <c r="AR121" s="1"/>
  <c r="AO171"/>
  <c r="AR171" s="1"/>
  <c r="AO62"/>
  <c r="AR62" s="1"/>
  <c r="AO117"/>
  <c r="AR117" s="1"/>
  <c r="AO321"/>
  <c r="AR321" s="1"/>
  <c r="AO932"/>
  <c r="AR932" s="1"/>
  <c r="AN951"/>
  <c r="AP951" s="1"/>
  <c r="AS951" s="1"/>
  <c r="AO325"/>
  <c r="AR325" s="1"/>
  <c r="AO563"/>
  <c r="AR563" s="1"/>
  <c r="AO886"/>
  <c r="AR886" s="1"/>
  <c r="AN44"/>
  <c r="AP44" s="1"/>
  <c r="AS44" s="1"/>
  <c r="AO772"/>
  <c r="AR772" s="1"/>
  <c r="AN772"/>
  <c r="AP772" s="1"/>
  <c r="AS772" s="1"/>
  <c r="AN234"/>
  <c r="AP234" s="1"/>
  <c r="AS234" s="1"/>
  <c r="AO234"/>
  <c r="AR234" s="1"/>
  <c r="AN739"/>
  <c r="AP739" s="1"/>
  <c r="AS739" s="1"/>
  <c r="AO739"/>
  <c r="AR739" s="1"/>
  <c r="AO770"/>
  <c r="AR770" s="1"/>
  <c r="AN770"/>
  <c r="AP770" s="1"/>
  <c r="AS770" s="1"/>
  <c r="AN440"/>
  <c r="AP440" s="1"/>
  <c r="AS440" s="1"/>
  <c r="AO440"/>
  <c r="AR440" s="1"/>
  <c r="AN761"/>
  <c r="AP761" s="1"/>
  <c r="AS761" s="1"/>
  <c r="AO761"/>
  <c r="AR761" s="1"/>
  <c r="AO758"/>
  <c r="AR758" s="1"/>
  <c r="AN758"/>
  <c r="AP758" s="1"/>
  <c r="AS758" s="1"/>
  <c r="AN981"/>
  <c r="AP981" s="1"/>
  <c r="AS981" s="1"/>
  <c r="AO981"/>
  <c r="AR981" s="1"/>
  <c r="AO449"/>
  <c r="AR449" s="1"/>
  <c r="AN449"/>
  <c r="AP449" s="1"/>
  <c r="AS449" s="1"/>
  <c r="AN947"/>
  <c r="AP947" s="1"/>
  <c r="AS947" s="1"/>
  <c r="AO947"/>
  <c r="AR947" s="1"/>
  <c r="AN486"/>
  <c r="AP486" s="1"/>
  <c r="AS486" s="1"/>
  <c r="AO486"/>
  <c r="AR486" s="1"/>
  <c r="AN969"/>
  <c r="AP969" s="1"/>
  <c r="AS969" s="1"/>
  <c r="AO969"/>
  <c r="AR969" s="1"/>
  <c r="AO768"/>
  <c r="AR768" s="1"/>
  <c r="AN768"/>
  <c r="AP768" s="1"/>
  <c r="AS768" s="1"/>
  <c r="AN973"/>
  <c r="AP973" s="1"/>
  <c r="AS973" s="1"/>
  <c r="AO973"/>
  <c r="AR973" s="1"/>
  <c r="AO219"/>
  <c r="AR219" s="1"/>
  <c r="AN219"/>
  <c r="AP219" s="1"/>
  <c r="AS219" s="1"/>
  <c r="AO741"/>
  <c r="AR741" s="1"/>
  <c r="AN741"/>
  <c r="AP741" s="1"/>
  <c r="AS741" s="1"/>
  <c r="AO412"/>
  <c r="AR412" s="1"/>
  <c r="AN412"/>
  <c r="AP412" s="1"/>
  <c r="AS412" s="1"/>
  <c r="AN455"/>
  <c r="AP455" s="1"/>
  <c r="AS455" s="1"/>
  <c r="AO455"/>
  <c r="AR455" s="1"/>
  <c r="AN937"/>
  <c r="AP937" s="1"/>
  <c r="AS937" s="1"/>
  <c r="AO937"/>
  <c r="AR937" s="1"/>
  <c r="AO437"/>
  <c r="AR437" s="1"/>
  <c r="AN437"/>
  <c r="AP437" s="1"/>
  <c r="AS437" s="1"/>
  <c r="AN767"/>
  <c r="AP767" s="1"/>
  <c r="AS767" s="1"/>
  <c r="AO767"/>
  <c r="AR767" s="1"/>
  <c r="AO456"/>
  <c r="AR456" s="1"/>
  <c r="AN456"/>
  <c r="AP456" s="1"/>
  <c r="AS456" s="1"/>
  <c r="AN457"/>
  <c r="AP457" s="1"/>
  <c r="AS457" s="1"/>
  <c r="AO457"/>
  <c r="AR457" s="1"/>
  <c r="AO776"/>
  <c r="AR776" s="1"/>
  <c r="AN776"/>
  <c r="AP776" s="1"/>
  <c r="AS776" s="1"/>
  <c r="AO241"/>
  <c r="AR241" s="1"/>
  <c r="AN241"/>
  <c r="AP241" s="1"/>
  <c r="AS241" s="1"/>
  <c r="AO215"/>
  <c r="AR215" s="1"/>
  <c r="AN215"/>
  <c r="AP215" s="1"/>
  <c r="AS215" s="1"/>
  <c r="AN418"/>
  <c r="AP418" s="1"/>
  <c r="AS418" s="1"/>
  <c r="AO418"/>
  <c r="AR418" s="1"/>
  <c r="AO232"/>
  <c r="AR232" s="1"/>
  <c r="AN232"/>
  <c r="AP232" s="1"/>
  <c r="AS232" s="1"/>
  <c r="AO467"/>
  <c r="AR467" s="1"/>
  <c r="AN467"/>
  <c r="AP467" s="1"/>
  <c r="AS467" s="1"/>
  <c r="AO433"/>
  <c r="AR433" s="1"/>
  <c r="AN433"/>
  <c r="AP433" s="1"/>
  <c r="AS433" s="1"/>
  <c r="AN429"/>
  <c r="AP429" s="1"/>
  <c r="AS429" s="1"/>
  <c r="AO429"/>
  <c r="AR429" s="1"/>
  <c r="AN242"/>
  <c r="AP242" s="1"/>
  <c r="AS242" s="1"/>
  <c r="AO242"/>
  <c r="AR242" s="1"/>
  <c r="AN775"/>
  <c r="AP775" s="1"/>
  <c r="AS775" s="1"/>
  <c r="AO775"/>
  <c r="AR775" s="1"/>
  <c r="AO441"/>
  <c r="AR441" s="1"/>
  <c r="AN441"/>
  <c r="AP441" s="1"/>
  <c r="AS441" s="1"/>
  <c r="AN931"/>
  <c r="AP931" s="1"/>
  <c r="AS931" s="1"/>
  <c r="AO931"/>
  <c r="AR931" s="1"/>
  <c r="AN1005"/>
  <c r="AP1005" s="1"/>
  <c r="AS1005" s="1"/>
  <c r="AO1005"/>
  <c r="AR1005" s="1"/>
  <c r="AO448"/>
  <c r="AR448" s="1"/>
  <c r="AN448"/>
  <c r="AP448" s="1"/>
  <c r="AS448" s="1"/>
  <c r="AN959"/>
  <c r="AP959" s="1"/>
  <c r="AS959" s="1"/>
  <c r="AO959"/>
  <c r="AR959" s="1"/>
  <c r="AN1009"/>
  <c r="AP1009" s="1"/>
  <c r="AS1009" s="1"/>
  <c r="AO1009"/>
  <c r="AR1009" s="1"/>
  <c r="AO485"/>
  <c r="AR485" s="1"/>
  <c r="AN485"/>
  <c r="AP485" s="1"/>
  <c r="AS485" s="1"/>
  <c r="AN211"/>
  <c r="AP211" s="1"/>
  <c r="AS211" s="1"/>
  <c r="AO211"/>
  <c r="AR211" s="1"/>
  <c r="AO424"/>
  <c r="AR424" s="1"/>
  <c r="AN424"/>
  <c r="AP424" s="1"/>
  <c r="AS424" s="1"/>
  <c r="AO226"/>
  <c r="AR226" s="1"/>
  <c r="AN226"/>
  <c r="AP226" s="1"/>
  <c r="AS226" s="1"/>
  <c r="AO239"/>
  <c r="AR239" s="1"/>
  <c r="AN239"/>
  <c r="AP239" s="1"/>
  <c r="AS239" s="1"/>
  <c r="AO231"/>
  <c r="AR231" s="1"/>
  <c r="AN231"/>
  <c r="AP231" s="1"/>
  <c r="AS231" s="1"/>
  <c r="AO426"/>
  <c r="AR426" s="1"/>
  <c r="AN426"/>
  <c r="AP426" s="1"/>
  <c r="AS426" s="1"/>
  <c r="AN481"/>
  <c r="AP481" s="1"/>
  <c r="AS481" s="1"/>
  <c r="AO481"/>
  <c r="AR481" s="1"/>
  <c r="AO403"/>
  <c r="AR403" s="1"/>
  <c r="AN403"/>
  <c r="AP403" s="1"/>
  <c r="AS403" s="1"/>
  <c r="AO229"/>
  <c r="AR229" s="1"/>
  <c r="AN229"/>
  <c r="AP229" s="1"/>
  <c r="AS229" s="1"/>
  <c r="AN475"/>
  <c r="AP475" s="1"/>
  <c r="AS475" s="1"/>
  <c r="AO475"/>
  <c r="AR475" s="1"/>
  <c r="AO210"/>
  <c r="AR210" s="1"/>
  <c r="AN210"/>
  <c r="AP210" s="1"/>
  <c r="AS210" s="1"/>
  <c r="AN957"/>
  <c r="AP957" s="1"/>
  <c r="AS957" s="1"/>
  <c r="AO957"/>
  <c r="AR957" s="1"/>
  <c r="AN771"/>
  <c r="AP771" s="1"/>
  <c r="AS771" s="1"/>
  <c r="AO771"/>
  <c r="AR771" s="1"/>
  <c r="AN743"/>
  <c r="AP743" s="1"/>
  <c r="AS743" s="1"/>
  <c r="AO743"/>
  <c r="AR743" s="1"/>
  <c r="AN763"/>
  <c r="AP763" s="1"/>
  <c r="AS763" s="1"/>
  <c r="AO763"/>
  <c r="AR763" s="1"/>
  <c r="AO240"/>
  <c r="AR240" s="1"/>
  <c r="AN240"/>
  <c r="AP240" s="1"/>
  <c r="AS240" s="1"/>
  <c r="AO474"/>
  <c r="AR474" s="1"/>
  <c r="AN474"/>
  <c r="AP474" s="1"/>
  <c r="AS474" s="1"/>
  <c r="AO428"/>
  <c r="AR428" s="1"/>
  <c r="AN428"/>
  <c r="AP428" s="1"/>
  <c r="AS428" s="1"/>
  <c r="AN985"/>
  <c r="AP985" s="1"/>
  <c r="AS985" s="1"/>
  <c r="AO985"/>
  <c r="AR985" s="1"/>
  <c r="AN933"/>
  <c r="AP933" s="1"/>
  <c r="AS933" s="1"/>
  <c r="AO933"/>
  <c r="AR933" s="1"/>
  <c r="AN987"/>
  <c r="AP987" s="1"/>
  <c r="AS987" s="1"/>
  <c r="AO987"/>
  <c r="AR987" s="1"/>
  <c r="AN979"/>
  <c r="AP979" s="1"/>
  <c r="AS979" s="1"/>
  <c r="AO979"/>
  <c r="AR979" s="1"/>
  <c r="AN218"/>
  <c r="AP218" s="1"/>
  <c r="AS218" s="1"/>
  <c r="AO218"/>
  <c r="AR218" s="1"/>
  <c r="AO482"/>
  <c r="AR482" s="1"/>
  <c r="AN482"/>
  <c r="AP482" s="1"/>
  <c r="AS482" s="1"/>
  <c r="AO477"/>
  <c r="AR477" s="1"/>
  <c r="AN477"/>
  <c r="AP477" s="1"/>
  <c r="AS477" s="1"/>
  <c r="AN415"/>
  <c r="AP415" s="1"/>
  <c r="AS415" s="1"/>
  <c r="AO415"/>
  <c r="AR415" s="1"/>
  <c r="AN325"/>
  <c r="AP325" s="1"/>
  <c r="AS325" s="1"/>
  <c r="AO592"/>
  <c r="AR592" s="1"/>
  <c r="AO871"/>
  <c r="AR871" s="1"/>
  <c r="AO244"/>
  <c r="AR244" s="1"/>
  <c r="AO783"/>
  <c r="AR783" s="1"/>
  <c r="AO187"/>
  <c r="AR187" s="1"/>
  <c r="AO1125"/>
  <c r="AR1125" s="1"/>
  <c r="AO1228"/>
  <c r="AR1228" s="1"/>
  <c r="AO675"/>
  <c r="AR675" s="1"/>
  <c r="AO536"/>
  <c r="AR536" s="1"/>
  <c r="AO854"/>
  <c r="AR854" s="1"/>
  <c r="AO873"/>
  <c r="AR873" s="1"/>
  <c r="AN343"/>
  <c r="AP343" s="1"/>
  <c r="AS343" s="1"/>
  <c r="AO1042"/>
  <c r="AR1042" s="1"/>
  <c r="AO149"/>
  <c r="AR149" s="1"/>
  <c r="AO389"/>
  <c r="AR389" s="1"/>
  <c r="AO329"/>
  <c r="AR329" s="1"/>
  <c r="AO866"/>
  <c r="AR866" s="1"/>
  <c r="AO1134"/>
  <c r="AR1134" s="1"/>
  <c r="AO503"/>
  <c r="AR503" s="1"/>
  <c r="AN61"/>
  <c r="AP61" s="1"/>
  <c r="AS61" s="1"/>
  <c r="AO567"/>
  <c r="AR567" s="1"/>
  <c r="AO1067"/>
  <c r="AR1067" s="1"/>
  <c r="AO354"/>
  <c r="AR354" s="1"/>
  <c r="AO300"/>
  <c r="AR300" s="1"/>
  <c r="AO666"/>
  <c r="AR666" s="1"/>
  <c r="AO717"/>
  <c r="AR717" s="1"/>
  <c r="AO1058"/>
  <c r="AR1058" s="1"/>
  <c r="AO557"/>
  <c r="AR557" s="1"/>
  <c r="AO361"/>
  <c r="AR361" s="1"/>
  <c r="AO650"/>
  <c r="AR650" s="1"/>
  <c r="AO1200"/>
  <c r="AR1200" s="1"/>
  <c r="AO1057"/>
  <c r="AR1057" s="1"/>
  <c r="AO658"/>
  <c r="AR658" s="1"/>
  <c r="AO111"/>
  <c r="AR111" s="1"/>
  <c r="AO619"/>
  <c r="AR619" s="1"/>
  <c r="AO652"/>
  <c r="AR652" s="1"/>
  <c r="AO900"/>
  <c r="AR900" s="1"/>
  <c r="AO1216"/>
  <c r="AR1216" s="1"/>
  <c r="AO1220"/>
  <c r="AR1220" s="1"/>
  <c r="AO1076"/>
  <c r="AR1076" s="1"/>
  <c r="AO905"/>
  <c r="AR905" s="1"/>
  <c r="AO1206"/>
  <c r="AR1206" s="1"/>
  <c r="AO870"/>
  <c r="AR870" s="1"/>
  <c r="AO1062"/>
  <c r="AR1062" s="1"/>
  <c r="AO728"/>
  <c r="AR728" s="1"/>
  <c r="AO904"/>
  <c r="AR904" s="1"/>
  <c r="AO303"/>
  <c r="AR303" s="1"/>
  <c r="AO560"/>
  <c r="AR560" s="1"/>
  <c r="AO399"/>
  <c r="AR399" s="1"/>
  <c r="AO817"/>
  <c r="AR817" s="1"/>
  <c r="AO507"/>
  <c r="AR507" s="1"/>
  <c r="AN55"/>
  <c r="AP55" s="1"/>
  <c r="AS55" s="1"/>
  <c r="AO175"/>
  <c r="AR175" s="1"/>
  <c r="AO143"/>
  <c r="AR143" s="1"/>
  <c r="AO298"/>
  <c r="AR298" s="1"/>
  <c r="AO927"/>
  <c r="AR927" s="1"/>
  <c r="AO327"/>
  <c r="AR327" s="1"/>
  <c r="AO858"/>
  <c r="AR858" s="1"/>
  <c r="AO353"/>
  <c r="AR353" s="1"/>
  <c r="AO576"/>
  <c r="AR576" s="1"/>
  <c r="AN91"/>
  <c r="AP91" s="1"/>
  <c r="AS91" s="1"/>
  <c r="AO1104"/>
  <c r="AR1104" s="1"/>
  <c r="AO1070"/>
  <c r="AR1070" s="1"/>
  <c r="AN60"/>
  <c r="AP60" s="1"/>
  <c r="AS60" s="1"/>
  <c r="AO793"/>
  <c r="AR793" s="1"/>
  <c r="AO952"/>
  <c r="AR952" s="1"/>
  <c r="AO381"/>
  <c r="AR381" s="1"/>
  <c r="AO893"/>
  <c r="AR893" s="1"/>
  <c r="AO849"/>
  <c r="AR849" s="1"/>
  <c r="AO930"/>
  <c r="AR930" s="1"/>
  <c r="AO857"/>
  <c r="AR857" s="1"/>
  <c r="AO333"/>
  <c r="AR333" s="1"/>
  <c r="AO315"/>
  <c r="AR315" s="1"/>
  <c r="AO356"/>
  <c r="AR356" s="1"/>
  <c r="AO1091"/>
  <c r="AR1091" s="1"/>
  <c r="AO796"/>
  <c r="AR796" s="1"/>
  <c r="AO1269"/>
  <c r="AR1269" s="1"/>
  <c r="AO934"/>
  <c r="AR934" s="1"/>
  <c r="AO367"/>
  <c r="AR367" s="1"/>
  <c r="AO178"/>
  <c r="AR178" s="1"/>
  <c r="AO1046"/>
  <c r="AR1046" s="1"/>
  <c r="AO568"/>
  <c r="AR568" s="1"/>
  <c r="AO1144"/>
  <c r="AR1144" s="1"/>
  <c r="AO835"/>
  <c r="AR835" s="1"/>
  <c r="AO1021"/>
  <c r="AR1021" s="1"/>
  <c r="AN80"/>
  <c r="AP80" s="1"/>
  <c r="AS80" s="1"/>
  <c r="AN36"/>
  <c r="AP36" s="1"/>
  <c r="AS36" s="1"/>
  <c r="AO725"/>
  <c r="AR725" s="1"/>
  <c r="AO641"/>
  <c r="AR641" s="1"/>
  <c r="AO1165"/>
  <c r="AR1165" s="1"/>
  <c r="AO156"/>
  <c r="AR156" s="1"/>
  <c r="AO704"/>
  <c r="AR704" s="1"/>
  <c r="AO310"/>
  <c r="AR310" s="1"/>
  <c r="AO289"/>
  <c r="AR289" s="1"/>
  <c r="AO838"/>
  <c r="AR838" s="1"/>
  <c r="AO721"/>
  <c r="AR721" s="1"/>
  <c r="AO157"/>
  <c r="AR157" s="1"/>
  <c r="AO638"/>
  <c r="AR638" s="1"/>
  <c r="AO1109"/>
  <c r="AR1109" s="1"/>
  <c r="AO534"/>
  <c r="AR534" s="1"/>
  <c r="AN96"/>
  <c r="AP96" s="1"/>
  <c r="AS96" s="1"/>
  <c r="AO1180"/>
  <c r="AR1180" s="1"/>
  <c r="AO572"/>
  <c r="AR572" s="1"/>
  <c r="AO257"/>
  <c r="AR257" s="1"/>
  <c r="AN37"/>
  <c r="AP37" s="1"/>
  <c r="AS37" s="1"/>
  <c r="AO823"/>
  <c r="AR823" s="1"/>
  <c r="AN86"/>
  <c r="AP86" s="1"/>
  <c r="AS86" s="1"/>
  <c r="AO599"/>
  <c r="AR599" s="1"/>
  <c r="AO569"/>
  <c r="AR569" s="1"/>
  <c r="AO365"/>
  <c r="AR365" s="1"/>
  <c r="AO921"/>
  <c r="AR921" s="1"/>
  <c r="AO994"/>
  <c r="AR994" s="1"/>
  <c r="AO1251"/>
  <c r="AR1251" s="1"/>
  <c r="AO517"/>
  <c r="AR517" s="1"/>
  <c r="AO816"/>
  <c r="AR816" s="1"/>
  <c r="AO103"/>
  <c r="AR103" s="1"/>
  <c r="AO294"/>
  <c r="AR294" s="1"/>
  <c r="AO1226"/>
  <c r="AR1226" s="1"/>
  <c r="AO555"/>
  <c r="AR555" s="1"/>
  <c r="AO1244"/>
  <c r="AR1244" s="1"/>
  <c r="AO109"/>
  <c r="AR109" s="1"/>
  <c r="AO510"/>
  <c r="AR510" s="1"/>
  <c r="AO362"/>
  <c r="AR362" s="1"/>
  <c r="AO709"/>
  <c r="AR709" s="1"/>
  <c r="AO790"/>
  <c r="AR790" s="1"/>
  <c r="AO493"/>
  <c r="AR493" s="1"/>
  <c r="AO950"/>
  <c r="AR950" s="1"/>
  <c r="AO611"/>
  <c r="AR611" s="1"/>
  <c r="AO1033"/>
  <c r="AR1033" s="1"/>
  <c r="AO1147"/>
  <c r="AR1147" s="1"/>
  <c r="AO855"/>
  <c r="AR855" s="1"/>
  <c r="AO189"/>
  <c r="AR189" s="1"/>
  <c r="AO667"/>
  <c r="AR667" s="1"/>
  <c r="AN33"/>
  <c r="AP33" s="1"/>
  <c r="AS33" s="1"/>
  <c r="AO1235"/>
  <c r="AR1235" s="1"/>
  <c r="AO645"/>
  <c r="AR645" s="1"/>
  <c r="AO1168"/>
  <c r="AR1168" s="1"/>
  <c r="AO882"/>
  <c r="AR882" s="1"/>
  <c r="AN74"/>
  <c r="AP74" s="1"/>
  <c r="AS74" s="1"/>
  <c r="AO506"/>
  <c r="AR506" s="1"/>
  <c r="AO778"/>
  <c r="AR778" s="1"/>
  <c r="AO710"/>
  <c r="AR710" s="1"/>
  <c r="AO614"/>
  <c r="AR614" s="1"/>
  <c r="AN34"/>
  <c r="AP34" s="1"/>
  <c r="AS34" s="1"/>
  <c r="AO703"/>
  <c r="AR703" s="1"/>
  <c r="AN83"/>
  <c r="AP83" s="1"/>
  <c r="AS83" s="1"/>
  <c r="AO829"/>
  <c r="AR829" s="1"/>
  <c r="AO497"/>
  <c r="AR497" s="1"/>
  <c r="AO125"/>
  <c r="AR125" s="1"/>
  <c r="AN46"/>
  <c r="AP46" s="1"/>
  <c r="AS46" s="1"/>
  <c r="AO828"/>
  <c r="AR828" s="1"/>
  <c r="AN40"/>
  <c r="AP40" s="1"/>
  <c r="AS40" s="1"/>
  <c r="AO502"/>
  <c r="AR502" s="1"/>
  <c r="AO878"/>
  <c r="AR878" s="1"/>
  <c r="AO1027"/>
  <c r="AR1027" s="1"/>
  <c r="AO888"/>
  <c r="AR888" s="1"/>
  <c r="AO634"/>
  <c r="AR634" s="1"/>
  <c r="AO1056"/>
  <c r="AR1056" s="1"/>
  <c r="AO527"/>
  <c r="AR527" s="1"/>
  <c r="AO181"/>
  <c r="AR181" s="1"/>
  <c r="AO512"/>
  <c r="AR512" s="1"/>
  <c r="AO122"/>
  <c r="AR122" s="1"/>
  <c r="AO938"/>
  <c r="AR938" s="1"/>
  <c r="AO1088"/>
  <c r="AR1088" s="1"/>
  <c r="AO821"/>
  <c r="AR821" s="1"/>
  <c r="AO1209"/>
  <c r="AR1209" s="1"/>
  <c r="AO860"/>
  <c r="AR860" s="1"/>
  <c r="AO1128"/>
  <c r="AR1128" s="1"/>
  <c r="AO705"/>
  <c r="AR705" s="1"/>
  <c r="AO824"/>
  <c r="AR824" s="1"/>
  <c r="AO1037"/>
  <c r="AR1037" s="1"/>
  <c r="AO574"/>
  <c r="AR574" s="1"/>
  <c r="AO384"/>
  <c r="AR384" s="1"/>
  <c r="AO131"/>
  <c r="AR131" s="1"/>
  <c r="AN53"/>
  <c r="AP53" s="1"/>
  <c r="AS53" s="1"/>
  <c r="AO700"/>
  <c r="AR700" s="1"/>
  <c r="AO628"/>
  <c r="AR628" s="1"/>
  <c r="AO1081"/>
  <c r="AR1081" s="1"/>
  <c r="AO490"/>
  <c r="AR490" s="1"/>
  <c r="AO491"/>
  <c r="AR491" s="1"/>
  <c r="AO853"/>
  <c r="AR853" s="1"/>
  <c r="AO1247"/>
  <c r="AR1247" s="1"/>
  <c r="AO292"/>
  <c r="AR292" s="1"/>
  <c r="AO810"/>
  <c r="AR810" s="1"/>
  <c r="AO172"/>
  <c r="AR172" s="1"/>
  <c r="AO296"/>
  <c r="AR296" s="1"/>
  <c r="AO803"/>
  <c r="AR803" s="1"/>
  <c r="AO735"/>
  <c r="AR735" s="1"/>
  <c r="AO852"/>
  <c r="AR852" s="1"/>
  <c r="AO1111"/>
  <c r="AR1111" s="1"/>
  <c r="AO659"/>
  <c r="AR659" s="1"/>
  <c r="AO842"/>
  <c r="AR842" s="1"/>
  <c r="AO1078"/>
  <c r="AR1078" s="1"/>
  <c r="AO1203"/>
  <c r="AR1203" s="1"/>
  <c r="AO331"/>
  <c r="AR331" s="1"/>
  <c r="AO601"/>
  <c r="AR601" s="1"/>
  <c r="AO804"/>
  <c r="AR804" s="1"/>
  <c r="AO562"/>
  <c r="AR562" s="1"/>
  <c r="AO577"/>
  <c r="AR577" s="1"/>
  <c r="AO1258"/>
  <c r="AR1258" s="1"/>
  <c r="AN66"/>
  <c r="AP66" s="1"/>
  <c r="AS66" s="1"/>
  <c r="AO980"/>
  <c r="AR980" s="1"/>
  <c r="AO533"/>
  <c r="AR533" s="1"/>
  <c r="AO998"/>
  <c r="AR998" s="1"/>
  <c r="AO1086"/>
  <c r="AR1086" s="1"/>
  <c r="AO874"/>
  <c r="AR874" s="1"/>
  <c r="AO1255"/>
  <c r="AR1255" s="1"/>
  <c r="AO1032"/>
  <c r="AR1032" s="1"/>
  <c r="AO679"/>
  <c r="AR679" s="1"/>
  <c r="AO1100"/>
  <c r="AR1100" s="1"/>
  <c r="AO683"/>
  <c r="AR683" s="1"/>
  <c r="AO1227"/>
  <c r="AR1227" s="1"/>
  <c r="AO912"/>
  <c r="AR912" s="1"/>
  <c r="AO876"/>
  <c r="AR876" s="1"/>
  <c r="AO286"/>
  <c r="AR286" s="1"/>
  <c r="AO1252"/>
  <c r="AR1252" s="1"/>
  <c r="AO806"/>
  <c r="AR806" s="1"/>
  <c r="AN206"/>
  <c r="AP206" s="1"/>
  <c r="AS206" s="1"/>
  <c r="AO901"/>
  <c r="AR901" s="1"/>
  <c r="AO532"/>
  <c r="AR532" s="1"/>
  <c r="AO167"/>
  <c r="AR167" s="1"/>
  <c r="AO380"/>
  <c r="AR380" s="1"/>
  <c r="AO188"/>
  <c r="AR188" s="1"/>
  <c r="AO52"/>
  <c r="AR52" s="1"/>
  <c r="AO471"/>
  <c r="AR471" s="1"/>
  <c r="AN76"/>
  <c r="AP76" s="1"/>
  <c r="AS76" s="1"/>
  <c r="AO1054"/>
  <c r="AR1054" s="1"/>
  <c r="AO193"/>
  <c r="AR193" s="1"/>
  <c r="AN812"/>
  <c r="AP812" s="1"/>
  <c r="AS812" s="1"/>
  <c r="AN851"/>
  <c r="AP851" s="1"/>
  <c r="AS851" s="1"/>
  <c r="AO917"/>
  <c r="AR917" s="1"/>
  <c r="AN509"/>
  <c r="AP509" s="1"/>
  <c r="AS509" s="1"/>
  <c r="AN902"/>
  <c r="AP902" s="1"/>
  <c r="AS902" s="1"/>
  <c r="AO1146"/>
  <c r="AR1146" s="1"/>
  <c r="AO899"/>
  <c r="AR899" s="1"/>
  <c r="AO495"/>
  <c r="AR495" s="1"/>
  <c r="AN913"/>
  <c r="AP913" s="1"/>
  <c r="AS913" s="1"/>
  <c r="AN499"/>
  <c r="AP499" s="1"/>
  <c r="AS499" s="1"/>
  <c r="AO513"/>
  <c r="AR513" s="1"/>
  <c r="AN657"/>
  <c r="AP657" s="1"/>
  <c r="AS657" s="1"/>
  <c r="AO694"/>
  <c r="AR694" s="1"/>
  <c r="AO372"/>
  <c r="AR372" s="1"/>
  <c r="AO982"/>
  <c r="AR982" s="1"/>
  <c r="AN863"/>
  <c r="AP863" s="1"/>
  <c r="AS863" s="1"/>
  <c r="AN213"/>
  <c r="AP213" s="1"/>
  <c r="AS213" s="1"/>
  <c r="AN737"/>
  <c r="AP737" s="1"/>
  <c r="AS737" s="1"/>
  <c r="AN754"/>
  <c r="AP754" s="1"/>
  <c r="AS754" s="1"/>
  <c r="AO944"/>
  <c r="AR944" s="1"/>
  <c r="AO236"/>
  <c r="AR236" s="1"/>
  <c r="AN236"/>
  <c r="AP236" s="1"/>
  <c r="AS236" s="1"/>
  <c r="AO760"/>
  <c r="AR760" s="1"/>
  <c r="AN760"/>
  <c r="AP760" s="1"/>
  <c r="AS760" s="1"/>
  <c r="AO212"/>
  <c r="AR212" s="1"/>
  <c r="AN212"/>
  <c r="AP212" s="1"/>
  <c r="AS212" s="1"/>
  <c r="AO434"/>
  <c r="AR434" s="1"/>
  <c r="AN434"/>
  <c r="AP434" s="1"/>
  <c r="AS434" s="1"/>
  <c r="AN989"/>
  <c r="AP989" s="1"/>
  <c r="AS989" s="1"/>
  <c r="AO989"/>
  <c r="AR989" s="1"/>
  <c r="AO216"/>
  <c r="AR216" s="1"/>
  <c r="AN216"/>
  <c r="AP216" s="1"/>
  <c r="AS216" s="1"/>
  <c r="AN747"/>
  <c r="AP747" s="1"/>
  <c r="AS747" s="1"/>
  <c r="AO747"/>
  <c r="AR747" s="1"/>
  <c r="AO476"/>
  <c r="AR476" s="1"/>
  <c r="AN476"/>
  <c r="AP476" s="1"/>
  <c r="AS476" s="1"/>
  <c r="AN443"/>
  <c r="AP443" s="1"/>
  <c r="AS443" s="1"/>
  <c r="AO443"/>
  <c r="AR443" s="1"/>
  <c r="AN971"/>
  <c r="AP971" s="1"/>
  <c r="AS971" s="1"/>
  <c r="AO971"/>
  <c r="AR971" s="1"/>
  <c r="AN773"/>
  <c r="AP773" s="1"/>
  <c r="AS773" s="1"/>
  <c r="AO773"/>
  <c r="AR773" s="1"/>
  <c r="AN225"/>
  <c r="AP225" s="1"/>
  <c r="AS225" s="1"/>
  <c r="AO225"/>
  <c r="AR225" s="1"/>
  <c r="AO432"/>
  <c r="AR432" s="1"/>
  <c r="AN432"/>
  <c r="AP432" s="1"/>
  <c r="AS432" s="1"/>
  <c r="AN967"/>
  <c r="AP967" s="1"/>
  <c r="AS967" s="1"/>
  <c r="AO967"/>
  <c r="AR967" s="1"/>
  <c r="AN997"/>
  <c r="AP997" s="1"/>
  <c r="AS997" s="1"/>
  <c r="AO997"/>
  <c r="AR997" s="1"/>
  <c r="AO452"/>
  <c r="AR452" s="1"/>
  <c r="AN452"/>
  <c r="AP452" s="1"/>
  <c r="AS452" s="1"/>
  <c r="AN943"/>
  <c r="AP943" s="1"/>
  <c r="AS943" s="1"/>
  <c r="AO943"/>
  <c r="AR943" s="1"/>
  <c r="AN983"/>
  <c r="AP983" s="1"/>
  <c r="AS983" s="1"/>
  <c r="AO983"/>
  <c r="AR983" s="1"/>
  <c r="AO468"/>
  <c r="AR468" s="1"/>
  <c r="AN468"/>
  <c r="AP468" s="1"/>
  <c r="AS468" s="1"/>
  <c r="AO417"/>
  <c r="AR417" s="1"/>
  <c r="AN417"/>
  <c r="AP417" s="1"/>
  <c r="AS417" s="1"/>
  <c r="AN227"/>
  <c r="AP227" s="1"/>
  <c r="AS227" s="1"/>
  <c r="AO227"/>
  <c r="AR227" s="1"/>
  <c r="AN408"/>
  <c r="AP408" s="1"/>
  <c r="AS408" s="1"/>
  <c r="AO408"/>
  <c r="AR408" s="1"/>
  <c r="AN999"/>
  <c r="AP999" s="1"/>
  <c r="AS999" s="1"/>
  <c r="AO999"/>
  <c r="AR999" s="1"/>
  <c r="AO764"/>
  <c r="AR764" s="1"/>
  <c r="AN764"/>
  <c r="AP764" s="1"/>
  <c r="AS764" s="1"/>
  <c r="AN965"/>
  <c r="AP965" s="1"/>
  <c r="AS965" s="1"/>
  <c r="AO965"/>
  <c r="AR965" s="1"/>
  <c r="AN769"/>
  <c r="AP769" s="1"/>
  <c r="AS769" s="1"/>
  <c r="AO769"/>
  <c r="AR769" s="1"/>
  <c r="AO473"/>
  <c r="AR473" s="1"/>
  <c r="AN473"/>
  <c r="AP473" s="1"/>
  <c r="AS473" s="1"/>
  <c r="AN454"/>
  <c r="AP454" s="1"/>
  <c r="AS454" s="1"/>
  <c r="AO454"/>
  <c r="AR454" s="1"/>
  <c r="AO419"/>
  <c r="AR419" s="1"/>
  <c r="AN419"/>
  <c r="AP419" s="1"/>
  <c r="AS419" s="1"/>
  <c r="AN230"/>
  <c r="AP230" s="1"/>
  <c r="AS230" s="1"/>
  <c r="AO230"/>
  <c r="AR230" s="1"/>
  <c r="AO222"/>
  <c r="AR222" s="1"/>
  <c r="AN222"/>
  <c r="AP222" s="1"/>
  <c r="AS222" s="1"/>
  <c r="AO752"/>
  <c r="AR752" s="1"/>
  <c r="AN752"/>
  <c r="AP752" s="1"/>
  <c r="AS752" s="1"/>
  <c r="AN945"/>
  <c r="AP945" s="1"/>
  <c r="AS945" s="1"/>
  <c r="AO945"/>
  <c r="AR945" s="1"/>
  <c r="AO402"/>
  <c r="AR402" s="1"/>
  <c r="AN402"/>
  <c r="AP402" s="1"/>
  <c r="AS402" s="1"/>
  <c r="AN214"/>
  <c r="AP214" s="1"/>
  <c r="AS214" s="1"/>
  <c r="AO214"/>
  <c r="AR214" s="1"/>
  <c r="AO478"/>
  <c r="AR478" s="1"/>
  <c r="AN478"/>
  <c r="AP478" s="1"/>
  <c r="AS478" s="1"/>
  <c r="AN755"/>
  <c r="AP755" s="1"/>
  <c r="AS755" s="1"/>
  <c r="AO755"/>
  <c r="AR755" s="1"/>
  <c r="AO427"/>
  <c r="AR427" s="1"/>
  <c r="AN427"/>
  <c r="AP427" s="1"/>
  <c r="AS427" s="1"/>
  <c r="AO453"/>
  <c r="AR453" s="1"/>
  <c r="AN453"/>
  <c r="AP453" s="1"/>
  <c r="AS453" s="1"/>
  <c r="AO439"/>
  <c r="AR439" s="1"/>
  <c r="AN439"/>
  <c r="AP439" s="1"/>
  <c r="AS439" s="1"/>
  <c r="AN991"/>
  <c r="AP991" s="1"/>
  <c r="AS991" s="1"/>
  <c r="AO991"/>
  <c r="AR991" s="1"/>
  <c r="AN450"/>
  <c r="AP450" s="1"/>
  <c r="AS450" s="1"/>
  <c r="AO450"/>
  <c r="AR450" s="1"/>
  <c r="AN67"/>
  <c r="AP67" s="1"/>
  <c r="AS67" s="1"/>
  <c r="AO1114"/>
  <c r="AR1114" s="1"/>
  <c r="AO910"/>
  <c r="AR910" s="1"/>
  <c r="AO1217"/>
  <c r="AR1217" s="1"/>
  <c r="AO525"/>
  <c r="AR525" s="1"/>
  <c r="AO1225"/>
  <c r="AR1225" s="1"/>
  <c r="AO688"/>
  <c r="AR688" s="1"/>
  <c r="AO678"/>
  <c r="AR678" s="1"/>
  <c r="AO194"/>
  <c r="AR194" s="1"/>
  <c r="AO1238"/>
  <c r="AR1238" s="1"/>
  <c r="AO797"/>
  <c r="AR797" s="1"/>
  <c r="AO724"/>
  <c r="AR724" s="1"/>
  <c r="AN1222"/>
  <c r="AP1222" s="1"/>
  <c r="AS1222" s="1"/>
  <c r="AO585"/>
  <c r="AR585" s="1"/>
  <c r="AN51"/>
  <c r="AP51" s="1"/>
  <c r="AS51" s="1"/>
  <c r="AO281"/>
  <c r="AR281" s="1"/>
  <c r="AO646"/>
  <c r="AR646" s="1"/>
  <c r="AO756"/>
  <c r="AR756" s="1"/>
  <c r="AO827"/>
  <c r="AR827" s="1"/>
  <c r="AN48"/>
  <c r="AP48" s="1"/>
  <c r="AS48" s="1"/>
  <c r="AO1223"/>
  <c r="AR1223" s="1"/>
  <c r="AO1052"/>
  <c r="AR1052" s="1"/>
  <c r="AO390"/>
  <c r="AR390" s="1"/>
  <c r="AO1082"/>
  <c r="AR1082" s="1"/>
  <c r="AO140"/>
  <c r="AR140" s="1"/>
  <c r="AO526"/>
  <c r="AR526" s="1"/>
  <c r="AO990"/>
  <c r="AR990" s="1"/>
  <c r="AO539"/>
  <c r="AR539" s="1"/>
  <c r="AO112"/>
  <c r="AR112" s="1"/>
  <c r="AO587"/>
  <c r="AR587" s="1"/>
  <c r="AO1259"/>
  <c r="AR1259" s="1"/>
  <c r="AO357"/>
  <c r="AR357" s="1"/>
  <c r="AO699"/>
  <c r="AR699" s="1"/>
  <c r="AO134"/>
  <c r="AR134" s="1"/>
  <c r="AO273"/>
  <c r="AR273" s="1"/>
  <c r="AO368"/>
  <c r="AR368" s="1"/>
  <c r="AO531"/>
  <c r="AR531" s="1"/>
  <c r="AO897"/>
  <c r="AR897" s="1"/>
  <c r="AO916"/>
  <c r="AR916" s="1"/>
  <c r="AO1232"/>
  <c r="AR1232" s="1"/>
  <c r="AO668"/>
  <c r="AR668" s="1"/>
  <c r="AO1215"/>
  <c r="AR1215" s="1"/>
  <c r="AO978"/>
  <c r="AR978" s="1"/>
  <c r="AO489"/>
  <c r="AR489" s="1"/>
  <c r="AO330"/>
  <c r="AR330" s="1"/>
  <c r="AO1108"/>
  <c r="AR1108" s="1"/>
  <c r="AN68"/>
  <c r="AP68" s="1"/>
  <c r="AS68" s="1"/>
  <c r="AO1149"/>
  <c r="AR1149" s="1"/>
  <c r="AO496"/>
  <c r="AR496" s="1"/>
  <c r="AO1031"/>
  <c r="AR1031" s="1"/>
  <c r="AO988"/>
  <c r="AR988" s="1"/>
  <c r="AO1248"/>
  <c r="AR1248" s="1"/>
  <c r="AO865"/>
  <c r="AR865" s="1"/>
  <c r="AO161"/>
  <c r="AR161" s="1"/>
  <c r="AO583"/>
  <c r="AR583" s="1"/>
  <c r="AO1096"/>
  <c r="AR1096" s="1"/>
  <c r="AO889"/>
  <c r="AR889" s="1"/>
  <c r="AO856"/>
  <c r="AR856" s="1"/>
  <c r="AN95"/>
  <c r="AP95" s="1"/>
  <c r="AS95" s="1"/>
  <c r="AN69"/>
  <c r="AP69" s="1"/>
  <c r="AS69" s="1"/>
  <c r="AO626"/>
  <c r="AR626" s="1"/>
  <c r="AO640"/>
  <c r="AR640" s="1"/>
  <c r="AN79"/>
  <c r="AP79" s="1"/>
  <c r="AS79" s="1"/>
  <c r="AO488"/>
  <c r="AR488" s="1"/>
  <c r="AO392"/>
  <c r="AR392" s="1"/>
  <c r="AO777"/>
  <c r="AR777" s="1"/>
  <c r="AO256"/>
  <c r="AR256" s="1"/>
  <c r="AO1229"/>
  <c r="AR1229" s="1"/>
  <c r="AO850"/>
  <c r="AR850" s="1"/>
  <c r="AO1051"/>
  <c r="AR1051" s="1"/>
  <c r="AO984"/>
  <c r="AR984" s="1"/>
  <c r="AO1064"/>
  <c r="AR1064" s="1"/>
  <c r="AO1246"/>
  <c r="AR1246" s="1"/>
  <c r="AO1210"/>
  <c r="AR1210" s="1"/>
  <c r="AO270"/>
  <c r="AR270" s="1"/>
  <c r="AO588"/>
  <c r="AR588" s="1"/>
  <c r="AO104"/>
  <c r="AR104" s="1"/>
  <c r="AO494"/>
  <c r="AR494" s="1"/>
  <c r="AO926"/>
  <c r="AR926" s="1"/>
  <c r="AO1205"/>
  <c r="AR1205" s="1"/>
  <c r="AO168"/>
  <c r="AR168" s="1"/>
  <c r="AO907"/>
  <c r="AR907" s="1"/>
  <c r="AO606"/>
  <c r="AR606" s="1"/>
  <c r="AO622"/>
  <c r="AR622" s="1"/>
  <c r="AO648"/>
  <c r="AR648" s="1"/>
  <c r="AO707"/>
  <c r="AR707" s="1"/>
  <c r="AO923"/>
  <c r="AR923" s="1"/>
  <c r="AO346"/>
  <c r="AR346" s="1"/>
  <c r="AO929"/>
  <c r="AR929" s="1"/>
  <c r="AO1230"/>
  <c r="AR1230" s="1"/>
  <c r="AO826"/>
  <c r="AR826" s="1"/>
  <c r="AO618"/>
  <c r="AR618" s="1"/>
  <c r="AO264"/>
  <c r="AR264" s="1"/>
  <c r="AO1075"/>
  <c r="AR1075" s="1"/>
  <c r="AO180"/>
  <c r="AR180" s="1"/>
  <c r="AO397"/>
  <c r="AR397" s="1"/>
  <c r="AO877"/>
  <c r="AR877" s="1"/>
  <c r="AO1177"/>
  <c r="AR1177" s="1"/>
  <c r="AO316"/>
  <c r="AR316" s="1"/>
  <c r="AN92"/>
  <c r="AP92" s="1"/>
  <c r="AS92" s="1"/>
  <c r="AO1017"/>
  <c r="AR1017" s="1"/>
  <c r="AO647"/>
  <c r="AR647" s="1"/>
  <c r="AO535"/>
  <c r="AR535" s="1"/>
  <c r="AO340"/>
  <c r="AR340" s="1"/>
  <c r="AO629"/>
  <c r="AR629" s="1"/>
  <c r="AO1161"/>
  <c r="AR1161" s="1"/>
  <c r="AO1174"/>
  <c r="AR1174" s="1"/>
  <c r="AO176"/>
  <c r="AR176" s="1"/>
  <c r="AO894"/>
  <c r="AR894" s="1"/>
  <c r="AO781"/>
  <c r="AR781" s="1"/>
  <c r="AO559"/>
  <c r="AR559" s="1"/>
  <c r="AO1153"/>
  <c r="AR1153" s="1"/>
  <c r="AN71"/>
  <c r="AP71" s="1"/>
  <c r="AS71" s="1"/>
  <c r="AO1202"/>
  <c r="AR1202" s="1"/>
  <c r="AO672"/>
  <c r="AR672" s="1"/>
  <c r="AO196"/>
  <c r="AR196" s="1"/>
  <c r="AO1169"/>
  <c r="AR1169" s="1"/>
  <c r="AO336"/>
  <c r="AR336" s="1"/>
  <c r="AO248"/>
  <c r="AR248" s="1"/>
  <c r="AO726"/>
  <c r="AR726" s="1"/>
  <c r="AO1270"/>
  <c r="AR1270" s="1"/>
  <c r="AO359"/>
  <c r="AR359" s="1"/>
  <c r="AO1175"/>
  <c r="AR1175" s="1"/>
  <c r="AO1151"/>
  <c r="AR1151" s="1"/>
  <c r="AO702"/>
  <c r="AR702" s="1"/>
  <c r="AO680"/>
  <c r="AR680" s="1"/>
  <c r="AO393"/>
  <c r="AR393" s="1"/>
  <c r="AO387"/>
  <c r="AR387" s="1"/>
  <c r="AO807"/>
  <c r="AR807" s="1"/>
  <c r="AO1123"/>
  <c r="AR1123" s="1"/>
  <c r="AO173"/>
  <c r="AR173" s="1"/>
  <c r="AO1154"/>
  <c r="AR1154" s="1"/>
  <c r="AO383"/>
  <c r="AR383" s="1"/>
  <c r="AO133"/>
  <c r="AR133" s="1"/>
  <c r="AO511"/>
  <c r="AR511" s="1"/>
  <c r="AN81"/>
  <c r="AP81" s="1"/>
  <c r="AS81" s="1"/>
  <c r="AO1024"/>
  <c r="AR1024" s="1"/>
  <c r="AO276"/>
  <c r="AR276" s="1"/>
  <c r="AO840"/>
  <c r="AR840" s="1"/>
  <c r="AO1179"/>
  <c r="AR1179" s="1"/>
  <c r="AO898"/>
  <c r="AR898" s="1"/>
  <c r="AO1266"/>
  <c r="AR1266" s="1"/>
  <c r="AO293"/>
  <c r="AR293" s="1"/>
  <c r="AO964"/>
  <c r="AR964" s="1"/>
  <c r="AO1135"/>
  <c r="AR1135" s="1"/>
  <c r="AO962"/>
  <c r="AR962" s="1"/>
  <c r="AO664"/>
  <c r="AR664" s="1"/>
  <c r="AO1176"/>
  <c r="AR1176" s="1"/>
  <c r="AO141"/>
  <c r="AR141" s="1"/>
  <c r="AO1041"/>
  <c r="AR1041" s="1"/>
  <c r="AO940"/>
  <c r="AR940" s="1"/>
  <c r="AO271"/>
  <c r="AR271" s="1"/>
  <c r="AO1139"/>
  <c r="AR1139" s="1"/>
  <c r="AO1050"/>
  <c r="AR1050" s="1"/>
  <c r="AO155"/>
  <c r="AR155" s="1"/>
  <c r="AO924"/>
  <c r="AR924" s="1"/>
  <c r="AO280"/>
  <c r="AR280" s="1"/>
  <c r="AO305"/>
  <c r="AR305" s="1"/>
  <c r="AO529"/>
  <c r="AR529" s="1"/>
  <c r="AO1213"/>
  <c r="AR1213" s="1"/>
  <c r="AO312"/>
  <c r="AR312" s="1"/>
  <c r="AO954"/>
  <c r="AR954" s="1"/>
  <c r="AO620"/>
  <c r="AR620" s="1"/>
  <c r="AO1118"/>
  <c r="AR1118" s="1"/>
  <c r="AO602"/>
  <c r="AR602" s="1"/>
  <c r="AO801"/>
  <c r="AR801" s="1"/>
  <c r="AO1074"/>
  <c r="AR1074" s="1"/>
  <c r="AN54"/>
  <c r="AP54" s="1"/>
  <c r="AS54" s="1"/>
  <c r="AO591"/>
  <c r="AR591" s="1"/>
  <c r="AO1208"/>
  <c r="AR1208" s="1"/>
  <c r="AO723"/>
  <c r="AR723" s="1"/>
  <c r="AO548"/>
  <c r="AR548" s="1"/>
  <c r="AO1157"/>
  <c r="AR1157" s="1"/>
  <c r="AO169"/>
  <c r="AR169" s="1"/>
  <c r="AO722"/>
  <c r="AR722" s="1"/>
  <c r="AO198"/>
  <c r="AR198" s="1"/>
  <c r="AO624"/>
  <c r="AR624" s="1"/>
  <c r="AN47"/>
  <c r="AP47" s="1"/>
  <c r="AS47" s="1"/>
  <c r="AO311"/>
  <c r="AR311" s="1"/>
  <c r="AN85"/>
  <c r="AP85" s="1"/>
  <c r="AS85" s="1"/>
  <c r="AN101"/>
  <c r="AP101" s="1"/>
  <c r="AS101" s="1"/>
  <c r="AO564"/>
  <c r="AR564" s="1"/>
  <c r="AO261"/>
  <c r="AR261" s="1"/>
  <c r="AO1094"/>
  <c r="AR1094" s="1"/>
  <c r="AO607"/>
  <c r="AR607" s="1"/>
  <c r="AO695"/>
  <c r="AR695" s="1"/>
  <c r="AO313"/>
  <c r="AR313" s="1"/>
  <c r="AN97"/>
  <c r="AP97" s="1"/>
  <c r="AS97" s="1"/>
  <c r="AO541"/>
  <c r="AR541" s="1"/>
  <c r="AO200"/>
  <c r="AR200" s="1"/>
  <c r="AO1142"/>
  <c r="AR1142" s="1"/>
  <c r="AO245"/>
  <c r="AR245" s="1"/>
  <c r="AO593"/>
  <c r="AR593" s="1"/>
  <c r="AO594"/>
  <c r="AR594" s="1"/>
  <c r="AO719"/>
  <c r="AR719" s="1"/>
  <c r="AO553"/>
  <c r="AR553" s="1"/>
  <c r="AO639"/>
  <c r="AR639" s="1"/>
  <c r="AO798"/>
  <c r="AR798" s="1"/>
  <c r="AO279"/>
  <c r="AR279" s="1"/>
  <c r="AO575"/>
  <c r="AR575" s="1"/>
  <c r="AO1048"/>
  <c r="AR1048" s="1"/>
  <c r="AO1239"/>
  <c r="AR1239" s="1"/>
  <c r="AO598"/>
  <c r="AR598" s="1"/>
  <c r="AO621"/>
  <c r="AR621" s="1"/>
  <c r="AO1159"/>
  <c r="AR1159" s="1"/>
  <c r="AO1110"/>
  <c r="AR1110" s="1"/>
  <c r="AO126"/>
  <c r="AR126" s="1"/>
  <c r="AO627"/>
  <c r="AR627" s="1"/>
  <c r="AO906"/>
  <c r="AR906" s="1"/>
  <c r="AO1055"/>
  <c r="AR1055" s="1"/>
  <c r="AO1099"/>
  <c r="AR1099" s="1"/>
  <c r="AO972"/>
  <c r="AR972" s="1"/>
  <c r="AO779"/>
  <c r="AR779" s="1"/>
  <c r="AO787"/>
  <c r="AR787" s="1"/>
  <c r="AO1183"/>
  <c r="AR1183" s="1"/>
  <c r="AO396"/>
  <c r="AR396" s="1"/>
  <c r="AO918"/>
  <c r="AR918" s="1"/>
  <c r="AO570"/>
  <c r="AR570" s="1"/>
  <c r="AO524"/>
  <c r="AR524" s="1"/>
  <c r="AO942"/>
  <c r="AR942" s="1"/>
  <c r="AO729"/>
  <c r="AR729" s="1"/>
  <c r="AO946"/>
  <c r="AR946" s="1"/>
  <c r="AO911"/>
  <c r="AR911" s="1"/>
  <c r="AO1130"/>
  <c r="AR1130" s="1"/>
  <c r="AO669"/>
  <c r="AR669" s="1"/>
  <c r="AN41"/>
  <c r="AP41" s="1"/>
  <c r="AS41" s="1"/>
  <c r="AO578"/>
  <c r="AR578" s="1"/>
  <c r="AO123"/>
  <c r="AR123" s="1"/>
  <c r="AO958"/>
  <c r="AR958" s="1"/>
  <c r="AO841"/>
  <c r="AR841" s="1"/>
  <c r="AO1122"/>
  <c r="AR1122" s="1"/>
  <c r="AN59"/>
  <c r="AP59" s="1"/>
  <c r="AS59" s="1"/>
  <c r="AO662"/>
  <c r="AR662" s="1"/>
  <c r="AO1065"/>
  <c r="AR1065" s="1"/>
  <c r="AO1059"/>
  <c r="AR1059" s="1"/>
  <c r="AO274"/>
  <c r="AR274" s="1"/>
  <c r="AO712"/>
  <c r="AR712" s="1"/>
  <c r="AN400"/>
  <c r="AP400" s="1"/>
  <c r="AS400" s="1"/>
  <c r="AP777"/>
  <c r="AS777" s="1"/>
  <c r="AO1006"/>
  <c r="AR1006" s="1"/>
  <c r="AO720"/>
  <c r="AR720" s="1"/>
  <c r="AO891"/>
  <c r="AR891" s="1"/>
  <c r="AN137"/>
  <c r="AP137" s="1"/>
  <c r="AS137" s="1"/>
  <c r="AO986"/>
  <c r="AR986" s="1"/>
  <c r="AO515"/>
  <c r="AR515" s="1"/>
  <c r="AN277"/>
  <c r="AP277" s="1"/>
  <c r="AS277" s="1"/>
  <c r="AO258"/>
  <c r="AR258" s="1"/>
  <c r="AO498"/>
  <c r="AR498" s="1"/>
  <c r="AO677"/>
  <c r="AR677" s="1"/>
  <c r="AO378"/>
  <c r="AR378" s="1"/>
  <c r="AO643"/>
  <c r="AR643" s="1"/>
  <c r="AO190"/>
  <c r="AR190" s="1"/>
  <c r="AO833"/>
  <c r="AR833" s="1"/>
  <c r="AN102"/>
  <c r="AP102" s="1"/>
  <c r="AS102" s="1"/>
  <c r="AO523"/>
  <c r="AR523" s="1"/>
  <c r="AO608"/>
  <c r="AR608" s="1"/>
  <c r="AO1197"/>
  <c r="AR1197" s="1"/>
  <c r="AN848"/>
  <c r="AP848" s="1"/>
  <c r="AS848" s="1"/>
  <c r="AO317"/>
  <c r="AR317" s="1"/>
  <c r="AO105"/>
  <c r="AR105" s="1"/>
  <c r="AO184"/>
  <c r="AR184" s="1"/>
  <c r="AO595"/>
  <c r="AR595" s="1"/>
  <c r="AN1010"/>
  <c r="AP1010" s="1"/>
  <c r="AS1010" s="1"/>
  <c r="AO338"/>
  <c r="AR338" s="1"/>
  <c r="AO632"/>
  <c r="AR632" s="1"/>
  <c r="AN472"/>
  <c r="AP472" s="1"/>
  <c r="AS472" s="1"/>
  <c r="AN207"/>
  <c r="AP207" s="1"/>
  <c r="AS207" s="1"/>
  <c r="AO401"/>
  <c r="AR401" s="1"/>
  <c r="AO748"/>
  <c r="AR748" s="1"/>
  <c r="AO466"/>
  <c r="AR466" s="1"/>
  <c r="AN466"/>
  <c r="AP466" s="1"/>
  <c r="AS466" s="1"/>
  <c r="AO445"/>
  <c r="AR445" s="1"/>
  <c r="AN445"/>
  <c r="AP445" s="1"/>
  <c r="AS445" s="1"/>
  <c r="AN935"/>
  <c r="AP935" s="1"/>
  <c r="AS935" s="1"/>
  <c r="AO935"/>
  <c r="AR935" s="1"/>
  <c r="AO430"/>
  <c r="AR430" s="1"/>
  <c r="AN430"/>
  <c r="AP430" s="1"/>
  <c r="AS430" s="1"/>
  <c r="AO235"/>
  <c r="AR235" s="1"/>
  <c r="AN235"/>
  <c r="AP235" s="1"/>
  <c r="AS235" s="1"/>
  <c r="AO202"/>
  <c r="AR202" s="1"/>
  <c r="AN202"/>
  <c r="AP202" s="1"/>
  <c r="AS202" s="1"/>
  <c r="AO744"/>
  <c r="AR744" s="1"/>
  <c r="AN744"/>
  <c r="AP744" s="1"/>
  <c r="AS744" s="1"/>
  <c r="AN963"/>
  <c r="AP963" s="1"/>
  <c r="AS963" s="1"/>
  <c r="AO963"/>
  <c r="AR963" s="1"/>
  <c r="AN745"/>
  <c r="AP745" s="1"/>
  <c r="AS745" s="1"/>
  <c r="AO745"/>
  <c r="AR745" s="1"/>
  <c r="AN460"/>
  <c r="AP460" s="1"/>
  <c r="AS460" s="1"/>
  <c r="AO460"/>
  <c r="AR460" s="1"/>
  <c r="AO431"/>
  <c r="AR431" s="1"/>
  <c r="AN431"/>
  <c r="AP431" s="1"/>
  <c r="AS431" s="1"/>
  <c r="AO405"/>
  <c r="AR405" s="1"/>
  <c r="AN405"/>
  <c r="AP405" s="1"/>
  <c r="AS405" s="1"/>
  <c r="AN977"/>
  <c r="AP977" s="1"/>
  <c r="AS977" s="1"/>
  <c r="AO977"/>
  <c r="AR977" s="1"/>
  <c r="AO750"/>
  <c r="AR750" s="1"/>
  <c r="AN750"/>
  <c r="AP750" s="1"/>
  <c r="AS750" s="1"/>
  <c r="AO416"/>
  <c r="AR416" s="1"/>
  <c r="AN416"/>
  <c r="AP416" s="1"/>
  <c r="AS416" s="1"/>
  <c r="AN436"/>
  <c r="AP436" s="1"/>
  <c r="AS436" s="1"/>
  <c r="AO436"/>
  <c r="AR436" s="1"/>
  <c r="AN955"/>
  <c r="AP955" s="1"/>
  <c r="AS955" s="1"/>
  <c r="AO955"/>
  <c r="AR955" s="1"/>
  <c r="AO205"/>
  <c r="AR205" s="1"/>
  <c r="AN205"/>
  <c r="AP205" s="1"/>
  <c r="AS205" s="1"/>
  <c r="AO444"/>
  <c r="AR444" s="1"/>
  <c r="AN444"/>
  <c r="AP444" s="1"/>
  <c r="AS444" s="1"/>
  <c r="AO410"/>
  <c r="AR410" s="1"/>
  <c r="AN410"/>
  <c r="AP410" s="1"/>
  <c r="AS410" s="1"/>
  <c r="AO446"/>
  <c r="AR446" s="1"/>
  <c r="AN446"/>
  <c r="AP446" s="1"/>
  <c r="AS446" s="1"/>
  <c r="AN223"/>
  <c r="AP223" s="1"/>
  <c r="AS223" s="1"/>
  <c r="AO223"/>
  <c r="AR223" s="1"/>
  <c r="AN753"/>
  <c r="AP753" s="1"/>
  <c r="AS753" s="1"/>
  <c r="AO753"/>
  <c r="AR753" s="1"/>
  <c r="AO442"/>
  <c r="AR442" s="1"/>
  <c r="AN442"/>
  <c r="AP442" s="1"/>
  <c r="AS442" s="1"/>
  <c r="AN975"/>
  <c r="AP975" s="1"/>
  <c r="AS975" s="1"/>
  <c r="AO975"/>
  <c r="AR975" s="1"/>
  <c r="AN238"/>
  <c r="AP238" s="1"/>
  <c r="AS238" s="1"/>
  <c r="AO238"/>
  <c r="AR238" s="1"/>
  <c r="AN953"/>
  <c r="AP953" s="1"/>
  <c r="AS953" s="1"/>
  <c r="AO953"/>
  <c r="AR953" s="1"/>
  <c r="AO774"/>
  <c r="AR774" s="1"/>
  <c r="AN774"/>
  <c r="AP774" s="1"/>
  <c r="AS774" s="1"/>
  <c r="AN425"/>
  <c r="AP425" s="1"/>
  <c r="AS425" s="1"/>
  <c r="AO425"/>
  <c r="AR425" s="1"/>
  <c r="AO423"/>
  <c r="AR423" s="1"/>
  <c r="AN423"/>
  <c r="AP423" s="1"/>
  <c r="AS423" s="1"/>
  <c r="AO409"/>
  <c r="AR409" s="1"/>
  <c r="AN409"/>
  <c r="AP409" s="1"/>
  <c r="AS409" s="1"/>
  <c r="AO407"/>
  <c r="AR407" s="1"/>
  <c r="AN407"/>
  <c r="AP407" s="1"/>
  <c r="AS407" s="1"/>
  <c r="AO463"/>
  <c r="AR463" s="1"/>
  <c r="AN463"/>
  <c r="AP463" s="1"/>
  <c r="AS463" s="1"/>
  <c r="AN759"/>
  <c r="AP759" s="1"/>
  <c r="AS759" s="1"/>
  <c r="AO759"/>
  <c r="AR759" s="1"/>
  <c r="AN751"/>
  <c r="AP751" s="1"/>
  <c r="AS751" s="1"/>
  <c r="AO751"/>
  <c r="AR751" s="1"/>
  <c r="AN757"/>
  <c r="AP757" s="1"/>
  <c r="AS757" s="1"/>
  <c r="AO757"/>
  <c r="AR757" s="1"/>
  <c r="AN404"/>
  <c r="AP404" s="1"/>
  <c r="AS404" s="1"/>
  <c r="AO404"/>
  <c r="AR404" s="1"/>
  <c r="AN487"/>
  <c r="AP487" s="1"/>
  <c r="AS487" s="1"/>
  <c r="AO487"/>
  <c r="AR487" s="1"/>
  <c r="AO228"/>
  <c r="AR228" s="1"/>
  <c r="AN228"/>
  <c r="AP228" s="1"/>
  <c r="AS228" s="1"/>
  <c r="AO237"/>
  <c r="AR237" s="1"/>
  <c r="AN237"/>
  <c r="AP237" s="1"/>
  <c r="AS237" s="1"/>
  <c r="AN224"/>
  <c r="AP224" s="1"/>
  <c r="AS224" s="1"/>
  <c r="AO224"/>
  <c r="AR224" s="1"/>
  <c r="AN480"/>
  <c r="AP480" s="1"/>
  <c r="AS480" s="1"/>
  <c r="AO480"/>
  <c r="AR480" s="1"/>
  <c r="AN961"/>
  <c r="AP961" s="1"/>
  <c r="AS961" s="1"/>
  <c r="AO961"/>
  <c r="AR961" s="1"/>
  <c r="AO484"/>
  <c r="AR484" s="1"/>
  <c r="AN484"/>
  <c r="AP484" s="1"/>
  <c r="AS484" s="1"/>
  <c r="AN765"/>
  <c r="AP765" s="1"/>
  <c r="AS765" s="1"/>
  <c r="AO765"/>
  <c r="AR765" s="1"/>
  <c r="AN749"/>
  <c r="AP749" s="1"/>
  <c r="AS749" s="1"/>
  <c r="AO749"/>
  <c r="AR749" s="1"/>
  <c r="AO217"/>
  <c r="AR217" s="1"/>
  <c r="AN217"/>
  <c r="AP217" s="1"/>
  <c r="AS217" s="1"/>
  <c r="AN993"/>
  <c r="AP993" s="1"/>
  <c r="AS993" s="1"/>
  <c r="AO993"/>
  <c r="AR993" s="1"/>
  <c r="AN411"/>
  <c r="AP411" s="1"/>
  <c r="AS411" s="1"/>
  <c r="AO411"/>
  <c r="AR411" s="1"/>
  <c r="AO459"/>
  <c r="AR459" s="1"/>
  <c r="AN459"/>
  <c r="AP459" s="1"/>
  <c r="AS459" s="1"/>
  <c r="AN321"/>
  <c r="AP321" s="1"/>
  <c r="AS321" s="1"/>
  <c r="AN563"/>
  <c r="AP563" s="1"/>
  <c r="AS563" s="1"/>
  <c r="AN886"/>
  <c r="AP886" s="1"/>
  <c r="AS886" s="1"/>
  <c r="AO341"/>
  <c r="AR341" s="1"/>
  <c r="AO1014"/>
  <c r="AR1014" s="1"/>
  <c r="AO382"/>
  <c r="AR382" s="1"/>
  <c r="AO1117"/>
  <c r="AR1117" s="1"/>
  <c r="AO518"/>
  <c r="AR518" s="1"/>
  <c r="AO1201"/>
  <c r="AR1201" s="1"/>
  <c r="AO249"/>
  <c r="AR249" s="1"/>
  <c r="AO160"/>
  <c r="AR160" s="1"/>
  <c r="AO186"/>
  <c r="AR186" s="1"/>
  <c r="AO267"/>
  <c r="AR267" s="1"/>
  <c r="AO1214"/>
  <c r="AR1214" s="1"/>
  <c r="AO1271"/>
  <c r="AR1271" s="1"/>
  <c r="AO884"/>
  <c r="AR884" s="1"/>
  <c r="AN98"/>
  <c r="AP98" s="1"/>
  <c r="AS98" s="1"/>
  <c r="AN890"/>
  <c r="AP890" s="1"/>
  <c r="AS890" s="1"/>
  <c r="AO920"/>
  <c r="AR920" s="1"/>
  <c r="AO1263"/>
  <c r="AR1263" s="1"/>
  <c r="AO1028"/>
  <c r="AR1028" s="1"/>
  <c r="AN960"/>
  <c r="AP960" s="1"/>
  <c r="AS960" s="1"/>
  <c r="AN635"/>
  <c r="AP635" s="1"/>
  <c r="AS635" s="1"/>
  <c r="AO649"/>
  <c r="AR649" s="1"/>
  <c r="AO1040"/>
  <c r="AR1040" s="1"/>
  <c r="AO339"/>
  <c r="AR339" s="1"/>
  <c r="AO586"/>
  <c r="AR586" s="1"/>
  <c r="AO119"/>
  <c r="AR119" s="1"/>
  <c r="AO788"/>
  <c r="AR788" s="1"/>
  <c r="AO1233"/>
  <c r="AR1233" s="1"/>
  <c r="AO1069"/>
  <c r="AR1069" s="1"/>
  <c r="AO1019"/>
  <c r="AR1019" s="1"/>
  <c r="AO615"/>
  <c r="AR615" s="1"/>
  <c r="AO660"/>
  <c r="AR660" s="1"/>
  <c r="AO818"/>
  <c r="AR818" s="1"/>
  <c r="AO514"/>
  <c r="AR514" s="1"/>
  <c r="AO633"/>
  <c r="AR633" s="1"/>
  <c r="AO665"/>
  <c r="AR665" s="1"/>
  <c r="AO522"/>
  <c r="AR522" s="1"/>
  <c r="AO1164"/>
  <c r="AR1164" s="1"/>
  <c r="AO324"/>
  <c r="AR324" s="1"/>
  <c r="AO1198"/>
  <c r="AR1198" s="1"/>
  <c r="AO834"/>
  <c r="AR834" s="1"/>
  <c r="AO1053"/>
  <c r="AR1053" s="1"/>
  <c r="AO580"/>
  <c r="AR580" s="1"/>
  <c r="AO288"/>
  <c r="AR288" s="1"/>
  <c r="AO1026"/>
  <c r="AR1026" s="1"/>
  <c r="AO789"/>
  <c r="AR789" s="1"/>
  <c r="AO880"/>
  <c r="AR880" s="1"/>
  <c r="AO366"/>
  <c r="AR366" s="1"/>
  <c r="AO879"/>
  <c r="AR879" s="1"/>
  <c r="AO1016"/>
  <c r="AR1016" s="1"/>
  <c r="AO323"/>
  <c r="AR323" s="1"/>
  <c r="AO868"/>
  <c r="AR868" s="1"/>
  <c r="AO809"/>
  <c r="AR809" s="1"/>
  <c r="AO908"/>
  <c r="AR908" s="1"/>
  <c r="AN58"/>
  <c r="AP58" s="1"/>
  <c r="AS58" s="1"/>
  <c r="AO883"/>
  <c r="AR883" s="1"/>
  <c r="AO653"/>
  <c r="AR653" s="1"/>
  <c r="AO345"/>
  <c r="AR345" s="1"/>
  <c r="AO1034"/>
  <c r="AR1034" s="1"/>
  <c r="AO1143"/>
  <c r="AR1143" s="1"/>
  <c r="AO696"/>
  <c r="AR696" s="1"/>
  <c r="AO1195"/>
  <c r="AR1195" s="1"/>
  <c r="AO1036"/>
  <c r="AR1036" s="1"/>
  <c r="AO565"/>
  <c r="AR565" s="1"/>
  <c r="AO255"/>
  <c r="AR255" s="1"/>
  <c r="AO690"/>
  <c r="AR690" s="1"/>
  <c r="AO1156"/>
  <c r="AR1156" s="1"/>
  <c r="AO956"/>
  <c r="AR956" s="1"/>
  <c r="AO199"/>
  <c r="AR199" s="1"/>
  <c r="AO631"/>
  <c r="AR631" s="1"/>
  <c r="AO839"/>
  <c r="AR839" s="1"/>
  <c r="AO966"/>
  <c r="AR966" s="1"/>
  <c r="AO815"/>
  <c r="AR815" s="1"/>
  <c r="AO600"/>
  <c r="AR600" s="1"/>
  <c r="AO616"/>
  <c r="AR616" s="1"/>
  <c r="AO1140"/>
  <c r="AR1140" s="1"/>
  <c r="AO630"/>
  <c r="AR630" s="1"/>
  <c r="AO1022"/>
  <c r="AR1022" s="1"/>
  <c r="AO887"/>
  <c r="AR887" s="1"/>
  <c r="AO128"/>
  <c r="AR128" s="1"/>
  <c r="AO1243"/>
  <c r="AR1243" s="1"/>
  <c r="AO1113"/>
  <c r="AR1113" s="1"/>
  <c r="AO252"/>
  <c r="AR252" s="1"/>
  <c r="AO145"/>
  <c r="AR145" s="1"/>
  <c r="AO1260"/>
  <c r="AR1260" s="1"/>
  <c r="AO283"/>
  <c r="AR283" s="1"/>
  <c r="AO708"/>
  <c r="AR708" s="1"/>
  <c r="AO1242"/>
  <c r="AR1242" s="1"/>
  <c r="AO530"/>
  <c r="AR530" s="1"/>
  <c r="AO1265"/>
  <c r="AR1265" s="1"/>
  <c r="AO1186"/>
  <c r="AR1186" s="1"/>
  <c r="AO603"/>
  <c r="AR603" s="1"/>
  <c r="AO1199"/>
  <c r="AR1199" s="1"/>
  <c r="AO520"/>
  <c r="AR520" s="1"/>
  <c r="AO684"/>
  <c r="AR684" s="1"/>
  <c r="AO262"/>
  <c r="AR262" s="1"/>
  <c r="AO1152"/>
  <c r="AR1152" s="1"/>
  <c r="AO492"/>
  <c r="AR492" s="1"/>
  <c r="AO597"/>
  <c r="AR597" s="1"/>
  <c r="AO364"/>
  <c r="AR364" s="1"/>
  <c r="AO370"/>
  <c r="AR370" s="1"/>
  <c r="AO299"/>
  <c r="AR299" s="1"/>
  <c r="AO114"/>
  <c r="AR114" s="1"/>
  <c r="AN50"/>
  <c r="AP50" s="1"/>
  <c r="AS50" s="1"/>
  <c r="AO360"/>
  <c r="AR360" s="1"/>
  <c r="AO1193"/>
  <c r="AR1193" s="1"/>
  <c r="AO1257"/>
  <c r="AR1257" s="1"/>
  <c r="AO674"/>
  <c r="AR674" s="1"/>
  <c r="AO1087"/>
  <c r="AR1087" s="1"/>
  <c r="AO388"/>
  <c r="AR388" s="1"/>
  <c r="AO1095"/>
  <c r="AR1095" s="1"/>
  <c r="AN94"/>
  <c r="AP94" s="1"/>
  <c r="AS94" s="1"/>
  <c r="AN88"/>
  <c r="AP88" s="1"/>
  <c r="AS88" s="1"/>
  <c r="AO644"/>
  <c r="AR644" s="1"/>
  <c r="AO1101"/>
  <c r="AR1101" s="1"/>
  <c r="AO1071"/>
  <c r="AR1071" s="1"/>
  <c r="AO1044"/>
  <c r="AR1044" s="1"/>
  <c r="AN43"/>
  <c r="AP43" s="1"/>
  <c r="AS43" s="1"/>
  <c r="AO610"/>
  <c r="AR610" s="1"/>
  <c r="AO742"/>
  <c r="AR742" s="1"/>
  <c r="AO825"/>
  <c r="AR825" s="1"/>
  <c r="AO864"/>
  <c r="AR864" s="1"/>
  <c r="AO642"/>
  <c r="AR642" s="1"/>
  <c r="AO718"/>
  <c r="AR718" s="1"/>
  <c r="AO395"/>
  <c r="AR395" s="1"/>
  <c r="AO1047"/>
  <c r="AR1047" s="1"/>
  <c r="AO505"/>
  <c r="AR505" s="1"/>
  <c r="AO1083"/>
  <c r="AR1083" s="1"/>
  <c r="AO1015"/>
  <c r="AR1015" s="1"/>
  <c r="AO881"/>
  <c r="AR881" s="1"/>
  <c r="AO272"/>
  <c r="AR272" s="1"/>
  <c r="AO1173"/>
  <c r="AR1173" s="1"/>
  <c r="AO582"/>
  <c r="AR582" s="1"/>
  <c r="AO508"/>
  <c r="AR508" s="1"/>
  <c r="AO309"/>
  <c r="AR309" s="1"/>
  <c r="AO1127"/>
  <c r="AR1127" s="1"/>
  <c r="AO1097"/>
  <c r="AR1097" s="1"/>
  <c r="AO1068"/>
  <c r="AR1068" s="1"/>
  <c r="AO590"/>
  <c r="AR590" s="1"/>
  <c r="AO919"/>
  <c r="AR919" s="1"/>
  <c r="AO734"/>
  <c r="AR734" s="1"/>
  <c r="AO727"/>
  <c r="AR727" s="1"/>
  <c r="AO115"/>
  <c r="AR115" s="1"/>
  <c r="AO154"/>
  <c r="AR154" s="1"/>
  <c r="AO150"/>
  <c r="AR150" s="1"/>
  <c r="AO552"/>
  <c r="AR552" s="1"/>
  <c r="AO1102"/>
  <c r="AR1102" s="1"/>
  <c r="AO332"/>
  <c r="AR332" s="1"/>
  <c r="AO376"/>
  <c r="AR376" s="1"/>
  <c r="AO822"/>
  <c r="AR822" s="1"/>
  <c r="AO369"/>
  <c r="AR369" s="1"/>
  <c r="AO545"/>
  <c r="AR545" s="1"/>
  <c r="AO146"/>
  <c r="AR146" s="1"/>
  <c r="AO290"/>
  <c r="AR290" s="1"/>
  <c r="AO831"/>
  <c r="AR831" s="1"/>
  <c r="AO278"/>
  <c r="AR278" s="1"/>
  <c r="AN99"/>
  <c r="AP99" s="1"/>
  <c r="AS99" s="1"/>
  <c r="AO118"/>
  <c r="AR118" s="1"/>
  <c r="AO182"/>
  <c r="AR182" s="1"/>
  <c r="AO1224"/>
  <c r="AR1224" s="1"/>
  <c r="AO129"/>
  <c r="AR129" s="1"/>
  <c r="AO1249"/>
  <c r="AR1249" s="1"/>
  <c r="AO108"/>
  <c r="AR108" s="1"/>
  <c r="AO685"/>
  <c r="AR685" s="1"/>
  <c r="AO260"/>
  <c r="AR260" s="1"/>
  <c r="AO179"/>
  <c r="AR179" s="1"/>
  <c r="AO318"/>
  <c r="AR318" s="1"/>
  <c r="AO996"/>
  <c r="AR996" s="1"/>
  <c r="AO337"/>
  <c r="AR337" s="1"/>
  <c r="AO861"/>
  <c r="AR861" s="1"/>
  <c r="AO785"/>
  <c r="AR785" s="1"/>
  <c r="AO301"/>
  <c r="AR301" s="1"/>
  <c r="AO334"/>
  <c r="AR334" s="1"/>
  <c r="AO1253"/>
  <c r="AR1253" s="1"/>
  <c r="AO516"/>
  <c r="AR516" s="1"/>
  <c r="AO1080"/>
  <c r="AR1080" s="1"/>
  <c r="AO687"/>
  <c r="AR687" s="1"/>
  <c r="AO1250"/>
  <c r="AR1250" s="1"/>
  <c r="AO1000"/>
  <c r="AR1000" s="1"/>
  <c r="AO1160"/>
  <c r="AR1160" s="1"/>
  <c r="AO584"/>
  <c r="AR584" s="1"/>
  <c r="AO1038"/>
  <c r="AR1038" s="1"/>
  <c r="AO976"/>
  <c r="AR976" s="1"/>
  <c r="AO152"/>
  <c r="AR152" s="1"/>
  <c r="AO571"/>
  <c r="AR571" s="1"/>
  <c r="AO500"/>
  <c r="AR500" s="1"/>
  <c r="AO903"/>
  <c r="AR903" s="1"/>
  <c r="AO1045"/>
  <c r="AR1045" s="1"/>
  <c r="AO813"/>
  <c r="AR813" s="1"/>
  <c r="AO875"/>
  <c r="AR875" s="1"/>
  <c r="AN39"/>
  <c r="AP39" s="1"/>
  <c r="AS39" s="1"/>
  <c r="AO1236"/>
  <c r="AR1236" s="1"/>
  <c r="AN82"/>
  <c r="AP82" s="1"/>
  <c r="AS82" s="1"/>
  <c r="AO1272"/>
  <c r="AR1272" s="1"/>
  <c r="AO528"/>
  <c r="AR528" s="1"/>
  <c r="AO342"/>
  <c r="AR342" s="1"/>
  <c r="AO820"/>
  <c r="AR820" s="1"/>
  <c r="AO625"/>
  <c r="AR625" s="1"/>
  <c r="AN49"/>
  <c r="AP49" s="1"/>
  <c r="AS49" s="1"/>
  <c r="AO151"/>
  <c r="AR151" s="1"/>
  <c r="AO846"/>
  <c r="AR846" s="1"/>
  <c r="AO544"/>
  <c r="AR544" s="1"/>
  <c r="AO654"/>
  <c r="AR654" s="1"/>
  <c r="AO1049"/>
  <c r="AR1049" s="1"/>
  <c r="AO320"/>
  <c r="AR320" s="1"/>
  <c r="AO844"/>
  <c r="AR844" s="1"/>
  <c r="AO1167"/>
  <c r="AR1167" s="1"/>
  <c r="AO1079"/>
  <c r="AR1079" s="1"/>
  <c r="AO253"/>
  <c r="AR253" s="1"/>
  <c r="AO1089"/>
  <c r="AR1089" s="1"/>
  <c r="AO358"/>
  <c r="AR358" s="1"/>
  <c r="AO782"/>
  <c r="AR782" s="1"/>
  <c r="AO736"/>
  <c r="AR736" s="1"/>
  <c r="AO713"/>
  <c r="AR713" s="1"/>
  <c r="AO547"/>
  <c r="AR547" s="1"/>
  <c r="AO738"/>
  <c r="AR738" s="1"/>
  <c r="AO314"/>
  <c r="AR314" s="1"/>
  <c r="AO44"/>
  <c r="AR44" s="1"/>
  <c r="AN698"/>
  <c r="AP698" s="1"/>
  <c r="AS698" s="1"/>
  <c r="AO1178"/>
  <c r="AR1178" s="1"/>
  <c r="AN93"/>
  <c r="AP93" s="1"/>
  <c r="AS93" s="1"/>
  <c r="AN558"/>
  <c r="AP558" s="1"/>
  <c r="AS558" s="1"/>
  <c r="AO451"/>
  <c r="AR451" s="1"/>
  <c r="AO784"/>
  <c r="AR784" s="1"/>
  <c r="AO304"/>
  <c r="AR304" s="1"/>
  <c r="AO1043"/>
  <c r="AR1043" s="1"/>
  <c r="AN1129"/>
  <c r="AP1129" s="1"/>
  <c r="AS1129" s="1"/>
  <c r="AO90"/>
  <c r="AR90" s="1"/>
  <c r="AO612"/>
  <c r="AR612" s="1"/>
  <c r="AO113"/>
  <c r="AR113" s="1"/>
  <c r="AN1268"/>
  <c r="AP1268" s="1"/>
  <c r="AS1268" s="1"/>
  <c r="AO1103"/>
  <c r="AR1103" s="1"/>
  <c r="AO1231"/>
  <c r="AR1231" s="1"/>
  <c r="AN1171"/>
  <c r="AP1171" s="1"/>
  <c r="AS1171" s="1"/>
  <c r="AO72"/>
  <c r="AR72" s="1"/>
  <c r="AO936"/>
  <c r="AR936" s="1"/>
  <c r="AO1237"/>
  <c r="AR1237" s="1"/>
  <c r="AO201"/>
  <c r="AR201" s="1"/>
  <c r="AO538"/>
  <c r="AR538" s="1"/>
  <c r="AO605"/>
  <c r="AR605" s="1"/>
  <c r="AO1018"/>
  <c r="AR1018" s="1"/>
  <c r="AN1126"/>
  <c r="AP1126" s="1"/>
  <c r="AS1126" s="1"/>
  <c r="AN1007"/>
  <c r="AP1007" s="1"/>
  <c r="AS1007" s="1"/>
  <c r="AO1007"/>
  <c r="AR1007" s="1"/>
  <c r="AO421"/>
  <c r="AR421" s="1"/>
  <c r="AN421"/>
  <c r="AP421" s="1"/>
  <c r="AS421" s="1"/>
  <c r="AO438"/>
  <c r="AR438" s="1"/>
  <c r="AN438"/>
  <c r="AP438" s="1"/>
  <c r="AS438" s="1"/>
  <c r="AN422"/>
  <c r="AP422" s="1"/>
  <c r="AS422" s="1"/>
  <c r="AO422"/>
  <c r="AR422" s="1"/>
  <c r="AO406"/>
  <c r="AR406" s="1"/>
  <c r="AN406"/>
  <c r="AP406" s="1"/>
  <c r="AS406" s="1"/>
  <c r="AN483"/>
  <c r="AP483" s="1"/>
  <c r="AS483" s="1"/>
  <c r="AO483"/>
  <c r="AR483" s="1"/>
  <c r="AN995"/>
  <c r="AP995" s="1"/>
  <c r="AS995" s="1"/>
  <c r="AO995"/>
  <c r="AR995" s="1"/>
  <c r="AN220"/>
  <c r="AP220" s="1"/>
  <c r="AS220" s="1"/>
  <c r="AO220"/>
  <c r="AR220" s="1"/>
  <c r="AO762"/>
  <c r="AR762" s="1"/>
  <c r="AN762"/>
  <c r="AP762" s="1"/>
  <c r="AS762" s="1"/>
  <c r="AO470"/>
  <c r="AR470" s="1"/>
  <c r="AN470"/>
  <c r="AP470" s="1"/>
  <c r="AS470" s="1"/>
  <c r="AN1001"/>
  <c r="AP1001" s="1"/>
  <c r="AS1001" s="1"/>
  <c r="AO1001"/>
  <c r="AR1001" s="1"/>
  <c r="AO435"/>
  <c r="AR435" s="1"/>
  <c r="AN435"/>
  <c r="AP435" s="1"/>
  <c r="AS435" s="1"/>
  <c r="AN479"/>
  <c r="AP479" s="1"/>
  <c r="AS479" s="1"/>
  <c r="AO479"/>
  <c r="AR479" s="1"/>
  <c r="AO208"/>
  <c r="AR208" s="1"/>
  <c r="AN208"/>
  <c r="AP208" s="1"/>
  <c r="AS208" s="1"/>
  <c r="AO413"/>
  <c r="AR413" s="1"/>
  <c r="AN413"/>
  <c r="AP413" s="1"/>
  <c r="AS413" s="1"/>
  <c r="AO204"/>
  <c r="AR204" s="1"/>
  <c r="AN204"/>
  <c r="AP204" s="1"/>
  <c r="AS204" s="1"/>
  <c r="AN462"/>
  <c r="AP462" s="1"/>
  <c r="AS462" s="1"/>
  <c r="AO462"/>
  <c r="AR462" s="1"/>
  <c r="AO420"/>
  <c r="AR420" s="1"/>
  <c r="AN420"/>
  <c r="AP420" s="1"/>
  <c r="AS420" s="1"/>
  <c r="AO766"/>
  <c r="AR766" s="1"/>
  <c r="AN766"/>
  <c r="AP766" s="1"/>
  <c r="AS766" s="1"/>
  <c r="AO221"/>
  <c r="AR221" s="1"/>
  <c r="AN221"/>
  <c r="AP221" s="1"/>
  <c r="AS221" s="1"/>
  <c r="AN464"/>
  <c r="AP464" s="1"/>
  <c r="AS464" s="1"/>
  <c r="AO464"/>
  <c r="AR464" s="1"/>
  <c r="AO233"/>
  <c r="AR233" s="1"/>
  <c r="AN233"/>
  <c r="AP233" s="1"/>
  <c r="AS233" s="1"/>
  <c r="AN941"/>
  <c r="AP941" s="1"/>
  <c r="AS941" s="1"/>
  <c r="AO941"/>
  <c r="AR941" s="1"/>
  <c r="AN465"/>
  <c r="AP465" s="1"/>
  <c r="AS465" s="1"/>
  <c r="AO465"/>
  <c r="AR465" s="1"/>
  <c r="AN458"/>
  <c r="AP458" s="1"/>
  <c r="AS458" s="1"/>
  <c r="AO458"/>
  <c r="AR458" s="1"/>
  <c r="AO746"/>
  <c r="AR746" s="1"/>
  <c r="AN746"/>
  <c r="AP746" s="1"/>
  <c r="AS746" s="1"/>
  <c r="AN447"/>
  <c r="AP447" s="1"/>
  <c r="AS447" s="1"/>
  <c r="AO447"/>
  <c r="AR447" s="1"/>
  <c r="AN203"/>
  <c r="AP203" s="1"/>
  <c r="AS203" s="1"/>
  <c r="AO203"/>
  <c r="AR203" s="1"/>
  <c r="AN469"/>
  <c r="AP469" s="1"/>
  <c r="AS469" s="1"/>
  <c r="AO469"/>
  <c r="AR469" s="1"/>
  <c r="AN939"/>
  <c r="AP939" s="1"/>
  <c r="AS939" s="1"/>
  <c r="AO939"/>
  <c r="AR939" s="1"/>
  <c r="AO461"/>
  <c r="AR461" s="1"/>
  <c r="AN461"/>
  <c r="AP461" s="1"/>
  <c r="AS461" s="1"/>
  <c r="AO209"/>
  <c r="AR209" s="1"/>
  <c r="AN209"/>
  <c r="AP209" s="1"/>
  <c r="AS209" s="1"/>
  <c r="AO885"/>
  <c r="AR885" s="1"/>
  <c r="AO1137"/>
  <c r="AR1137" s="1"/>
  <c r="AO371"/>
  <c r="AR371" s="1"/>
  <c r="AO1155"/>
  <c r="AR1155" s="1"/>
  <c r="AO566"/>
  <c r="AR566" s="1"/>
  <c r="AO164"/>
  <c r="AR164" s="1"/>
  <c r="AO1166"/>
  <c r="AR1166" s="1"/>
  <c r="AO158"/>
  <c r="AR158" s="1"/>
  <c r="AO1254"/>
  <c r="AR1254" s="1"/>
  <c r="AO195"/>
  <c r="AR195" s="1"/>
  <c r="AO689"/>
  <c r="AR689" s="1"/>
  <c r="AO1029"/>
  <c r="AR1029" s="1"/>
  <c r="AO573"/>
  <c r="AR573" s="1"/>
  <c r="AO351"/>
  <c r="AR351" s="1"/>
  <c r="AO1262"/>
  <c r="AR1262" s="1"/>
  <c r="AO1107"/>
  <c r="AR1107" s="1"/>
  <c r="AO107"/>
  <c r="AR107" s="1"/>
  <c r="AO1188"/>
  <c r="AR1188" s="1"/>
  <c r="AO892"/>
  <c r="AR892" s="1"/>
  <c r="AO791"/>
  <c r="AR791" s="1"/>
  <c r="AO1138"/>
  <c r="AR1138" s="1"/>
  <c r="AO1008"/>
  <c r="AR1008" s="1"/>
  <c r="AO1245"/>
  <c r="AR1245" s="1"/>
  <c r="AO197"/>
  <c r="AR197" s="1"/>
  <c r="AO306"/>
  <c r="AR306" s="1"/>
  <c r="AO811"/>
  <c r="AR811" s="1"/>
  <c r="AO144"/>
  <c r="AR144" s="1"/>
  <c r="AO153"/>
  <c r="AR153" s="1"/>
  <c r="AO1150"/>
  <c r="AR1150" s="1"/>
  <c r="AO185"/>
  <c r="AR185" s="1"/>
  <c r="AO163"/>
  <c r="AR163" s="1"/>
  <c r="AO166"/>
  <c r="AR166" s="1"/>
  <c r="AO291"/>
  <c r="AR291" s="1"/>
  <c r="AO847"/>
  <c r="AR847" s="1"/>
  <c r="AO116"/>
  <c r="AR116" s="1"/>
  <c r="AO1061"/>
  <c r="AR1061" s="1"/>
  <c r="AO579"/>
  <c r="AR579" s="1"/>
  <c r="AO550"/>
  <c r="AR550" s="1"/>
  <c r="AO335"/>
  <c r="AR335" s="1"/>
  <c r="AO1004"/>
  <c r="AR1004" s="1"/>
  <c r="AO922"/>
  <c r="AR922" s="1"/>
  <c r="AO1145"/>
  <c r="AR1145" s="1"/>
  <c r="AO1240"/>
  <c r="AR1240" s="1"/>
  <c r="AO1256"/>
  <c r="AR1256" s="1"/>
  <c r="AO693"/>
  <c r="AR693" s="1"/>
  <c r="AO928"/>
  <c r="AR928" s="1"/>
  <c r="AO398"/>
  <c r="AR398" s="1"/>
  <c r="AO159"/>
  <c r="AR159" s="1"/>
  <c r="AO915"/>
  <c r="AR915" s="1"/>
  <c r="AO243"/>
  <c r="AR243" s="1"/>
  <c r="AN38"/>
  <c r="AP38" s="1"/>
  <c r="AS38" s="1"/>
  <c r="AO110"/>
  <c r="AR110" s="1"/>
  <c r="AO686"/>
  <c r="AR686" s="1"/>
  <c r="AO1218"/>
  <c r="AR1218" s="1"/>
  <c r="AO872"/>
  <c r="AR872" s="1"/>
  <c r="AO867"/>
  <c r="AR867" s="1"/>
  <c r="AO142"/>
  <c r="AR142" s="1"/>
  <c r="AO307"/>
  <c r="AR307" s="1"/>
  <c r="AO837"/>
  <c r="AR837" s="1"/>
  <c r="AO183"/>
  <c r="AR183" s="1"/>
  <c r="AO794"/>
  <c r="AR794" s="1"/>
  <c r="AO1187"/>
  <c r="AR1187" s="1"/>
  <c r="AO139"/>
  <c r="AR139" s="1"/>
  <c r="AO1136"/>
  <c r="AR1136" s="1"/>
  <c r="AO540"/>
  <c r="AR540" s="1"/>
  <c r="AO287"/>
  <c r="AR287" s="1"/>
  <c r="AN42"/>
  <c r="AP42" s="1"/>
  <c r="AS42" s="1"/>
  <c r="AO670"/>
  <c r="AR670" s="1"/>
  <c r="AO1119"/>
  <c r="AR1119" s="1"/>
  <c r="AO692"/>
  <c r="AR692" s="1"/>
  <c r="AO1189"/>
  <c r="AR1189" s="1"/>
  <c r="AO1162"/>
  <c r="AR1162" s="1"/>
  <c r="AO1085"/>
  <c r="AR1085" s="1"/>
  <c r="AO1060"/>
  <c r="AR1060" s="1"/>
  <c r="AO1261"/>
  <c r="AR1261" s="1"/>
  <c r="AO655"/>
  <c r="AR655" s="1"/>
  <c r="AO297"/>
  <c r="AR297" s="1"/>
  <c r="AO1219"/>
  <c r="AR1219" s="1"/>
  <c r="AO391"/>
  <c r="AR391" s="1"/>
  <c r="AO968"/>
  <c r="AR968" s="1"/>
  <c r="AO285"/>
  <c r="AR285" s="1"/>
  <c r="AO792"/>
  <c r="AR792" s="1"/>
  <c r="AO162"/>
  <c r="AR162" s="1"/>
  <c r="AO352"/>
  <c r="AR352" s="1"/>
  <c r="AO589"/>
  <c r="AR589" s="1"/>
  <c r="AO613"/>
  <c r="AR613" s="1"/>
  <c r="AN64"/>
  <c r="AP64" s="1"/>
  <c r="AS64" s="1"/>
  <c r="AN77"/>
  <c r="AP77" s="1"/>
  <c r="AS77" s="1"/>
  <c r="AO1035"/>
  <c r="AR1035" s="1"/>
  <c r="AO1112"/>
  <c r="AR1112" s="1"/>
  <c r="AO1133"/>
  <c r="AR1133" s="1"/>
  <c r="AO135"/>
  <c r="AR135" s="1"/>
  <c r="AO1234"/>
  <c r="AR1234" s="1"/>
  <c r="AO697"/>
  <c r="AR697" s="1"/>
  <c r="AO974"/>
  <c r="AR974" s="1"/>
  <c r="AO1002"/>
  <c r="AR1002" s="1"/>
  <c r="AO795"/>
  <c r="AR795" s="1"/>
  <c r="AO1073"/>
  <c r="AR1073" s="1"/>
  <c r="AO350"/>
  <c r="AR350" s="1"/>
  <c r="AO1098"/>
  <c r="AR1098" s="1"/>
  <c r="AO1120"/>
  <c r="AR1120" s="1"/>
  <c r="AO843"/>
  <c r="AR843" s="1"/>
  <c r="AO1090"/>
  <c r="AR1090" s="1"/>
  <c r="AO542"/>
  <c r="AR542" s="1"/>
  <c r="AO136"/>
  <c r="AR136" s="1"/>
  <c r="AO859"/>
  <c r="AR859" s="1"/>
  <c r="AO282"/>
  <c r="AR282" s="1"/>
  <c r="AN65"/>
  <c r="AP65" s="1"/>
  <c r="AS65" s="1"/>
  <c r="AO385"/>
  <c r="AR385" s="1"/>
  <c r="AO165"/>
  <c r="AR165" s="1"/>
  <c r="AO1264"/>
  <c r="AR1264" s="1"/>
  <c r="AO732"/>
  <c r="AR732" s="1"/>
  <c r="AO269"/>
  <c r="AR269" s="1"/>
  <c r="AN73"/>
  <c r="AP73" s="1"/>
  <c r="AS73" s="1"/>
  <c r="AO250"/>
  <c r="AR250" s="1"/>
  <c r="AO970"/>
  <c r="AR970" s="1"/>
  <c r="AN87"/>
  <c r="AP87" s="1"/>
  <c r="AS87" s="1"/>
  <c r="AO1132"/>
  <c r="AR1132" s="1"/>
  <c r="AO328"/>
  <c r="AR328" s="1"/>
  <c r="AO869"/>
  <c r="AR869" s="1"/>
  <c r="AO1116"/>
  <c r="AR1116" s="1"/>
  <c r="AO780"/>
  <c r="AR780" s="1"/>
  <c r="AN70"/>
  <c r="AP70" s="1"/>
  <c r="AS70" s="1"/>
  <c r="AO731"/>
  <c r="AR731" s="1"/>
  <c r="AO663"/>
  <c r="AR663" s="1"/>
  <c r="AO266"/>
  <c r="AR266" s="1"/>
  <c r="AO681"/>
  <c r="AR681" s="1"/>
  <c r="AO682"/>
  <c r="AR682" s="1"/>
  <c r="AO355"/>
  <c r="AR355" s="1"/>
  <c r="AO326"/>
  <c r="AR326" s="1"/>
  <c r="AO1124"/>
  <c r="AR1124" s="1"/>
  <c r="AO715"/>
  <c r="AR715" s="1"/>
  <c r="AO1121"/>
  <c r="AR1121" s="1"/>
  <c r="AO716"/>
  <c r="AR716" s="1"/>
  <c r="AO1170"/>
  <c r="AR1170" s="1"/>
  <c r="AO799"/>
  <c r="AR799" s="1"/>
  <c r="AO808"/>
  <c r="AR808" s="1"/>
  <c r="AO862"/>
  <c r="AR862" s="1"/>
  <c r="AO596"/>
  <c r="AR596" s="1"/>
  <c r="AO914"/>
  <c r="AR914" s="1"/>
  <c r="AO554"/>
  <c r="AR554" s="1"/>
  <c r="AO609"/>
  <c r="AR609" s="1"/>
  <c r="AO1131"/>
  <c r="AR1131" s="1"/>
  <c r="AO561"/>
  <c r="AR561" s="1"/>
  <c r="AO1191"/>
  <c r="AR1191" s="1"/>
  <c r="AO711"/>
  <c r="AR711" s="1"/>
  <c r="AO1267"/>
  <c r="AR1267" s="1"/>
  <c r="AO1241"/>
  <c r="AR1241" s="1"/>
  <c r="AO348"/>
  <c r="AR348" s="1"/>
  <c r="AO661"/>
  <c r="AR661" s="1"/>
  <c r="AO275"/>
  <c r="AR275" s="1"/>
  <c r="AO1063"/>
  <c r="AR1063" s="1"/>
  <c r="AO730"/>
  <c r="AR730" s="1"/>
  <c r="AO106"/>
  <c r="AR106" s="1"/>
  <c r="AO948"/>
  <c r="AR948" s="1"/>
  <c r="AO1181"/>
  <c r="AR1181" s="1"/>
  <c r="AO1030"/>
  <c r="AR1030" s="1"/>
  <c r="AO191"/>
  <c r="AR191" s="1"/>
  <c r="AO394"/>
  <c r="AR394" s="1"/>
  <c r="AO319"/>
  <c r="AR319" s="1"/>
  <c r="AO604"/>
  <c r="AR604" s="1"/>
  <c r="AO251"/>
  <c r="AR251" s="1"/>
  <c r="AO733"/>
  <c r="AR733" s="1"/>
  <c r="AO373"/>
  <c r="AR373" s="1"/>
  <c r="AO673"/>
  <c r="AR673" s="1"/>
  <c r="AO543"/>
  <c r="AR543" s="1"/>
  <c r="AO374"/>
  <c r="AR374" s="1"/>
  <c r="AO349"/>
  <c r="AR349" s="1"/>
  <c r="AN45"/>
  <c r="AP45" s="1"/>
  <c r="AS45" s="1"/>
  <c r="AO551"/>
  <c r="AR551" s="1"/>
  <c r="AO308"/>
  <c r="AR308" s="1"/>
  <c r="AO1013"/>
  <c r="AR1013" s="1"/>
  <c r="AO1184"/>
  <c r="AR1184" s="1"/>
  <c r="AO265"/>
  <c r="AR265" s="1"/>
  <c r="AN56"/>
  <c r="AP56" s="1"/>
  <c r="AS56" s="1"/>
  <c r="AO1072"/>
  <c r="AR1072" s="1"/>
  <c r="AO1148"/>
  <c r="AR1148" s="1"/>
  <c r="AO504"/>
  <c r="AR504" s="1"/>
  <c r="AO192"/>
  <c r="AR192" s="1"/>
  <c r="AO347"/>
  <c r="AR347" s="1"/>
  <c r="AO1084"/>
  <c r="AR1084" s="1"/>
  <c r="AO1092"/>
  <c r="AR1092" s="1"/>
  <c r="AN63"/>
  <c r="AP63" s="1"/>
  <c r="AS63" s="1"/>
  <c r="AO1012"/>
  <c r="AR1012" s="1"/>
  <c r="AO268"/>
  <c r="AR268" s="1"/>
  <c r="AO1207"/>
  <c r="AR1207" s="1"/>
  <c r="AO691"/>
  <c r="AR691" s="1"/>
  <c r="AN89"/>
  <c r="AP89" s="1"/>
  <c r="AS89" s="1"/>
  <c r="AO637"/>
  <c r="AR637" s="1"/>
  <c r="AO832"/>
  <c r="AR832" s="1"/>
  <c r="AO147"/>
  <c r="AR147" s="1"/>
  <c r="AO1039"/>
  <c r="AR1039" s="1"/>
  <c r="AO1192"/>
  <c r="AR1192" s="1"/>
  <c r="AO1172"/>
  <c r="AR1172" s="1"/>
  <c r="AO1182"/>
  <c r="AR1182" s="1"/>
  <c r="AO836"/>
  <c r="AR836" s="1"/>
  <c r="AO786"/>
  <c r="AR786" s="1"/>
  <c r="AO896"/>
  <c r="AR896" s="1"/>
  <c r="AO263"/>
  <c r="AR263" s="1"/>
  <c r="AO284"/>
  <c r="AR284" s="1"/>
  <c r="AO802"/>
  <c r="AR802" s="1"/>
  <c r="AO1204"/>
  <c r="AR1204" s="1"/>
  <c r="AO546"/>
  <c r="AR546" s="1"/>
  <c r="AO1196"/>
  <c r="AR1196" s="1"/>
  <c r="AN57"/>
  <c r="AP57" s="1"/>
  <c r="AS57" s="1"/>
  <c r="AO132"/>
  <c r="AR132" s="1"/>
  <c r="AO375"/>
  <c r="AR375" s="1"/>
  <c r="AN100"/>
  <c r="AP100" s="1"/>
  <c r="AS100" s="1"/>
  <c r="AO651"/>
  <c r="AR651" s="1"/>
  <c r="AO549"/>
  <c r="AR549" s="1"/>
  <c r="AO1190"/>
  <c r="AR1190" s="1"/>
  <c r="AO174"/>
  <c r="AR174" s="1"/>
  <c r="AN84"/>
  <c r="AP84" s="1"/>
  <c r="AS84" s="1"/>
  <c r="AO379"/>
  <c r="AR379" s="1"/>
  <c r="AN35"/>
  <c r="AP35" s="1"/>
  <c r="AS35" s="1"/>
  <c r="AO1020"/>
  <c r="AR1020" s="1"/>
  <c r="AO1221"/>
  <c r="AR1221" s="1"/>
  <c r="AO556"/>
  <c r="AR556" s="1"/>
  <c r="AO1077"/>
  <c r="AR1077" s="1"/>
  <c r="AO177"/>
  <c r="AR177" s="1"/>
  <c r="AN78"/>
  <c r="AP78" s="1"/>
  <c r="AS78" s="1"/>
  <c r="AO1025"/>
  <c r="AR1025" s="1"/>
  <c r="AN1194"/>
  <c r="AP1194" s="1"/>
  <c r="AS1194" s="1"/>
  <c r="AN1115"/>
  <c r="AP1115" s="1"/>
  <c r="AS1115" s="1"/>
  <c r="AO805"/>
  <c r="AR805" s="1"/>
  <c r="AO800"/>
  <c r="AR800" s="1"/>
  <c r="AO701"/>
  <c r="AR701" s="1"/>
  <c r="AO363"/>
  <c r="AR363" s="1"/>
  <c r="AN501"/>
  <c r="AP501" s="1"/>
  <c r="AS501" s="1"/>
  <c r="AO519"/>
  <c r="AR519" s="1"/>
  <c r="AO1158"/>
  <c r="AR1158" s="1"/>
  <c r="AN1141"/>
  <c r="AP1141" s="1"/>
  <c r="AS1141" s="1"/>
  <c r="AO259"/>
  <c r="AR259" s="1"/>
  <c r="AO295"/>
  <c r="AR295" s="1"/>
  <c r="AO895"/>
  <c r="AR895" s="1"/>
  <c r="AN322"/>
  <c r="AP322" s="1"/>
  <c r="AS322" s="1"/>
  <c r="AN1211"/>
  <c r="AP1211" s="1"/>
  <c r="AS1211" s="1"/>
  <c r="AE7"/>
  <c r="AG7" s="1"/>
  <c r="AQ7" s="1"/>
  <c r="AE8"/>
  <c r="AG8" s="1"/>
  <c r="AQ8" s="1"/>
  <c r="AD3"/>
  <c r="AF3" s="1"/>
  <c r="AH3" s="1"/>
  <c r="AR3" s="1"/>
  <c r="AE3"/>
  <c r="AG3" s="1"/>
  <c r="AQ3" s="1"/>
  <c r="AD5"/>
  <c r="AF5" s="1"/>
  <c r="AH5" s="1"/>
  <c r="AR5" s="1"/>
  <c r="AD4"/>
  <c r="AF4" s="1"/>
  <c r="AH4" s="1"/>
  <c r="AR4" s="1"/>
  <c r="AD7"/>
  <c r="AF7" s="1"/>
  <c r="AH7" s="1"/>
  <c r="AR7" s="1"/>
  <c r="AE6"/>
  <c r="AG6" s="1"/>
  <c r="AQ6" s="1"/>
  <c r="AD6"/>
  <c r="AF6" s="1"/>
  <c r="AH6" s="1"/>
  <c r="AR6" s="1"/>
  <c r="AE4"/>
  <c r="AG4" s="1"/>
  <c r="AQ4" s="1"/>
  <c r="AD8"/>
  <c r="AF8" s="1"/>
  <c r="AH8" s="1"/>
  <c r="AR8" s="1"/>
  <c r="AN32"/>
  <c r="AP32" s="1"/>
  <c r="AS32" s="1"/>
  <c r="AO32"/>
  <c r="AR32" s="1"/>
  <c r="AR12" l="1"/>
  <c r="AR11"/>
  <c r="AQ12"/>
  <c r="AQ11"/>
</calcChain>
</file>

<file path=xl/sharedStrings.xml><?xml version="1.0" encoding="utf-8"?>
<sst xmlns="http://schemas.openxmlformats.org/spreadsheetml/2006/main" count="139" uniqueCount="78">
  <si>
    <t>AEDT</t>
  </si>
  <si>
    <t>pixel x</t>
  </si>
  <si>
    <t>pixel y</t>
  </si>
  <si>
    <t>Long</t>
  </si>
  <si>
    <t>Image Angluar Size</t>
  </si>
  <si>
    <t>deg</t>
  </si>
  <si>
    <t>px</t>
  </si>
  <si>
    <t>Origin</t>
  </si>
  <si>
    <t>Top Left of Image</t>
  </si>
  <si>
    <t>Alt</t>
  </si>
  <si>
    <t>Az</t>
  </si>
  <si>
    <t>Image roll</t>
  </si>
  <si>
    <t>Center Pix X</t>
  </si>
  <si>
    <t>STEP I</t>
  </si>
  <si>
    <t>Center Pix Y</t>
  </si>
  <si>
    <t>R</t>
  </si>
  <si>
    <t>φ</t>
  </si>
  <si>
    <t>θ</t>
  </si>
  <si>
    <t>Half Horizontal Field of view</t>
  </si>
  <si>
    <t>Projection 'distance'</t>
  </si>
  <si>
    <t>Half Horizontal Width (Video)</t>
  </si>
  <si>
    <t>Video</t>
  </si>
  <si>
    <t>STEP II</t>
  </si>
  <si>
    <t>x</t>
  </si>
  <si>
    <t>y</t>
  </si>
  <si>
    <t>z</t>
  </si>
  <si>
    <t>Local Spherical</t>
  </si>
  <si>
    <t>Local Cartesian</t>
  </si>
  <si>
    <t>STEP V</t>
  </si>
  <si>
    <t>Image Center Global Cartesian</t>
  </si>
  <si>
    <t>STEP VI</t>
  </si>
  <si>
    <t>Local Unit Vectors in Global Cartesian Space</t>
  </si>
  <si>
    <t>i' hat</t>
  </si>
  <si>
    <t>j' har</t>
  </si>
  <si>
    <t>k' hat</t>
  </si>
  <si>
    <t>i</t>
  </si>
  <si>
    <t>j</t>
  </si>
  <si>
    <t>k</t>
  </si>
  <si>
    <t>B</t>
  </si>
  <si>
    <t>B = cos (rot) * sqrt((k' x)^2 +(k' y)^2)</t>
  </si>
  <si>
    <t>Rotation Direction</t>
  </si>
  <si>
    <t>STEP III</t>
  </si>
  <si>
    <t>Local Cartesian to Global Cartesian</t>
  </si>
  <si>
    <t>STEP IV</t>
  </si>
  <si>
    <t>Global Cartesian to Global Spherical</t>
  </si>
  <si>
    <t>r</t>
  </si>
  <si>
    <t>1 or -1</t>
  </si>
  <si>
    <t>Barrel Distortion Exponent</t>
  </si>
  <si>
    <t>Calibration Object</t>
  </si>
  <si>
    <t>Error</t>
  </si>
  <si>
    <t>Actual</t>
  </si>
  <si>
    <t>Degrees</t>
  </si>
  <si>
    <t>Seconds</t>
  </si>
  <si>
    <t>Decimal Degrees</t>
  </si>
  <si>
    <t>Minutes</t>
  </si>
  <si>
    <t>Average</t>
  </si>
  <si>
    <t>σ</t>
  </si>
  <si>
    <t>φ Degrees</t>
  </si>
  <si>
    <t>Actual Az</t>
  </si>
  <si>
    <t>Actual Alt</t>
  </si>
  <si>
    <t>Tracker Data</t>
  </si>
  <si>
    <t>STEP 0</t>
  </si>
  <si>
    <t>Fine Adjustment</t>
  </si>
  <si>
    <t>Field Of View</t>
  </si>
  <si>
    <t>Video Start</t>
  </si>
  <si>
    <t>Calibration Image Time</t>
  </si>
  <si>
    <t>Video Dimentions</t>
  </si>
  <si>
    <t>Epoch</t>
  </si>
  <si>
    <t xml:space="preserve">Lat </t>
  </si>
  <si>
    <t>Calibration Points</t>
  </si>
  <si>
    <t>mass_A</t>
  </si>
  <si>
    <t>t</t>
  </si>
  <si>
    <t xml:space="preserve">α - Col </t>
  </si>
  <si>
    <t>h - Eri</t>
  </si>
  <si>
    <t>β - Hyi</t>
  </si>
  <si>
    <t>δ - Ret</t>
  </si>
  <si>
    <t>γ - Dor</t>
  </si>
  <si>
    <t>δ - Dor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</si>
</sst>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2" fillId="2" borderId="2" applyNumberFormat="0" applyAlignment="0" applyProtection="0"/>
  </cellStyleXfs>
  <cellXfs count="21">
    <xf numFmtId="0" fontId="0" fillId="0" borderId="0" xfId="0"/>
    <xf numFmtId="20" fontId="0" fillId="0" borderId="0" xfId="0" applyNumberFormat="1"/>
    <xf numFmtId="0" fontId="0" fillId="0" borderId="0" xfId="0" applyNumberFormat="1"/>
    <xf numFmtId="0" fontId="0" fillId="0" borderId="1" xfId="0" applyBorder="1"/>
    <xf numFmtId="0" fontId="0" fillId="0" borderId="0" xfId="0" applyFill="1" applyBorder="1"/>
    <xf numFmtId="0" fontId="1" fillId="0" borderId="0" xfId="0" applyFont="1"/>
    <xf numFmtId="164" fontId="0" fillId="0" borderId="0" xfId="0" applyNumberFormat="1"/>
    <xf numFmtId="164" fontId="0" fillId="0" borderId="1" xfId="0" applyNumberFormat="1" applyBorder="1"/>
    <xf numFmtId="0" fontId="0" fillId="0" borderId="0" xfId="0" applyBorder="1"/>
    <xf numFmtId="0" fontId="0" fillId="0" borderId="0" xfId="0" applyNumberFormat="1" applyBorder="1"/>
    <xf numFmtId="164" fontId="0" fillId="0" borderId="0" xfId="0" applyNumberFormat="1" applyBorder="1"/>
    <xf numFmtId="0" fontId="0" fillId="0" borderId="3" xfId="0" applyBorder="1"/>
    <xf numFmtId="0" fontId="0" fillId="0" borderId="4" xfId="0" applyBorder="1"/>
    <xf numFmtId="2" fontId="0" fillId="0" borderId="0" xfId="0" applyNumberFormat="1" applyBorder="1"/>
    <xf numFmtId="0" fontId="2" fillId="2" borderId="2" xfId="1" applyNumberFormat="1"/>
    <xf numFmtId="0" fontId="2" fillId="2" borderId="2" xfId="1"/>
    <xf numFmtId="165" fontId="2" fillId="2" borderId="2" xfId="1" applyNumberFormat="1"/>
    <xf numFmtId="14" fontId="2" fillId="2" borderId="2" xfId="1" applyNumberFormat="1"/>
    <xf numFmtId="20" fontId="2" fillId="2" borderId="2" xfId="1" applyNumberFormat="1"/>
    <xf numFmtId="11" fontId="2" fillId="2" borderId="2" xfId="1" applyNumberFormat="1"/>
    <xf numFmtId="11" fontId="0" fillId="0" borderId="0" xfId="0" applyNumberFormat="1"/>
  </cellXfs>
  <cellStyles count="2">
    <cellStyle name="Input" xfId="1" builtinId="20"/>
    <cellStyle name="Normal" xfId="0" builtinId="0"/>
  </cellStyles>
  <dxfs count="0"/>
  <tableStyles count="0" defaultTableStyle="TableStyleMedium9" defaultPivotStyle="PivotStyleLight16"/>
  <colors>
    <mruColors>
      <color rgb="FFFFFFFF"/>
      <color rgb="FF00FFFF"/>
      <color rgb="FFFF0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J1540"/>
  <sheetViews>
    <sheetView tabSelected="1" zoomScaleNormal="100" workbookViewId="0">
      <pane xSplit="9" topLeftCell="J1" activePane="topRight" state="frozen"/>
      <selection pane="topRight" activeCell="K10" sqref="K10"/>
    </sheetView>
  </sheetViews>
  <sheetFormatPr defaultRowHeight="15"/>
  <cols>
    <col min="2" max="2" width="10.85546875" bestFit="1" customWidth="1"/>
    <col min="3" max="3" width="10.140625" bestFit="1" customWidth="1"/>
    <col min="4" max="4" width="9.140625" style="3"/>
    <col min="5" max="6" width="9.28515625" bestFit="1" customWidth="1"/>
    <col min="14" max="14" width="9.140625" style="3"/>
    <col min="15" max="18" width="9.140625" customWidth="1"/>
    <col min="19" max="19" width="9.140625" style="3" customWidth="1"/>
    <col min="20" max="24" width="9.140625" customWidth="1"/>
    <col min="25" max="25" width="9.140625" style="3" customWidth="1"/>
    <col min="26" max="31" width="9.140625" customWidth="1"/>
    <col min="32" max="32" width="9.140625" style="3" customWidth="1"/>
    <col min="33" max="38" width="9.140625" customWidth="1"/>
    <col min="39" max="39" width="9.140625" style="3" customWidth="1"/>
  </cols>
  <sheetData>
    <row r="1" spans="1:62">
      <c r="A1" t="s">
        <v>67</v>
      </c>
      <c r="E1" t="s">
        <v>62</v>
      </c>
      <c r="J1" t="s">
        <v>69</v>
      </c>
      <c r="K1" s="8"/>
      <c r="L1" s="8"/>
      <c r="M1" s="8"/>
      <c r="N1" s="8"/>
      <c r="O1" s="8"/>
      <c r="P1" s="8"/>
      <c r="Q1" s="8"/>
      <c r="R1" s="8"/>
      <c r="S1" s="8" t="s">
        <v>50</v>
      </c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 t="s">
        <v>58</v>
      </c>
      <c r="AJ1" s="8"/>
      <c r="AK1" s="8"/>
      <c r="AL1" s="8"/>
      <c r="AM1" s="8" t="s">
        <v>59</v>
      </c>
      <c r="AN1" s="8"/>
      <c r="AO1" s="8"/>
      <c r="AP1" s="8"/>
      <c r="AQ1" t="s">
        <v>49</v>
      </c>
    </row>
    <row r="2" spans="1:62">
      <c r="A2" t="s">
        <v>65</v>
      </c>
      <c r="B2" s="17">
        <v>43047</v>
      </c>
      <c r="C2" s="18">
        <v>0.90493055555555557</v>
      </c>
      <c r="D2" s="3" t="s">
        <v>0</v>
      </c>
      <c r="K2" s="8" t="s">
        <v>48</v>
      </c>
      <c r="L2" s="8" t="s">
        <v>1</v>
      </c>
      <c r="M2" s="8" t="s">
        <v>2</v>
      </c>
      <c r="N2" s="8" t="s">
        <v>12</v>
      </c>
      <c r="O2" s="8" t="s">
        <v>14</v>
      </c>
      <c r="P2" s="8" t="s">
        <v>16</v>
      </c>
      <c r="Q2" s="8" t="s">
        <v>17</v>
      </c>
      <c r="R2" s="8" t="s">
        <v>57</v>
      </c>
      <c r="S2" s="8" t="s">
        <v>53</v>
      </c>
      <c r="T2" s="8" t="s">
        <v>51</v>
      </c>
      <c r="U2" s="8" t="s">
        <v>54</v>
      </c>
      <c r="V2" s="8" t="s">
        <v>52</v>
      </c>
      <c r="W2" s="8" t="s">
        <v>49</v>
      </c>
      <c r="X2" s="4" t="s">
        <v>23</v>
      </c>
      <c r="Y2" s="4" t="s">
        <v>24</v>
      </c>
      <c r="Z2" s="4" t="s">
        <v>25</v>
      </c>
      <c r="AA2" s="8" t="s">
        <v>23</v>
      </c>
      <c r="AB2" s="8" t="s">
        <v>24</v>
      </c>
      <c r="AC2" s="8" t="s">
        <v>25</v>
      </c>
      <c r="AD2" s="8" t="s">
        <v>45</v>
      </c>
      <c r="AE2" s="8" t="s">
        <v>16</v>
      </c>
      <c r="AF2" s="8" t="s">
        <v>17</v>
      </c>
      <c r="AG2" s="8" t="s">
        <v>10</v>
      </c>
      <c r="AH2" s="8" t="s">
        <v>9</v>
      </c>
      <c r="AI2" s="8" t="s">
        <v>53</v>
      </c>
      <c r="AJ2" s="8" t="s">
        <v>51</v>
      </c>
      <c r="AK2" s="8" t="s">
        <v>54</v>
      </c>
      <c r="AL2" s="8" t="s">
        <v>52</v>
      </c>
      <c r="AM2" s="8" t="s">
        <v>53</v>
      </c>
      <c r="AN2" s="8" t="s">
        <v>51</v>
      </c>
      <c r="AO2" s="8" t="s">
        <v>54</v>
      </c>
      <c r="AP2" s="8" t="s">
        <v>52</v>
      </c>
      <c r="AQ2" s="8" t="s">
        <v>10</v>
      </c>
      <c r="AR2" s="8" t="s">
        <v>9</v>
      </c>
      <c r="AS2" s="8"/>
      <c r="AT2" s="8"/>
      <c r="AU2" s="8"/>
    </row>
    <row r="3" spans="1:62">
      <c r="A3" t="s">
        <v>64</v>
      </c>
      <c r="B3" s="17">
        <v>43047</v>
      </c>
      <c r="C3" s="18">
        <v>0.90347222222222223</v>
      </c>
      <c r="D3" s="3" t="s">
        <v>0</v>
      </c>
      <c r="K3" s="15" t="s">
        <v>72</v>
      </c>
      <c r="L3" s="15">
        <v>206</v>
      </c>
      <c r="M3" s="15">
        <v>818</v>
      </c>
      <c r="N3" s="9">
        <f t="shared" ref="N3:N8" si="0">(L3-($B$15/2))</f>
        <v>-754</v>
      </c>
      <c r="O3" s="9">
        <f t="shared" ref="O3:O8" si="1">(($C$15/2)-M3)</f>
        <v>-278</v>
      </c>
      <c r="P3" s="8">
        <f t="shared" ref="P3:P8" si="2">ATAN((SQRT(N3^2+O3^2)^$B$16)/($F$24))</f>
        <v>0.4917614897442355</v>
      </c>
      <c r="Q3" s="8">
        <f t="shared" ref="Q3:Q8" si="3">ATAN2(N3,O3)</f>
        <v>-2.7883564447255527</v>
      </c>
      <c r="R3" s="8">
        <f>DEGREES(P3)</f>
        <v>28.175857889410612</v>
      </c>
      <c r="S3" s="8">
        <f>T3+U3/60+V3/3600</f>
        <v>12.966666666666667</v>
      </c>
      <c r="T3" s="15">
        <v>12</v>
      </c>
      <c r="U3" s="15">
        <v>58</v>
      </c>
      <c r="V3" s="15">
        <v>0</v>
      </c>
      <c r="W3" s="10">
        <f>R3-S3</f>
        <v>15.209191222743945</v>
      </c>
      <c r="X3" s="8">
        <f t="shared" ref="X3:X8" si="4">COS(Q3)*SIN(P3)</f>
        <v>-0.44302612881977699</v>
      </c>
      <c r="Y3" s="8">
        <f t="shared" ref="Y3:Y8" si="5">SIN(Q3)*SIN(P3)</f>
        <v>-0.163343851209414</v>
      </c>
      <c r="Z3" s="8">
        <f t="shared" ref="Z3:Z8" si="6">COS(P3)</f>
        <v>0.88150248749225846</v>
      </c>
      <c r="AA3" s="8">
        <f t="shared" ref="AA3:AA8" si="7">$X3*$Z$27+$Y3*$Z$31+$Z3*$Z$35</f>
        <v>-0.45409197415063829</v>
      </c>
      <c r="AB3" s="8">
        <f t="shared" ref="AB3:AB8" si="8">$X3*$AA$27+$Y3*$AA$31+$Z3*$AA$35</f>
        <v>0.82842150730997055</v>
      </c>
      <c r="AC3" s="8">
        <f t="shared" ref="AC3:AC8" si="9">$AB$27*$X3+$Y3*$AB$31+$AB$35*$Z3</f>
        <v>0.32789980975635308</v>
      </c>
      <c r="AD3" s="8">
        <f t="shared" ref="AD3:AD8" si="10">AA3^2+AB3^2+AC3^2</f>
        <v>1</v>
      </c>
      <c r="AE3" s="8">
        <f t="shared" ref="AE3:AE8" si="11">IF(ATAN2(AA3,AB3)&gt;=0,ATAN2(AA3,AB3),ATAN2(AA3,AB3)+2*PI())</f>
        <v>2.0722113298951541</v>
      </c>
      <c r="AF3" s="8">
        <f t="shared" ref="AF3:AF8" si="12">ACOS(AC3/AD3)</f>
        <v>1.2367167116952495</v>
      </c>
      <c r="AG3" s="8">
        <f t="shared" ref="AG3:AG8" si="13">DEGREES(AE3)</f>
        <v>118.72896346218384</v>
      </c>
      <c r="AH3" s="8">
        <f t="shared" ref="AH3:AH8" si="14">90-DEGREES(AF3)</f>
        <v>19.141351966564784</v>
      </c>
      <c r="AI3" s="8">
        <f>AJ3+AK3/60+AL3/3600</f>
        <v>118.75583333333333</v>
      </c>
      <c r="AJ3" s="15">
        <v>118</v>
      </c>
      <c r="AK3" s="15">
        <v>45</v>
      </c>
      <c r="AL3" s="15">
        <v>21</v>
      </c>
      <c r="AM3" s="8">
        <f>AN3+AO3/60+AP3/3600</f>
        <v>19.197500000000002</v>
      </c>
      <c r="AN3" s="15">
        <v>19</v>
      </c>
      <c r="AO3" s="15">
        <v>11</v>
      </c>
      <c r="AP3" s="15">
        <v>51</v>
      </c>
      <c r="AQ3" s="10">
        <f>AG3-AI3</f>
        <v>-2.6869871149486357E-2</v>
      </c>
      <c r="AR3" s="10">
        <f>AH3-AM3</f>
        <v>-5.614803343521757E-2</v>
      </c>
      <c r="AS3" s="8"/>
      <c r="AT3" s="10"/>
      <c r="AU3" s="10"/>
    </row>
    <row r="4" spans="1:62">
      <c r="A4" t="s">
        <v>68</v>
      </c>
      <c r="B4" s="14"/>
      <c r="C4" s="1" t="s">
        <v>5</v>
      </c>
      <c r="K4" s="15" t="s">
        <v>73</v>
      </c>
      <c r="L4" s="15">
        <v>339</v>
      </c>
      <c r="M4" s="15">
        <v>134</v>
      </c>
      <c r="N4" s="9">
        <f t="shared" si="0"/>
        <v>-621</v>
      </c>
      <c r="O4" s="9">
        <f t="shared" si="1"/>
        <v>406</v>
      </c>
      <c r="P4" s="8">
        <f t="shared" si="2"/>
        <v>0.45895524700406037</v>
      </c>
      <c r="Q4" s="8">
        <f t="shared" si="3"/>
        <v>2.562561771934635</v>
      </c>
      <c r="R4" s="8">
        <f t="shared" ref="R4:R8" si="15">DEGREES(P4)</f>
        <v>26.296198638716881</v>
      </c>
      <c r="S4" s="8">
        <f t="shared" ref="S4:S8" si="16">T4+U4/60+V4/3600</f>
        <v>10.9</v>
      </c>
      <c r="T4" s="15">
        <v>10</v>
      </c>
      <c r="U4" s="15">
        <v>54</v>
      </c>
      <c r="V4" s="15">
        <v>0</v>
      </c>
      <c r="W4" s="10">
        <f t="shared" ref="W4:W8" si="17">R4-S4</f>
        <v>15.39619863871688</v>
      </c>
      <c r="X4" s="8">
        <f t="shared" si="4"/>
        <v>-0.37079785948341132</v>
      </c>
      <c r="Y4" s="8">
        <f t="shared" si="5"/>
        <v>0.24242178896983091</v>
      </c>
      <c r="Z4" s="8">
        <f t="shared" si="6"/>
        <v>0.8965158245313839</v>
      </c>
      <c r="AA4" s="8">
        <f t="shared" si="7"/>
        <v>-0.25204457624570498</v>
      </c>
      <c r="AB4" s="8">
        <f t="shared" si="8"/>
        <v>0.70312683925303843</v>
      </c>
      <c r="AC4" s="8">
        <f t="shared" si="9"/>
        <v>0.66489561549701548</v>
      </c>
      <c r="AD4" s="8">
        <f t="shared" si="10"/>
        <v>1.0000000000000002</v>
      </c>
      <c r="AE4" s="8">
        <f t="shared" si="11"/>
        <v>1.91499010392767</v>
      </c>
      <c r="AF4" s="8">
        <f t="shared" si="12"/>
        <v>0.84344226769708974</v>
      </c>
      <c r="AG4" s="8">
        <f t="shared" si="13"/>
        <v>109.72085076437438</v>
      </c>
      <c r="AH4" s="8">
        <f t="shared" si="14"/>
        <v>41.674317798013391</v>
      </c>
      <c r="AI4" s="8">
        <f t="shared" ref="AI4:AI8" si="18">AJ4+AK4/60+AL4/3600</f>
        <v>109.6111111111111</v>
      </c>
      <c r="AJ4" s="15">
        <v>109</v>
      </c>
      <c r="AK4" s="15">
        <v>36</v>
      </c>
      <c r="AL4" s="15">
        <v>40</v>
      </c>
      <c r="AM4" s="8">
        <f t="shared" ref="AM4:AM8" si="19">AN4+AO4/60+AP4/3600</f>
        <v>41.706666666666671</v>
      </c>
      <c r="AN4" s="15">
        <v>41</v>
      </c>
      <c r="AO4" s="15">
        <v>42</v>
      </c>
      <c r="AP4" s="15">
        <v>24</v>
      </c>
      <c r="AQ4" s="10">
        <f t="shared" ref="AQ4:AQ8" si="20">AG4-AI4</f>
        <v>0.10973965326327573</v>
      </c>
      <c r="AR4" s="10">
        <f t="shared" ref="AR4:AR8" si="21">AH4-AM4</f>
        <v>-3.2348868653279794E-2</v>
      </c>
      <c r="AS4" s="8"/>
      <c r="AT4" s="10"/>
      <c r="AU4" s="10"/>
    </row>
    <row r="5" spans="1:62">
      <c r="A5" t="s">
        <v>3</v>
      </c>
      <c r="B5" s="15"/>
      <c r="C5" t="s">
        <v>5</v>
      </c>
      <c r="K5" s="15" t="s">
        <v>74</v>
      </c>
      <c r="L5" s="15">
        <v>1619</v>
      </c>
      <c r="M5" s="15">
        <v>202</v>
      </c>
      <c r="N5" s="9">
        <f t="shared" si="0"/>
        <v>659</v>
      </c>
      <c r="O5" s="9">
        <f t="shared" si="1"/>
        <v>338</v>
      </c>
      <c r="P5" s="8">
        <f t="shared" si="2"/>
        <v>0.45824314933941185</v>
      </c>
      <c r="Q5" s="8">
        <f t="shared" si="3"/>
        <v>0.47391294889109653</v>
      </c>
      <c r="R5" s="8">
        <f t="shared" si="15"/>
        <v>26.255398447931398</v>
      </c>
      <c r="S5" s="8">
        <f t="shared" si="16"/>
        <v>9.0500000000000007</v>
      </c>
      <c r="T5" s="15">
        <v>9</v>
      </c>
      <c r="U5" s="15">
        <v>3</v>
      </c>
      <c r="V5" s="15">
        <v>0</v>
      </c>
      <c r="W5" s="10">
        <f t="shared" si="17"/>
        <v>17.205398447931397</v>
      </c>
      <c r="X5" s="8">
        <f t="shared" si="4"/>
        <v>0.39361895355783361</v>
      </c>
      <c r="Y5" s="8">
        <f t="shared" si="5"/>
        <v>0.20188650425272797</v>
      </c>
      <c r="Z5" s="8">
        <f t="shared" si="6"/>
        <v>0.89683106480576891</v>
      </c>
      <c r="AA5" s="8">
        <f t="shared" si="7"/>
        <v>-0.63788380102770148</v>
      </c>
      <c r="AB5" s="8">
        <f t="shared" si="8"/>
        <v>5.0155948687635066E-2</v>
      </c>
      <c r="AC5" s="8">
        <f t="shared" si="9"/>
        <v>0.76849764944188026</v>
      </c>
      <c r="AD5" s="8">
        <f t="shared" si="10"/>
        <v>1</v>
      </c>
      <c r="AE5" s="8">
        <f t="shared" si="11"/>
        <v>3.0631254345495518</v>
      </c>
      <c r="AF5" s="8">
        <f t="shared" si="12"/>
        <v>0.69430646080687242</v>
      </c>
      <c r="AG5" s="8">
        <f t="shared" si="13"/>
        <v>175.50415951886561</v>
      </c>
      <c r="AH5" s="8">
        <f t="shared" si="14"/>
        <v>50.219170107100908</v>
      </c>
      <c r="AI5" s="8">
        <f t="shared" si="18"/>
        <v>175.56944444444443</v>
      </c>
      <c r="AJ5" s="15">
        <v>175</v>
      </c>
      <c r="AK5" s="15">
        <v>34</v>
      </c>
      <c r="AL5" s="15">
        <v>10</v>
      </c>
      <c r="AM5" s="8">
        <f t="shared" si="19"/>
        <v>50.212500000000006</v>
      </c>
      <c r="AN5" s="15">
        <v>50</v>
      </c>
      <c r="AO5" s="15">
        <v>12</v>
      </c>
      <c r="AP5" s="15">
        <v>45</v>
      </c>
      <c r="AQ5" s="10">
        <f t="shared" si="20"/>
        <v>-6.5284925578822595E-2</v>
      </c>
      <c r="AR5" s="10">
        <f t="shared" si="21"/>
        <v>6.6701071009021007E-3</v>
      </c>
      <c r="AS5" s="8"/>
      <c r="AT5" s="10"/>
      <c r="AU5" s="10"/>
    </row>
    <row r="6" spans="1:62">
      <c r="K6" s="15" t="s">
        <v>75</v>
      </c>
      <c r="L6" s="15">
        <v>985</v>
      </c>
      <c r="M6" s="15">
        <v>366</v>
      </c>
      <c r="N6" s="9">
        <f t="shared" si="0"/>
        <v>25</v>
      </c>
      <c r="O6" s="9">
        <f t="shared" si="1"/>
        <v>174</v>
      </c>
      <c r="P6" s="8">
        <f t="shared" si="2"/>
        <v>0.1148955334281664</v>
      </c>
      <c r="Q6" s="8">
        <f t="shared" si="3"/>
        <v>1.4280947671350148</v>
      </c>
      <c r="R6" s="8">
        <f t="shared" si="15"/>
        <v>6.5830291503382012</v>
      </c>
      <c r="S6" s="8">
        <f t="shared" si="16"/>
        <v>15.9</v>
      </c>
      <c r="T6" s="15">
        <v>15</v>
      </c>
      <c r="U6" s="15">
        <v>54</v>
      </c>
      <c r="V6" s="15">
        <v>0</v>
      </c>
      <c r="W6" s="10">
        <f t="shared" si="17"/>
        <v>-9.3169708496618</v>
      </c>
      <c r="X6" s="8">
        <f t="shared" si="4"/>
        <v>1.630425456657434E-2</v>
      </c>
      <c r="Y6" s="8">
        <f t="shared" si="5"/>
        <v>0.1134776117833573</v>
      </c>
      <c r="Z6" s="8">
        <f t="shared" si="6"/>
        <v>0.9934067660867697</v>
      </c>
      <c r="AA6" s="8">
        <f t="shared" si="7"/>
        <v>-0.57504083944694684</v>
      </c>
      <c r="AB6" s="8">
        <f t="shared" si="8"/>
        <v>0.43700455008489475</v>
      </c>
      <c r="AC6" s="8">
        <f t="shared" si="9"/>
        <v>0.69163216826088225</v>
      </c>
      <c r="AD6" s="8">
        <f t="shared" si="10"/>
        <v>0.99999999999999989</v>
      </c>
      <c r="AE6" s="8">
        <f t="shared" si="11"/>
        <v>2.4917514027418211</v>
      </c>
      <c r="AF6" s="8">
        <f t="shared" si="12"/>
        <v>0.80704987342103673</v>
      </c>
      <c r="AG6" s="8">
        <f t="shared" si="13"/>
        <v>142.76683897290897</v>
      </c>
      <c r="AH6" s="8">
        <f t="shared" si="14"/>
        <v>43.759448396407279</v>
      </c>
      <c r="AI6" s="8">
        <f t="shared" si="18"/>
        <v>142.67277777777778</v>
      </c>
      <c r="AJ6" s="15">
        <v>142</v>
      </c>
      <c r="AK6" s="15">
        <v>40</v>
      </c>
      <c r="AL6" s="15">
        <v>22</v>
      </c>
      <c r="AM6" s="8">
        <f t="shared" si="19"/>
        <v>43.774999999999999</v>
      </c>
      <c r="AN6" s="15">
        <v>43</v>
      </c>
      <c r="AO6" s="15">
        <v>46</v>
      </c>
      <c r="AP6" s="15">
        <v>30</v>
      </c>
      <c r="AQ6" s="10">
        <f t="shared" si="20"/>
        <v>9.4061195131189379E-2</v>
      </c>
      <c r="AR6" s="10">
        <f t="shared" si="21"/>
        <v>-1.5551603592719232E-2</v>
      </c>
      <c r="AS6" s="8"/>
      <c r="AT6" s="10"/>
      <c r="AU6" s="10"/>
    </row>
    <row r="7" spans="1:62">
      <c r="A7" t="s">
        <v>63</v>
      </c>
      <c r="K7" s="15" t="s">
        <v>76</v>
      </c>
      <c r="L7" s="15">
        <v>709</v>
      </c>
      <c r="M7" s="15">
        <v>381</v>
      </c>
      <c r="N7" s="9">
        <f t="shared" si="0"/>
        <v>-251</v>
      </c>
      <c r="O7" s="9">
        <f t="shared" si="1"/>
        <v>159</v>
      </c>
      <c r="P7" s="8">
        <f t="shared" si="2"/>
        <v>0.19363050638642509</v>
      </c>
      <c r="Q7" s="8">
        <f t="shared" si="3"/>
        <v>2.5769284821757918</v>
      </c>
      <c r="R7" s="8">
        <f t="shared" si="15"/>
        <v>11.09421080092309</v>
      </c>
      <c r="S7" s="8">
        <f t="shared" si="16"/>
        <v>32.516666666666666</v>
      </c>
      <c r="T7" s="15">
        <v>32</v>
      </c>
      <c r="U7" s="15">
        <v>31</v>
      </c>
      <c r="V7" s="15">
        <v>0</v>
      </c>
      <c r="W7" s="10">
        <f t="shared" si="17"/>
        <v>-21.422455865743576</v>
      </c>
      <c r="X7" s="8">
        <f t="shared" si="4"/>
        <v>-0.16255270612848374</v>
      </c>
      <c r="Y7" s="8">
        <f t="shared" si="5"/>
        <v>0.10297163455947776</v>
      </c>
      <c r="Z7" s="8">
        <f t="shared" si="6"/>
        <v>0.98131211151521824</v>
      </c>
      <c r="AA7" s="8">
        <f t="shared" si="7"/>
        <v>-0.48917436364767986</v>
      </c>
      <c r="AB7" s="8">
        <f t="shared" si="8"/>
        <v>0.58754046732334009</v>
      </c>
      <c r="AC7" s="8">
        <f t="shared" si="9"/>
        <v>0.6445964948767241</v>
      </c>
      <c r="AD7" s="8">
        <f t="shared" si="10"/>
        <v>1</v>
      </c>
      <c r="AE7" s="8">
        <f t="shared" si="11"/>
        <v>2.2650897690328682</v>
      </c>
      <c r="AF7" s="8">
        <f t="shared" si="12"/>
        <v>0.87030094787042434</v>
      </c>
      <c r="AG7" s="8">
        <f t="shared" si="13"/>
        <v>129.78008398384577</v>
      </c>
      <c r="AH7" s="8">
        <f t="shared" si="14"/>
        <v>40.135428780789617</v>
      </c>
      <c r="AI7" s="8">
        <f t="shared" si="18"/>
        <v>129.84861111111113</v>
      </c>
      <c r="AJ7" s="15">
        <v>129</v>
      </c>
      <c r="AK7" s="15">
        <v>50</v>
      </c>
      <c r="AL7" s="15">
        <v>55</v>
      </c>
      <c r="AM7" s="8">
        <f t="shared" si="19"/>
        <v>40.147500000000001</v>
      </c>
      <c r="AN7" s="15">
        <v>40</v>
      </c>
      <c r="AO7" s="15">
        <v>8</v>
      </c>
      <c r="AP7" s="15">
        <v>51</v>
      </c>
      <c r="AQ7" s="10">
        <f t="shared" si="20"/>
        <v>-6.8527127265355148E-2</v>
      </c>
      <c r="AR7" s="10">
        <f t="shared" si="21"/>
        <v>-1.2071219210383788E-2</v>
      </c>
      <c r="AS7" s="8"/>
      <c r="AT7" s="10"/>
      <c r="AU7" s="10"/>
      <c r="BJ7" s="6"/>
    </row>
    <row r="8" spans="1:62">
      <c r="A8" t="s">
        <v>9</v>
      </c>
      <c r="B8" s="15">
        <f>37.2+G8</f>
        <v>37.200000000000003</v>
      </c>
      <c r="C8" t="s">
        <v>5</v>
      </c>
      <c r="F8" t="s">
        <v>9</v>
      </c>
      <c r="G8" s="15">
        <f>(H8-50)/10</f>
        <v>0</v>
      </c>
      <c r="H8">
        <v>50</v>
      </c>
      <c r="K8" s="15" t="s">
        <v>77</v>
      </c>
      <c r="L8" s="15">
        <v>1095</v>
      </c>
      <c r="M8" s="15">
        <v>682</v>
      </c>
      <c r="N8" s="9">
        <f t="shared" si="0"/>
        <v>135</v>
      </c>
      <c r="O8" s="9">
        <f t="shared" si="1"/>
        <v>-142</v>
      </c>
      <c r="P8" s="8">
        <f t="shared" si="2"/>
        <v>0.12806341861263684</v>
      </c>
      <c r="Q8" s="8">
        <f t="shared" si="3"/>
        <v>-0.81066354418393249</v>
      </c>
      <c r="R8" s="8">
        <f t="shared" si="15"/>
        <v>7.3374933965212037</v>
      </c>
      <c r="S8" s="8">
        <f t="shared" si="16"/>
        <v>29.55</v>
      </c>
      <c r="T8" s="15">
        <v>29</v>
      </c>
      <c r="U8" s="15">
        <v>33</v>
      </c>
      <c r="V8" s="15">
        <v>0</v>
      </c>
      <c r="W8" s="10">
        <f t="shared" si="17"/>
        <v>-22.212506603478797</v>
      </c>
      <c r="X8" s="8">
        <f t="shared" si="4"/>
        <v>8.7996970605338939E-2</v>
      </c>
      <c r="Y8" s="8">
        <f t="shared" si="5"/>
        <v>-9.2559776488578729E-2</v>
      </c>
      <c r="Z8" s="8">
        <f t="shared" si="6"/>
        <v>0.99181108127539463</v>
      </c>
      <c r="AA8" s="8">
        <f t="shared" si="7"/>
        <v>-0.73268438154485516</v>
      </c>
      <c r="AB8" s="8">
        <f t="shared" si="8"/>
        <v>0.40989971386076918</v>
      </c>
      <c r="AC8" s="8">
        <f t="shared" si="9"/>
        <v>0.54328245104834072</v>
      </c>
      <c r="AD8" s="8">
        <f t="shared" si="10"/>
        <v>1</v>
      </c>
      <c r="AE8" s="8">
        <f t="shared" si="11"/>
        <v>2.631523712202247</v>
      </c>
      <c r="AF8" s="8">
        <f t="shared" si="12"/>
        <v>0.99645436658968833</v>
      </c>
      <c r="AG8" s="8">
        <f t="shared" si="13"/>
        <v>150.77520239778784</v>
      </c>
      <c r="AH8" s="8">
        <f t="shared" si="14"/>
        <v>32.907370317029113</v>
      </c>
      <c r="AI8" s="8">
        <f t="shared" si="18"/>
        <v>150.85444444444443</v>
      </c>
      <c r="AJ8" s="15">
        <v>150</v>
      </c>
      <c r="AK8" s="15">
        <v>51</v>
      </c>
      <c r="AL8" s="15">
        <v>16</v>
      </c>
      <c r="AM8" s="8">
        <f t="shared" si="19"/>
        <v>33.011388888888888</v>
      </c>
      <c r="AN8" s="15">
        <v>33</v>
      </c>
      <c r="AO8" s="15">
        <v>0</v>
      </c>
      <c r="AP8" s="15">
        <v>41</v>
      </c>
      <c r="AQ8" s="10">
        <f t="shared" si="20"/>
        <v>-7.9242046656588627E-2</v>
      </c>
      <c r="AR8" s="10">
        <f t="shared" si="21"/>
        <v>-0.10401857185977548</v>
      </c>
      <c r="AS8" s="8"/>
      <c r="AT8" s="10"/>
      <c r="AU8" s="10"/>
      <c r="BJ8" s="6"/>
    </row>
    <row r="9" spans="1:62">
      <c r="A9" t="s">
        <v>10</v>
      </c>
      <c r="B9" s="15">
        <f>142.6+G9</f>
        <v>143.5</v>
      </c>
      <c r="C9" t="s">
        <v>5</v>
      </c>
      <c r="F9" t="s">
        <v>10</v>
      </c>
      <c r="G9" s="15">
        <f>(H9-50)/10</f>
        <v>0.9</v>
      </c>
      <c r="H9">
        <v>59</v>
      </c>
      <c r="K9" s="8"/>
      <c r="L9" s="8"/>
      <c r="M9" s="8"/>
      <c r="N9" s="9"/>
      <c r="O9" s="9"/>
      <c r="P9" s="8"/>
      <c r="Q9" s="8"/>
      <c r="R9" s="8"/>
      <c r="S9" s="8"/>
      <c r="T9" s="10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0"/>
      <c r="AI9" s="10"/>
      <c r="AM9" s="8"/>
      <c r="AN9" s="8"/>
      <c r="AO9" s="8"/>
      <c r="AQ9" s="8"/>
      <c r="AS9" s="8"/>
      <c r="AT9" s="8"/>
      <c r="AU9" s="8"/>
      <c r="BJ9" s="6"/>
    </row>
    <row r="10" spans="1:62">
      <c r="A10" t="s">
        <v>11</v>
      </c>
      <c r="B10" s="15">
        <f>12+G10</f>
        <v>12.8</v>
      </c>
      <c r="C10" t="s">
        <v>5</v>
      </c>
      <c r="F10" t="s">
        <v>11</v>
      </c>
      <c r="G10" s="15">
        <f>(H10-50)/10</f>
        <v>0.8</v>
      </c>
      <c r="H10">
        <v>58</v>
      </c>
      <c r="K10" s="8"/>
      <c r="L10" s="8"/>
      <c r="M10" s="8"/>
      <c r="N10" s="9"/>
      <c r="O10" s="9"/>
      <c r="P10" s="8"/>
      <c r="Q10" s="8"/>
      <c r="R10" s="8"/>
      <c r="S10" s="8"/>
      <c r="T10" s="10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0"/>
      <c r="AI10" s="10"/>
      <c r="AM10" s="8"/>
      <c r="AN10" s="8"/>
      <c r="AO10" s="8"/>
      <c r="AW10" s="8"/>
      <c r="AX10" s="8"/>
      <c r="AY10" s="8"/>
      <c r="BJ10" s="6"/>
    </row>
    <row r="11" spans="1:62">
      <c r="A11" t="s">
        <v>40</v>
      </c>
      <c r="B11" s="15">
        <v>1</v>
      </c>
      <c r="C11" t="s">
        <v>46</v>
      </c>
      <c r="K11" s="8"/>
      <c r="L11" s="8"/>
      <c r="M11" s="8"/>
      <c r="N11" s="9"/>
      <c r="O11" s="9"/>
      <c r="P11" s="8"/>
      <c r="Q11" s="8"/>
      <c r="R11" s="8"/>
      <c r="S11" s="8"/>
      <c r="T11" s="10"/>
      <c r="U11" s="8"/>
      <c r="V11" s="8" t="s">
        <v>55</v>
      </c>
      <c r="W11" s="13">
        <f>AVERAGE(W3:W8)</f>
        <v>-0.8568575015819917</v>
      </c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0"/>
      <c r="AI11" s="10"/>
      <c r="AM11" s="8"/>
      <c r="AN11" s="8"/>
      <c r="AO11" s="8"/>
      <c r="AP11" s="8" t="s">
        <v>55</v>
      </c>
      <c r="AQ11" s="13">
        <f>AVERAGE(AQ3:AQ8)</f>
        <v>-6.0205203759646038E-3</v>
      </c>
      <c r="AR11" s="13">
        <f>AVERAGE(AR3:AR8)</f>
        <v>-3.5578031608412296E-2</v>
      </c>
      <c r="AW11" s="8"/>
      <c r="AX11" s="8"/>
      <c r="AY11" s="8"/>
      <c r="BI11" s="6"/>
      <c r="BJ11" s="6"/>
    </row>
    <row r="12" spans="1:62">
      <c r="K12" s="8"/>
      <c r="L12" s="8"/>
      <c r="M12" s="8"/>
      <c r="N12" s="9"/>
      <c r="O12" s="9"/>
      <c r="P12" s="8"/>
      <c r="Q12" s="8"/>
      <c r="R12" s="8"/>
      <c r="S12" s="8"/>
      <c r="T12" s="10"/>
      <c r="U12" s="8"/>
      <c r="V12" s="8" t="s">
        <v>56</v>
      </c>
      <c r="W12" s="13">
        <f>STDEV(W3:W8)</f>
        <v>18.968953307969119</v>
      </c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0"/>
      <c r="AI12" s="10"/>
      <c r="AM12" s="8"/>
      <c r="AN12" s="8"/>
      <c r="AO12" s="8"/>
      <c r="AP12" s="8" t="s">
        <v>56</v>
      </c>
      <c r="AQ12" s="13">
        <f>STDEV(AQ3:AQ8)</f>
        <v>8.5594626638892224E-2</v>
      </c>
      <c r="AR12" s="13">
        <f>STDEV(AR3:AR8)</f>
        <v>3.9638852887109E-2</v>
      </c>
      <c r="AW12" s="8"/>
      <c r="AX12" s="8"/>
      <c r="AY12" s="8"/>
      <c r="BI12" s="6"/>
      <c r="BJ12" s="6"/>
    </row>
    <row r="13" spans="1:62">
      <c r="A13" t="s">
        <v>21</v>
      </c>
      <c r="K13" s="8"/>
      <c r="L13" s="8"/>
      <c r="M13" s="8"/>
      <c r="N13" s="9"/>
      <c r="O13" s="9"/>
      <c r="P13" s="8"/>
      <c r="Q13" s="8"/>
      <c r="R13" s="8"/>
      <c r="S13" s="8"/>
      <c r="T13" s="10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10"/>
      <c r="AI13" s="10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10"/>
      <c r="BJ13" s="10"/>
    </row>
    <row r="14" spans="1:62">
      <c r="A14" t="s">
        <v>4</v>
      </c>
      <c r="B14" s="15">
        <f>61+G14</f>
        <v>61.8</v>
      </c>
      <c r="C14" s="15">
        <v>46.9</v>
      </c>
      <c r="D14" s="3" t="s">
        <v>5</v>
      </c>
      <c r="F14" t="s">
        <v>4</v>
      </c>
      <c r="G14" s="15">
        <f>(H14-50)/10</f>
        <v>0.8</v>
      </c>
      <c r="H14">
        <v>58</v>
      </c>
      <c r="K14" s="8"/>
      <c r="L14" s="8"/>
      <c r="M14" s="8"/>
      <c r="N14" s="9"/>
      <c r="O14" s="9"/>
      <c r="P14" s="8"/>
      <c r="Q14" s="8"/>
      <c r="R14" s="8"/>
      <c r="S14" s="8"/>
      <c r="T14" s="10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10"/>
      <c r="AI14" s="10"/>
      <c r="AJ14" s="8"/>
      <c r="AK14" s="8"/>
      <c r="AL14" s="8"/>
      <c r="AM14" s="8"/>
      <c r="AN14" s="8"/>
      <c r="AO14" s="8"/>
      <c r="AQ14" s="8"/>
      <c r="AR14" s="8"/>
      <c r="AW14" s="8"/>
      <c r="AX14" s="8"/>
      <c r="AY14" s="8"/>
    </row>
    <row r="15" spans="1:62">
      <c r="A15" t="s">
        <v>66</v>
      </c>
      <c r="B15" s="15">
        <v>1920</v>
      </c>
      <c r="C15" s="15">
        <v>1080</v>
      </c>
      <c r="D15" s="3" t="s">
        <v>6</v>
      </c>
      <c r="K15" s="8"/>
      <c r="L15" s="8"/>
      <c r="M15" s="8"/>
      <c r="N15" s="9"/>
      <c r="O15" s="9"/>
      <c r="P15" s="8"/>
      <c r="Q15" s="8"/>
      <c r="R15" s="8"/>
      <c r="S15" s="8"/>
      <c r="T15" s="10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10"/>
      <c r="AI15" s="10"/>
      <c r="AJ15" s="8"/>
      <c r="AK15" s="8"/>
      <c r="AL15" s="8"/>
      <c r="AM15" s="8"/>
      <c r="AN15" s="8"/>
      <c r="AO15" s="8"/>
      <c r="AQ15" s="8"/>
      <c r="AR15" s="8"/>
      <c r="AW15" s="8"/>
      <c r="AX15" s="8"/>
      <c r="AY15" s="8"/>
    </row>
    <row r="16" spans="1:62">
      <c r="A16" t="s">
        <v>47</v>
      </c>
      <c r="B16" s="16">
        <f>1+G16</f>
        <v>1.01</v>
      </c>
      <c r="F16" t="s">
        <v>47</v>
      </c>
      <c r="G16" s="16">
        <f>(H16-50)/1000</f>
        <v>0.01</v>
      </c>
      <c r="H16">
        <v>60</v>
      </c>
      <c r="K16" s="8"/>
      <c r="L16" s="8"/>
      <c r="M16" s="8"/>
      <c r="N16" s="9"/>
      <c r="O16" s="9"/>
      <c r="P16" s="8"/>
      <c r="Q16" s="8"/>
      <c r="R16" s="8"/>
      <c r="S16" s="8"/>
      <c r="T16" s="10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10"/>
      <c r="AI16" s="10"/>
      <c r="AJ16" s="8"/>
      <c r="AK16" s="8"/>
      <c r="AL16" s="8"/>
      <c r="AM16" s="8"/>
      <c r="AN16" s="8"/>
      <c r="AO16" s="8"/>
      <c r="AQ16" s="8"/>
      <c r="AR16" s="8"/>
      <c r="AW16" s="8"/>
      <c r="AX16" s="8"/>
      <c r="AY16" s="8"/>
    </row>
    <row r="17" spans="1:51">
      <c r="A17" s="5" t="s">
        <v>7</v>
      </c>
      <c r="B17" s="5" t="s">
        <v>8</v>
      </c>
      <c r="C17" s="5"/>
      <c r="K17" s="8"/>
      <c r="L17" s="8"/>
      <c r="M17" s="8"/>
      <c r="N17" s="9"/>
      <c r="O17" s="9"/>
      <c r="P17" s="8"/>
      <c r="Q17" s="8"/>
      <c r="R17" s="8"/>
      <c r="S17" s="8"/>
      <c r="T17" s="10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10"/>
      <c r="AI17" s="10"/>
      <c r="AJ17" s="8"/>
      <c r="AK17" s="8"/>
      <c r="AL17" s="8"/>
      <c r="AM17" s="8"/>
      <c r="AN17" s="8"/>
      <c r="AO17" s="8"/>
      <c r="AQ17" s="8"/>
      <c r="AR17" s="8"/>
    </row>
    <row r="18" spans="1:51" ht="15.75" thickBot="1">
      <c r="K18" s="8"/>
      <c r="L18" s="8"/>
      <c r="M18" s="8"/>
      <c r="N18" s="9"/>
      <c r="O18" s="9"/>
      <c r="P18" s="8"/>
      <c r="Q18" s="8"/>
      <c r="R18" s="8"/>
      <c r="S18" s="8"/>
      <c r="T18" s="10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10"/>
      <c r="AI18" s="10"/>
      <c r="AJ18" s="8"/>
      <c r="AK18" s="8"/>
      <c r="AL18" s="8"/>
      <c r="AM18" s="8"/>
      <c r="AN18" s="8"/>
      <c r="AO18" s="8"/>
    </row>
    <row r="19" spans="1:51" s="11" customFormat="1" ht="15.75" thickBot="1">
      <c r="A19" s="11" t="s">
        <v>61</v>
      </c>
      <c r="C19" s="11" t="s">
        <v>60</v>
      </c>
      <c r="D19" s="12"/>
      <c r="E19" s="11" t="s">
        <v>13</v>
      </c>
      <c r="G19" s="11" t="s">
        <v>26</v>
      </c>
      <c r="N19" s="12"/>
      <c r="O19" s="11" t="s">
        <v>22</v>
      </c>
      <c r="Q19" s="11" t="s">
        <v>27</v>
      </c>
      <c r="S19" s="12"/>
      <c r="T19" s="11" t="s">
        <v>28</v>
      </c>
      <c r="V19" s="11" t="s">
        <v>29</v>
      </c>
      <c r="Y19" s="12"/>
      <c r="Z19" s="11" t="s">
        <v>30</v>
      </c>
      <c r="AB19" s="11" t="s">
        <v>31</v>
      </c>
      <c r="AF19" s="12"/>
      <c r="AG19" s="11" t="s">
        <v>41</v>
      </c>
      <c r="AI19" s="11" t="s">
        <v>42</v>
      </c>
      <c r="AM19" s="12"/>
      <c r="AN19" s="11" t="s">
        <v>43</v>
      </c>
      <c r="AP19" s="11" t="s">
        <v>44</v>
      </c>
    </row>
    <row r="20" spans="1:51" ht="15.75" thickTop="1"/>
    <row r="21" spans="1:51">
      <c r="E21" t="s">
        <v>18</v>
      </c>
      <c r="F21">
        <f>RADIANS(B14/2)</f>
        <v>0.5393067388662478</v>
      </c>
      <c r="T21" s="4" t="s">
        <v>23</v>
      </c>
      <c r="U21" s="4" t="s">
        <v>24</v>
      </c>
      <c r="V21" s="4" t="s">
        <v>25</v>
      </c>
      <c r="W21" s="4" t="s">
        <v>45</v>
      </c>
      <c r="Z21" t="s">
        <v>39</v>
      </c>
    </row>
    <row r="22" spans="1:51">
      <c r="E22" t="s">
        <v>20</v>
      </c>
      <c r="F22">
        <f>B15/2</f>
        <v>960</v>
      </c>
      <c r="T22">
        <f>COS(RADIANS($B$9))*SIN(RADIANS(90-$B$8))</f>
        <v>-0.64029603929061985</v>
      </c>
      <c r="U22">
        <f>SIN(RADIANS($B$9))*SIN(RADIANS(90-$B$8))</f>
        <v>0.47379414556996985</v>
      </c>
      <c r="V22">
        <f>COS(RADIANS(90-$B$8))</f>
        <v>0.60459911486237494</v>
      </c>
      <c r="W22">
        <f>SQRT(T22^2+U22^2+V22^2)</f>
        <v>1</v>
      </c>
      <c r="Z22" t="s">
        <v>38</v>
      </c>
      <c r="AA22">
        <f>COS(RADIANS($B$10))*SQRT($T$22^2 + $U$22^2)</f>
        <v>0.77673563524635825</v>
      </c>
    </row>
    <row r="24" spans="1:51">
      <c r="E24" t="s">
        <v>19</v>
      </c>
      <c r="F24">
        <f>F22/TAN(F21)</f>
        <v>1604.0431147318841</v>
      </c>
    </row>
    <row r="25" spans="1:51">
      <c r="Z25" t="s">
        <v>32</v>
      </c>
    </row>
    <row r="26" spans="1:51">
      <c r="Z26" t="s">
        <v>35</v>
      </c>
      <c r="AA26" t="s">
        <v>36</v>
      </c>
      <c r="AB26" t="s">
        <v>37</v>
      </c>
      <c r="AC26" t="s">
        <v>45</v>
      </c>
    </row>
    <row r="27" spans="1:51">
      <c r="A27" t="s">
        <v>60</v>
      </c>
      <c r="Z27" s="2">
        <f>(-1*$B$11*$Z$35*$AB$35*SQRT($Z$35^2 + $AA$35^2 - $AA$22^2))/($Z$35^2 + $AA$35^2) - ($AA$35*$AA$22)/(Z35^2+AA35^2)</f>
        <v>-0.47236601711441556</v>
      </c>
      <c r="AA27">
        <f>((-1*$B$11*$AA$35*$AB$35*SQRT($Z$35^2 + $AA$35^2 - $AA$22^2))/($Z$35^2+$AA$35^2)) + ( ($Z$35 * $AA$22)/($Z$35^2 + $AA$35^2))</f>
        <v>-0.86355583642830802</v>
      </c>
      <c r="AB27">
        <f>$B$11*1*SQRT($Z$35^2 + $AA$35^2 - $AA$22^2)</f>
        <v>0.17647000664721796</v>
      </c>
      <c r="AC27">
        <f>SQRT(Z27^2+AA27^2+AB27^2)</f>
        <v>1</v>
      </c>
      <c r="AR27" s="5"/>
    </row>
    <row r="29" spans="1:51">
      <c r="Z29" t="s">
        <v>33</v>
      </c>
    </row>
    <row r="30" spans="1:51">
      <c r="A30" t="s">
        <v>70</v>
      </c>
      <c r="E30" s="8"/>
      <c r="Z30" t="s">
        <v>35</v>
      </c>
      <c r="AA30" t="s">
        <v>36</v>
      </c>
      <c r="AB30" t="s">
        <v>37</v>
      </c>
    </row>
    <row r="31" spans="1:51">
      <c r="A31" t="s">
        <v>71</v>
      </c>
      <c r="B31" t="s">
        <v>23</v>
      </c>
      <c r="C31" t="s">
        <v>24</v>
      </c>
      <c r="E31" t="s">
        <v>12</v>
      </c>
      <c r="F31" t="s">
        <v>14</v>
      </c>
      <c r="I31" t="s">
        <v>15</v>
      </c>
      <c r="J31" t="s">
        <v>16</v>
      </c>
      <c r="K31" t="s">
        <v>17</v>
      </c>
      <c r="O31" s="4" t="s">
        <v>23</v>
      </c>
      <c r="P31" s="4" t="s">
        <v>24</v>
      </c>
      <c r="Q31" s="4" t="s">
        <v>25</v>
      </c>
      <c r="R31" s="4" t="s">
        <v>45</v>
      </c>
      <c r="Z31">
        <f>$AA$35*$AB$27-$AB$35*$AA$27</f>
        <v>0.60571555035693836</v>
      </c>
      <c r="AA31">
        <f>AB35*Z27-Z35*AB27</f>
        <v>-0.17259902952863809</v>
      </c>
      <c r="AB31">
        <f>Z35*AA27-AA35*Z27</f>
        <v>0.77673563524635836</v>
      </c>
      <c r="AC31">
        <f>SQRT(Z31^2+AA31^2+AB31^2)</f>
        <v>1.0000000000000002</v>
      </c>
      <c r="AG31" t="s">
        <v>23</v>
      </c>
      <c r="AH31" t="s">
        <v>24</v>
      </c>
      <c r="AI31" t="s">
        <v>25</v>
      </c>
      <c r="AN31" t="s">
        <v>45</v>
      </c>
      <c r="AO31" t="s">
        <v>16</v>
      </c>
      <c r="AP31" t="s">
        <v>17</v>
      </c>
      <c r="AR31" t="s">
        <v>10</v>
      </c>
      <c r="AS31" t="s">
        <v>9</v>
      </c>
    </row>
    <row r="32" spans="1:51">
      <c r="A32" s="19">
        <v>0</v>
      </c>
      <c r="B32" s="19">
        <v>1337.328094</v>
      </c>
      <c r="C32" s="19">
        <v>-484.1257367</v>
      </c>
      <c r="E32" s="9">
        <f t="shared" ref="E32:E95" si="22">(B32-($B$15/2))</f>
        <v>377.32809399999996</v>
      </c>
      <c r="F32" s="9">
        <f>(($C$15/2)+C32)</f>
        <v>55.874263299999996</v>
      </c>
      <c r="G32" s="8"/>
      <c r="H32" s="8"/>
      <c r="I32" s="8">
        <v>1</v>
      </c>
      <c r="J32">
        <f t="shared" ref="J32:J95" si="23">ATAN((SQRT(E32^2+F32^2)^$B$16)/($F$24))</f>
        <v>0.24720236152095945</v>
      </c>
      <c r="K32" s="8">
        <f>ATAN2(E32,F32)</f>
        <v>0.14701042312994522</v>
      </c>
      <c r="L32" s="8"/>
      <c r="M32" s="8"/>
      <c r="N32" s="7"/>
      <c r="O32" s="8">
        <f>COS(K32)*SIN(J32)</f>
        <v>0.2420529334457768</v>
      </c>
      <c r="P32" s="8">
        <f>SIN(K32)*SIN(J32)</f>
        <v>3.5842889917141206E-2</v>
      </c>
      <c r="Q32" s="8">
        <f>COS(J32)</f>
        <v>0.9696007759138201</v>
      </c>
      <c r="R32" s="8">
        <f t="shared" ref="R32:R63" si="24">SQRT(O32^2+P32^2+Q32^2)</f>
        <v>1</v>
      </c>
      <c r="AG32" s="8">
        <f t="shared" ref="AG32:AG95" si="25">$O32*$Z$27+$P32*$Z$31+$Q32*$Z$35</f>
        <v>-0.71345852082082883</v>
      </c>
      <c r="AH32" s="8">
        <f t="shared" ref="AH32:AH95" si="26">$O32*$AA$27+$P32*$AA$31+$Q32*$AA$35</f>
        <v>0.24417849975117448</v>
      </c>
      <c r="AI32" s="8">
        <f t="shared" ref="AI32:AI95" si="27">$AB$27*$O32+$P32*$AB$31+$AB$35*$Q32</f>
        <v>0.65677530353037838</v>
      </c>
      <c r="AJ32" s="8"/>
      <c r="AK32" s="8"/>
      <c r="AL32" s="8"/>
      <c r="AN32" s="8">
        <f t="shared" ref="AN32" si="28">AG32^2+AH32^2+AI32^2</f>
        <v>1</v>
      </c>
      <c r="AO32" s="8">
        <f t="shared" ref="AO32" si="29">IF(ATAN2(AG32,AH32)&gt;=0,ATAN2(AG32,AH32),ATAN2(AG32,AH32)+2*PI())</f>
        <v>2.811842040921551</v>
      </c>
      <c r="AP32" s="8">
        <f t="shared" ref="AP32" si="30">ACOS(AI32/AN32)</f>
        <v>0.85426186843848029</v>
      </c>
      <c r="AQ32" s="8"/>
      <c r="AR32" s="8">
        <f t="shared" ref="AR32" si="31">DEGREES(AO32)</f>
        <v>161.1066816022566</v>
      </c>
      <c r="AS32" s="8">
        <f t="shared" ref="AS32" si="32">90-DEGREES(AP32)</f>
        <v>41.054400339515098</v>
      </c>
      <c r="AX32" s="6"/>
      <c r="AY32" s="6"/>
    </row>
    <row r="33" spans="1:53">
      <c r="A33" s="19">
        <v>3.3366666670000003E-2</v>
      </c>
      <c r="B33" s="19">
        <v>1336.9068440000001</v>
      </c>
      <c r="C33" s="19">
        <v>-484.04771119999998</v>
      </c>
      <c r="E33" s="9">
        <f t="shared" si="22"/>
        <v>376.90684400000009</v>
      </c>
      <c r="F33" s="9">
        <f t="shared" ref="F33:F96" si="33">(($C$15/2)+C33)</f>
        <v>55.952288800000019</v>
      </c>
      <c r="I33">
        <v>1</v>
      </c>
      <c r="J33">
        <f t="shared" si="23"/>
        <v>0.24694776304111277</v>
      </c>
      <c r="K33">
        <f t="shared" ref="K33:K96" si="34">ATAN2(E33,F33)</f>
        <v>0.14737492599750415</v>
      </c>
      <c r="N33" s="7"/>
      <c r="O33">
        <f t="shared" ref="O33:O96" si="35">COS(K33)*SIN(J33)</f>
        <v>0.2417956617654802</v>
      </c>
      <c r="P33">
        <f t="shared" ref="P33:P96" si="36">SIN(K33)*SIN(J33)</f>
        <v>3.5894866100359982E-2</v>
      </c>
      <c r="Q33">
        <f t="shared" ref="Q33:Q96" si="37">COS(J33)</f>
        <v>0.96966304278291993</v>
      </c>
      <c r="R33">
        <f t="shared" si="24"/>
        <v>1</v>
      </c>
      <c r="Z33" t="s">
        <v>34</v>
      </c>
      <c r="AG33" s="8">
        <f t="shared" si="25"/>
        <v>-0.71334538086913057</v>
      </c>
      <c r="AH33" s="8">
        <f t="shared" si="26"/>
        <v>0.2444211988515026</v>
      </c>
      <c r="AI33" s="8">
        <f t="shared" si="27"/>
        <v>0.65680792104287944</v>
      </c>
      <c r="AJ33" s="8"/>
      <c r="AK33" s="8"/>
      <c r="AL33" s="8"/>
      <c r="AN33" s="8">
        <f t="shared" ref="AN33:AN96" si="38">AG33^2+AH33^2+AI33^2</f>
        <v>1</v>
      </c>
      <c r="AO33" s="8">
        <f t="shared" ref="AO33:AO96" si="39">IF(ATAN2(AG33,AH33)&gt;=0,ATAN2(AG33,AH33),ATAN2(AG33,AH33)+2*PI())</f>
        <v>2.8114889397255451</v>
      </c>
      <c r="AP33" s="8">
        <f t="shared" ref="AP33:AP96" si="40">ACOS(AI33/AN33)</f>
        <v>0.85421861327602411</v>
      </c>
      <c r="AQ33" s="8"/>
      <c r="AR33" s="8">
        <f t="shared" ref="AR33:AR96" si="41">DEGREES(AO33)</f>
        <v>161.08645039398442</v>
      </c>
      <c r="AS33" s="8">
        <f t="shared" ref="AS33:AS96" si="42">90-DEGREES(AP33)</f>
        <v>41.056878677765987</v>
      </c>
      <c r="AX33" s="6"/>
      <c r="AY33" s="6"/>
    </row>
    <row r="34" spans="1:53">
      <c r="A34" s="19">
        <v>6.6733333330000005E-2</v>
      </c>
      <c r="B34" s="19">
        <v>1336.352909</v>
      </c>
      <c r="C34" s="19">
        <v>-484.04335689999999</v>
      </c>
      <c r="E34" s="9">
        <f t="shared" si="22"/>
        <v>376.35290899999995</v>
      </c>
      <c r="F34" s="9">
        <f t="shared" si="33"/>
        <v>55.956643100000008</v>
      </c>
      <c r="I34">
        <v>1</v>
      </c>
      <c r="J34">
        <f t="shared" si="23"/>
        <v>0.24660388708875691</v>
      </c>
      <c r="K34">
        <f t="shared" si="34"/>
        <v>0.14760002529264174</v>
      </c>
      <c r="O34">
        <f t="shared" si="35"/>
        <v>0.24145774321429425</v>
      </c>
      <c r="P34">
        <f t="shared" si="36"/>
        <v>3.5900253293309106E-2</v>
      </c>
      <c r="Q34">
        <f t="shared" si="37"/>
        <v>0.96974704436535208</v>
      </c>
      <c r="R34">
        <f t="shared" si="24"/>
        <v>1</v>
      </c>
      <c r="Z34" t="s">
        <v>35</v>
      </c>
      <c r="AA34" t="s">
        <v>36</v>
      </c>
      <c r="AB34" t="s">
        <v>37</v>
      </c>
      <c r="AG34" s="8">
        <f t="shared" si="25"/>
        <v>-0.7132362824029812</v>
      </c>
      <c r="AH34" s="8">
        <f t="shared" si="26"/>
        <v>0.24475188002231671</v>
      </c>
      <c r="AI34" s="8">
        <f t="shared" si="27"/>
        <v>0.65680326026102853</v>
      </c>
      <c r="AJ34" s="8"/>
      <c r="AK34" s="8"/>
      <c r="AL34" s="8"/>
      <c r="AN34" s="8">
        <f t="shared" si="38"/>
        <v>1</v>
      </c>
      <c r="AO34" s="8">
        <f t="shared" si="39"/>
        <v>2.8110271864537961</v>
      </c>
      <c r="AP34" s="8">
        <f t="shared" si="40"/>
        <v>0.85422479419283137</v>
      </c>
      <c r="AQ34" s="8"/>
      <c r="AR34" s="8">
        <f t="shared" si="41"/>
        <v>161.05999388033686</v>
      </c>
      <c r="AS34" s="8">
        <f t="shared" si="42"/>
        <v>41.056524537319412</v>
      </c>
      <c r="AX34" s="6"/>
      <c r="AY34" s="6"/>
    </row>
    <row r="35" spans="1:53">
      <c r="A35" s="19">
        <v>0.10009999999999999</v>
      </c>
      <c r="B35" s="19">
        <v>1335.6398610000001</v>
      </c>
      <c r="C35" s="19">
        <v>-484.04366640000001</v>
      </c>
      <c r="E35" s="9">
        <f t="shared" si="22"/>
        <v>375.63986100000011</v>
      </c>
      <c r="F35" s="9">
        <f t="shared" si="33"/>
        <v>55.956333599999994</v>
      </c>
      <c r="I35">
        <v>1</v>
      </c>
      <c r="J35">
        <f t="shared" si="23"/>
        <v>0.24616062556803017</v>
      </c>
      <c r="K35">
        <f t="shared" si="34"/>
        <v>0.14787533401975644</v>
      </c>
      <c r="O35">
        <f t="shared" si="35"/>
        <v>0.24102266640361705</v>
      </c>
      <c r="P35">
        <f t="shared" si="36"/>
        <v>3.5903390791751741E-2</v>
      </c>
      <c r="Q35">
        <f t="shared" si="37"/>
        <v>0.96985515455110383</v>
      </c>
      <c r="R35">
        <f t="shared" si="24"/>
        <v>1</v>
      </c>
      <c r="Z35">
        <f>$T$22</f>
        <v>-0.64029603929061985</v>
      </c>
      <c r="AA35">
        <f>$U$22</f>
        <v>0.47379414556996985</v>
      </c>
      <c r="AB35">
        <f>$V$22</f>
        <v>0.60459911486237494</v>
      </c>
      <c r="AC35">
        <f>SQRT(Z35^2+AA35^2+AB35^2)</f>
        <v>1</v>
      </c>
      <c r="AG35" s="8">
        <f t="shared" si="25"/>
        <v>-0.71309808899493066</v>
      </c>
      <c r="AH35" s="8">
        <f t="shared" si="26"/>
        <v>0.24517827358537095</v>
      </c>
      <c r="AI35" s="8">
        <f t="shared" si="27"/>
        <v>0.65679428258281525</v>
      </c>
      <c r="AJ35" s="8"/>
      <c r="AK35" s="8"/>
      <c r="AL35" s="8"/>
      <c r="AN35" s="8">
        <f t="shared" si="38"/>
        <v>1</v>
      </c>
      <c r="AO35" s="8">
        <f t="shared" si="39"/>
        <v>2.8104328612004847</v>
      </c>
      <c r="AP35" s="8">
        <f t="shared" si="40"/>
        <v>0.85423669988737883</v>
      </c>
      <c r="AQ35" s="8"/>
      <c r="AR35" s="8">
        <f t="shared" si="41"/>
        <v>161.02594155166406</v>
      </c>
      <c r="AS35" s="8">
        <f t="shared" si="42"/>
        <v>41.055842391269671</v>
      </c>
      <c r="AX35" s="6"/>
      <c r="AY35" s="6"/>
    </row>
    <row r="36" spans="1:53">
      <c r="A36" s="19">
        <v>0.13346666669999999</v>
      </c>
      <c r="B36" s="19">
        <v>1335.2001069999999</v>
      </c>
      <c r="C36" s="19">
        <v>-484.05224609999999</v>
      </c>
      <c r="E36" s="9">
        <f t="shared" si="22"/>
        <v>375.20010699999989</v>
      </c>
      <c r="F36" s="9">
        <f t="shared" si="33"/>
        <v>55.947753900000009</v>
      </c>
      <c r="I36">
        <v>1</v>
      </c>
      <c r="J36">
        <f t="shared" si="23"/>
        <v>0.24588644158272557</v>
      </c>
      <c r="K36">
        <f t="shared" si="34"/>
        <v>0.14802376209739063</v>
      </c>
      <c r="O36">
        <f t="shared" si="35"/>
        <v>0.24075431483167281</v>
      </c>
      <c r="P36">
        <f t="shared" si="36"/>
        <v>3.5899944870126481E-2</v>
      </c>
      <c r="Q36">
        <f t="shared" si="37"/>
        <v>0.96992193183176023</v>
      </c>
      <c r="R36">
        <f t="shared" si="24"/>
        <v>1</v>
      </c>
      <c r="AG36" s="8">
        <f t="shared" si="25"/>
        <v>-0.71301617330833755</v>
      </c>
      <c r="AH36" s="8">
        <f t="shared" si="26"/>
        <v>0.24544224359889852</v>
      </c>
      <c r="AI36" s="8">
        <f t="shared" si="27"/>
        <v>0.65678462349378575</v>
      </c>
      <c r="AJ36" s="8"/>
      <c r="AK36" s="8"/>
      <c r="AL36" s="8"/>
      <c r="AN36" s="8">
        <f t="shared" si="38"/>
        <v>1.0000000000000002</v>
      </c>
      <c r="AO36" s="8">
        <f t="shared" si="39"/>
        <v>2.8100665046285718</v>
      </c>
      <c r="AP36" s="8">
        <f t="shared" si="40"/>
        <v>0.85424950909295594</v>
      </c>
      <c r="AQ36" s="8"/>
      <c r="AR36" s="8">
        <f t="shared" si="41"/>
        <v>161.00495086629658</v>
      </c>
      <c r="AS36" s="8">
        <f t="shared" si="42"/>
        <v>41.055108477851185</v>
      </c>
      <c r="AX36" s="10"/>
      <c r="AY36" s="10"/>
      <c r="AZ36" s="8"/>
      <c r="BA36" s="8"/>
    </row>
    <row r="37" spans="1:53">
      <c r="A37" s="19">
        <v>0.1668333333</v>
      </c>
      <c r="B37" s="19">
        <v>1334.2247179999999</v>
      </c>
      <c r="C37" s="19">
        <v>-483.89971220000001</v>
      </c>
      <c r="E37" s="9">
        <f t="shared" si="22"/>
        <v>374.22471799999994</v>
      </c>
      <c r="F37" s="9">
        <f t="shared" si="33"/>
        <v>56.10028779999999</v>
      </c>
      <c r="I37">
        <v>1</v>
      </c>
      <c r="J37">
        <f t="shared" si="23"/>
        <v>0.24529415661184917</v>
      </c>
      <c r="K37">
        <f t="shared" si="34"/>
        <v>0.14880260723532174</v>
      </c>
      <c r="O37">
        <f t="shared" si="35"/>
        <v>0.24015811723739894</v>
      </c>
      <c r="P37">
        <f t="shared" si="36"/>
        <v>3.6002270417969079E-2</v>
      </c>
      <c r="Q37">
        <f t="shared" si="37"/>
        <v>0.97006593345490655</v>
      </c>
      <c r="R37">
        <f t="shared" si="24"/>
        <v>1</v>
      </c>
      <c r="AG37" s="8">
        <f t="shared" si="25"/>
        <v>-0.71276477331874222</v>
      </c>
      <c r="AH37" s="8">
        <f t="shared" si="26"/>
        <v>0.24600765934684393</v>
      </c>
      <c r="AI37" s="8">
        <f t="shared" si="27"/>
        <v>0.65684595565365955</v>
      </c>
      <c r="AJ37" s="8"/>
      <c r="AK37" s="8"/>
      <c r="AL37" s="8"/>
      <c r="AN37" s="8">
        <f t="shared" si="38"/>
        <v>1</v>
      </c>
      <c r="AO37" s="8">
        <f t="shared" si="39"/>
        <v>2.8092489527910094</v>
      </c>
      <c r="AP37" s="8">
        <f t="shared" si="40"/>
        <v>0.854168172262049</v>
      </c>
      <c r="AQ37" s="8"/>
      <c r="AR37" s="8">
        <f t="shared" si="41"/>
        <v>160.95810859647108</v>
      </c>
      <c r="AS37" s="8">
        <f t="shared" si="42"/>
        <v>41.05976873498112</v>
      </c>
      <c r="AX37" s="10"/>
      <c r="AY37" s="10"/>
      <c r="AZ37" s="8"/>
      <c r="BA37" s="8"/>
    </row>
    <row r="38" spans="1:53" s="8" customFormat="1">
      <c r="A38" s="19">
        <v>0.20019999999999999</v>
      </c>
      <c r="B38" s="19">
        <v>1333.198766</v>
      </c>
      <c r="C38" s="19">
        <v>-483.62741729999999</v>
      </c>
      <c r="D38" s="3"/>
      <c r="E38" s="9">
        <f t="shared" si="22"/>
        <v>373.19876599999998</v>
      </c>
      <c r="F38" s="9">
        <f t="shared" si="33"/>
        <v>56.372582700000009</v>
      </c>
      <c r="G38"/>
      <c r="H38"/>
      <c r="I38">
        <v>1</v>
      </c>
      <c r="J38">
        <f t="shared" si="23"/>
        <v>0.24468164830196087</v>
      </c>
      <c r="K38">
        <f t="shared" si="34"/>
        <v>0.14991906557737175</v>
      </c>
      <c r="L38"/>
      <c r="M38"/>
      <c r="N38" s="3"/>
      <c r="O38">
        <f t="shared" si="35"/>
        <v>0.23953021882675593</v>
      </c>
      <c r="P38">
        <f t="shared" si="36"/>
        <v>3.6181623038808224E-2</v>
      </c>
      <c r="Q38">
        <f t="shared" si="37"/>
        <v>0.97021449402855453</v>
      </c>
      <c r="R38">
        <f t="shared" si="24"/>
        <v>1</v>
      </c>
      <c r="S38" s="3"/>
      <c r="Y38" s="3"/>
      <c r="AF38" s="3"/>
      <c r="AG38" s="8">
        <f t="shared" si="25"/>
        <v>-0.71245466152281622</v>
      </c>
      <c r="AH38" s="8">
        <f t="shared" si="26"/>
        <v>0.2465893157257954</v>
      </c>
      <c r="AI38" s="8">
        <f t="shared" si="27"/>
        <v>0.65696427958017123</v>
      </c>
      <c r="AM38" s="3"/>
      <c r="AN38" s="8">
        <f t="shared" si="38"/>
        <v>1</v>
      </c>
      <c r="AO38" s="8">
        <f t="shared" si="39"/>
        <v>2.8083854609096024</v>
      </c>
      <c r="AP38" s="8">
        <f t="shared" si="40"/>
        <v>0.85401123841006288</v>
      </c>
      <c r="AR38" s="8">
        <f t="shared" si="41"/>
        <v>160.90863415602266</v>
      </c>
      <c r="AS38" s="8">
        <f t="shared" si="42"/>
        <v>41.068760382362655</v>
      </c>
      <c r="AX38" s="10"/>
      <c r="AY38" s="10"/>
    </row>
    <row r="39" spans="1:53">
      <c r="A39" s="19">
        <v>0.23356666670000001</v>
      </c>
      <c r="B39" s="19">
        <v>1332.456201</v>
      </c>
      <c r="C39" s="19">
        <v>-483.87851460000002</v>
      </c>
      <c r="E39" s="9">
        <f t="shared" si="22"/>
        <v>372.45620099999996</v>
      </c>
      <c r="F39" s="9">
        <f t="shared" si="33"/>
        <v>56.121485399999983</v>
      </c>
      <c r="I39">
        <v>1</v>
      </c>
      <c r="J39">
        <f t="shared" si="23"/>
        <v>0.24419623255694425</v>
      </c>
      <c r="K39">
        <f t="shared" si="34"/>
        <v>0.14955435350536384</v>
      </c>
      <c r="O39">
        <f t="shared" si="35"/>
        <v>0.23907767020178688</v>
      </c>
      <c r="P39">
        <f t="shared" si="36"/>
        <v>3.6024085360027595E-2</v>
      </c>
      <c r="Q39">
        <f t="shared" si="37"/>
        <v>0.970331970453854</v>
      </c>
      <c r="R39">
        <f t="shared" si="24"/>
        <v>1</v>
      </c>
      <c r="AG39" s="8">
        <f t="shared" si="25"/>
        <v>-0.71241153564292292</v>
      </c>
      <c r="AH39" s="8">
        <f t="shared" si="26"/>
        <v>0.24706296722517615</v>
      </c>
      <c r="AI39" s="8">
        <f t="shared" si="27"/>
        <v>0.65683307933506507</v>
      </c>
      <c r="AJ39" s="8"/>
      <c r="AK39" s="8"/>
      <c r="AL39" s="8"/>
      <c r="AN39" s="8">
        <f t="shared" si="38"/>
        <v>1</v>
      </c>
      <c r="AO39" s="8">
        <f t="shared" si="39"/>
        <v>2.807773148950468</v>
      </c>
      <c r="AP39" s="8">
        <f t="shared" si="40"/>
        <v>0.85418524891910175</v>
      </c>
      <c r="AQ39" s="8"/>
      <c r="AR39" s="8">
        <f t="shared" si="41"/>
        <v>160.87355126501888</v>
      </c>
      <c r="AS39" s="8">
        <f t="shared" si="42"/>
        <v>41.058790314603804</v>
      </c>
      <c r="AX39" s="10"/>
      <c r="AY39" s="10"/>
      <c r="AZ39" s="8"/>
      <c r="BA39" s="8"/>
    </row>
    <row r="40" spans="1:53">
      <c r="A40" s="19">
        <v>0.26693333330000002</v>
      </c>
      <c r="B40" s="19">
        <v>1331.9177010000001</v>
      </c>
      <c r="C40" s="19">
        <v>-483.89010619999999</v>
      </c>
      <c r="E40" s="9">
        <f t="shared" si="22"/>
        <v>371.91770100000008</v>
      </c>
      <c r="F40" s="9">
        <f t="shared" si="33"/>
        <v>56.109893800000009</v>
      </c>
      <c r="I40">
        <v>1</v>
      </c>
      <c r="J40">
        <f t="shared" si="23"/>
        <v>0.24386014634560635</v>
      </c>
      <c r="K40">
        <f t="shared" si="34"/>
        <v>0.14973719875216276</v>
      </c>
      <c r="O40">
        <f t="shared" si="35"/>
        <v>0.23874859980683089</v>
      </c>
      <c r="P40">
        <f t="shared" si="36"/>
        <v>3.6019147634115914E-2</v>
      </c>
      <c r="Q40">
        <f t="shared" si="37"/>
        <v>0.97041317339264799</v>
      </c>
      <c r="R40">
        <f t="shared" si="24"/>
        <v>1</v>
      </c>
      <c r="AG40" s="8">
        <f t="shared" si="25"/>
        <v>-0.71231107874856392</v>
      </c>
      <c r="AH40" s="8">
        <f t="shared" si="26"/>
        <v>0.24738646360904024</v>
      </c>
      <c r="AI40" s="8">
        <f t="shared" si="27"/>
        <v>0.65682026819752615</v>
      </c>
      <c r="AJ40" s="8"/>
      <c r="AK40" s="8"/>
      <c r="AL40" s="8"/>
      <c r="AN40" s="8">
        <f t="shared" si="38"/>
        <v>1</v>
      </c>
      <c r="AO40" s="8">
        <f t="shared" si="39"/>
        <v>2.8073241667192255</v>
      </c>
      <c r="AP40" s="8">
        <f t="shared" si="40"/>
        <v>0.85420223888052571</v>
      </c>
      <c r="AQ40" s="8"/>
      <c r="AR40" s="8">
        <f t="shared" si="41"/>
        <v>160.84782647809232</v>
      </c>
      <c r="AS40" s="8">
        <f t="shared" si="42"/>
        <v>41.057816861520124</v>
      </c>
      <c r="AX40" s="8"/>
      <c r="AY40" s="8"/>
      <c r="AZ40" s="8"/>
      <c r="BA40" s="8"/>
    </row>
    <row r="41" spans="1:53">
      <c r="A41" s="19">
        <v>0.30030000000000001</v>
      </c>
      <c r="B41" s="19">
        <v>1331.1313270000001</v>
      </c>
      <c r="C41" s="19">
        <v>-483.82830109999998</v>
      </c>
      <c r="E41" s="9">
        <f t="shared" si="22"/>
        <v>371.13132700000006</v>
      </c>
      <c r="F41" s="9">
        <f t="shared" si="33"/>
        <v>56.171698900000024</v>
      </c>
      <c r="I41">
        <v>1</v>
      </c>
      <c r="J41">
        <f t="shared" si="23"/>
        <v>0.24337668960969458</v>
      </c>
      <c r="K41">
        <f t="shared" si="34"/>
        <v>0.15021254065627926</v>
      </c>
      <c r="O41">
        <f t="shared" si="35"/>
        <v>0.23826755374963643</v>
      </c>
      <c r="P41">
        <f t="shared" si="36"/>
        <v>3.6062418645850795E-2</v>
      </c>
      <c r="Q41">
        <f t="shared" si="37"/>
        <v>0.97052979078005408</v>
      </c>
      <c r="R41">
        <f t="shared" si="24"/>
        <v>1</v>
      </c>
      <c r="AG41" s="8">
        <f t="shared" si="25"/>
        <v>-0.71213230866505939</v>
      </c>
      <c r="AH41" s="8">
        <f t="shared" si="26"/>
        <v>0.24784965784011392</v>
      </c>
      <c r="AI41" s="8">
        <f t="shared" si="27"/>
        <v>0.6568394949026064</v>
      </c>
      <c r="AJ41" s="8"/>
      <c r="AK41" s="8"/>
      <c r="AL41" s="8"/>
      <c r="AN41" s="8">
        <f t="shared" si="38"/>
        <v>1</v>
      </c>
      <c r="AO41" s="8">
        <f t="shared" si="39"/>
        <v>2.8066660934079679</v>
      </c>
      <c r="AP41" s="8">
        <f t="shared" si="40"/>
        <v>0.854176740583661</v>
      </c>
      <c r="AQ41" s="8"/>
      <c r="AR41" s="8">
        <f t="shared" si="41"/>
        <v>160.81012165474704</v>
      </c>
      <c r="AS41" s="8">
        <f t="shared" si="42"/>
        <v>41.059277806315244</v>
      </c>
      <c r="AX41" s="10"/>
      <c r="AY41" s="10"/>
      <c r="AZ41" s="8"/>
      <c r="BA41" s="8"/>
    </row>
    <row r="42" spans="1:53">
      <c r="A42" s="19">
        <v>0.3336666667</v>
      </c>
      <c r="B42" s="19">
        <v>1329.4325409999999</v>
      </c>
      <c r="C42" s="19">
        <v>-483.26000010000001</v>
      </c>
      <c r="E42" s="9">
        <f t="shared" si="22"/>
        <v>369.4325409999999</v>
      </c>
      <c r="F42" s="9">
        <f t="shared" si="33"/>
        <v>56.739999899999987</v>
      </c>
      <c r="I42">
        <v>1</v>
      </c>
      <c r="J42">
        <f t="shared" si="23"/>
        <v>0.24237351069251098</v>
      </c>
      <c r="K42">
        <f t="shared" si="34"/>
        <v>0.15239606208553338</v>
      </c>
      <c r="O42">
        <f t="shared" si="35"/>
        <v>0.23722579205677377</v>
      </c>
      <c r="P42">
        <f t="shared" si="36"/>
        <v>3.6434774752500121E-2</v>
      </c>
      <c r="Q42">
        <f t="shared" si="37"/>
        <v>0.97077104961559857</v>
      </c>
      <c r="R42">
        <f t="shared" si="24"/>
        <v>1</v>
      </c>
      <c r="AG42" s="8">
        <f t="shared" si="25"/>
        <v>-0.71156915103619467</v>
      </c>
      <c r="AH42" s="8">
        <f t="shared" si="26"/>
        <v>0.2487993159513541</v>
      </c>
      <c r="AI42" s="8">
        <f t="shared" si="27"/>
        <v>0.65709074234520104</v>
      </c>
      <c r="AJ42" s="8"/>
      <c r="AK42" s="8"/>
      <c r="AL42" s="8"/>
      <c r="AN42" s="8">
        <f t="shared" si="38"/>
        <v>0.99999999999999989</v>
      </c>
      <c r="AO42" s="8">
        <f t="shared" si="39"/>
        <v>2.8052307212545902</v>
      </c>
      <c r="AP42" s="8">
        <f t="shared" si="40"/>
        <v>0.8538434862300347</v>
      </c>
      <c r="AQ42" s="8"/>
      <c r="AR42" s="8">
        <f t="shared" si="41"/>
        <v>160.72788088832789</v>
      </c>
      <c r="AS42" s="8">
        <f t="shared" si="42"/>
        <v>41.078371874282389</v>
      </c>
      <c r="AX42" s="10"/>
      <c r="AY42" s="10"/>
      <c r="AZ42" s="8"/>
      <c r="BA42" s="8"/>
    </row>
    <row r="43" spans="1:53">
      <c r="A43" s="19">
        <v>0.36703333329999999</v>
      </c>
      <c r="B43" s="19">
        <v>1329.027617</v>
      </c>
      <c r="C43" s="19">
        <v>-482.96603820000001</v>
      </c>
      <c r="E43" s="9">
        <f t="shared" si="22"/>
        <v>369.02761699999996</v>
      </c>
      <c r="F43" s="9">
        <f t="shared" si="33"/>
        <v>57.033961799999986</v>
      </c>
      <c r="I43">
        <v>1</v>
      </c>
      <c r="J43">
        <f t="shared" si="23"/>
        <v>0.24214971446522121</v>
      </c>
      <c r="K43">
        <f t="shared" si="34"/>
        <v>0.15333879581514631</v>
      </c>
      <c r="O43">
        <f t="shared" si="35"/>
        <v>0.23697662665078292</v>
      </c>
      <c r="P43">
        <f t="shared" si="36"/>
        <v>3.6625215158066639E-2</v>
      </c>
      <c r="Q43">
        <f t="shared" si="37"/>
        <v>0.97082473806338532</v>
      </c>
      <c r="R43">
        <f t="shared" si="24"/>
        <v>1</v>
      </c>
      <c r="AG43" s="8">
        <f t="shared" si="25"/>
        <v>-0.71137047755116956</v>
      </c>
      <c r="AH43" s="8">
        <f t="shared" si="26"/>
        <v>0.24900705163499587</v>
      </c>
      <c r="AI43" s="8">
        <f t="shared" si="27"/>
        <v>0.65722715396175424</v>
      </c>
      <c r="AJ43" s="8"/>
      <c r="AK43" s="8"/>
      <c r="AL43" s="8"/>
      <c r="AN43" s="8">
        <f t="shared" si="38"/>
        <v>0.99999999999999989</v>
      </c>
      <c r="AO43" s="8">
        <f t="shared" si="39"/>
        <v>2.8048835402704673</v>
      </c>
      <c r="AP43" s="8">
        <f t="shared" si="40"/>
        <v>0.8536625094466378</v>
      </c>
      <c r="AQ43" s="8"/>
      <c r="AR43" s="8">
        <f t="shared" si="41"/>
        <v>160.70798888321045</v>
      </c>
      <c r="AS43" s="8">
        <f t="shared" si="42"/>
        <v>41.088741080160887</v>
      </c>
      <c r="AX43" s="8"/>
      <c r="AY43" s="8"/>
      <c r="AZ43" s="8"/>
      <c r="BA43" s="8"/>
    </row>
    <row r="44" spans="1:53">
      <c r="A44" s="19">
        <v>0.40039999999999998</v>
      </c>
      <c r="B44" s="19">
        <v>1328.3503029999999</v>
      </c>
      <c r="C44" s="19">
        <v>-482.53433150000001</v>
      </c>
      <c r="E44" s="9">
        <f t="shared" si="22"/>
        <v>368.35030299999994</v>
      </c>
      <c r="F44" s="9">
        <f t="shared" si="33"/>
        <v>57.465668499999992</v>
      </c>
      <c r="I44">
        <v>1</v>
      </c>
      <c r="J44">
        <f t="shared" si="23"/>
        <v>0.24176996201592443</v>
      </c>
      <c r="K44">
        <f t="shared" si="34"/>
        <v>0.15476069786677052</v>
      </c>
      <c r="O44">
        <f t="shared" si="35"/>
        <v>0.23656002570860343</v>
      </c>
      <c r="P44">
        <f t="shared" si="36"/>
        <v>3.6905304290525007E-2</v>
      </c>
      <c r="Q44">
        <f t="shared" si="37"/>
        <v>0.97091572896517064</v>
      </c>
      <c r="R44">
        <f t="shared" si="24"/>
        <v>1</v>
      </c>
      <c r="AG44" s="8">
        <f t="shared" si="25"/>
        <v>-0.71106229619439476</v>
      </c>
      <c r="AH44" s="8">
        <f t="shared" si="26"/>
        <v>0.24936157765419867</v>
      </c>
      <c r="AI44" s="8">
        <f t="shared" si="27"/>
        <v>0.65742620461962409</v>
      </c>
      <c r="AJ44" s="8"/>
      <c r="AK44" s="8"/>
      <c r="AL44" s="8"/>
      <c r="AN44" s="8">
        <f t="shared" si="38"/>
        <v>0.99999999999999989</v>
      </c>
      <c r="AO44" s="8">
        <f t="shared" si="39"/>
        <v>2.8043043429196182</v>
      </c>
      <c r="AP44" s="8">
        <f t="shared" si="40"/>
        <v>0.85339837842325972</v>
      </c>
      <c r="AQ44" s="8"/>
      <c r="AR44" s="8">
        <f t="shared" si="41"/>
        <v>160.67480331950165</v>
      </c>
      <c r="AS44" s="8">
        <f t="shared" si="42"/>
        <v>41.103874673038924</v>
      </c>
      <c r="AX44" s="8"/>
      <c r="AY44" s="8"/>
      <c r="AZ44" s="8"/>
      <c r="BA44" s="8"/>
    </row>
    <row r="45" spans="1:53">
      <c r="A45" s="19">
        <v>0.43376666670000003</v>
      </c>
      <c r="B45" s="19">
        <v>1327.6156189999999</v>
      </c>
      <c r="C45" s="19">
        <v>-482.26042159999997</v>
      </c>
      <c r="E45" s="9">
        <f t="shared" si="22"/>
        <v>367.61561899999992</v>
      </c>
      <c r="F45" s="9">
        <f t="shared" si="33"/>
        <v>57.739578400000028</v>
      </c>
      <c r="I45">
        <v>1</v>
      </c>
      <c r="J45">
        <f t="shared" si="23"/>
        <v>0.24133948138355185</v>
      </c>
      <c r="K45">
        <f t="shared" si="34"/>
        <v>0.15579230244358036</v>
      </c>
      <c r="O45">
        <f t="shared" si="35"/>
        <v>0.23610890779876909</v>
      </c>
      <c r="P45">
        <f t="shared" si="36"/>
        <v>3.7084465643407297E-2</v>
      </c>
      <c r="Q45">
        <f t="shared" si="37"/>
        <v>0.97101870531211465</v>
      </c>
      <c r="R45">
        <f t="shared" si="24"/>
        <v>1</v>
      </c>
      <c r="AG45" s="8">
        <f t="shared" si="25"/>
        <v>-0.71080661795370248</v>
      </c>
      <c r="AH45" s="8">
        <f t="shared" si="26"/>
        <v>0.24976900967283114</v>
      </c>
      <c r="AI45" s="8">
        <f t="shared" si="27"/>
        <v>0.65754801625453363</v>
      </c>
      <c r="AJ45" s="8"/>
      <c r="AK45" s="8"/>
      <c r="AL45" s="8"/>
      <c r="AN45" s="8">
        <f t="shared" si="38"/>
        <v>1</v>
      </c>
      <c r="AO45" s="8">
        <f t="shared" si="39"/>
        <v>2.8036817266731919</v>
      </c>
      <c r="AP45" s="8">
        <f t="shared" si="40"/>
        <v>0.85323670998834245</v>
      </c>
      <c r="AQ45" s="8"/>
      <c r="AR45" s="8">
        <f t="shared" si="41"/>
        <v>160.63913003632516</v>
      </c>
      <c r="AS45" s="8">
        <f t="shared" si="42"/>
        <v>41.113137592040168</v>
      </c>
      <c r="AX45" s="8"/>
      <c r="AY45" s="8"/>
      <c r="AZ45" s="8"/>
      <c r="BA45" s="8"/>
    </row>
    <row r="46" spans="1:53">
      <c r="A46" s="19">
        <v>0.46713333330000001</v>
      </c>
      <c r="B46" s="19">
        <v>1327.081079</v>
      </c>
      <c r="C46" s="19">
        <v>-482.17155079999998</v>
      </c>
      <c r="E46" s="9">
        <f t="shared" si="22"/>
        <v>367.08107900000005</v>
      </c>
      <c r="F46" s="9">
        <f t="shared" si="33"/>
        <v>57.828449200000023</v>
      </c>
      <c r="I46">
        <v>1</v>
      </c>
      <c r="J46">
        <f t="shared" si="23"/>
        <v>0.24101554277598686</v>
      </c>
      <c r="K46">
        <f t="shared" si="34"/>
        <v>0.15625175204532069</v>
      </c>
      <c r="O46">
        <f t="shared" si="35"/>
        <v>0.23578111361395271</v>
      </c>
      <c r="P46">
        <f t="shared" si="36"/>
        <v>3.7143990608526835E-2</v>
      </c>
      <c r="Q46">
        <f t="shared" si="37"/>
        <v>0.97109607682486188</v>
      </c>
      <c r="R46">
        <f t="shared" si="24"/>
        <v>1</v>
      </c>
      <c r="AG46" s="8">
        <f t="shared" si="25"/>
        <v>-0.71066526459634605</v>
      </c>
      <c r="AH46" s="8">
        <f t="shared" si="26"/>
        <v>0.25007846247283783</v>
      </c>
      <c r="AI46" s="8">
        <f t="shared" si="27"/>
        <v>0.65758318432227791</v>
      </c>
      <c r="AJ46" s="8"/>
      <c r="AK46" s="8"/>
      <c r="AL46" s="8"/>
      <c r="AN46" s="8">
        <f t="shared" si="38"/>
        <v>1</v>
      </c>
      <c r="AO46" s="8">
        <f t="shared" si="39"/>
        <v>2.8032320025176309</v>
      </c>
      <c r="AP46" s="8">
        <f t="shared" si="40"/>
        <v>0.85319003067574761</v>
      </c>
      <c r="AQ46" s="8"/>
      <c r="AR46" s="8">
        <f t="shared" si="41"/>
        <v>160.61336274026641</v>
      </c>
      <c r="AS46" s="8">
        <f t="shared" si="42"/>
        <v>41.11581211964242</v>
      </c>
    </row>
    <row r="47" spans="1:53">
      <c r="A47" s="19">
        <v>0.50049999999999994</v>
      </c>
      <c r="B47" s="19">
        <v>1326.38077</v>
      </c>
      <c r="C47" s="19">
        <v>-482.04643909999999</v>
      </c>
      <c r="E47" s="9">
        <f t="shared" si="22"/>
        <v>366.38076999999998</v>
      </c>
      <c r="F47" s="9">
        <f t="shared" si="33"/>
        <v>57.953560900000014</v>
      </c>
      <c r="I47">
        <v>1</v>
      </c>
      <c r="J47">
        <f t="shared" si="23"/>
        <v>0.24059200413900872</v>
      </c>
      <c r="K47">
        <f t="shared" si="34"/>
        <v>0.1568787264091025</v>
      </c>
      <c r="O47">
        <f t="shared" si="35"/>
        <v>0.23535151192756859</v>
      </c>
      <c r="P47">
        <f t="shared" si="36"/>
        <v>3.7227549304515703E-2</v>
      </c>
      <c r="Q47">
        <f t="shared" si="37"/>
        <v>0.97119708370968005</v>
      </c>
      <c r="R47">
        <f t="shared" si="24"/>
        <v>1</v>
      </c>
      <c r="AG47" s="8">
        <f t="shared" si="25"/>
        <v>-0.7104763968655653</v>
      </c>
      <c r="AH47" s="8">
        <f t="shared" si="26"/>
        <v>0.25048288183730699</v>
      </c>
      <c r="AI47" s="8">
        <f t="shared" si="27"/>
        <v>0.65763334419979136</v>
      </c>
      <c r="AJ47" s="8"/>
      <c r="AK47" s="8"/>
      <c r="AL47" s="8"/>
      <c r="AN47" s="8">
        <f t="shared" si="38"/>
        <v>0.99999999999999978</v>
      </c>
      <c r="AO47" s="8">
        <f t="shared" si="39"/>
        <v>2.8026423844073776</v>
      </c>
      <c r="AP47" s="8">
        <f t="shared" si="40"/>
        <v>0.85312344912913385</v>
      </c>
      <c r="AQ47" s="8"/>
      <c r="AR47" s="8">
        <f t="shared" si="41"/>
        <v>160.57958011102443</v>
      </c>
      <c r="AS47" s="8">
        <f t="shared" si="42"/>
        <v>41.119626961256841</v>
      </c>
    </row>
    <row r="48" spans="1:53">
      <c r="A48" s="19">
        <v>0.53386666670000005</v>
      </c>
      <c r="B48" s="19">
        <v>1325.668545</v>
      </c>
      <c r="C48" s="19">
        <v>-481.90127389999998</v>
      </c>
      <c r="E48" s="9">
        <f t="shared" si="22"/>
        <v>365.66854499999999</v>
      </c>
      <c r="F48" s="9">
        <f t="shared" si="33"/>
        <v>58.098726100000022</v>
      </c>
      <c r="I48">
        <v>1</v>
      </c>
      <c r="J48">
        <f t="shared" si="23"/>
        <v>0.2401630433650081</v>
      </c>
      <c r="K48">
        <f t="shared" si="34"/>
        <v>0.15756651615414058</v>
      </c>
      <c r="O48">
        <f t="shared" si="35"/>
        <v>0.23491438532902514</v>
      </c>
      <c r="P48">
        <f t="shared" si="36"/>
        <v>3.7324037620410845E-2</v>
      </c>
      <c r="Q48">
        <f t="shared" si="37"/>
        <v>0.97129920610551124</v>
      </c>
      <c r="R48">
        <f t="shared" si="24"/>
        <v>1</v>
      </c>
      <c r="AG48" s="8">
        <f t="shared" si="25"/>
        <v>-0.71027685720744471</v>
      </c>
      <c r="AH48" s="8">
        <f t="shared" si="26"/>
        <v>0.2508920962663293</v>
      </c>
      <c r="AI48" s="8">
        <f t="shared" si="27"/>
        <v>0.65769289348950855</v>
      </c>
      <c r="AJ48" s="8"/>
      <c r="AK48" s="8"/>
      <c r="AL48" s="8"/>
      <c r="AN48" s="8">
        <f t="shared" si="38"/>
        <v>0.99999999999999978</v>
      </c>
      <c r="AO48" s="8">
        <f t="shared" si="39"/>
        <v>2.8020419774317165</v>
      </c>
      <c r="AP48" s="8">
        <f t="shared" si="40"/>
        <v>0.85304439917837527</v>
      </c>
      <c r="AQ48" s="8"/>
      <c r="AR48" s="8">
        <f t="shared" si="41"/>
        <v>160.54517932532883</v>
      </c>
      <c r="AS48" s="8">
        <f t="shared" si="42"/>
        <v>41.12415618980603</v>
      </c>
    </row>
    <row r="49" spans="1:45">
      <c r="A49" s="19">
        <v>0.56723333330000003</v>
      </c>
      <c r="B49" s="19">
        <v>1324.575521</v>
      </c>
      <c r="C49" s="19">
        <v>-481.29008720000002</v>
      </c>
      <c r="E49" s="9">
        <f t="shared" si="22"/>
        <v>364.57552099999998</v>
      </c>
      <c r="F49" s="9">
        <f t="shared" si="33"/>
        <v>58.709912799999984</v>
      </c>
      <c r="I49">
        <v>1</v>
      </c>
      <c r="J49">
        <f t="shared" si="23"/>
        <v>0.23954359314561727</v>
      </c>
      <c r="K49">
        <f t="shared" si="34"/>
        <v>0.15966558444116158</v>
      </c>
      <c r="O49">
        <f t="shared" si="35"/>
        <v>0.23424145858936354</v>
      </c>
      <c r="P49">
        <f t="shared" si="36"/>
        <v>3.7721390537151137E-2</v>
      </c>
      <c r="Q49">
        <f t="shared" si="37"/>
        <v>0.97144636278791596</v>
      </c>
      <c r="R49">
        <f t="shared" si="24"/>
        <v>1</v>
      </c>
      <c r="AG49" s="8">
        <f t="shared" si="25"/>
        <v>-0.70981253048387072</v>
      </c>
      <c r="AH49" s="8">
        <f t="shared" si="26"/>
        <v>0.25147434532664781</v>
      </c>
      <c r="AI49" s="8">
        <f t="shared" si="27"/>
        <v>0.65797175107341666</v>
      </c>
      <c r="AJ49" s="8"/>
      <c r="AK49" s="8"/>
      <c r="AL49" s="8"/>
      <c r="AN49" s="8">
        <f t="shared" si="38"/>
        <v>1.0000000000000002</v>
      </c>
      <c r="AO49" s="8">
        <f t="shared" si="39"/>
        <v>2.801107560754494</v>
      </c>
      <c r="AP49" s="8">
        <f t="shared" si="40"/>
        <v>0.85267415121703216</v>
      </c>
      <c r="AQ49" s="8"/>
      <c r="AR49" s="8">
        <f t="shared" si="41"/>
        <v>160.49164119341734</v>
      </c>
      <c r="AS49" s="8">
        <f t="shared" si="42"/>
        <v>41.145369835364313</v>
      </c>
    </row>
    <row r="50" spans="1:45">
      <c r="A50" s="19">
        <v>0.60060000000000002</v>
      </c>
      <c r="B50" s="19">
        <v>1324.2112380000001</v>
      </c>
      <c r="C50" s="19">
        <v>-481.21208109999998</v>
      </c>
      <c r="E50" s="9">
        <f t="shared" si="22"/>
        <v>364.21123800000009</v>
      </c>
      <c r="F50" s="9">
        <f t="shared" si="33"/>
        <v>58.787918900000022</v>
      </c>
      <c r="I50">
        <v>1</v>
      </c>
      <c r="J50">
        <f t="shared" si="23"/>
        <v>0.23932469309981125</v>
      </c>
      <c r="K50">
        <f t="shared" si="34"/>
        <v>0.16003132397096764</v>
      </c>
      <c r="O50">
        <f t="shared" si="35"/>
        <v>0.23401770863101382</v>
      </c>
      <c r="P50">
        <f t="shared" si="36"/>
        <v>3.7773172930385721E-2</v>
      </c>
      <c r="Q50">
        <f t="shared" si="37"/>
        <v>0.97149827557945834</v>
      </c>
      <c r="R50">
        <f t="shared" si="24"/>
        <v>1</v>
      </c>
      <c r="AG50" s="8">
        <f t="shared" si="25"/>
        <v>-0.70970871276121161</v>
      </c>
      <c r="AH50" s="8">
        <f t="shared" si="26"/>
        <v>0.25168322429497536</v>
      </c>
      <c r="AI50" s="8">
        <f t="shared" si="27"/>
        <v>0.65800387357469958</v>
      </c>
      <c r="AJ50" s="8"/>
      <c r="AK50" s="8"/>
      <c r="AL50" s="8"/>
      <c r="AN50" s="8">
        <f t="shared" si="38"/>
        <v>1</v>
      </c>
      <c r="AO50" s="8">
        <f t="shared" si="39"/>
        <v>2.8008000538699056</v>
      </c>
      <c r="AP50" s="8">
        <f t="shared" si="40"/>
        <v>0.85263149347170575</v>
      </c>
      <c r="AQ50" s="8"/>
      <c r="AR50" s="8">
        <f t="shared" si="41"/>
        <v>160.4740223467592</v>
      </c>
      <c r="AS50" s="8">
        <f t="shared" si="42"/>
        <v>41.147813944135059</v>
      </c>
    </row>
    <row r="51" spans="1:45">
      <c r="A51" s="19">
        <v>0.63396666670000001</v>
      </c>
      <c r="B51" s="19">
        <v>1323.4381969999999</v>
      </c>
      <c r="C51" s="19">
        <v>-481.13511299999999</v>
      </c>
      <c r="E51" s="9">
        <f t="shared" si="22"/>
        <v>363.43819699999995</v>
      </c>
      <c r="F51" s="9">
        <f t="shared" si="33"/>
        <v>58.86488700000001</v>
      </c>
      <c r="I51">
        <v>1</v>
      </c>
      <c r="J51">
        <f t="shared" si="23"/>
        <v>0.23885126439948057</v>
      </c>
      <c r="K51">
        <f t="shared" si="34"/>
        <v>0.16057228509766594</v>
      </c>
      <c r="O51">
        <f t="shared" si="35"/>
        <v>0.23354319583068378</v>
      </c>
      <c r="P51">
        <f t="shared" si="36"/>
        <v>3.7826221750137272E-2</v>
      </c>
      <c r="Q51">
        <f t="shared" si="37"/>
        <v>0.97161039137573058</v>
      </c>
      <c r="R51">
        <f t="shared" si="24"/>
        <v>1</v>
      </c>
      <c r="AG51" s="8">
        <f t="shared" si="25"/>
        <v>-0.70952422384489333</v>
      </c>
      <c r="AH51" s="8">
        <f t="shared" si="26"/>
        <v>0.25213695622625321</v>
      </c>
      <c r="AI51" s="8">
        <f t="shared" si="27"/>
        <v>0.65802912631756827</v>
      </c>
      <c r="AJ51" s="8"/>
      <c r="AK51" s="8"/>
      <c r="AL51" s="8"/>
      <c r="AN51" s="8">
        <f t="shared" si="38"/>
        <v>1</v>
      </c>
      <c r="AO51" s="8">
        <f t="shared" si="39"/>
        <v>2.8001502460862024</v>
      </c>
      <c r="AP51" s="8">
        <f t="shared" si="40"/>
        <v>0.85259795744890721</v>
      </c>
      <c r="AQ51" s="8"/>
      <c r="AR51" s="8">
        <f t="shared" si="41"/>
        <v>160.43679110325826</v>
      </c>
      <c r="AS51" s="8">
        <f t="shared" si="42"/>
        <v>41.149735416703066</v>
      </c>
    </row>
    <row r="52" spans="1:45">
      <c r="A52" s="19">
        <v>0.6673333333</v>
      </c>
      <c r="B52" s="19">
        <v>1323.0013839999999</v>
      </c>
      <c r="C52" s="19">
        <v>-481.12711489999998</v>
      </c>
      <c r="E52" s="9">
        <f t="shared" si="22"/>
        <v>363.00138399999992</v>
      </c>
      <c r="F52" s="9">
        <f t="shared" si="33"/>
        <v>58.872885100000019</v>
      </c>
      <c r="I52">
        <v>1</v>
      </c>
      <c r="J52">
        <f t="shared" si="23"/>
        <v>0.23858015120871842</v>
      </c>
      <c r="K52">
        <f t="shared" si="34"/>
        <v>0.16078366623977333</v>
      </c>
      <c r="O52">
        <f t="shared" si="35"/>
        <v>0.23327516740124801</v>
      </c>
      <c r="P52">
        <f t="shared" si="36"/>
        <v>3.7833415332369488E-2</v>
      </c>
      <c r="Q52">
        <f t="shared" si="37"/>
        <v>0.97167449743121703</v>
      </c>
      <c r="R52">
        <f t="shared" si="24"/>
        <v>1</v>
      </c>
      <c r="AG52" s="8">
        <f t="shared" si="25"/>
        <v>-0.70943430591200907</v>
      </c>
      <c r="AH52" s="8">
        <f t="shared" si="26"/>
        <v>0.25239754520929414</v>
      </c>
      <c r="AI52" s="8">
        <f t="shared" si="27"/>
        <v>0.65802617331491331</v>
      </c>
      <c r="AJ52" s="8"/>
      <c r="AK52" s="8"/>
      <c r="AL52" s="8"/>
      <c r="AN52" s="8">
        <f t="shared" si="38"/>
        <v>1</v>
      </c>
      <c r="AO52" s="8">
        <f t="shared" si="39"/>
        <v>2.799784168526255</v>
      </c>
      <c r="AP52" s="8">
        <f t="shared" si="40"/>
        <v>0.85260187913164509</v>
      </c>
      <c r="AQ52" s="8"/>
      <c r="AR52" s="8">
        <f t="shared" si="41"/>
        <v>160.41581640409882</v>
      </c>
      <c r="AS52" s="8">
        <f t="shared" si="42"/>
        <v>41.149510720833597</v>
      </c>
    </row>
    <row r="53" spans="1:45">
      <c r="A53" s="19">
        <v>0.70069999999999999</v>
      </c>
      <c r="B53" s="19">
        <v>1322.372981</v>
      </c>
      <c r="C53" s="19">
        <v>-480.99526650000001</v>
      </c>
      <c r="E53" s="9">
        <f t="shared" si="22"/>
        <v>362.37298099999998</v>
      </c>
      <c r="F53" s="9">
        <f t="shared" si="33"/>
        <v>59.004733499999986</v>
      </c>
      <c r="I53">
        <v>1</v>
      </c>
      <c r="J53">
        <f t="shared" si="23"/>
        <v>0.23820227389530943</v>
      </c>
      <c r="K53">
        <f t="shared" si="34"/>
        <v>0.16141216392848545</v>
      </c>
      <c r="O53">
        <f t="shared" si="35"/>
        <v>0.232888925498344</v>
      </c>
      <c r="P53">
        <f t="shared" si="36"/>
        <v>3.7921008752391336E-2</v>
      </c>
      <c r="Q53">
        <f t="shared" si="37"/>
        <v>0.97176372924462862</v>
      </c>
      <c r="R53">
        <f t="shared" si="24"/>
        <v>1</v>
      </c>
      <c r="AG53" s="8">
        <f t="shared" si="25"/>
        <v>-0.70925593644278162</v>
      </c>
      <c r="AH53" s="8">
        <f t="shared" si="26"/>
        <v>0.25275824563032423</v>
      </c>
      <c r="AI53" s="8">
        <f t="shared" si="27"/>
        <v>0.65807999960989072</v>
      </c>
      <c r="AJ53" s="8"/>
      <c r="AK53" s="8"/>
      <c r="AL53" s="8"/>
      <c r="AN53" s="8">
        <f t="shared" si="38"/>
        <v>1.0000000000000002</v>
      </c>
      <c r="AO53" s="8">
        <f t="shared" si="39"/>
        <v>2.7992534255676884</v>
      </c>
      <c r="AP53" s="8">
        <f t="shared" si="40"/>
        <v>0.85253039396603592</v>
      </c>
      <c r="AQ53" s="8"/>
      <c r="AR53" s="8">
        <f t="shared" si="41"/>
        <v>160.38540707256666</v>
      </c>
      <c r="AS53" s="8">
        <f t="shared" si="42"/>
        <v>41.1536065191208</v>
      </c>
    </row>
    <row r="54" spans="1:45">
      <c r="A54" s="19">
        <v>0.73406666669999998</v>
      </c>
      <c r="B54" s="19">
        <v>1321.6233050000001</v>
      </c>
      <c r="C54" s="19">
        <v>-480.68692040000002</v>
      </c>
      <c r="E54" s="9">
        <f t="shared" si="22"/>
        <v>361.62330500000007</v>
      </c>
      <c r="F54" s="9">
        <f t="shared" si="33"/>
        <v>59.31307959999998</v>
      </c>
      <c r="I54">
        <v>1</v>
      </c>
      <c r="J54">
        <f t="shared" si="23"/>
        <v>0.2377669146411068</v>
      </c>
      <c r="K54">
        <f t="shared" si="34"/>
        <v>0.16257143276698238</v>
      </c>
      <c r="O54">
        <f t="shared" si="35"/>
        <v>0.23242729839574167</v>
      </c>
      <c r="P54">
        <f t="shared" si="36"/>
        <v>3.8122484531132664E-2</v>
      </c>
      <c r="Q54">
        <f t="shared" si="37"/>
        <v>0.97186636279564198</v>
      </c>
      <c r="R54">
        <f t="shared" si="24"/>
        <v>1</v>
      </c>
      <c r="AG54" s="8">
        <f t="shared" si="25"/>
        <v>-0.70898155833094156</v>
      </c>
      <c r="AH54" s="8">
        <f t="shared" si="26"/>
        <v>0.25317073906075488</v>
      </c>
      <c r="AI54" s="8">
        <f t="shared" si="27"/>
        <v>0.65821708184311112</v>
      </c>
      <c r="AJ54" s="8"/>
      <c r="AK54" s="8"/>
      <c r="AL54" s="8"/>
      <c r="AN54" s="8">
        <f t="shared" si="38"/>
        <v>1</v>
      </c>
      <c r="AO54" s="8">
        <f t="shared" si="39"/>
        <v>2.7986149482928679</v>
      </c>
      <c r="AP54" s="8">
        <f t="shared" si="40"/>
        <v>0.85234831879049366</v>
      </c>
      <c r="AQ54" s="8"/>
      <c r="AR54" s="8">
        <f t="shared" si="41"/>
        <v>160.34882501940444</v>
      </c>
      <c r="AS54" s="8">
        <f t="shared" si="42"/>
        <v>41.164038658233473</v>
      </c>
    </row>
    <row r="55" spans="1:45">
      <c r="A55" s="19">
        <v>0.76743333329999996</v>
      </c>
      <c r="B55" s="19">
        <v>1320.8144239999999</v>
      </c>
      <c r="C55" s="19">
        <v>-480.43568540000001</v>
      </c>
      <c r="E55" s="9">
        <f t="shared" si="22"/>
        <v>360.81442399999992</v>
      </c>
      <c r="F55" s="9">
        <f t="shared" si="33"/>
        <v>59.564314599999989</v>
      </c>
      <c r="I55">
        <v>1</v>
      </c>
      <c r="J55">
        <f t="shared" si="23"/>
        <v>0.23728905096621047</v>
      </c>
      <c r="K55">
        <f t="shared" si="34"/>
        <v>0.16360738299950686</v>
      </c>
      <c r="O55">
        <f t="shared" si="35"/>
        <v>0.23192943633400326</v>
      </c>
      <c r="P55">
        <f t="shared" si="36"/>
        <v>3.8287598809517771E-2</v>
      </c>
      <c r="Q55">
        <f t="shared" si="37"/>
        <v>0.97197880447013496</v>
      </c>
      <c r="R55">
        <f t="shared" si="24"/>
        <v>1</v>
      </c>
      <c r="AG55" s="8">
        <f t="shared" si="25"/>
        <v>-0.70871836888459105</v>
      </c>
      <c r="AH55" s="8">
        <f t="shared" si="26"/>
        <v>0.25362544639278761</v>
      </c>
      <c r="AI55" s="8">
        <f t="shared" si="27"/>
        <v>0.65832545640254858</v>
      </c>
      <c r="AJ55" s="8"/>
      <c r="AK55" s="8"/>
      <c r="AL55" s="8"/>
      <c r="AN55" s="8">
        <f t="shared" si="38"/>
        <v>0.99999999999999989</v>
      </c>
      <c r="AO55" s="8">
        <f t="shared" si="39"/>
        <v>2.7979284731298377</v>
      </c>
      <c r="AP55" s="8">
        <f t="shared" si="40"/>
        <v>0.85220435316408438</v>
      </c>
      <c r="AQ55" s="8"/>
      <c r="AR55" s="8">
        <f t="shared" si="41"/>
        <v>160.30949288982225</v>
      </c>
      <c r="AS55" s="8">
        <f t="shared" si="42"/>
        <v>41.172287281021681</v>
      </c>
    </row>
    <row r="56" spans="1:45">
      <c r="A56" s="19">
        <v>0.80079999999999996</v>
      </c>
      <c r="B56" s="19">
        <v>1320.192888</v>
      </c>
      <c r="C56" s="19">
        <v>-480.20707040000002</v>
      </c>
      <c r="E56" s="9">
        <f t="shared" si="22"/>
        <v>360.19288800000004</v>
      </c>
      <c r="F56" s="9">
        <f t="shared" si="33"/>
        <v>59.792929599999979</v>
      </c>
      <c r="I56">
        <v>1</v>
      </c>
      <c r="J56">
        <f t="shared" si="23"/>
        <v>0.23692564102537375</v>
      </c>
      <c r="K56">
        <f t="shared" si="34"/>
        <v>0.16450241791589704</v>
      </c>
      <c r="O56">
        <f t="shared" si="35"/>
        <v>0.23154660121251666</v>
      </c>
      <c r="P56">
        <f t="shared" si="36"/>
        <v>3.8437320909621285E-2</v>
      </c>
      <c r="Q56">
        <f t="shared" si="37"/>
        <v>0.9720641665179427</v>
      </c>
      <c r="R56">
        <f t="shared" si="24"/>
        <v>1</v>
      </c>
      <c r="AG56" s="8">
        <f t="shared" si="25"/>
        <v>-0.70850149855989519</v>
      </c>
      <c r="AH56" s="8">
        <f t="shared" si="26"/>
        <v>0.25397064804566538</v>
      </c>
      <c r="AI56" s="8">
        <f t="shared" si="27"/>
        <v>0.65842580179519672</v>
      </c>
      <c r="AJ56" s="8"/>
      <c r="AK56" s="8"/>
      <c r="AL56" s="8"/>
      <c r="AN56" s="8">
        <f t="shared" si="38"/>
        <v>1.0000000000000002</v>
      </c>
      <c r="AO56" s="8">
        <f t="shared" si="39"/>
        <v>2.7973995540899903</v>
      </c>
      <c r="AP56" s="8">
        <f t="shared" si="40"/>
        <v>0.85207103738290579</v>
      </c>
      <c r="AQ56" s="8"/>
      <c r="AR56" s="8">
        <f t="shared" si="41"/>
        <v>160.2791880611349</v>
      </c>
      <c r="AS56" s="8">
        <f t="shared" si="42"/>
        <v>41.179925712625703</v>
      </c>
    </row>
    <row r="57" spans="1:45">
      <c r="A57" s="19">
        <v>0.83416666669999995</v>
      </c>
      <c r="B57" s="19">
        <v>1319.4875970000001</v>
      </c>
      <c r="C57" s="19">
        <v>-480.20669950000001</v>
      </c>
      <c r="E57" s="9">
        <f t="shared" si="22"/>
        <v>359.48759700000005</v>
      </c>
      <c r="F57" s="9">
        <f t="shared" si="33"/>
        <v>59.793300499999987</v>
      </c>
      <c r="I57">
        <v>1</v>
      </c>
      <c r="J57">
        <f t="shared" si="23"/>
        <v>0.23648652684281354</v>
      </c>
      <c r="K57">
        <f t="shared" si="34"/>
        <v>0.164820357040043</v>
      </c>
      <c r="O57">
        <f t="shared" si="35"/>
        <v>0.23111328400926623</v>
      </c>
      <c r="P57">
        <f t="shared" si="36"/>
        <v>3.8440897977094587E-2</v>
      </c>
      <c r="Q57">
        <f t="shared" si="37"/>
        <v>0.97216713959954792</v>
      </c>
      <c r="R57">
        <f t="shared" si="24"/>
        <v>1</v>
      </c>
      <c r="AG57" s="8">
        <f t="shared" si="25"/>
        <v>-0.70836058080936071</v>
      </c>
      <c r="AH57" s="8">
        <f t="shared" si="26"/>
        <v>0.25439301229039851</v>
      </c>
      <c r="AI57" s="8">
        <f t="shared" si="27"/>
        <v>0.65841437017522819</v>
      </c>
      <c r="AJ57" s="8"/>
      <c r="AK57" s="8"/>
      <c r="AL57" s="8"/>
      <c r="AN57" s="8">
        <f t="shared" si="38"/>
        <v>1</v>
      </c>
      <c r="AO57" s="8">
        <f t="shared" si="39"/>
        <v>2.7968081246948779</v>
      </c>
      <c r="AP57" s="8">
        <f t="shared" si="40"/>
        <v>0.85208622586387683</v>
      </c>
      <c r="AQ57" s="8"/>
      <c r="AR57" s="8">
        <f t="shared" si="41"/>
        <v>160.24530165291497</v>
      </c>
      <c r="AS57" s="8">
        <f t="shared" si="42"/>
        <v>41.179055476768852</v>
      </c>
    </row>
    <row r="58" spans="1:45">
      <c r="A58" s="19">
        <v>0.86753333330000004</v>
      </c>
      <c r="B58" s="19">
        <v>1319.1714669999999</v>
      </c>
      <c r="C58" s="19">
        <v>-480.25274339999999</v>
      </c>
      <c r="E58" s="9">
        <f t="shared" si="22"/>
        <v>359.17146699999989</v>
      </c>
      <c r="F58" s="9">
        <f t="shared" si="33"/>
        <v>59.747256600000014</v>
      </c>
      <c r="I58">
        <v>1</v>
      </c>
      <c r="J58">
        <f t="shared" si="23"/>
        <v>0.23628489556508123</v>
      </c>
      <c r="K58">
        <f t="shared" si="34"/>
        <v>0.16483806931716011</v>
      </c>
      <c r="O58">
        <f t="shared" si="35"/>
        <v>0.23091923615142312</v>
      </c>
      <c r="P58">
        <f t="shared" si="36"/>
        <v>3.8412825415820355E-2</v>
      </c>
      <c r="Q58">
        <f t="shared" si="37"/>
        <v>0.97221435970613856</v>
      </c>
      <c r="R58">
        <f t="shared" si="24"/>
        <v>1</v>
      </c>
      <c r="AG58" s="8">
        <f t="shared" si="25"/>
        <v>-0.70831615802974879</v>
      </c>
      <c r="AH58" s="8">
        <f t="shared" si="26"/>
        <v>0.2545878013574735</v>
      </c>
      <c r="AI58" s="8">
        <f t="shared" si="27"/>
        <v>0.65838687082439873</v>
      </c>
      <c r="AJ58" s="8"/>
      <c r="AK58" s="8"/>
      <c r="AL58" s="8"/>
      <c r="AN58" s="8">
        <f t="shared" si="38"/>
        <v>1</v>
      </c>
      <c r="AO58" s="8">
        <f t="shared" si="39"/>
        <v>2.7965446128307669</v>
      </c>
      <c r="AP58" s="8">
        <f t="shared" si="40"/>
        <v>0.8521227617108319</v>
      </c>
      <c r="AQ58" s="8"/>
      <c r="AR58" s="8">
        <f t="shared" si="41"/>
        <v>160.23020353524979</v>
      </c>
      <c r="AS58" s="8">
        <f t="shared" si="42"/>
        <v>41.17696212693739</v>
      </c>
    </row>
    <row r="59" spans="1:45">
      <c r="A59" s="19">
        <v>0.90090000000000003</v>
      </c>
      <c r="B59" s="19">
        <v>1318.372492</v>
      </c>
      <c r="C59" s="19">
        <v>-480.13535810000002</v>
      </c>
      <c r="E59" s="9">
        <f t="shared" si="22"/>
        <v>358.37249199999997</v>
      </c>
      <c r="F59" s="9">
        <f t="shared" si="33"/>
        <v>59.864641899999981</v>
      </c>
      <c r="I59">
        <v>1</v>
      </c>
      <c r="J59">
        <f t="shared" si="23"/>
        <v>0.23579949466774819</v>
      </c>
      <c r="K59">
        <f t="shared" si="34"/>
        <v>0.1655176016772523</v>
      </c>
      <c r="O59">
        <f t="shared" si="35"/>
        <v>0.23042758872291755</v>
      </c>
      <c r="P59">
        <f t="shared" si="36"/>
        <v>3.8491975223304623E-2</v>
      </c>
      <c r="Q59">
        <f t="shared" si="37"/>
        <v>0.97232787381559238</v>
      </c>
      <c r="R59">
        <f t="shared" si="24"/>
        <v>1</v>
      </c>
      <c r="AG59" s="8">
        <f t="shared" si="25"/>
        <v>-0.70810866085760704</v>
      </c>
      <c r="AH59" s="8">
        <f t="shared" si="26"/>
        <v>0.25505248750436404</v>
      </c>
      <c r="AI59" s="8">
        <f t="shared" si="27"/>
        <v>0.65843021880551844</v>
      </c>
      <c r="AJ59" s="8"/>
      <c r="AK59" s="8"/>
      <c r="AL59" s="8"/>
      <c r="AN59" s="8">
        <f t="shared" si="38"/>
        <v>1.0000000000000002</v>
      </c>
      <c r="AO59" s="8">
        <f t="shared" si="39"/>
        <v>2.795870345917197</v>
      </c>
      <c r="AP59" s="8">
        <f t="shared" si="40"/>
        <v>0.85206516872253035</v>
      </c>
      <c r="AQ59" s="8"/>
      <c r="AR59" s="8">
        <f t="shared" si="41"/>
        <v>160.19157088683693</v>
      </c>
      <c r="AS59" s="8">
        <f t="shared" si="42"/>
        <v>41.180261962096615</v>
      </c>
    </row>
    <row r="60" spans="1:45">
      <c r="A60" s="19">
        <v>0.93426666670000003</v>
      </c>
      <c r="B60" s="19">
        <v>1317.6111060000001</v>
      </c>
      <c r="C60" s="19">
        <v>-480.03605329999999</v>
      </c>
      <c r="E60" s="9">
        <f t="shared" si="22"/>
        <v>357.61110600000006</v>
      </c>
      <c r="F60" s="9">
        <f t="shared" si="33"/>
        <v>59.963946700000008</v>
      </c>
      <c r="I60">
        <v>1</v>
      </c>
      <c r="J60">
        <f t="shared" si="23"/>
        <v>0.23533562166110381</v>
      </c>
      <c r="K60">
        <f t="shared" si="34"/>
        <v>0.16613368982531534</v>
      </c>
      <c r="O60">
        <f t="shared" si="35"/>
        <v>0.22995897920988792</v>
      </c>
      <c r="P60">
        <f t="shared" si="36"/>
        <v>3.8559339296716712E-2</v>
      </c>
      <c r="Q60">
        <f t="shared" si="37"/>
        <v>0.97243613941160523</v>
      </c>
      <c r="R60">
        <f t="shared" si="24"/>
        <v>1</v>
      </c>
      <c r="AG60" s="8">
        <f t="shared" si="25"/>
        <v>-0.70791582421387267</v>
      </c>
      <c r="AH60" s="8">
        <f t="shared" si="26"/>
        <v>0.25549682661620809</v>
      </c>
      <c r="AI60" s="8">
        <f t="shared" si="27"/>
        <v>0.65846530464151298</v>
      </c>
      <c r="AJ60" s="8"/>
      <c r="AK60" s="8"/>
      <c r="AL60" s="8"/>
      <c r="AN60" s="8">
        <f t="shared" si="38"/>
        <v>0.99999999999999978</v>
      </c>
      <c r="AO60" s="8">
        <f t="shared" si="39"/>
        <v>2.7952280543050483</v>
      </c>
      <c r="AP60" s="8">
        <f t="shared" si="40"/>
        <v>0.85201855085934297</v>
      </c>
      <c r="AQ60" s="8"/>
      <c r="AR60" s="8">
        <f t="shared" si="41"/>
        <v>160.15477028824415</v>
      </c>
      <c r="AS60" s="8">
        <f t="shared" si="42"/>
        <v>41.182932968907167</v>
      </c>
    </row>
    <row r="61" spans="1:45">
      <c r="A61" s="19">
        <v>0.96763333330000001</v>
      </c>
      <c r="B61" s="19">
        <v>1317.110402</v>
      </c>
      <c r="C61" s="19">
        <v>-479.95112230000001</v>
      </c>
      <c r="E61" s="9">
        <f t="shared" si="22"/>
        <v>357.11040200000002</v>
      </c>
      <c r="F61" s="9">
        <f t="shared" si="33"/>
        <v>60.048877699999991</v>
      </c>
      <c r="I61">
        <v>1</v>
      </c>
      <c r="J61">
        <f t="shared" si="23"/>
        <v>0.23503262044723586</v>
      </c>
      <c r="K61">
        <f t="shared" si="34"/>
        <v>0.16659365206911766</v>
      </c>
      <c r="O61">
        <f t="shared" si="35"/>
        <v>0.22965063848227871</v>
      </c>
      <c r="P61">
        <f t="shared" si="36"/>
        <v>3.8616245919236104E-2</v>
      </c>
      <c r="Q61">
        <f t="shared" si="37"/>
        <v>0.97250674537289805</v>
      </c>
      <c r="R61">
        <f t="shared" si="24"/>
        <v>1</v>
      </c>
      <c r="AG61" s="8">
        <f t="shared" si="25"/>
        <v>-0.70778091402364551</v>
      </c>
      <c r="AH61" s="8">
        <f t="shared" si="26"/>
        <v>0.25578672671442593</v>
      </c>
      <c r="AI61" s="8">
        <f t="shared" si="27"/>
        <v>0.65849778145455629</v>
      </c>
      <c r="AJ61" s="8"/>
      <c r="AK61" s="8"/>
      <c r="AL61" s="8"/>
      <c r="AN61" s="8">
        <f t="shared" si="38"/>
        <v>1</v>
      </c>
      <c r="AO61" s="8">
        <f t="shared" si="39"/>
        <v>2.794804867283164</v>
      </c>
      <c r="AP61" s="8">
        <f t="shared" si="40"/>
        <v>0.85197539785924981</v>
      </c>
      <c r="AQ61" s="8"/>
      <c r="AR61" s="8">
        <f t="shared" si="41"/>
        <v>160.13052345794546</v>
      </c>
      <c r="AS61" s="8">
        <f t="shared" si="42"/>
        <v>41.185405453685831</v>
      </c>
    </row>
    <row r="62" spans="1:45">
      <c r="A62" s="19">
        <v>1.0009999999999999</v>
      </c>
      <c r="B62" s="19">
        <v>1316.361443</v>
      </c>
      <c r="C62" s="19">
        <v>-479.72333359999999</v>
      </c>
      <c r="E62" s="9">
        <f t="shared" si="22"/>
        <v>356.36144300000001</v>
      </c>
      <c r="F62" s="9">
        <f t="shared" si="33"/>
        <v>60.276666400000011</v>
      </c>
      <c r="I62">
        <v>1</v>
      </c>
      <c r="J62">
        <f t="shared" si="23"/>
        <v>0.2345900103894944</v>
      </c>
      <c r="K62">
        <f t="shared" si="34"/>
        <v>0.16755881019431373</v>
      </c>
      <c r="O62">
        <f t="shared" si="35"/>
        <v>0.22918882539794458</v>
      </c>
      <c r="P62">
        <f t="shared" si="36"/>
        <v>3.8766086069305081E-2</v>
      </c>
      <c r="Q62">
        <f t="shared" si="37"/>
        <v>0.97260972279922109</v>
      </c>
      <c r="R62">
        <f t="shared" si="24"/>
        <v>1</v>
      </c>
      <c r="AG62" s="8">
        <f t="shared" si="25"/>
        <v>-0.70753794474559362</v>
      </c>
      <c r="AH62" s="8">
        <f t="shared" si="26"/>
        <v>0.25620845593597297</v>
      </c>
      <c r="AI62" s="8">
        <f t="shared" si="27"/>
        <v>0.65859493154144899</v>
      </c>
      <c r="AJ62" s="8"/>
      <c r="AK62" s="8"/>
      <c r="AL62" s="8"/>
      <c r="AN62" s="8">
        <f t="shared" si="38"/>
        <v>1</v>
      </c>
      <c r="AO62" s="8">
        <f t="shared" si="39"/>
        <v>2.7941680500380959</v>
      </c>
      <c r="AP62" s="8">
        <f t="shared" si="40"/>
        <v>0.85184630164360331</v>
      </c>
      <c r="AQ62" s="8"/>
      <c r="AR62" s="8">
        <f t="shared" si="41"/>
        <v>160.09403651748192</v>
      </c>
      <c r="AS62" s="8">
        <f t="shared" si="42"/>
        <v>41.192802121993488</v>
      </c>
    </row>
    <row r="63" spans="1:45">
      <c r="A63" s="19">
        <v>1.034366667</v>
      </c>
      <c r="B63" s="19">
        <v>1315.6562779999999</v>
      </c>
      <c r="C63" s="19">
        <v>-479.36909050000003</v>
      </c>
      <c r="E63" s="9">
        <f t="shared" si="22"/>
        <v>355.65627799999993</v>
      </c>
      <c r="F63" s="9">
        <f t="shared" si="33"/>
        <v>60.630909499999973</v>
      </c>
      <c r="I63">
        <v>1</v>
      </c>
      <c r="J63">
        <f t="shared" si="23"/>
        <v>0.23418822449081453</v>
      </c>
      <c r="K63">
        <f t="shared" si="34"/>
        <v>0.16885288693566888</v>
      </c>
      <c r="O63">
        <f t="shared" si="35"/>
        <v>0.22875322547298652</v>
      </c>
      <c r="P63">
        <f t="shared" si="36"/>
        <v>3.8996966929642489E-2</v>
      </c>
      <c r="Q63">
        <f t="shared" si="37"/>
        <v>0.97270303711152939</v>
      </c>
      <c r="R63">
        <f t="shared" si="24"/>
        <v>1</v>
      </c>
      <c r="AG63" s="8">
        <f t="shared" si="25"/>
        <v>-0.7072520828011799</v>
      </c>
      <c r="AH63" s="8">
        <f t="shared" si="26"/>
        <v>0.25658898275595687</v>
      </c>
      <c r="AI63" s="8">
        <f t="shared" si="27"/>
        <v>0.65875381236214203</v>
      </c>
      <c r="AJ63" s="8"/>
      <c r="AK63" s="8"/>
      <c r="AL63" s="8"/>
      <c r="AN63" s="8">
        <f t="shared" si="38"/>
        <v>1</v>
      </c>
      <c r="AO63" s="8">
        <f t="shared" si="39"/>
        <v>2.7935631244732551</v>
      </c>
      <c r="AP63" s="8">
        <f t="shared" si="40"/>
        <v>0.85163514416821195</v>
      </c>
      <c r="AQ63" s="8"/>
      <c r="AR63" s="8">
        <f t="shared" si="41"/>
        <v>160.05937683569698</v>
      </c>
      <c r="AS63" s="8">
        <f t="shared" si="42"/>
        <v>41.20490055414605</v>
      </c>
    </row>
    <row r="64" spans="1:45">
      <c r="A64" s="19">
        <v>1.0677333330000001</v>
      </c>
      <c r="B64" s="19">
        <v>1315.136428</v>
      </c>
      <c r="C64" s="19">
        <v>-479.24201470000003</v>
      </c>
      <c r="E64" s="9">
        <f t="shared" si="22"/>
        <v>355.13642800000002</v>
      </c>
      <c r="F64" s="9">
        <f t="shared" si="33"/>
        <v>60.757985299999973</v>
      </c>
      <c r="I64">
        <v>1</v>
      </c>
      <c r="J64">
        <f t="shared" si="23"/>
        <v>0.23387792337554994</v>
      </c>
      <c r="K64">
        <f t="shared" si="34"/>
        <v>0.16944304072656377</v>
      </c>
      <c r="O64">
        <f t="shared" si="35"/>
        <v>0.22843265215408493</v>
      </c>
      <c r="P64">
        <f t="shared" si="36"/>
        <v>3.9081059072931544E-2</v>
      </c>
      <c r="Q64">
        <f t="shared" si="37"/>
        <v>0.97277499672410828</v>
      </c>
      <c r="R64">
        <f t="shared" ref="R64:R90" si="43">SQRT(O64^2+P64^2+Q64^2)</f>
        <v>1</v>
      </c>
      <c r="AG64" s="8">
        <f t="shared" si="25"/>
        <v>-0.70709579439540726</v>
      </c>
      <c r="AH64" s="8">
        <f t="shared" si="26"/>
        <v>0.2568853955373322</v>
      </c>
      <c r="AI64" s="8">
        <f t="shared" si="27"/>
        <v>0.65880606486883253</v>
      </c>
      <c r="AJ64" s="8"/>
      <c r="AK64" s="8"/>
      <c r="AL64" s="8"/>
      <c r="AN64" s="8">
        <f t="shared" si="38"/>
        <v>1</v>
      </c>
      <c r="AO64" s="8">
        <f t="shared" si="39"/>
        <v>2.7931218939411684</v>
      </c>
      <c r="AP64" s="8">
        <f t="shared" si="40"/>
        <v>0.85156569045582531</v>
      </c>
      <c r="AQ64" s="8"/>
      <c r="AR64" s="8">
        <f t="shared" si="41"/>
        <v>160.0340961884161</v>
      </c>
      <c r="AS64" s="8">
        <f t="shared" si="42"/>
        <v>41.20887995873732</v>
      </c>
    </row>
    <row r="65" spans="1:45">
      <c r="A65" s="19">
        <v>1.1011</v>
      </c>
      <c r="B65" s="19">
        <v>1314.3863229999999</v>
      </c>
      <c r="C65" s="19">
        <v>-479.11975710000002</v>
      </c>
      <c r="E65" s="9">
        <f t="shared" si="22"/>
        <v>354.38632299999995</v>
      </c>
      <c r="F65" s="9">
        <f t="shared" si="33"/>
        <v>60.880242899999985</v>
      </c>
      <c r="I65">
        <v>1</v>
      </c>
      <c r="J65">
        <f t="shared" si="23"/>
        <v>0.23342370626760098</v>
      </c>
      <c r="K65">
        <f t="shared" si="34"/>
        <v>0.17012995637728687</v>
      </c>
      <c r="O65">
        <f t="shared" si="35"/>
        <v>0.22797025738363699</v>
      </c>
      <c r="P65">
        <f t="shared" si="36"/>
        <v>3.916314976831467E-2</v>
      </c>
      <c r="Q65">
        <f t="shared" si="37"/>
        <v>0.97288016191546578</v>
      </c>
      <c r="R65">
        <f t="shared" si="43"/>
        <v>1</v>
      </c>
      <c r="AG65" s="8">
        <f t="shared" si="25"/>
        <v>-0.70689498806412054</v>
      </c>
      <c r="AH65" s="8">
        <f t="shared" si="26"/>
        <v>0.25732035711771289</v>
      </c>
      <c r="AI65" s="8">
        <f t="shared" si="27"/>
        <v>0.6588518116106532</v>
      </c>
      <c r="AJ65" s="8"/>
      <c r="AK65" s="8"/>
      <c r="AL65" s="8"/>
      <c r="AN65" s="8">
        <f t="shared" si="38"/>
        <v>1</v>
      </c>
      <c r="AO65" s="8">
        <f t="shared" si="39"/>
        <v>2.7924873020556924</v>
      </c>
      <c r="AP65" s="8">
        <f t="shared" si="40"/>
        <v>0.85150488069807295</v>
      </c>
      <c r="AQ65" s="8"/>
      <c r="AR65" s="8">
        <f t="shared" si="41"/>
        <v>159.99773675166506</v>
      </c>
      <c r="AS65" s="8">
        <f t="shared" si="42"/>
        <v>41.212364101209744</v>
      </c>
    </row>
    <row r="66" spans="1:45">
      <c r="A66" s="19">
        <v>1.1344666670000001</v>
      </c>
      <c r="B66" s="19">
        <v>1313.8675109999999</v>
      </c>
      <c r="C66" s="19">
        <v>-479.05832470000001</v>
      </c>
      <c r="E66" s="9">
        <f t="shared" si="22"/>
        <v>353.86751099999992</v>
      </c>
      <c r="F66" s="9">
        <f t="shared" si="33"/>
        <v>60.941675299999986</v>
      </c>
      <c r="I66">
        <v>1</v>
      </c>
      <c r="J66">
        <f t="shared" si="23"/>
        <v>0.23310707488223856</v>
      </c>
      <c r="K66">
        <f t="shared" si="34"/>
        <v>0.17054319889203187</v>
      </c>
      <c r="O66">
        <f t="shared" si="35"/>
        <v>0.22765046711093073</v>
      </c>
      <c r="P66">
        <f t="shared" si="36"/>
        <v>3.9205070873453735E-2</v>
      </c>
      <c r="Q66">
        <f t="shared" si="37"/>
        <v>0.97295335306579955</v>
      </c>
      <c r="R66">
        <f t="shared" si="43"/>
        <v>1</v>
      </c>
      <c r="AG66" s="8">
        <f t="shared" si="25"/>
        <v>-0.70676540174508928</v>
      </c>
      <c r="AH66" s="8">
        <f t="shared" si="26"/>
        <v>0.25762395587061332</v>
      </c>
      <c r="AI66" s="8">
        <f t="shared" si="27"/>
        <v>0.65887219114004103</v>
      </c>
      <c r="AJ66" s="8"/>
      <c r="AK66" s="8"/>
      <c r="AL66" s="8"/>
      <c r="AN66" s="8">
        <f t="shared" si="38"/>
        <v>0.99999999999999989</v>
      </c>
      <c r="AO66" s="8">
        <f t="shared" si="39"/>
        <v>2.7920491376016385</v>
      </c>
      <c r="AP66" s="8">
        <f t="shared" si="40"/>
        <v>0.85147778976441468</v>
      </c>
      <c r="AQ66" s="8"/>
      <c r="AR66" s="8">
        <f t="shared" si="41"/>
        <v>159.97263177771512</v>
      </c>
      <c r="AS66" s="8">
        <f t="shared" si="42"/>
        <v>41.213916297371433</v>
      </c>
    </row>
    <row r="67" spans="1:45">
      <c r="A67" s="19">
        <v>1.1678333329999999</v>
      </c>
      <c r="B67" s="19">
        <v>1313.3903499999999</v>
      </c>
      <c r="C67" s="19">
        <v>-479.07811650000002</v>
      </c>
      <c r="E67" s="9">
        <f t="shared" si="22"/>
        <v>353.3903499999999</v>
      </c>
      <c r="F67" s="9">
        <f t="shared" si="33"/>
        <v>60.921883499999979</v>
      </c>
      <c r="I67">
        <v>1</v>
      </c>
      <c r="J67">
        <f t="shared" si="23"/>
        <v>0.2328076595720866</v>
      </c>
      <c r="K67">
        <f t="shared" si="34"/>
        <v>0.17071463628821454</v>
      </c>
      <c r="O67">
        <f t="shared" si="35"/>
        <v>0.22735664991953086</v>
      </c>
      <c r="P67">
        <f t="shared" si="36"/>
        <v>3.9194605453566969E-2</v>
      </c>
      <c r="Q67">
        <f t="shared" si="37"/>
        <v>0.9730224748898183</v>
      </c>
      <c r="R67">
        <f t="shared" si="43"/>
        <v>1</v>
      </c>
      <c r="AG67" s="8">
        <f t="shared" si="25"/>
        <v>-0.7066772099863422</v>
      </c>
      <c r="AH67" s="8">
        <f t="shared" si="26"/>
        <v>0.25791223925795687</v>
      </c>
      <c r="AI67" s="8">
        <f t="shared" si="27"/>
        <v>0.65885400334737709</v>
      </c>
      <c r="AJ67" s="8"/>
      <c r="AK67" s="8"/>
      <c r="AL67" s="8"/>
      <c r="AN67" s="8">
        <f t="shared" si="38"/>
        <v>1</v>
      </c>
      <c r="AO67" s="8">
        <f t="shared" si="39"/>
        <v>2.7916489445066732</v>
      </c>
      <c r="AP67" s="8">
        <f t="shared" si="40"/>
        <v>0.85150196720756</v>
      </c>
      <c r="AQ67" s="8"/>
      <c r="AR67" s="8">
        <f t="shared" si="41"/>
        <v>159.94970240238334</v>
      </c>
      <c r="AS67" s="8">
        <f t="shared" si="42"/>
        <v>41.212531031919788</v>
      </c>
    </row>
    <row r="68" spans="1:45">
      <c r="A68" s="19">
        <v>1.2012</v>
      </c>
      <c r="B68" s="19">
        <v>1312.6110679999999</v>
      </c>
      <c r="C68" s="19">
        <v>-478.67076900000001</v>
      </c>
      <c r="E68" s="9">
        <f t="shared" si="22"/>
        <v>352.61106799999993</v>
      </c>
      <c r="F68" s="9">
        <f t="shared" si="33"/>
        <v>61.329230999999993</v>
      </c>
      <c r="I68">
        <v>1</v>
      </c>
      <c r="J68">
        <f t="shared" si="23"/>
        <v>0.2323660754267797</v>
      </c>
      <c r="K68">
        <f t="shared" si="34"/>
        <v>0.17220613891637551</v>
      </c>
      <c r="O68">
        <f t="shared" si="35"/>
        <v>0.2268745999650699</v>
      </c>
      <c r="P68">
        <f t="shared" si="36"/>
        <v>3.9460034048875534E-2</v>
      </c>
      <c r="Q68">
        <f t="shared" si="37"/>
        <v>0.97312425804906899</v>
      </c>
      <c r="R68">
        <f t="shared" si="43"/>
        <v>1</v>
      </c>
      <c r="AG68" s="8">
        <f t="shared" si="25"/>
        <v>-0.70635390309535018</v>
      </c>
      <c r="AH68" s="8">
        <f t="shared" si="26"/>
        <v>0.25833092785659284</v>
      </c>
      <c r="AI68" s="8">
        <f t="shared" si="27"/>
        <v>0.65903664184528954</v>
      </c>
      <c r="AJ68" s="8"/>
      <c r="AK68" s="8"/>
      <c r="AL68" s="8"/>
      <c r="AN68" s="8">
        <f t="shared" si="38"/>
        <v>1</v>
      </c>
      <c r="AO68" s="8">
        <f t="shared" si="39"/>
        <v>2.7909786219032955</v>
      </c>
      <c r="AP68" s="8">
        <f t="shared" si="40"/>
        <v>0.85125915848223255</v>
      </c>
      <c r="AQ68" s="8"/>
      <c r="AR68" s="8">
        <f t="shared" si="41"/>
        <v>159.91129574629758</v>
      </c>
      <c r="AS68" s="8">
        <f t="shared" si="42"/>
        <v>41.226442947110002</v>
      </c>
    </row>
    <row r="69" spans="1:45">
      <c r="A69" s="19">
        <v>1.234566667</v>
      </c>
      <c r="B69" s="19">
        <v>1311.9152790000001</v>
      </c>
      <c r="C69" s="19">
        <v>-478.75088060000002</v>
      </c>
      <c r="E69" s="9">
        <f t="shared" si="22"/>
        <v>351.91527900000006</v>
      </c>
      <c r="F69" s="9">
        <f t="shared" si="33"/>
        <v>61.249119399999984</v>
      </c>
      <c r="I69">
        <v>1</v>
      </c>
      <c r="J69">
        <f t="shared" si="23"/>
        <v>0.23192385733870086</v>
      </c>
      <c r="K69">
        <f t="shared" si="34"/>
        <v>0.17231896226925927</v>
      </c>
      <c r="O69">
        <f t="shared" si="35"/>
        <v>0.22644616451414826</v>
      </c>
      <c r="P69">
        <f t="shared" si="36"/>
        <v>3.9411838574929005E-2</v>
      </c>
      <c r="Q69">
        <f t="shared" si="37"/>
        <v>0.97322599716457181</v>
      </c>
      <c r="R69">
        <f t="shared" si="43"/>
        <v>1</v>
      </c>
      <c r="AG69" s="8">
        <f t="shared" si="25"/>
        <v>-0.70624586064853134</v>
      </c>
      <c r="AH69" s="8">
        <f t="shared" si="26"/>
        <v>0.25875742768010057</v>
      </c>
      <c r="AI69" s="8">
        <f t="shared" si="27"/>
        <v>0.65898511207552546</v>
      </c>
      <c r="AJ69" s="8"/>
      <c r="AK69" s="8"/>
      <c r="AL69" s="8"/>
      <c r="AN69" s="8">
        <f t="shared" si="38"/>
        <v>1</v>
      </c>
      <c r="AO69" s="8">
        <f t="shared" si="39"/>
        <v>2.790396744890407</v>
      </c>
      <c r="AP69" s="8">
        <f t="shared" si="40"/>
        <v>0.85132766995801745</v>
      </c>
      <c r="AQ69" s="8"/>
      <c r="AR69" s="8">
        <f t="shared" si="41"/>
        <v>159.87795664926338</v>
      </c>
      <c r="AS69" s="8">
        <f t="shared" si="42"/>
        <v>41.222517528699314</v>
      </c>
    </row>
    <row r="70" spans="1:45">
      <c r="A70" s="19">
        <v>1.267933333</v>
      </c>
      <c r="B70" s="19">
        <v>1311.53782</v>
      </c>
      <c r="C70" s="19">
        <v>-478.74155889999997</v>
      </c>
      <c r="E70" s="9">
        <f t="shared" si="22"/>
        <v>351.53782000000001</v>
      </c>
      <c r="F70" s="9">
        <f t="shared" si="33"/>
        <v>61.258441100000027</v>
      </c>
      <c r="I70">
        <v>1</v>
      </c>
      <c r="J70">
        <f t="shared" si="23"/>
        <v>0.23168965367533298</v>
      </c>
      <c r="K70">
        <f t="shared" si="34"/>
        <v>0.17252607621268243</v>
      </c>
      <c r="O70">
        <f t="shared" si="35"/>
        <v>0.22621344145059494</v>
      </c>
      <c r="P70">
        <f t="shared" si="36"/>
        <v>3.9419607196544526E-2</v>
      </c>
      <c r="Q70">
        <f t="shared" si="37"/>
        <v>0.97327980225398103</v>
      </c>
      <c r="R70">
        <f t="shared" si="43"/>
        <v>1</v>
      </c>
      <c r="AG70" s="8">
        <f t="shared" si="25"/>
        <v>-0.70616567579263501</v>
      </c>
      <c r="AH70" s="8">
        <f t="shared" si="26"/>
        <v>0.25898254871971582</v>
      </c>
      <c r="AI70" s="8">
        <f t="shared" si="27"/>
        <v>0.65898260810963072</v>
      </c>
      <c r="AJ70" s="8"/>
      <c r="AK70" s="8"/>
      <c r="AL70" s="8"/>
      <c r="AN70" s="8">
        <f t="shared" si="38"/>
        <v>1</v>
      </c>
      <c r="AO70" s="8">
        <f t="shared" si="39"/>
        <v>2.7900790386189942</v>
      </c>
      <c r="AP70" s="8">
        <f t="shared" si="40"/>
        <v>0.85133099900452014</v>
      </c>
      <c r="AQ70" s="8"/>
      <c r="AR70" s="8">
        <f t="shared" si="41"/>
        <v>159.8597534207866</v>
      </c>
      <c r="AS70" s="8">
        <f t="shared" si="42"/>
        <v>41.222326788384905</v>
      </c>
    </row>
    <row r="71" spans="1:45">
      <c r="A71" s="19">
        <v>1.3012999999999999</v>
      </c>
      <c r="B71" s="19">
        <v>1310.7879029999999</v>
      </c>
      <c r="C71" s="19">
        <v>-478.71205429999998</v>
      </c>
      <c r="E71" s="9">
        <f t="shared" si="22"/>
        <v>350.78790299999991</v>
      </c>
      <c r="F71" s="9">
        <f t="shared" si="33"/>
        <v>61.287945700000023</v>
      </c>
      <c r="I71">
        <v>1</v>
      </c>
      <c r="J71">
        <f t="shared" si="23"/>
        <v>0.23122550463439029</v>
      </c>
      <c r="K71">
        <f t="shared" si="34"/>
        <v>0.1729692248269758</v>
      </c>
      <c r="O71">
        <f t="shared" si="35"/>
        <v>0.22575092018861539</v>
      </c>
      <c r="P71">
        <f t="shared" si="36"/>
        <v>3.9442095978563158E-2</v>
      </c>
      <c r="Q71">
        <f t="shared" si="37"/>
        <v>0.97338627640768138</v>
      </c>
      <c r="R71">
        <f t="shared" si="43"/>
        <v>1</v>
      </c>
      <c r="AG71" s="8">
        <f t="shared" si="25"/>
        <v>-0.7060017496402069</v>
      </c>
      <c r="AH71" s="8">
        <f t="shared" si="26"/>
        <v>0.25942852694369656</v>
      </c>
      <c r="AI71" s="8">
        <f t="shared" si="27"/>
        <v>0.65898282899692484</v>
      </c>
      <c r="AJ71" s="8"/>
      <c r="AK71" s="8"/>
      <c r="AL71" s="8"/>
      <c r="AN71" s="8">
        <f t="shared" si="38"/>
        <v>1</v>
      </c>
      <c r="AO71" s="8">
        <f t="shared" si="39"/>
        <v>2.7894473218796514</v>
      </c>
      <c r="AP71" s="8">
        <f t="shared" si="40"/>
        <v>0.85133070533314958</v>
      </c>
      <c r="AQ71" s="8"/>
      <c r="AR71" s="8">
        <f t="shared" si="41"/>
        <v>159.82355871777449</v>
      </c>
      <c r="AS71" s="8">
        <f t="shared" si="42"/>
        <v>41.222343614515005</v>
      </c>
    </row>
    <row r="72" spans="1:45">
      <c r="A72" s="19">
        <v>1.334666667</v>
      </c>
      <c r="B72" s="19">
        <v>1310.166667</v>
      </c>
      <c r="C72" s="19">
        <v>-477.08333329999999</v>
      </c>
      <c r="E72" s="9">
        <f t="shared" si="22"/>
        <v>350.16666699999996</v>
      </c>
      <c r="F72" s="9">
        <f t="shared" si="33"/>
        <v>62.916666700000007</v>
      </c>
      <c r="I72">
        <v>1</v>
      </c>
      <c r="J72">
        <f t="shared" si="23"/>
        <v>0.23101826768608896</v>
      </c>
      <c r="K72">
        <f t="shared" si="34"/>
        <v>0.1777794224115235</v>
      </c>
      <c r="O72">
        <f t="shared" si="35"/>
        <v>0.22536003786573217</v>
      </c>
      <c r="P72">
        <f t="shared" si="36"/>
        <v>4.049186780504626E-2</v>
      </c>
      <c r="Q72">
        <f t="shared" si="37"/>
        <v>0.97343374811787498</v>
      </c>
      <c r="R72">
        <f t="shared" si="43"/>
        <v>1</v>
      </c>
      <c r="AG72" s="8">
        <f t="shared" si="25"/>
        <v>-0.70521164294257399</v>
      </c>
      <c r="AH72" s="8">
        <f t="shared" si="26"/>
        <v>0.25960737787487143</v>
      </c>
      <c r="AI72" s="8">
        <f t="shared" si="27"/>
        <v>0.65975794653127851</v>
      </c>
      <c r="AJ72" s="8"/>
      <c r="AK72" s="8"/>
      <c r="AL72" s="8"/>
      <c r="AN72" s="8">
        <f t="shared" si="38"/>
        <v>1</v>
      </c>
      <c r="AO72" s="8">
        <f t="shared" si="39"/>
        <v>2.788861285887148</v>
      </c>
      <c r="AP72" s="8">
        <f t="shared" si="40"/>
        <v>0.85029971461091158</v>
      </c>
      <c r="AQ72" s="8"/>
      <c r="AR72" s="8">
        <f t="shared" si="41"/>
        <v>159.78998132876129</v>
      </c>
      <c r="AS72" s="8">
        <f t="shared" si="42"/>
        <v>41.281415031616383</v>
      </c>
    </row>
    <row r="73" spans="1:45">
      <c r="A73" s="19">
        <v>1.3680333330000001</v>
      </c>
      <c r="B73" s="19">
        <v>1309.378719</v>
      </c>
      <c r="C73" s="19">
        <v>-478.57310189999998</v>
      </c>
      <c r="E73" s="9">
        <f t="shared" si="22"/>
        <v>349.37871900000005</v>
      </c>
      <c r="F73" s="9">
        <f t="shared" si="33"/>
        <v>61.426898100000017</v>
      </c>
      <c r="I73">
        <v>1</v>
      </c>
      <c r="J73">
        <f t="shared" si="23"/>
        <v>0.23036233138778325</v>
      </c>
      <c r="K73">
        <f t="shared" si="34"/>
        <v>0.1740387785600416</v>
      </c>
      <c r="O73">
        <f t="shared" si="35"/>
        <v>0.22488101320489287</v>
      </c>
      <c r="P73">
        <f t="shared" si="36"/>
        <v>3.9538020868299398E-2</v>
      </c>
      <c r="Q73">
        <f t="shared" si="37"/>
        <v>0.97358372768127077</v>
      </c>
      <c r="R73">
        <f t="shared" si="43"/>
        <v>1</v>
      </c>
      <c r="AG73" s="8">
        <f t="shared" si="25"/>
        <v>-0.70565915921409861</v>
      </c>
      <c r="AH73" s="8">
        <f t="shared" si="26"/>
        <v>0.26025673491122575</v>
      </c>
      <c r="AI73" s="8">
        <f t="shared" si="27"/>
        <v>0.65902320365113065</v>
      </c>
      <c r="AJ73" s="8"/>
      <c r="AK73" s="8"/>
      <c r="AL73" s="8"/>
      <c r="AN73" s="8">
        <f t="shared" si="38"/>
        <v>1.0000000000000002</v>
      </c>
      <c r="AO73" s="8">
        <f t="shared" si="39"/>
        <v>2.7882566266797997</v>
      </c>
      <c r="AP73" s="8">
        <f t="shared" si="40"/>
        <v>0.85127702564805563</v>
      </c>
      <c r="AQ73" s="8"/>
      <c r="AR73" s="8">
        <f t="shared" si="41"/>
        <v>159.75533690813648</v>
      </c>
      <c r="AS73" s="8">
        <f t="shared" si="42"/>
        <v>41.225419233916476</v>
      </c>
    </row>
    <row r="74" spans="1:45">
      <c r="A74" s="19">
        <v>1.4014</v>
      </c>
      <c r="B74" s="19">
        <v>1308.8574860000001</v>
      </c>
      <c r="C74" s="19">
        <v>-478.31400500000001</v>
      </c>
      <c r="E74" s="9">
        <f t="shared" si="22"/>
        <v>348.85748600000011</v>
      </c>
      <c r="F74" s="9">
        <f t="shared" si="33"/>
        <v>61.685994999999991</v>
      </c>
      <c r="I74">
        <v>1</v>
      </c>
      <c r="J74">
        <f t="shared" si="23"/>
        <v>0.2300658990265266</v>
      </c>
      <c r="K74">
        <f t="shared" si="34"/>
        <v>0.17501385720633506</v>
      </c>
      <c r="O74">
        <f t="shared" si="35"/>
        <v>0.22455815067085397</v>
      </c>
      <c r="P74">
        <f t="shared" si="36"/>
        <v>3.9707025118823271E-2</v>
      </c>
      <c r="Q74">
        <f t="shared" si="37"/>
        <v>0.97365136939435315</v>
      </c>
      <c r="R74">
        <f t="shared" si="43"/>
        <v>1</v>
      </c>
      <c r="AG74" s="8">
        <f t="shared" si="25"/>
        <v>-0.70544759214317787</v>
      </c>
      <c r="AH74" s="8">
        <f t="shared" si="26"/>
        <v>0.26053842301488717</v>
      </c>
      <c r="AI74" s="8">
        <f t="shared" si="27"/>
        <v>0.65913839584135003</v>
      </c>
      <c r="AJ74" s="8"/>
      <c r="AK74" s="8"/>
      <c r="AL74" s="8"/>
      <c r="AN74" s="8">
        <f t="shared" si="38"/>
        <v>1</v>
      </c>
      <c r="AO74" s="8">
        <f t="shared" si="39"/>
        <v>2.7878078431786468</v>
      </c>
      <c r="AP74" s="8">
        <f t="shared" si="40"/>
        <v>0.85112385923633971</v>
      </c>
      <c r="AQ74" s="8"/>
      <c r="AR74" s="8">
        <f t="shared" si="41"/>
        <v>159.72962350760534</v>
      </c>
      <c r="AS74" s="8">
        <f t="shared" si="42"/>
        <v>41.234195022870963</v>
      </c>
    </row>
    <row r="75" spans="1:45">
      <c r="A75" s="19">
        <v>1.4347666670000001</v>
      </c>
      <c r="B75" s="19">
        <v>1308.333077</v>
      </c>
      <c r="C75" s="19">
        <v>-478.15108809999998</v>
      </c>
      <c r="E75" s="9">
        <f t="shared" si="22"/>
        <v>348.333077</v>
      </c>
      <c r="F75" s="9">
        <f t="shared" si="33"/>
        <v>61.848911900000019</v>
      </c>
      <c r="I75">
        <v>1</v>
      </c>
      <c r="J75">
        <f t="shared" si="23"/>
        <v>0.22975701064419352</v>
      </c>
      <c r="K75">
        <f t="shared" si="34"/>
        <v>0.17572542461006785</v>
      </c>
      <c r="O75">
        <f t="shared" si="35"/>
        <v>0.22423371084580052</v>
      </c>
      <c r="P75">
        <f t="shared" si="36"/>
        <v>3.9814223634903313E-2</v>
      </c>
      <c r="Q75">
        <f t="shared" si="37"/>
        <v>0.97372176237191688</v>
      </c>
      <c r="R75">
        <f t="shared" si="43"/>
        <v>1</v>
      </c>
      <c r="AG75" s="8">
        <f t="shared" si="25"/>
        <v>-0.70527447833178714</v>
      </c>
      <c r="AH75" s="8">
        <f t="shared" si="26"/>
        <v>0.26083344434019851</v>
      </c>
      <c r="AI75" s="8">
        <f t="shared" si="27"/>
        <v>0.65920696638267873</v>
      </c>
      <c r="AJ75" s="8"/>
      <c r="AK75" s="8"/>
      <c r="AL75" s="8"/>
      <c r="AN75" s="8">
        <f t="shared" si="38"/>
        <v>1</v>
      </c>
      <c r="AO75" s="8">
        <f t="shared" si="39"/>
        <v>2.787360046972859</v>
      </c>
      <c r="AP75" s="8">
        <f t="shared" si="40"/>
        <v>0.85103267398799298</v>
      </c>
      <c r="AQ75" s="8"/>
      <c r="AR75" s="8">
        <f t="shared" si="41"/>
        <v>159.70396667493171</v>
      </c>
      <c r="AS75" s="8">
        <f t="shared" si="42"/>
        <v>41.239419552755088</v>
      </c>
    </row>
    <row r="76" spans="1:45">
      <c r="A76" s="19">
        <v>1.4681333329999999</v>
      </c>
      <c r="B76" s="19">
        <v>1307.631216</v>
      </c>
      <c r="C76" s="19">
        <v>-478.0751636</v>
      </c>
      <c r="E76" s="9">
        <f t="shared" si="22"/>
        <v>347.63121599999999</v>
      </c>
      <c r="F76" s="9">
        <f t="shared" si="33"/>
        <v>61.924836400000004</v>
      </c>
      <c r="I76">
        <v>1</v>
      </c>
      <c r="J76">
        <f t="shared" si="23"/>
        <v>0.22932791453536741</v>
      </c>
      <c r="K76">
        <f t="shared" si="34"/>
        <v>0.17628462685301752</v>
      </c>
      <c r="O76">
        <f t="shared" si="35"/>
        <v>0.22380004608774756</v>
      </c>
      <c r="P76">
        <f t="shared" si="36"/>
        <v>3.9866331337448789E-2</v>
      </c>
      <c r="Q76">
        <f t="shared" si="37"/>
        <v>0.97381939547167307</v>
      </c>
      <c r="R76">
        <f t="shared" si="43"/>
        <v>1</v>
      </c>
      <c r="AG76" s="8">
        <f t="shared" si="25"/>
        <v>-0.70510058147861521</v>
      </c>
      <c r="AH76" s="8">
        <f t="shared" si="26"/>
        <v>0.26124520232525639</v>
      </c>
      <c r="AI76" s="8">
        <f t="shared" si="27"/>
        <v>0.65922994035507421</v>
      </c>
      <c r="AJ76" s="8"/>
      <c r="AK76" s="8"/>
      <c r="AL76" s="8"/>
      <c r="AN76" s="8">
        <f t="shared" si="38"/>
        <v>1.0000000000000002</v>
      </c>
      <c r="AO76" s="8">
        <f t="shared" si="39"/>
        <v>2.7867662335544896</v>
      </c>
      <c r="AP76" s="8">
        <f t="shared" si="40"/>
        <v>0.85100212152156496</v>
      </c>
      <c r="AQ76" s="8"/>
      <c r="AR76" s="8">
        <f t="shared" si="41"/>
        <v>159.66994367224092</v>
      </c>
      <c r="AS76" s="8">
        <f t="shared" si="42"/>
        <v>41.241170080135127</v>
      </c>
    </row>
    <row r="77" spans="1:45">
      <c r="A77" s="19">
        <v>1.5015000000000001</v>
      </c>
      <c r="B77" s="19">
        <v>1307.1721070000001</v>
      </c>
      <c r="C77" s="19">
        <v>-477.96994469999999</v>
      </c>
      <c r="E77" s="9">
        <f t="shared" si="22"/>
        <v>347.1721070000001</v>
      </c>
      <c r="F77" s="9">
        <f t="shared" si="33"/>
        <v>62.030055300000015</v>
      </c>
      <c r="I77">
        <v>1</v>
      </c>
      <c r="J77">
        <f t="shared" si="23"/>
        <v>0.22905341059233281</v>
      </c>
      <c r="K77">
        <f t="shared" si="34"/>
        <v>0.17680665453499272</v>
      </c>
      <c r="O77">
        <f t="shared" si="35"/>
        <v>0.22351604594914748</v>
      </c>
      <c r="P77">
        <f t="shared" si="36"/>
        <v>3.9936136605188043E-2</v>
      </c>
      <c r="Q77">
        <f t="shared" si="37"/>
        <v>0.97388175986426107</v>
      </c>
      <c r="R77">
        <f t="shared" si="43"/>
        <v>1</v>
      </c>
      <c r="AG77" s="8">
        <f t="shared" si="25"/>
        <v>-0.70496407900168512</v>
      </c>
      <c r="AH77" s="8">
        <f t="shared" si="26"/>
        <v>0.26150795186512332</v>
      </c>
      <c r="AI77" s="8">
        <f t="shared" si="27"/>
        <v>0.65927174854426629</v>
      </c>
      <c r="AJ77" s="8"/>
      <c r="AK77" s="8"/>
      <c r="AL77" s="8"/>
      <c r="AN77" s="8">
        <f t="shared" si="38"/>
        <v>1</v>
      </c>
      <c r="AO77" s="8">
        <f t="shared" si="39"/>
        <v>2.7863754835740107</v>
      </c>
      <c r="AP77" s="8">
        <f t="shared" si="40"/>
        <v>0.85094651983822056</v>
      </c>
      <c r="AQ77" s="8"/>
      <c r="AR77" s="8">
        <f t="shared" si="41"/>
        <v>159.64755534751464</v>
      </c>
      <c r="AS77" s="8">
        <f t="shared" si="42"/>
        <v>41.244355821924579</v>
      </c>
    </row>
    <row r="78" spans="1:45">
      <c r="A78" s="19">
        <v>1.534866667</v>
      </c>
      <c r="B78" s="19">
        <v>1306.3882020000001</v>
      </c>
      <c r="C78" s="19">
        <v>-477.60664170000001</v>
      </c>
      <c r="E78" s="9">
        <f t="shared" si="22"/>
        <v>346.38820200000009</v>
      </c>
      <c r="F78" s="9">
        <f t="shared" si="33"/>
        <v>62.393358299999989</v>
      </c>
      <c r="I78">
        <v>1</v>
      </c>
      <c r="J78">
        <f t="shared" si="23"/>
        <v>0.22860536820332272</v>
      </c>
      <c r="K78">
        <f t="shared" si="34"/>
        <v>0.17821452556015971</v>
      </c>
      <c r="O78">
        <f t="shared" si="35"/>
        <v>0.22303014765278625</v>
      </c>
      <c r="P78">
        <f t="shared" si="36"/>
        <v>4.0173423441835908E-2</v>
      </c>
      <c r="Q78">
        <f t="shared" si="37"/>
        <v>0.97398339271618961</v>
      </c>
      <c r="R78">
        <f t="shared" si="43"/>
        <v>1</v>
      </c>
      <c r="AG78" s="8">
        <f t="shared" si="25"/>
        <v>-0.70465590394440925</v>
      </c>
      <c r="AH78" s="8">
        <f t="shared" si="26"/>
        <v>0.26193474974737269</v>
      </c>
      <c r="AI78" s="8">
        <f t="shared" si="27"/>
        <v>0.65943175834279377</v>
      </c>
      <c r="AJ78" s="8"/>
      <c r="AK78" s="8"/>
      <c r="AL78" s="8"/>
      <c r="AN78" s="8">
        <f t="shared" si="38"/>
        <v>1</v>
      </c>
      <c r="AO78" s="8">
        <f t="shared" si="39"/>
        <v>2.7857006248554672</v>
      </c>
      <c r="AP78" s="8">
        <f t="shared" si="40"/>
        <v>0.85073369403903454</v>
      </c>
      <c r="AQ78" s="8"/>
      <c r="AR78" s="8">
        <f t="shared" si="41"/>
        <v>159.60888879117451</v>
      </c>
      <c r="AS78" s="8">
        <f t="shared" si="42"/>
        <v>41.25654984198944</v>
      </c>
    </row>
    <row r="79" spans="1:45">
      <c r="A79" s="19">
        <v>1.568233333</v>
      </c>
      <c r="B79" s="19">
        <v>1305.997738</v>
      </c>
      <c r="C79" s="19">
        <v>-477.32281260000002</v>
      </c>
      <c r="E79" s="9">
        <f t="shared" si="22"/>
        <v>345.99773800000003</v>
      </c>
      <c r="F79" s="9">
        <f t="shared" si="33"/>
        <v>62.67718739999998</v>
      </c>
      <c r="I79">
        <v>1</v>
      </c>
      <c r="J79">
        <f t="shared" si="23"/>
        <v>0.22839393731423854</v>
      </c>
      <c r="K79">
        <f t="shared" si="34"/>
        <v>0.17920577635730159</v>
      </c>
      <c r="O79">
        <f t="shared" si="35"/>
        <v>0.22278757884565495</v>
      </c>
      <c r="P79">
        <f t="shared" si="36"/>
        <v>4.0357774910370618E-2</v>
      </c>
      <c r="Q79">
        <f t="shared" si="37"/>
        <v>0.97403128528624527</v>
      </c>
      <c r="R79">
        <f t="shared" si="43"/>
        <v>1</v>
      </c>
      <c r="AG79" s="8">
        <f t="shared" si="25"/>
        <v>-0.70446032355480392</v>
      </c>
      <c r="AH79" s="8">
        <f t="shared" si="26"/>
        <v>0.26213509379125377</v>
      </c>
      <c r="AI79" s="8">
        <f t="shared" si="27"/>
        <v>0.65956110038427196</v>
      </c>
      <c r="AJ79" s="8"/>
      <c r="AK79" s="8"/>
      <c r="AL79" s="8"/>
      <c r="AN79" s="8">
        <f t="shared" si="38"/>
        <v>1</v>
      </c>
      <c r="AO79" s="8">
        <f t="shared" si="39"/>
        <v>2.7853601275585769</v>
      </c>
      <c r="AP79" s="8">
        <f t="shared" si="40"/>
        <v>0.8505616297609121</v>
      </c>
      <c r="AQ79" s="8"/>
      <c r="AR79" s="8">
        <f t="shared" si="41"/>
        <v>159.58937973312706</v>
      </c>
      <c r="AS79" s="8">
        <f t="shared" si="42"/>
        <v>41.266408398930821</v>
      </c>
    </row>
    <row r="80" spans="1:45">
      <c r="A80" s="19">
        <v>1.6015999999999999</v>
      </c>
      <c r="B80" s="19">
        <v>1305.396209</v>
      </c>
      <c r="C80" s="19">
        <v>-477.1555219</v>
      </c>
      <c r="E80" s="9">
        <f t="shared" si="22"/>
        <v>345.396209</v>
      </c>
      <c r="F80" s="9">
        <f t="shared" si="33"/>
        <v>62.844478100000003</v>
      </c>
      <c r="I80">
        <v>1</v>
      </c>
      <c r="J80">
        <f t="shared" si="23"/>
        <v>0.22803793024095084</v>
      </c>
      <c r="K80">
        <f t="shared" si="34"/>
        <v>0.17998008198755583</v>
      </c>
      <c r="O80">
        <f t="shared" si="35"/>
        <v>0.22241508783163103</v>
      </c>
      <c r="P80">
        <f t="shared" si="36"/>
        <v>4.046819204186608E-2</v>
      </c>
      <c r="Q80">
        <f t="shared" si="37"/>
        <v>0.9741118283532495</v>
      </c>
      <c r="R80">
        <f t="shared" si="43"/>
        <v>1</v>
      </c>
      <c r="AG80" s="8">
        <f t="shared" si="25"/>
        <v>-0.70426906149132096</v>
      </c>
      <c r="AH80" s="8">
        <f t="shared" si="26"/>
        <v>0.26247586352430463</v>
      </c>
      <c r="AI80" s="8">
        <f t="shared" si="27"/>
        <v>0.65962982808034432</v>
      </c>
      <c r="AJ80" s="8"/>
      <c r="AK80" s="8"/>
      <c r="AL80" s="8"/>
      <c r="AN80" s="8">
        <f t="shared" si="38"/>
        <v>1</v>
      </c>
      <c r="AO80" s="8">
        <f t="shared" si="39"/>
        <v>2.7848464474467636</v>
      </c>
      <c r="AP80" s="8">
        <f t="shared" si="40"/>
        <v>0.85047019043890271</v>
      </c>
      <c r="AQ80" s="8"/>
      <c r="AR80" s="8">
        <f t="shared" si="41"/>
        <v>159.55994803070035</v>
      </c>
      <c r="AS80" s="8">
        <f t="shared" si="42"/>
        <v>41.271647486163495</v>
      </c>
    </row>
    <row r="81" spans="1:45">
      <c r="A81" s="19">
        <v>1.634966667</v>
      </c>
      <c r="B81" s="19">
        <v>1305.1335690000001</v>
      </c>
      <c r="C81" s="19">
        <v>-477.13315130000001</v>
      </c>
      <c r="E81" s="9">
        <f t="shared" si="22"/>
        <v>345.13356900000008</v>
      </c>
      <c r="F81" s="9">
        <f t="shared" si="33"/>
        <v>62.866848699999991</v>
      </c>
      <c r="I81">
        <v>1</v>
      </c>
      <c r="J81">
        <f t="shared" si="23"/>
        <v>0.22787675985653705</v>
      </c>
      <c r="K81">
        <f t="shared" si="34"/>
        <v>0.18017683789351527</v>
      </c>
      <c r="O81">
        <f t="shared" si="35"/>
        <v>0.22225266178535788</v>
      </c>
      <c r="P81">
        <f t="shared" si="36"/>
        <v>4.0483817619121135E-2</v>
      </c>
      <c r="Q81">
        <f t="shared" si="37"/>
        <v>0.97414825095583113</v>
      </c>
      <c r="R81">
        <f t="shared" si="43"/>
        <v>1</v>
      </c>
      <c r="AG81" s="8">
        <f t="shared" si="25"/>
        <v>-0.7042061935398144</v>
      </c>
      <c r="AH81" s="8">
        <f t="shared" si="26"/>
        <v>0.2626306873409513</v>
      </c>
      <c r="AI81" s="8">
        <f t="shared" si="27"/>
        <v>0.65963532277083592</v>
      </c>
      <c r="AJ81" s="8"/>
      <c r="AK81" s="8"/>
      <c r="AL81" s="8"/>
      <c r="AN81" s="8">
        <f t="shared" si="38"/>
        <v>1</v>
      </c>
      <c r="AO81" s="8">
        <f t="shared" si="39"/>
        <v>2.78462420933662</v>
      </c>
      <c r="AP81" s="8">
        <f t="shared" si="40"/>
        <v>0.85046287966648482</v>
      </c>
      <c r="AQ81" s="8"/>
      <c r="AR81" s="8">
        <f t="shared" si="41"/>
        <v>159.54721472494217</v>
      </c>
      <c r="AS81" s="8">
        <f t="shared" si="42"/>
        <v>41.272066362568026</v>
      </c>
    </row>
    <row r="82" spans="1:45">
      <c r="A82" s="19">
        <v>1.6683333330000001</v>
      </c>
      <c r="B82" s="19">
        <v>1304.2561229999999</v>
      </c>
      <c r="C82" s="19">
        <v>-477.0318742</v>
      </c>
      <c r="E82" s="9">
        <f t="shared" si="22"/>
        <v>344.25612299999989</v>
      </c>
      <c r="F82" s="9">
        <f t="shared" si="33"/>
        <v>62.968125799999996</v>
      </c>
      <c r="I82">
        <v>1</v>
      </c>
      <c r="J82">
        <f t="shared" si="23"/>
        <v>0.2273413199379396</v>
      </c>
      <c r="K82">
        <f t="shared" si="34"/>
        <v>0.18091084627434934</v>
      </c>
      <c r="O82">
        <f t="shared" si="35"/>
        <v>0.22170976912866255</v>
      </c>
      <c r="P82">
        <f t="shared" si="36"/>
        <v>4.0553087369727285E-2</v>
      </c>
      <c r="Q82">
        <f t="shared" si="37"/>
        <v>0.97426907237051219</v>
      </c>
      <c r="R82">
        <f t="shared" si="43"/>
        <v>1</v>
      </c>
      <c r="AG82" s="8">
        <f t="shared" si="25"/>
        <v>-0.70398515320602073</v>
      </c>
      <c r="AH82" s="8">
        <f t="shared" si="26"/>
        <v>0.2631447940503997</v>
      </c>
      <c r="AI82" s="8">
        <f t="shared" si="27"/>
        <v>0.65966637130421324</v>
      </c>
      <c r="AJ82" s="8"/>
      <c r="AK82" s="8"/>
      <c r="AL82" s="8"/>
      <c r="AN82" s="8">
        <f t="shared" si="38"/>
        <v>0.99999999999999978</v>
      </c>
      <c r="AO82" s="8">
        <f t="shared" si="39"/>
        <v>2.7838805054494768</v>
      </c>
      <c r="AP82" s="8">
        <f t="shared" si="40"/>
        <v>0.8504215682213444</v>
      </c>
      <c r="AQ82" s="8"/>
      <c r="AR82" s="8">
        <f t="shared" si="41"/>
        <v>159.5046036310014</v>
      </c>
      <c r="AS82" s="8">
        <f t="shared" si="42"/>
        <v>41.274433334020152</v>
      </c>
    </row>
    <row r="83" spans="1:45">
      <c r="A83" s="19">
        <v>1.7017</v>
      </c>
      <c r="B83" s="19">
        <v>1303.336399</v>
      </c>
      <c r="C83" s="19">
        <v>-476.94744320000001</v>
      </c>
      <c r="E83" s="9">
        <f t="shared" si="22"/>
        <v>343.33639900000003</v>
      </c>
      <c r="F83" s="9">
        <f t="shared" si="33"/>
        <v>63.052556799999991</v>
      </c>
      <c r="I83">
        <v>1</v>
      </c>
      <c r="J83">
        <f t="shared" si="23"/>
        <v>0.22677759338039602</v>
      </c>
      <c r="K83">
        <f t="shared" si="34"/>
        <v>0.1816228217814139</v>
      </c>
      <c r="O83">
        <f t="shared" si="35"/>
        <v>0.22114061725470335</v>
      </c>
      <c r="P83">
        <f t="shared" si="36"/>
        <v>4.0611718917222171E-2</v>
      </c>
      <c r="Q83">
        <f t="shared" si="37"/>
        <v>0.97439597478991946</v>
      </c>
      <c r="R83">
        <f t="shared" si="43"/>
        <v>1</v>
      </c>
      <c r="AG83" s="8">
        <f t="shared" si="25"/>
        <v>-0.70376204627864924</v>
      </c>
      <c r="AH83" s="8">
        <f t="shared" si="26"/>
        <v>0.26368629434814772</v>
      </c>
      <c r="AI83" s="8">
        <f t="shared" si="27"/>
        <v>0.65968819937196876</v>
      </c>
      <c r="AJ83" s="8"/>
      <c r="AK83" s="8"/>
      <c r="AL83" s="8"/>
      <c r="AN83" s="8">
        <f t="shared" si="38"/>
        <v>1</v>
      </c>
      <c r="AO83" s="8">
        <f t="shared" si="39"/>
        <v>2.7831016501288706</v>
      </c>
      <c r="AP83" s="8">
        <f t="shared" si="40"/>
        <v>0.85039252411623856</v>
      </c>
      <c r="AQ83" s="8"/>
      <c r="AR83" s="8">
        <f t="shared" si="41"/>
        <v>159.45997850827933</v>
      </c>
      <c r="AS83" s="8">
        <f t="shared" si="42"/>
        <v>41.276097438662454</v>
      </c>
    </row>
    <row r="84" spans="1:45">
      <c r="A84" s="19">
        <v>1.7350666669999999</v>
      </c>
      <c r="B84" s="19">
        <v>1302.826622</v>
      </c>
      <c r="C84" s="19">
        <v>-476.82805489999998</v>
      </c>
      <c r="E84" s="9">
        <f t="shared" si="22"/>
        <v>342.82662200000004</v>
      </c>
      <c r="F84" s="9">
        <f t="shared" si="33"/>
        <v>63.171945100000016</v>
      </c>
      <c r="I84">
        <v>1</v>
      </c>
      <c r="J84">
        <f t="shared" si="23"/>
        <v>0.22647346205974533</v>
      </c>
      <c r="K84">
        <f t="shared" si="34"/>
        <v>0.18222381018714012</v>
      </c>
      <c r="O84">
        <f t="shared" si="35"/>
        <v>0.22082472212493112</v>
      </c>
      <c r="P84">
        <f t="shared" si="36"/>
        <v>4.0690910004062948E-2</v>
      </c>
      <c r="Q84">
        <f t="shared" si="37"/>
        <v>0.97446431024511526</v>
      </c>
      <c r="R84">
        <f t="shared" si="43"/>
        <v>1</v>
      </c>
      <c r="AG84" s="8">
        <f t="shared" si="25"/>
        <v>-0.70360861580292866</v>
      </c>
      <c r="AH84" s="8">
        <f t="shared" si="26"/>
        <v>0.26397779606503236</v>
      </c>
      <c r="AI84" s="8">
        <f t="shared" si="27"/>
        <v>0.65973527945118626</v>
      </c>
      <c r="AJ84" s="8"/>
      <c r="AK84" s="8"/>
      <c r="AL84" s="8"/>
      <c r="AN84" s="8">
        <f t="shared" si="38"/>
        <v>1</v>
      </c>
      <c r="AO84" s="8">
        <f t="shared" si="39"/>
        <v>2.7826667813593033</v>
      </c>
      <c r="AP84" s="8">
        <f t="shared" si="40"/>
        <v>0.85032987753597733</v>
      </c>
      <c r="AQ84" s="8"/>
      <c r="AR84" s="8">
        <f t="shared" si="41"/>
        <v>159.4350623631411</v>
      </c>
      <c r="AS84" s="8">
        <f t="shared" si="42"/>
        <v>41.279686823312346</v>
      </c>
    </row>
    <row r="85" spans="1:45">
      <c r="A85" s="19">
        <v>1.7684333329999999</v>
      </c>
      <c r="B85" s="19">
        <v>1302.15554</v>
      </c>
      <c r="C85" s="19">
        <v>-476.9140428</v>
      </c>
      <c r="E85" s="9">
        <f t="shared" si="22"/>
        <v>342.15553999999997</v>
      </c>
      <c r="F85" s="9">
        <f t="shared" si="33"/>
        <v>63.085957199999996</v>
      </c>
      <c r="I85">
        <v>1</v>
      </c>
      <c r="J85">
        <f t="shared" si="23"/>
        <v>0.22604515272620435</v>
      </c>
      <c r="K85">
        <f t="shared" si="34"/>
        <v>0.18233029147484492</v>
      </c>
      <c r="O85">
        <f t="shared" si="35"/>
        <v>0.22040991408272706</v>
      </c>
      <c r="P85">
        <f t="shared" si="36"/>
        <v>4.0638741100841431E-2</v>
      </c>
      <c r="Q85">
        <f t="shared" si="37"/>
        <v>0.97456039448347354</v>
      </c>
      <c r="R85">
        <f t="shared" si="43"/>
        <v>1</v>
      </c>
      <c r="AG85" s="8">
        <f t="shared" si="25"/>
        <v>-0.7035057964533511</v>
      </c>
      <c r="AH85" s="8">
        <f t="shared" si="26"/>
        <v>0.26439053442255844</v>
      </c>
      <c r="AI85" s="8">
        <f t="shared" si="27"/>
        <v>0.659679649272501</v>
      </c>
      <c r="AJ85" s="8"/>
      <c r="AK85" s="8"/>
      <c r="AL85" s="8"/>
      <c r="AN85" s="8">
        <f t="shared" si="38"/>
        <v>0.99999999999999978</v>
      </c>
      <c r="AO85" s="8">
        <f t="shared" si="39"/>
        <v>2.7821045360610852</v>
      </c>
      <c r="AP85" s="8">
        <f t="shared" si="40"/>
        <v>0.85040390084073447</v>
      </c>
      <c r="AQ85" s="8"/>
      <c r="AR85" s="8">
        <f t="shared" si="41"/>
        <v>159.40284808050214</v>
      </c>
      <c r="AS85" s="8">
        <f t="shared" si="42"/>
        <v>41.275445600364158</v>
      </c>
    </row>
    <row r="86" spans="1:45">
      <c r="A86" s="19">
        <v>1.8018000000000001</v>
      </c>
      <c r="B86" s="19">
        <v>1301.319262</v>
      </c>
      <c r="C86" s="19">
        <v>-476.8420236</v>
      </c>
      <c r="E86" s="9">
        <f t="shared" si="22"/>
        <v>341.31926199999998</v>
      </c>
      <c r="F86" s="9">
        <f t="shared" si="33"/>
        <v>63.157976399999995</v>
      </c>
      <c r="I86">
        <v>1</v>
      </c>
      <c r="J86">
        <f t="shared" si="23"/>
        <v>0.22553195378427715</v>
      </c>
      <c r="K86">
        <f t="shared" si="34"/>
        <v>0.18297117924486728</v>
      </c>
      <c r="O86">
        <f t="shared" si="35"/>
        <v>0.21989200026589878</v>
      </c>
      <c r="P86">
        <f t="shared" si="36"/>
        <v>4.0688983334736112E-2</v>
      </c>
      <c r="Q86">
        <f t="shared" si="37"/>
        <v>0.97467528687981386</v>
      </c>
      <c r="R86">
        <f t="shared" si="43"/>
        <v>1</v>
      </c>
      <c r="AG86" s="8">
        <f t="shared" si="25"/>
        <v>-0.70330428421045399</v>
      </c>
      <c r="AH86" s="8">
        <f t="shared" si="26"/>
        <v>0.26488354550579229</v>
      </c>
      <c r="AI86" s="8">
        <f t="shared" si="27"/>
        <v>0.65969674179239479</v>
      </c>
      <c r="AJ86" s="8"/>
      <c r="AK86" s="8"/>
      <c r="AL86" s="8"/>
      <c r="AN86" s="8">
        <f t="shared" si="38"/>
        <v>0.99999999999999978</v>
      </c>
      <c r="AO86" s="8">
        <f t="shared" si="39"/>
        <v>2.7813961331181285</v>
      </c>
      <c r="AP86" s="8">
        <f t="shared" si="40"/>
        <v>0.85038115749598209</v>
      </c>
      <c r="AQ86" s="8"/>
      <c r="AR86" s="8">
        <f t="shared" si="41"/>
        <v>159.36225958167606</v>
      </c>
      <c r="AS86" s="8">
        <f t="shared" si="42"/>
        <v>41.276748698030474</v>
      </c>
    </row>
    <row r="87" spans="1:45">
      <c r="A87" s="19">
        <v>1.835166667</v>
      </c>
      <c r="B87" s="19">
        <v>1300.59941</v>
      </c>
      <c r="C87" s="19">
        <v>-476.5397734</v>
      </c>
      <c r="E87" s="9">
        <f t="shared" si="22"/>
        <v>340.59941000000003</v>
      </c>
      <c r="F87" s="9">
        <f t="shared" si="33"/>
        <v>63.460226599999999</v>
      </c>
      <c r="I87">
        <v>1</v>
      </c>
      <c r="J87">
        <f t="shared" si="23"/>
        <v>0.22511805101977769</v>
      </c>
      <c r="K87">
        <f t="shared" si="34"/>
        <v>0.1842070573679532</v>
      </c>
      <c r="O87">
        <f t="shared" si="35"/>
        <v>0.21944493126133344</v>
      </c>
      <c r="P87">
        <f t="shared" si="36"/>
        <v>4.0886814994969142E-2</v>
      </c>
      <c r="Q87">
        <f t="shared" si="37"/>
        <v>0.97476776234304952</v>
      </c>
      <c r="R87">
        <f t="shared" si="43"/>
        <v>1</v>
      </c>
      <c r="AG87" s="8">
        <f t="shared" si="25"/>
        <v>-0.70303248596527756</v>
      </c>
      <c r="AH87" s="8">
        <f t="shared" si="26"/>
        <v>0.26527928333449458</v>
      </c>
      <c r="AI87" s="8">
        <f t="shared" si="27"/>
        <v>0.65982742100568903</v>
      </c>
      <c r="AJ87" s="8"/>
      <c r="AK87" s="8"/>
      <c r="AL87" s="8"/>
      <c r="AN87" s="8">
        <f t="shared" si="38"/>
        <v>1</v>
      </c>
      <c r="AO87" s="8">
        <f t="shared" si="39"/>
        <v>2.7807757854290172</v>
      </c>
      <c r="AP87" s="8">
        <f t="shared" si="40"/>
        <v>0.85020726043689054</v>
      </c>
      <c r="AQ87" s="8"/>
      <c r="AR87" s="8">
        <f t="shared" si="41"/>
        <v>159.32671627725929</v>
      </c>
      <c r="AS87" s="8">
        <f t="shared" si="42"/>
        <v>41.286712265586161</v>
      </c>
    </row>
    <row r="88" spans="1:45">
      <c r="A88" s="19">
        <v>1.868533333</v>
      </c>
      <c r="B88" s="19">
        <v>1300.2275030000001</v>
      </c>
      <c r="C88" s="19">
        <v>-476.279066</v>
      </c>
      <c r="E88" s="9">
        <f t="shared" si="22"/>
        <v>340.22750300000007</v>
      </c>
      <c r="F88" s="9">
        <f t="shared" si="33"/>
        <v>63.720934</v>
      </c>
      <c r="I88">
        <v>1</v>
      </c>
      <c r="J88">
        <f t="shared" si="23"/>
        <v>0.22491651481413491</v>
      </c>
      <c r="K88">
        <f t="shared" si="34"/>
        <v>0.18514429336125993</v>
      </c>
      <c r="O88">
        <f t="shared" si="35"/>
        <v>0.21921341624696003</v>
      </c>
      <c r="P88">
        <f t="shared" si="36"/>
        <v>4.1056303518728361E-2</v>
      </c>
      <c r="Q88">
        <f t="shared" si="37"/>
        <v>0.9748127297479835</v>
      </c>
      <c r="R88">
        <f t="shared" si="43"/>
        <v>1</v>
      </c>
      <c r="AG88" s="8">
        <f t="shared" si="25"/>
        <v>-0.70284925675686416</v>
      </c>
      <c r="AH88" s="8">
        <f t="shared" si="26"/>
        <v>0.26547126121485964</v>
      </c>
      <c r="AI88" s="8">
        <f t="shared" si="27"/>
        <v>0.65994540057895357</v>
      </c>
      <c r="AJ88" s="8"/>
      <c r="AK88" s="8"/>
      <c r="AL88" s="8"/>
      <c r="AN88" s="8">
        <f t="shared" si="38"/>
        <v>1</v>
      </c>
      <c r="AO88" s="8">
        <f t="shared" si="39"/>
        <v>2.7804506173657364</v>
      </c>
      <c r="AP88" s="8">
        <f t="shared" si="40"/>
        <v>0.8500502401937573</v>
      </c>
      <c r="AQ88" s="8"/>
      <c r="AR88" s="8">
        <f t="shared" si="41"/>
        <v>159.30808551960087</v>
      </c>
      <c r="AS88" s="8">
        <f t="shared" si="42"/>
        <v>41.295708862815815</v>
      </c>
    </row>
    <row r="89" spans="1:45">
      <c r="A89" s="19">
        <v>1.9018999999999999</v>
      </c>
      <c r="B89" s="19">
        <v>1299.4102069999999</v>
      </c>
      <c r="C89" s="19">
        <v>-476.08155790000001</v>
      </c>
      <c r="E89" s="9">
        <f t="shared" si="22"/>
        <v>339.4102069999999</v>
      </c>
      <c r="F89" s="9">
        <f t="shared" si="33"/>
        <v>63.918442099999993</v>
      </c>
      <c r="I89">
        <v>1</v>
      </c>
      <c r="J89">
        <f t="shared" si="23"/>
        <v>0.22443003552960461</v>
      </c>
      <c r="K89">
        <f t="shared" si="34"/>
        <v>0.18614200880823961</v>
      </c>
      <c r="O89">
        <f t="shared" si="35"/>
        <v>0.2187062845242097</v>
      </c>
      <c r="P89">
        <f t="shared" si="36"/>
        <v>4.1187226241156692E-2</v>
      </c>
      <c r="Q89">
        <f t="shared" si="37"/>
        <v>0.97492111142603488</v>
      </c>
      <c r="R89">
        <f t="shared" si="43"/>
        <v>1</v>
      </c>
      <c r="AG89" s="8">
        <f t="shared" si="25"/>
        <v>-0.70259979939515438</v>
      </c>
      <c r="AH89" s="8">
        <f t="shared" si="26"/>
        <v>0.2659379512435921</v>
      </c>
      <c r="AI89" s="8">
        <f t="shared" si="27"/>
        <v>0.66002312685105946</v>
      </c>
      <c r="AJ89" s="8"/>
      <c r="AK89" s="8"/>
      <c r="AL89" s="8"/>
      <c r="AN89" s="8">
        <f t="shared" si="38"/>
        <v>1</v>
      </c>
      <c r="AO89" s="8">
        <f t="shared" si="39"/>
        <v>2.7797521375173582</v>
      </c>
      <c r="AP89" s="8">
        <f t="shared" si="40"/>
        <v>0.84994678165379756</v>
      </c>
      <c r="AQ89" s="8"/>
      <c r="AR89" s="8">
        <f t="shared" si="41"/>
        <v>159.26806557221386</v>
      </c>
      <c r="AS89" s="8">
        <f t="shared" si="42"/>
        <v>41.301636600510093</v>
      </c>
    </row>
    <row r="90" spans="1:45">
      <c r="A90" s="19">
        <v>1.9352666670000001</v>
      </c>
      <c r="B90" s="19">
        <v>1298.650834</v>
      </c>
      <c r="C90" s="19">
        <v>-475.85485469999998</v>
      </c>
      <c r="E90" s="9">
        <f t="shared" si="22"/>
        <v>338.65083400000003</v>
      </c>
      <c r="F90" s="9">
        <f t="shared" si="33"/>
        <v>64.145145300000024</v>
      </c>
      <c r="I90">
        <v>1</v>
      </c>
      <c r="J90">
        <f t="shared" si="23"/>
        <v>0.22398324254652319</v>
      </c>
      <c r="K90">
        <f t="shared" si="34"/>
        <v>0.18719612152907841</v>
      </c>
      <c r="O90">
        <f t="shared" si="35"/>
        <v>0.21823474708172153</v>
      </c>
      <c r="P90">
        <f t="shared" si="36"/>
        <v>4.1336675287992293E-2</v>
      </c>
      <c r="Q90">
        <f t="shared" si="37"/>
        <v>0.97502044821752953</v>
      </c>
      <c r="R90">
        <f t="shared" si="43"/>
        <v>1</v>
      </c>
      <c r="AG90" s="8">
        <f t="shared" si="25"/>
        <v>-0.70235014247402139</v>
      </c>
      <c r="AH90" s="8">
        <f t="shared" si="26"/>
        <v>0.26636642058394921</v>
      </c>
      <c r="AI90" s="8">
        <f t="shared" si="27"/>
        <v>0.66011605597199086</v>
      </c>
      <c r="AJ90" s="8"/>
      <c r="AK90" s="8"/>
      <c r="AL90" s="8"/>
      <c r="AN90" s="8">
        <f t="shared" si="38"/>
        <v>1</v>
      </c>
      <c r="AO90" s="8">
        <f t="shared" si="39"/>
        <v>2.7791010114219121</v>
      </c>
      <c r="AP90" s="8">
        <f t="shared" si="40"/>
        <v>0.84982307482484609</v>
      </c>
      <c r="AQ90" s="8"/>
      <c r="AR90" s="8">
        <f t="shared" si="41"/>
        <v>159.23075879501397</v>
      </c>
      <c r="AS90" s="8">
        <f t="shared" si="42"/>
        <v>41.308724479705958</v>
      </c>
    </row>
    <row r="91" spans="1:45">
      <c r="A91" s="19">
        <v>1.9686333330000001</v>
      </c>
      <c r="B91" s="19">
        <v>1298.290344</v>
      </c>
      <c r="C91" s="19">
        <v>-475.9799041</v>
      </c>
      <c r="E91" s="9">
        <f t="shared" si="22"/>
        <v>338.290344</v>
      </c>
      <c r="F91" s="9">
        <f t="shared" si="33"/>
        <v>64.020095900000001</v>
      </c>
      <c r="I91">
        <v>1</v>
      </c>
      <c r="J91">
        <f t="shared" si="23"/>
        <v>0.22374369095127256</v>
      </c>
      <c r="K91">
        <f t="shared" si="34"/>
        <v>0.18703412118732474</v>
      </c>
      <c r="O91">
        <f t="shared" si="35"/>
        <v>0.21801194021964432</v>
      </c>
      <c r="P91">
        <f t="shared" si="36"/>
        <v>4.1257888579304812E-2</v>
      </c>
      <c r="Q91">
        <f t="shared" si="37"/>
        <v>0.97507362827206223</v>
      </c>
      <c r="R91">
        <f t="shared" ref="R91:R154" si="44">SQRT(O91^2+P91^2+Q91^2)</f>
        <v>1</v>
      </c>
      <c r="AG91" s="8">
        <f t="shared" si="25"/>
        <v>-0.70232666939689625</v>
      </c>
      <c r="AH91" s="8">
        <f t="shared" si="26"/>
        <v>0.26659762165805012</v>
      </c>
      <c r="AI91" s="8">
        <f t="shared" si="27"/>
        <v>0.66004769341323666</v>
      </c>
      <c r="AJ91" s="8"/>
      <c r="AK91" s="8"/>
      <c r="AL91" s="8"/>
      <c r="AN91" s="8">
        <f t="shared" si="38"/>
        <v>1</v>
      </c>
      <c r="AO91" s="8">
        <f t="shared" si="39"/>
        <v>2.7788021651250254</v>
      </c>
      <c r="AP91" s="8">
        <f t="shared" si="40"/>
        <v>0.84991408006389124</v>
      </c>
      <c r="AQ91" s="8"/>
      <c r="AR91" s="8">
        <f t="shared" si="41"/>
        <v>159.21363616347924</v>
      </c>
      <c r="AS91" s="8">
        <f t="shared" si="42"/>
        <v>41.303510263595093</v>
      </c>
    </row>
    <row r="92" spans="1:45">
      <c r="A92" s="19">
        <v>2.0019999999999998</v>
      </c>
      <c r="B92" s="19">
        <v>1297.769039</v>
      </c>
      <c r="C92" s="19">
        <v>-475.9028955</v>
      </c>
      <c r="E92" s="9">
        <f t="shared" si="22"/>
        <v>337.76903900000002</v>
      </c>
      <c r="F92" s="9">
        <f t="shared" si="33"/>
        <v>64.0971045</v>
      </c>
      <c r="I92">
        <v>1</v>
      </c>
      <c r="J92">
        <f t="shared" si="23"/>
        <v>0.22342769851739613</v>
      </c>
      <c r="K92">
        <f t="shared" si="34"/>
        <v>0.18753616147105498</v>
      </c>
      <c r="O92">
        <f t="shared" si="35"/>
        <v>0.21768847518456949</v>
      </c>
      <c r="P92">
        <f t="shared" si="36"/>
        <v>4.1309887323186564E-2</v>
      </c>
      <c r="Q92">
        <f t="shared" si="37"/>
        <v>0.97514369247878674</v>
      </c>
      <c r="R92">
        <f t="shared" si="44"/>
        <v>1</v>
      </c>
      <c r="AG92" s="8">
        <f t="shared" si="25"/>
        <v>-0.70218724089289564</v>
      </c>
      <c r="AH92" s="8">
        <f t="shared" si="26"/>
        <v>0.26690117285519888</v>
      </c>
      <c r="AI92" s="8">
        <f t="shared" si="27"/>
        <v>0.66007336157107699</v>
      </c>
      <c r="AJ92" s="8"/>
      <c r="AK92" s="8"/>
      <c r="AL92" s="8"/>
      <c r="AN92" s="8">
        <f t="shared" si="38"/>
        <v>0.99999999999999989</v>
      </c>
      <c r="AO92" s="8">
        <f t="shared" si="39"/>
        <v>2.778358510154697</v>
      </c>
      <c r="AP92" s="8">
        <f t="shared" si="40"/>
        <v>0.84987991108963146</v>
      </c>
      <c r="AQ92" s="8"/>
      <c r="AR92" s="8">
        <f t="shared" si="41"/>
        <v>159.18821660611943</v>
      </c>
      <c r="AS92" s="8">
        <f t="shared" si="42"/>
        <v>41.305468001610471</v>
      </c>
    </row>
    <row r="93" spans="1:45">
      <c r="A93" s="19">
        <v>2.0353666669999999</v>
      </c>
      <c r="B93" s="19">
        <v>1297.314294</v>
      </c>
      <c r="C93" s="19">
        <v>-475.9903822</v>
      </c>
      <c r="E93" s="9">
        <f t="shared" si="22"/>
        <v>337.31429400000002</v>
      </c>
      <c r="F93" s="9">
        <f t="shared" si="33"/>
        <v>64.009617800000001</v>
      </c>
      <c r="I93">
        <v>1</v>
      </c>
      <c r="J93">
        <f t="shared" si="23"/>
        <v>0.22313373719495297</v>
      </c>
      <c r="K93">
        <f t="shared" si="34"/>
        <v>0.18753275185994803</v>
      </c>
      <c r="O93">
        <f t="shared" si="35"/>
        <v>0.21740697795738412</v>
      </c>
      <c r="P93">
        <f t="shared" si="36"/>
        <v>4.1255700732638331E-2</v>
      </c>
      <c r="Q93">
        <f t="shared" si="37"/>
        <v>0.97520878435978853</v>
      </c>
      <c r="R93">
        <f t="shared" si="44"/>
        <v>1</v>
      </c>
      <c r="AG93" s="8">
        <f t="shared" si="25"/>
        <v>-0.70212877090297265</v>
      </c>
      <c r="AH93" s="8">
        <f t="shared" si="26"/>
        <v>0.26718445413375813</v>
      </c>
      <c r="AI93" s="8">
        <f t="shared" si="27"/>
        <v>0.66002095159133145</v>
      </c>
      <c r="AJ93" s="8"/>
      <c r="AK93" s="8"/>
      <c r="AL93" s="8"/>
      <c r="AN93" s="8">
        <f t="shared" si="38"/>
        <v>1</v>
      </c>
      <c r="AO93" s="8">
        <f t="shared" si="39"/>
        <v>2.7779783792602251</v>
      </c>
      <c r="AP93" s="8">
        <f t="shared" si="40"/>
        <v>0.84994967718874015</v>
      </c>
      <c r="AQ93" s="8"/>
      <c r="AR93" s="8">
        <f t="shared" si="41"/>
        <v>159.16643671020364</v>
      </c>
      <c r="AS93" s="8">
        <f t="shared" si="42"/>
        <v>41.301470698578449</v>
      </c>
    </row>
    <row r="94" spans="1:45">
      <c r="A94" s="19">
        <v>2.068733333</v>
      </c>
      <c r="B94" s="19">
        <v>1296.4375279999999</v>
      </c>
      <c r="C94" s="19">
        <v>-475.87906609999999</v>
      </c>
      <c r="E94" s="9">
        <f t="shared" si="22"/>
        <v>336.43752799999993</v>
      </c>
      <c r="F94" s="9">
        <f t="shared" si="33"/>
        <v>64.120933900000011</v>
      </c>
      <c r="I94">
        <v>1</v>
      </c>
      <c r="J94">
        <f t="shared" si="23"/>
        <v>0.22260008396427705</v>
      </c>
      <c r="K94">
        <f t="shared" si="34"/>
        <v>0.18832933585439957</v>
      </c>
      <c r="O94">
        <f t="shared" si="35"/>
        <v>0.21686279303111133</v>
      </c>
      <c r="P94">
        <f t="shared" si="36"/>
        <v>4.1331432019430583E-2</v>
      </c>
      <c r="Q94">
        <f t="shared" si="37"/>
        <v>0.97532673588186258</v>
      </c>
      <c r="R94">
        <f t="shared" si="44"/>
        <v>1</v>
      </c>
      <c r="AG94" s="8">
        <f t="shared" si="25"/>
        <v>-0.70190136871112918</v>
      </c>
      <c r="AH94" s="8">
        <f t="shared" si="26"/>
        <v>0.26769720179695178</v>
      </c>
      <c r="AI94" s="8">
        <f t="shared" si="27"/>
        <v>0.660055055848772</v>
      </c>
      <c r="AJ94" s="8"/>
      <c r="AK94" s="8"/>
      <c r="AL94" s="8"/>
      <c r="AN94" s="8">
        <f t="shared" si="38"/>
        <v>1</v>
      </c>
      <c r="AO94" s="8">
        <f t="shared" si="39"/>
        <v>2.777232789855411</v>
      </c>
      <c r="AP94" s="8">
        <f t="shared" si="40"/>
        <v>0.8499042794315792</v>
      </c>
      <c r="AQ94" s="8"/>
      <c r="AR94" s="8">
        <f t="shared" si="41"/>
        <v>159.12371758405811</v>
      </c>
      <c r="AS94" s="8">
        <f t="shared" si="42"/>
        <v>41.304071798463127</v>
      </c>
    </row>
    <row r="95" spans="1:45">
      <c r="A95" s="19">
        <v>2.1021000000000001</v>
      </c>
      <c r="B95" s="19">
        <v>1295.6163300000001</v>
      </c>
      <c r="C95" s="19">
        <v>-475.47712710000002</v>
      </c>
      <c r="E95" s="9">
        <f t="shared" si="22"/>
        <v>335.61633000000006</v>
      </c>
      <c r="F95" s="9">
        <f t="shared" si="33"/>
        <v>64.522872899999982</v>
      </c>
      <c r="I95">
        <v>1</v>
      </c>
      <c r="J95">
        <f t="shared" si="23"/>
        <v>0.22213588628481293</v>
      </c>
      <c r="K95">
        <f t="shared" si="34"/>
        <v>0.18993447268721875</v>
      </c>
      <c r="O95">
        <f t="shared" si="35"/>
        <v>0.21635154521700703</v>
      </c>
      <c r="P95">
        <f t="shared" si="36"/>
        <v>4.1593992919699521E-2</v>
      </c>
      <c r="Q95">
        <f t="shared" si="37"/>
        <v>0.97542910999990629</v>
      </c>
      <c r="R95">
        <f t="shared" si="44"/>
        <v>1</v>
      </c>
      <c r="AG95" s="8">
        <f t="shared" si="25"/>
        <v>-0.70156638513952296</v>
      </c>
      <c r="AH95" s="8">
        <f t="shared" si="26"/>
        <v>0.26814187933189115</v>
      </c>
      <c r="AI95" s="8">
        <f t="shared" si="27"/>
        <v>0.66023067165243399</v>
      </c>
      <c r="AJ95" s="8"/>
      <c r="AK95" s="8"/>
      <c r="AL95" s="8"/>
      <c r="AN95" s="8">
        <f t="shared" si="38"/>
        <v>1</v>
      </c>
      <c r="AO95" s="8">
        <f t="shared" si="39"/>
        <v>2.7765206560993247</v>
      </c>
      <c r="AP95" s="8">
        <f t="shared" si="40"/>
        <v>0.84967048042014215</v>
      </c>
      <c r="AQ95" s="8"/>
      <c r="AR95" s="8">
        <f t="shared" si="41"/>
        <v>159.08291532538558</v>
      </c>
      <c r="AS95" s="8">
        <f t="shared" si="42"/>
        <v>41.317467495072805</v>
      </c>
    </row>
    <row r="96" spans="1:45">
      <c r="A96" s="19">
        <v>2.1354666670000002</v>
      </c>
      <c r="B96" s="19">
        <v>1295.0791919999999</v>
      </c>
      <c r="C96" s="19">
        <v>-475.17009760000002</v>
      </c>
      <c r="E96" s="9">
        <f t="shared" ref="E96:E159" si="45">(B96-($B$15/2))</f>
        <v>335.07919199999992</v>
      </c>
      <c r="F96" s="9">
        <f t="shared" si="33"/>
        <v>64.82990239999998</v>
      </c>
      <c r="I96">
        <v>1</v>
      </c>
      <c r="J96">
        <f t="shared" ref="J96:J159" si="46">ATAN((SQRT(E96^2+F96^2)^$B$16)/($F$24))</f>
        <v>0.22183783722180558</v>
      </c>
      <c r="K96">
        <f t="shared" si="34"/>
        <v>0.19111503240306885</v>
      </c>
      <c r="O96">
        <f t="shared" si="35"/>
        <v>0.21601684816515285</v>
      </c>
      <c r="P96">
        <f t="shared" si="36"/>
        <v>4.1794153494623676E-2</v>
      </c>
      <c r="Q96">
        <f t="shared" si="37"/>
        <v>0.97549473091476058</v>
      </c>
      <c r="R96">
        <f t="shared" si="44"/>
        <v>1</v>
      </c>
      <c r="AG96" s="8">
        <f t="shared" ref="AG96:AG159" si="47">$O96*$Z$27+$P96*$Z$31+$Q96*$Z$35</f>
        <v>-0.70132906206527457</v>
      </c>
      <c r="AH96" s="8">
        <f t="shared" ref="AH96:AH159" si="48">$O96*$AA$27+$P96*$AA$31+$Q96*$AA$35</f>
        <v>0.2684274522087583</v>
      </c>
      <c r="AI96" s="8">
        <f t="shared" ref="AI96:AI159" si="49">$AB$27*$O96+$P96*$AB$31+$AB$35*$Q96</f>
        <v>0.6603667538598208</v>
      </c>
      <c r="AJ96" s="8"/>
      <c r="AK96" s="8"/>
      <c r="AL96" s="8"/>
      <c r="AN96" s="8">
        <f t="shared" si="38"/>
        <v>1</v>
      </c>
      <c r="AO96" s="8">
        <f t="shared" si="39"/>
        <v>2.7760526029513382</v>
      </c>
      <c r="AP96" s="8">
        <f t="shared" si="40"/>
        <v>0.84948927981845679</v>
      </c>
      <c r="AQ96" s="8"/>
      <c r="AR96" s="8">
        <f t="shared" si="41"/>
        <v>159.05609785541813</v>
      </c>
      <c r="AS96" s="8">
        <f t="shared" si="42"/>
        <v>41.327849524794608</v>
      </c>
    </row>
    <row r="97" spans="1:45">
      <c r="A97" s="19">
        <v>2.1688333329999998</v>
      </c>
      <c r="B97" s="19">
        <v>1294.3916569999999</v>
      </c>
      <c r="C97" s="19">
        <v>-475.13441269999998</v>
      </c>
      <c r="E97" s="9">
        <f t="shared" si="45"/>
        <v>334.3916569999999</v>
      </c>
      <c r="F97" s="9">
        <f t="shared" ref="F97:F160" si="50">(($C$15/2)+C97)</f>
        <v>64.865587300000016</v>
      </c>
      <c r="I97">
        <v>1</v>
      </c>
      <c r="J97">
        <f t="shared" si="46"/>
        <v>0.22141338467285923</v>
      </c>
      <c r="K97">
        <f t="shared" ref="K97:K160" si="51">ATAN2(E97,F97)</f>
        <v>0.19160130054951427</v>
      </c>
      <c r="O97">
        <f t="shared" ref="O97:O160" si="52">COS(K97)*SIN(J97)</f>
        <v>0.21559000569835543</v>
      </c>
      <c r="P97">
        <f t="shared" ref="P97:P160" si="53">SIN(K97)*SIN(J97)</f>
        <v>4.182033864449608E-2</v>
      </c>
      <c r="Q97">
        <f t="shared" ref="Q97:Q160" si="54">COS(J97)</f>
        <v>0.97558803227522362</v>
      </c>
      <c r="R97">
        <f t="shared" si="44"/>
        <v>1</v>
      </c>
      <c r="AG97" s="8">
        <f t="shared" si="47"/>
        <v>-0.70117131592839699</v>
      </c>
      <c r="AH97" s="8">
        <f t="shared" si="48"/>
        <v>0.26883574061910165</v>
      </c>
      <c r="AI97" s="8">
        <f t="shared" si="49"/>
        <v>0.66036817782583923</v>
      </c>
      <c r="AJ97" s="8"/>
      <c r="AK97" s="8"/>
      <c r="AL97" s="8"/>
      <c r="AN97" s="8">
        <f t="shared" ref="AN97:AN160" si="55">AG97^2+AH97^2+AI97^2</f>
        <v>1</v>
      </c>
      <c r="AO97" s="8">
        <f t="shared" ref="AO97:AO160" si="56">IF(ATAN2(AG97,AH97)&gt;=0,ATAN2(AG97,AH97),ATAN2(AG97,AH97)+2*PI())</f>
        <v>2.7754697348757946</v>
      </c>
      <c r="AP97" s="8">
        <f t="shared" ref="AP97:AP160" si="57">ACOS(AI97/AN97)</f>
        <v>0.84948738358032716</v>
      </c>
      <c r="AQ97" s="8"/>
      <c r="AR97" s="8">
        <f t="shared" ref="AR97:AR160" si="58">DEGREES(AO97)</f>
        <v>159.02270197467658</v>
      </c>
      <c r="AS97" s="8">
        <f t="shared" ref="AS97:AS160" si="59">90-DEGREES(AP97)</f>
        <v>41.327958171236389</v>
      </c>
    </row>
    <row r="98" spans="1:45">
      <c r="A98" s="19">
        <v>2.2021999999999999</v>
      </c>
      <c r="B98" s="19">
        <v>1294.02268</v>
      </c>
      <c r="C98" s="19">
        <v>-475.16009659999997</v>
      </c>
      <c r="E98" s="9">
        <f t="shared" si="45"/>
        <v>334.02268000000004</v>
      </c>
      <c r="F98" s="9">
        <f t="shared" si="50"/>
        <v>64.839903400000026</v>
      </c>
      <c r="I98">
        <v>1</v>
      </c>
      <c r="J98">
        <f t="shared" si="46"/>
        <v>0.22118015640131028</v>
      </c>
      <c r="K98">
        <f t="shared" si="51"/>
        <v>0.19173370254530808</v>
      </c>
      <c r="O98">
        <f t="shared" si="52"/>
        <v>0.21536109563800318</v>
      </c>
      <c r="P98">
        <f t="shared" si="53"/>
        <v>4.1805522419274918E-2</v>
      </c>
      <c r="Q98">
        <f t="shared" si="54"/>
        <v>0.97563922470391196</v>
      </c>
      <c r="R98">
        <f t="shared" si="44"/>
        <v>1</v>
      </c>
      <c r="AG98" s="8">
        <f t="shared" si="47"/>
        <v>-0.70110493932225582</v>
      </c>
      <c r="AH98" s="8">
        <f t="shared" si="48"/>
        <v>0.26906022917684058</v>
      </c>
      <c r="AI98" s="8">
        <f t="shared" si="49"/>
        <v>0.66034722467293083</v>
      </c>
      <c r="AJ98" s="8"/>
      <c r="AK98" s="8"/>
      <c r="AL98" s="8"/>
      <c r="AN98" s="8">
        <f t="shared" si="55"/>
        <v>1.0000000000000002</v>
      </c>
      <c r="AO98" s="8">
        <f t="shared" si="56"/>
        <v>2.7751589692538348</v>
      </c>
      <c r="AP98" s="8">
        <f t="shared" si="57"/>
        <v>0.84951528573013491</v>
      </c>
      <c r="AQ98" s="8"/>
      <c r="AR98" s="8">
        <f t="shared" si="58"/>
        <v>159.00489641612052</v>
      </c>
      <c r="AS98" s="8">
        <f t="shared" si="59"/>
        <v>41.326359495813058</v>
      </c>
    </row>
    <row r="99" spans="1:45">
      <c r="A99" s="19">
        <v>2.2355666670000001</v>
      </c>
      <c r="B99" s="19">
        <v>1293.2887920000001</v>
      </c>
      <c r="C99" s="19">
        <v>-475.08997720000002</v>
      </c>
      <c r="E99" s="9">
        <f t="shared" si="45"/>
        <v>333.28879200000006</v>
      </c>
      <c r="F99" s="9">
        <f t="shared" si="50"/>
        <v>64.910022799999979</v>
      </c>
      <c r="I99">
        <v>1</v>
      </c>
      <c r="J99">
        <f t="shared" si="46"/>
        <v>0.22073092613773673</v>
      </c>
      <c r="K99">
        <f t="shared" si="51"/>
        <v>0.19234829402148285</v>
      </c>
      <c r="O99">
        <f t="shared" si="52"/>
        <v>0.21490513613753034</v>
      </c>
      <c r="P99">
        <f t="shared" si="53"/>
        <v>4.1854084569769121E-2</v>
      </c>
      <c r="Q99">
        <f t="shared" si="54"/>
        <v>0.97573767892120278</v>
      </c>
      <c r="R99">
        <f t="shared" si="44"/>
        <v>1</v>
      </c>
      <c r="AG99" s="8">
        <f t="shared" si="47"/>
        <v>-0.70092318454472158</v>
      </c>
      <c r="AH99" s="8">
        <f t="shared" si="48"/>
        <v>0.26949224091636076</v>
      </c>
      <c r="AI99" s="8">
        <f t="shared" si="49"/>
        <v>0.66036400678229312</v>
      </c>
      <c r="AJ99" s="8"/>
      <c r="AK99" s="8"/>
      <c r="AL99" s="8"/>
      <c r="AN99" s="8">
        <f t="shared" si="55"/>
        <v>1</v>
      </c>
      <c r="AO99" s="8">
        <f t="shared" si="56"/>
        <v>2.7745351537412564</v>
      </c>
      <c r="AP99" s="8">
        <f t="shared" si="57"/>
        <v>0.84949293798189851</v>
      </c>
      <c r="AQ99" s="8"/>
      <c r="AR99" s="8">
        <f t="shared" si="58"/>
        <v>158.96915442005499</v>
      </c>
      <c r="AS99" s="8">
        <f t="shared" si="59"/>
        <v>41.327639927468624</v>
      </c>
    </row>
    <row r="100" spans="1:45">
      <c r="A100" s="19">
        <v>2.2689333330000001</v>
      </c>
      <c r="B100" s="19">
        <v>1292.4300129999999</v>
      </c>
      <c r="C100" s="19">
        <v>-475.01068550000002</v>
      </c>
      <c r="E100" s="9">
        <f t="shared" si="45"/>
        <v>332.43001299999992</v>
      </c>
      <c r="F100" s="9">
        <f t="shared" si="50"/>
        <v>64.989314499999978</v>
      </c>
      <c r="I100">
        <v>1</v>
      </c>
      <c r="J100">
        <f t="shared" si="46"/>
        <v>0.22020491134736472</v>
      </c>
      <c r="K100">
        <f t="shared" si="51"/>
        <v>0.19306273427775458</v>
      </c>
      <c r="O100">
        <f t="shared" si="52"/>
        <v>0.21437143250795779</v>
      </c>
      <c r="P100">
        <f t="shared" si="53"/>
        <v>4.1909129447572455E-2</v>
      </c>
      <c r="Q100">
        <f t="shared" si="54"/>
        <v>0.97585271111650485</v>
      </c>
      <c r="R100">
        <f t="shared" si="44"/>
        <v>1</v>
      </c>
      <c r="AG100" s="8">
        <f t="shared" si="47"/>
        <v>-0.70071139420749073</v>
      </c>
      <c r="AH100" s="8">
        <f t="shared" si="48"/>
        <v>0.26999812468879786</v>
      </c>
      <c r="AI100" s="8">
        <f t="shared" si="49"/>
        <v>0.66038212778082273</v>
      </c>
      <c r="AJ100" s="8"/>
      <c r="AK100" s="8"/>
      <c r="AL100" s="8"/>
      <c r="AN100" s="8">
        <f t="shared" si="55"/>
        <v>1</v>
      </c>
      <c r="AO100" s="8">
        <f t="shared" si="56"/>
        <v>2.7738051375270327</v>
      </c>
      <c r="AP100" s="8">
        <f t="shared" si="57"/>
        <v>0.84946880682054038</v>
      </c>
      <c r="AQ100" s="8"/>
      <c r="AR100" s="8">
        <f t="shared" si="58"/>
        <v>158.92732757200386</v>
      </c>
      <c r="AS100" s="8">
        <f t="shared" si="59"/>
        <v>41.329022541169195</v>
      </c>
    </row>
    <row r="101" spans="1:45">
      <c r="A101" s="19">
        <v>2.3022999999999998</v>
      </c>
      <c r="B101" s="19">
        <v>1292.0474220000001</v>
      </c>
      <c r="C101" s="19">
        <v>-475.08871440000001</v>
      </c>
      <c r="E101" s="9">
        <f t="shared" si="45"/>
        <v>332.0474220000001</v>
      </c>
      <c r="F101" s="9">
        <f t="shared" si="50"/>
        <v>64.911285599999985</v>
      </c>
      <c r="I101">
        <v>1</v>
      </c>
      <c r="J101">
        <f t="shared" si="46"/>
        <v>0.21995673305956412</v>
      </c>
      <c r="K101">
        <f t="shared" si="51"/>
        <v>0.19305335546978139</v>
      </c>
      <c r="O101">
        <f t="shared" si="52"/>
        <v>0.21413413257978062</v>
      </c>
      <c r="P101">
        <f t="shared" si="53"/>
        <v>4.1860652773248748E-2</v>
      </c>
      <c r="Q101">
        <f t="shared" si="54"/>
        <v>0.97590689054525204</v>
      </c>
      <c r="R101">
        <f t="shared" si="44"/>
        <v>1</v>
      </c>
      <c r="AG101" s="8">
        <f t="shared" si="47"/>
        <v>-0.70066335573466143</v>
      </c>
      <c r="AH101" s="8">
        <f t="shared" si="48"/>
        <v>0.27023708334985308</v>
      </c>
      <c r="AI101" s="8">
        <f t="shared" si="49"/>
        <v>0.6603353547351587</v>
      </c>
      <c r="AJ101" s="8"/>
      <c r="AK101" s="8"/>
      <c r="AL101" s="8"/>
      <c r="AN101" s="8">
        <f t="shared" si="55"/>
        <v>1</v>
      </c>
      <c r="AO101" s="8">
        <f t="shared" si="56"/>
        <v>2.7734852174468054</v>
      </c>
      <c r="AP101" s="8">
        <f t="shared" si="57"/>
        <v>0.84953109196314958</v>
      </c>
      <c r="AQ101" s="8"/>
      <c r="AR101" s="8">
        <f t="shared" si="58"/>
        <v>158.90899750162535</v>
      </c>
      <c r="AS101" s="8">
        <f t="shared" si="59"/>
        <v>41.325453865371323</v>
      </c>
    </row>
    <row r="102" spans="1:45">
      <c r="A102" s="19">
        <v>2.3356666669999999</v>
      </c>
      <c r="B102" s="19">
        <v>1291.371772</v>
      </c>
      <c r="C102" s="19">
        <v>-475.11434489999999</v>
      </c>
      <c r="E102" s="9">
        <f t="shared" si="45"/>
        <v>331.37177199999996</v>
      </c>
      <c r="F102" s="9">
        <f t="shared" si="50"/>
        <v>64.885655100000008</v>
      </c>
      <c r="I102">
        <v>1</v>
      </c>
      <c r="J102">
        <f t="shared" si="46"/>
        <v>0.21953208543021088</v>
      </c>
      <c r="K102">
        <f t="shared" si="51"/>
        <v>0.19336275544877143</v>
      </c>
      <c r="O102">
        <f t="shared" si="52"/>
        <v>0.21371445803795186</v>
      </c>
      <c r="P102">
        <f t="shared" si="53"/>
        <v>4.1847265777768081E-2</v>
      </c>
      <c r="Q102">
        <f t="shared" si="54"/>
        <v>0.9759994553136131</v>
      </c>
      <c r="R102">
        <f t="shared" si="44"/>
        <v>1</v>
      </c>
      <c r="AG102" s="8">
        <f t="shared" si="47"/>
        <v>-0.70053249330874812</v>
      </c>
      <c r="AH102" s="8">
        <f t="shared" si="48"/>
        <v>0.2706456629776135</v>
      </c>
      <c r="AI102" s="8">
        <f t="shared" si="49"/>
        <v>0.66030686118655235</v>
      </c>
      <c r="AJ102" s="8"/>
      <c r="AK102" s="8"/>
      <c r="AL102" s="8"/>
      <c r="AN102" s="8">
        <f t="shared" si="55"/>
        <v>1</v>
      </c>
      <c r="AO102" s="8">
        <f t="shared" si="56"/>
        <v>2.77291490833526</v>
      </c>
      <c r="AP102" s="8">
        <f t="shared" si="57"/>
        <v>0.84956903361330849</v>
      </c>
      <c r="AQ102" s="8"/>
      <c r="AR102" s="8">
        <f t="shared" si="58"/>
        <v>158.87632119651593</v>
      </c>
      <c r="AS102" s="8">
        <f t="shared" si="59"/>
        <v>41.32327996894945</v>
      </c>
    </row>
    <row r="103" spans="1:45">
      <c r="A103" s="19">
        <v>2.369033333</v>
      </c>
      <c r="B103" s="19">
        <v>1291.043363</v>
      </c>
      <c r="C103" s="19">
        <v>-474.80104619999997</v>
      </c>
      <c r="E103" s="9">
        <f t="shared" si="45"/>
        <v>331.043363</v>
      </c>
      <c r="F103" s="9">
        <f t="shared" si="50"/>
        <v>65.198953800000027</v>
      </c>
      <c r="I103">
        <v>1</v>
      </c>
      <c r="J103">
        <f t="shared" si="46"/>
        <v>0.2193655874965863</v>
      </c>
      <c r="K103">
        <f t="shared" si="51"/>
        <v>0.19446104855336707</v>
      </c>
      <c r="O103">
        <f t="shared" si="52"/>
        <v>0.21350892657658643</v>
      </c>
      <c r="P103">
        <f t="shared" si="53"/>
        <v>4.2050559520670577E-2</v>
      </c>
      <c r="Q103">
        <f t="shared" si="54"/>
        <v>0.97603570053359845</v>
      </c>
      <c r="R103">
        <f t="shared" si="44"/>
        <v>1</v>
      </c>
      <c r="AG103" s="8">
        <f t="shared" si="47"/>
        <v>-0.70033547672038476</v>
      </c>
      <c r="AH103" s="8">
        <f t="shared" si="48"/>
        <v>0.27080523534094492</v>
      </c>
      <c r="AI103" s="8">
        <f t="shared" si="49"/>
        <v>0.66045041037065511</v>
      </c>
      <c r="AJ103" s="8"/>
      <c r="AK103" s="8"/>
      <c r="AL103" s="8"/>
      <c r="AN103" s="8">
        <f t="shared" si="55"/>
        <v>0.99999999999999989</v>
      </c>
      <c r="AO103" s="8">
        <f t="shared" si="56"/>
        <v>2.7726221129812703</v>
      </c>
      <c r="AP103" s="8">
        <f t="shared" si="57"/>
        <v>0.84937787245155594</v>
      </c>
      <c r="AQ103" s="8"/>
      <c r="AR103" s="8">
        <f t="shared" si="58"/>
        <v>158.85954525847129</v>
      </c>
      <c r="AS103" s="8">
        <f t="shared" si="59"/>
        <v>41.33423269672469</v>
      </c>
    </row>
    <row r="104" spans="1:45">
      <c r="A104" s="19">
        <v>2.4024000000000001</v>
      </c>
      <c r="B104" s="19">
        <v>1290.4098899999999</v>
      </c>
      <c r="C104" s="19">
        <v>-474.25235259999999</v>
      </c>
      <c r="E104" s="9">
        <f t="shared" si="45"/>
        <v>330.4098899999999</v>
      </c>
      <c r="F104" s="9">
        <f t="shared" si="50"/>
        <v>65.747647400000005</v>
      </c>
      <c r="I104">
        <v>1</v>
      </c>
      <c r="J104">
        <f t="shared" si="46"/>
        <v>0.2190382217992882</v>
      </c>
      <c r="K104">
        <f t="shared" si="51"/>
        <v>0.19642242252484571</v>
      </c>
      <c r="O104">
        <f t="shared" si="52"/>
        <v>0.21311265107801841</v>
      </c>
      <c r="P104">
        <f t="shared" si="53"/>
        <v>4.2406888727080143E-2</v>
      </c>
      <c r="Q104">
        <f t="shared" si="54"/>
        <v>0.97610688643149524</v>
      </c>
      <c r="R104">
        <f t="shared" si="44"/>
        <v>1</v>
      </c>
      <c r="AG104" s="8">
        <f t="shared" si="47"/>
        <v>-0.6999780355485542</v>
      </c>
      <c r="AH104" s="8">
        <f t="shared" si="48"/>
        <v>0.2711196667470186</v>
      </c>
      <c r="AI104" s="8">
        <f t="shared" si="49"/>
        <v>0.66070029215414516</v>
      </c>
      <c r="AJ104" s="8"/>
      <c r="AK104" s="8"/>
      <c r="AL104" s="8"/>
      <c r="AN104" s="8">
        <f t="shared" si="55"/>
        <v>1.0000000000000002</v>
      </c>
      <c r="AO104" s="8">
        <f t="shared" si="56"/>
        <v>2.7720596895674876</v>
      </c>
      <c r="AP104" s="8">
        <f t="shared" si="57"/>
        <v>0.84904503390148911</v>
      </c>
      <c r="AQ104" s="8"/>
      <c r="AR104" s="8">
        <f t="shared" si="58"/>
        <v>158.82732077056221</v>
      </c>
      <c r="AS104" s="8">
        <f t="shared" si="59"/>
        <v>41.353302940902772</v>
      </c>
    </row>
    <row r="105" spans="1:45">
      <c r="A105" s="19">
        <v>2.4357666670000002</v>
      </c>
      <c r="B105" s="19">
        <v>1289.5252310000001</v>
      </c>
      <c r="C105" s="19">
        <v>-474.11367009999998</v>
      </c>
      <c r="E105" s="9">
        <f t="shared" si="45"/>
        <v>329.52523100000008</v>
      </c>
      <c r="F105" s="9">
        <f t="shared" si="50"/>
        <v>65.886329900000021</v>
      </c>
      <c r="I105">
        <v>1</v>
      </c>
      <c r="J105">
        <f t="shared" si="46"/>
        <v>0.21850374580449089</v>
      </c>
      <c r="K105">
        <f t="shared" si="51"/>
        <v>0.19734094600800239</v>
      </c>
      <c r="O105">
        <f t="shared" si="52"/>
        <v>0.21256199893687303</v>
      </c>
      <c r="P105">
        <f t="shared" si="53"/>
        <v>4.2500326738738457E-2</v>
      </c>
      <c r="Q105">
        <f t="shared" si="54"/>
        <v>0.97622288378989619</v>
      </c>
      <c r="R105">
        <f t="shared" si="44"/>
        <v>1</v>
      </c>
      <c r="AG105" s="8">
        <f t="shared" si="47"/>
        <v>-0.69973560198232221</v>
      </c>
      <c r="AH105" s="8">
        <f t="shared" si="48"/>
        <v>0.27163401717652508</v>
      </c>
      <c r="AI105" s="8">
        <f t="shared" si="49"/>
        <v>0.66074582710069407</v>
      </c>
      <c r="AJ105" s="8"/>
      <c r="AK105" s="8"/>
      <c r="AL105" s="8"/>
      <c r="AN105" s="8">
        <f t="shared" si="55"/>
        <v>0.99999999999999989</v>
      </c>
      <c r="AO105" s="8">
        <f t="shared" si="56"/>
        <v>2.7713040478928668</v>
      </c>
      <c r="AP105" s="8">
        <f t="shared" si="57"/>
        <v>0.84898437157643514</v>
      </c>
      <c r="AQ105" s="8"/>
      <c r="AR105" s="8">
        <f t="shared" si="58"/>
        <v>158.78402569178223</v>
      </c>
      <c r="AS105" s="8">
        <f t="shared" si="59"/>
        <v>41.356778636103819</v>
      </c>
    </row>
    <row r="106" spans="1:45">
      <c r="A106" s="19">
        <v>2.4691333329999998</v>
      </c>
      <c r="B106" s="19">
        <v>1288.725404</v>
      </c>
      <c r="C106" s="19">
        <v>-473.99269370000002</v>
      </c>
      <c r="E106" s="9">
        <f t="shared" si="45"/>
        <v>328.72540400000003</v>
      </c>
      <c r="F106" s="9">
        <f t="shared" si="50"/>
        <v>66.007306299999982</v>
      </c>
      <c r="I106">
        <v>1</v>
      </c>
      <c r="J106">
        <f t="shared" si="46"/>
        <v>0.2180200282188301</v>
      </c>
      <c r="K106">
        <f t="shared" si="51"/>
        <v>0.19816246492588829</v>
      </c>
      <c r="O106">
        <f t="shared" si="52"/>
        <v>0.21206401264556329</v>
      </c>
      <c r="P106">
        <f t="shared" si="53"/>
        <v>4.2581966795309685E-2</v>
      </c>
      <c r="Q106">
        <f t="shared" si="54"/>
        <v>0.97632762464477341</v>
      </c>
      <c r="R106">
        <f t="shared" si="44"/>
        <v>1</v>
      </c>
      <c r="AG106" s="8">
        <f t="shared" si="47"/>
        <v>-0.69951798468405124</v>
      </c>
      <c r="AH106" s="8">
        <f t="shared" si="48"/>
        <v>0.2720995907541548</v>
      </c>
      <c r="AI106" s="8">
        <f t="shared" si="49"/>
        <v>0.66078468642590749</v>
      </c>
      <c r="AJ106" s="8"/>
      <c r="AK106" s="8"/>
      <c r="AL106" s="8"/>
      <c r="AN106" s="8">
        <f t="shared" si="55"/>
        <v>1</v>
      </c>
      <c r="AO106" s="8">
        <f t="shared" si="56"/>
        <v>2.7706208778079682</v>
      </c>
      <c r="AP106" s="8">
        <f t="shared" si="57"/>
        <v>0.84893260005032312</v>
      </c>
      <c r="AQ106" s="8"/>
      <c r="AR106" s="8">
        <f t="shared" si="58"/>
        <v>158.74488292922794</v>
      </c>
      <c r="AS106" s="8">
        <f t="shared" si="59"/>
        <v>41.35974492604899</v>
      </c>
    </row>
    <row r="107" spans="1:45">
      <c r="A107" s="19">
        <v>2.5024999999999999</v>
      </c>
      <c r="B107" s="19">
        <v>1288.245181</v>
      </c>
      <c r="C107" s="19">
        <v>-474.11152879999997</v>
      </c>
      <c r="E107" s="9">
        <f t="shared" si="45"/>
        <v>328.245181</v>
      </c>
      <c r="F107" s="9">
        <f t="shared" si="50"/>
        <v>65.888471200000026</v>
      </c>
      <c r="I107">
        <v>1</v>
      </c>
      <c r="J107">
        <f t="shared" si="46"/>
        <v>0.21770561756174792</v>
      </c>
      <c r="K107">
        <f t="shared" si="51"/>
        <v>0.19809684549332282</v>
      </c>
      <c r="O107">
        <f t="shared" si="52"/>
        <v>0.21176583150643455</v>
      </c>
      <c r="P107">
        <f t="shared" si="53"/>
        <v>4.2507636663082556E-2</v>
      </c>
      <c r="Q107">
        <f t="shared" si="54"/>
        <v>0.97639558245196278</v>
      </c>
      <c r="R107">
        <f t="shared" si="44"/>
        <v>1</v>
      </c>
      <c r="AG107" s="8">
        <f t="shared" si="47"/>
        <v>-0.69946567007871463</v>
      </c>
      <c r="AH107" s="8">
        <f t="shared" si="48"/>
        <v>0.27240211413704152</v>
      </c>
      <c r="AI107" s="8">
        <f t="shared" si="49"/>
        <v>0.66071541876590467</v>
      </c>
      <c r="AJ107" s="8"/>
      <c r="AK107" s="8"/>
      <c r="AL107" s="8"/>
      <c r="AN107" s="8">
        <f t="shared" si="55"/>
        <v>0.99999999999999978</v>
      </c>
      <c r="AO107" s="8">
        <f t="shared" si="56"/>
        <v>2.7702200052809483</v>
      </c>
      <c r="AP107" s="8">
        <f t="shared" si="57"/>
        <v>0.84902488236626217</v>
      </c>
      <c r="AQ107" s="8"/>
      <c r="AR107" s="8">
        <f t="shared" si="58"/>
        <v>158.72191462530697</v>
      </c>
      <c r="AS107" s="8">
        <f t="shared" si="59"/>
        <v>41.35445753882199</v>
      </c>
    </row>
    <row r="108" spans="1:45">
      <c r="A108" s="19">
        <v>2.5358666670000001</v>
      </c>
      <c r="B108" s="19">
        <v>1287.4794059999999</v>
      </c>
      <c r="C108" s="19">
        <v>-474.083305</v>
      </c>
      <c r="E108" s="9">
        <f t="shared" si="45"/>
        <v>327.47940599999993</v>
      </c>
      <c r="F108" s="9">
        <f t="shared" si="50"/>
        <v>65.916695000000004</v>
      </c>
      <c r="I108">
        <v>1</v>
      </c>
      <c r="J108">
        <f t="shared" si="46"/>
        <v>0.21723146708976337</v>
      </c>
      <c r="K108">
        <f t="shared" si="51"/>
        <v>0.19863083899952194</v>
      </c>
      <c r="O108">
        <f t="shared" si="52"/>
        <v>0.2112892231436127</v>
      </c>
      <c r="P108">
        <f t="shared" si="53"/>
        <v>4.2529353063332678E-2</v>
      </c>
      <c r="Q108">
        <f t="shared" si="54"/>
        <v>0.97649788443774066</v>
      </c>
      <c r="R108">
        <f t="shared" si="44"/>
        <v>1</v>
      </c>
      <c r="AG108" s="8">
        <f t="shared" si="47"/>
        <v>-0.69929288607962103</v>
      </c>
      <c r="AH108" s="8">
        <f t="shared" si="48"/>
        <v>0.27285841392278054</v>
      </c>
      <c r="AI108" s="8">
        <f t="shared" si="49"/>
        <v>0.66071003127694283</v>
      </c>
      <c r="AJ108" s="8"/>
      <c r="AK108" s="8"/>
      <c r="AL108" s="8"/>
      <c r="AN108" s="8">
        <f t="shared" si="55"/>
        <v>1</v>
      </c>
      <c r="AO108" s="8">
        <f t="shared" si="56"/>
        <v>2.7695700325481059</v>
      </c>
      <c r="AP108" s="8">
        <f t="shared" si="57"/>
        <v>0.84903205957125927</v>
      </c>
      <c r="AQ108" s="8"/>
      <c r="AR108" s="8">
        <f t="shared" si="58"/>
        <v>158.68467393091652</v>
      </c>
      <c r="AS108" s="8">
        <f t="shared" si="59"/>
        <v>41.354046315266956</v>
      </c>
    </row>
    <row r="109" spans="1:45">
      <c r="A109" s="19">
        <v>2.5692333330000001</v>
      </c>
      <c r="B109" s="19">
        <v>1287.1228309999999</v>
      </c>
      <c r="C109" s="19">
        <v>-474.02167759999998</v>
      </c>
      <c r="E109" s="9">
        <f t="shared" si="45"/>
        <v>327.12283099999991</v>
      </c>
      <c r="F109" s="9">
        <f t="shared" si="50"/>
        <v>65.978322400000025</v>
      </c>
      <c r="I109">
        <v>1</v>
      </c>
      <c r="J109">
        <f t="shared" si="46"/>
        <v>0.21701677277562642</v>
      </c>
      <c r="K109">
        <f t="shared" si="51"/>
        <v>0.19902272886547021</v>
      </c>
      <c r="O109">
        <f t="shared" si="52"/>
        <v>0.21106702509276382</v>
      </c>
      <c r="P109">
        <f t="shared" si="53"/>
        <v>4.2570701002460062E-2</v>
      </c>
      <c r="Q109">
        <f t="shared" si="54"/>
        <v>0.97654413435064458</v>
      </c>
      <c r="R109">
        <f t="shared" si="44"/>
        <v>1</v>
      </c>
      <c r="AG109" s="8">
        <f t="shared" si="47"/>
        <v>-0.69919249581767617</v>
      </c>
      <c r="AH109" s="8">
        <f t="shared" si="48"/>
        <v>0.27306507067023478</v>
      </c>
      <c r="AI109" s="8">
        <f t="shared" si="49"/>
        <v>0.66073089905960103</v>
      </c>
      <c r="AJ109" s="8"/>
      <c r="AK109" s="8"/>
      <c r="AL109" s="8"/>
      <c r="AN109" s="8">
        <f t="shared" si="55"/>
        <v>1.0000000000000002</v>
      </c>
      <c r="AO109" s="8">
        <f t="shared" si="56"/>
        <v>2.769264936458844</v>
      </c>
      <c r="AP109" s="8">
        <f t="shared" si="57"/>
        <v>0.84900425928908285</v>
      </c>
      <c r="AQ109" s="8"/>
      <c r="AR109" s="8">
        <f t="shared" si="58"/>
        <v>158.66719321265586</v>
      </c>
      <c r="AS109" s="8">
        <f t="shared" si="59"/>
        <v>41.355639154104935</v>
      </c>
    </row>
    <row r="110" spans="1:45">
      <c r="A110" s="19">
        <v>2.6025999999999998</v>
      </c>
      <c r="B110" s="19">
        <v>1286.4083230000001</v>
      </c>
      <c r="C110" s="19">
        <v>-473.70243169999998</v>
      </c>
      <c r="E110" s="9">
        <f t="shared" si="45"/>
        <v>326.40832300000011</v>
      </c>
      <c r="F110" s="9">
        <f t="shared" si="50"/>
        <v>66.297568300000023</v>
      </c>
      <c r="I110">
        <v>1</v>
      </c>
      <c r="J110">
        <f t="shared" si="46"/>
        <v>0.21661137610502001</v>
      </c>
      <c r="K110">
        <f t="shared" si="51"/>
        <v>0.20038642492797801</v>
      </c>
      <c r="O110">
        <f t="shared" si="52"/>
        <v>0.21062079210589865</v>
      </c>
      <c r="P110">
        <f t="shared" si="53"/>
        <v>4.2779688402862559E-2</v>
      </c>
      <c r="Q110">
        <f t="shared" si="54"/>
        <v>0.97663134303217902</v>
      </c>
      <c r="R110">
        <f t="shared" si="44"/>
        <v>1</v>
      </c>
      <c r="AG110" s="8">
        <f t="shared" si="47"/>
        <v>-0.6989109629740915</v>
      </c>
      <c r="AH110" s="8">
        <f t="shared" si="48"/>
        <v>0.27345566571070967</v>
      </c>
      <c r="AI110" s="8">
        <f t="shared" si="49"/>
        <v>0.66086720657431686</v>
      </c>
      <c r="AJ110" s="8"/>
      <c r="AK110" s="8"/>
      <c r="AL110" s="8"/>
      <c r="AN110" s="8">
        <f t="shared" si="55"/>
        <v>1</v>
      </c>
      <c r="AO110" s="8">
        <f t="shared" si="56"/>
        <v>2.7686436862869663</v>
      </c>
      <c r="AP110" s="8">
        <f t="shared" si="57"/>
        <v>0.84882265222856856</v>
      </c>
      <c r="AQ110" s="8"/>
      <c r="AR110" s="8">
        <f t="shared" si="58"/>
        <v>158.63159819978549</v>
      </c>
      <c r="AS110" s="8">
        <f t="shared" si="59"/>
        <v>41.366044472202177</v>
      </c>
    </row>
    <row r="111" spans="1:45">
      <c r="A111" s="19">
        <v>2.6359666669999999</v>
      </c>
      <c r="B111" s="19">
        <v>1285.531013</v>
      </c>
      <c r="C111" s="19">
        <v>-473.46361810000002</v>
      </c>
      <c r="E111" s="9">
        <f t="shared" si="45"/>
        <v>325.53101300000003</v>
      </c>
      <c r="F111" s="9">
        <f t="shared" si="50"/>
        <v>66.536381899999981</v>
      </c>
      <c r="I111">
        <v>1</v>
      </c>
      <c r="J111">
        <f t="shared" si="46"/>
        <v>0.21609451354406975</v>
      </c>
      <c r="K111">
        <f t="shared" si="51"/>
        <v>0.20161636621042228</v>
      </c>
      <c r="O111">
        <f t="shared" si="52"/>
        <v>0.21007342884393868</v>
      </c>
      <c r="P111">
        <f t="shared" si="53"/>
        <v>4.2937616787383552E-2</v>
      </c>
      <c r="Q111">
        <f t="shared" si="54"/>
        <v>0.97674229741440521</v>
      </c>
      <c r="R111">
        <f t="shared" si="44"/>
        <v>1</v>
      </c>
      <c r="AG111" s="8">
        <f t="shared" si="47"/>
        <v>-0.6986277911432589</v>
      </c>
      <c r="AH111" s="8">
        <f t="shared" si="48"/>
        <v>0.27395365570104246</v>
      </c>
      <c r="AI111" s="8">
        <f t="shared" si="49"/>
        <v>0.6609603649011988</v>
      </c>
      <c r="AJ111" s="8"/>
      <c r="AK111" s="8"/>
      <c r="AL111" s="8"/>
      <c r="AN111" s="8">
        <f t="shared" si="55"/>
        <v>1.0000000000000002</v>
      </c>
      <c r="AO111" s="8">
        <f t="shared" si="56"/>
        <v>2.7678881980721397</v>
      </c>
      <c r="AP111" s="8">
        <f t="shared" si="57"/>
        <v>0.84869851756566084</v>
      </c>
      <c r="AQ111" s="8"/>
      <c r="AR111" s="8">
        <f t="shared" si="58"/>
        <v>158.58831191360406</v>
      </c>
      <c r="AS111" s="8">
        <f t="shared" si="59"/>
        <v>41.373156864478069</v>
      </c>
    </row>
    <row r="112" spans="1:45">
      <c r="A112" s="19">
        <v>2.669333333</v>
      </c>
      <c r="B112" s="19">
        <v>1285.092592</v>
      </c>
      <c r="C112" s="19">
        <v>-473.34987910000001</v>
      </c>
      <c r="E112" s="9">
        <f t="shared" si="45"/>
        <v>325.09259199999997</v>
      </c>
      <c r="F112" s="9">
        <f t="shared" si="50"/>
        <v>66.65012089999999</v>
      </c>
      <c r="I112">
        <v>1</v>
      </c>
      <c r="J112">
        <f t="shared" si="46"/>
        <v>0.21583558459998264</v>
      </c>
      <c r="K112">
        <f t="shared" si="51"/>
        <v>0.20221672067229607</v>
      </c>
      <c r="O112">
        <f t="shared" si="52"/>
        <v>0.20979985259427855</v>
      </c>
      <c r="P112">
        <f t="shared" si="53"/>
        <v>4.3012931959430324E-2</v>
      </c>
      <c r="Q112">
        <f t="shared" si="54"/>
        <v>0.97679778333884049</v>
      </c>
      <c r="R112">
        <f t="shared" si="44"/>
        <v>1</v>
      </c>
      <c r="AG112" s="8">
        <f t="shared" si="47"/>
        <v>-0.69848847086659549</v>
      </c>
      <c r="AH112" s="8">
        <f t="shared" si="48"/>
        <v>0.27420319364869949</v>
      </c>
      <c r="AI112" s="8">
        <f t="shared" si="49"/>
        <v>0.66100413361740706</v>
      </c>
      <c r="AJ112" s="8"/>
      <c r="AK112" s="8"/>
      <c r="AL112" s="8"/>
      <c r="AN112" s="8">
        <f t="shared" si="55"/>
        <v>1</v>
      </c>
      <c r="AO112" s="8">
        <f t="shared" si="56"/>
        <v>2.7675108219060647</v>
      </c>
      <c r="AP112" s="8">
        <f t="shared" si="57"/>
        <v>0.84864019050462358</v>
      </c>
      <c r="AQ112" s="8"/>
      <c r="AR112" s="8">
        <f t="shared" si="58"/>
        <v>158.56668985199912</v>
      </c>
      <c r="AS112" s="8">
        <f t="shared" si="59"/>
        <v>41.376498758906905</v>
      </c>
    </row>
    <row r="113" spans="1:45">
      <c r="A113" s="19">
        <v>2.7027000000000001</v>
      </c>
      <c r="B113" s="19">
        <v>1284.3688649999999</v>
      </c>
      <c r="C113" s="19">
        <v>-473.14724869999998</v>
      </c>
      <c r="E113" s="9">
        <f t="shared" si="45"/>
        <v>324.36886499999991</v>
      </c>
      <c r="F113" s="9">
        <f t="shared" si="50"/>
        <v>66.852751300000023</v>
      </c>
      <c r="I113">
        <v>1</v>
      </c>
      <c r="J113">
        <f t="shared" si="46"/>
        <v>0.21541017720205011</v>
      </c>
      <c r="K113">
        <f t="shared" si="51"/>
        <v>0.20325497560832975</v>
      </c>
      <c r="O113">
        <f t="shared" si="52"/>
        <v>0.20934807910737124</v>
      </c>
      <c r="P113">
        <f t="shared" si="53"/>
        <v>4.314685093989469E-2</v>
      </c>
      <c r="Q113">
        <f t="shared" si="54"/>
        <v>0.97688880177225101</v>
      </c>
      <c r="R113">
        <f t="shared" si="44"/>
        <v>1</v>
      </c>
      <c r="AG113" s="8">
        <f t="shared" si="47"/>
        <v>-0.69825223035740724</v>
      </c>
      <c r="AH113" s="8">
        <f t="shared" si="48"/>
        <v>0.27461333499488716</v>
      </c>
      <c r="AI113" s="8">
        <f t="shared" si="49"/>
        <v>0.66108345845580818</v>
      </c>
      <c r="AJ113" s="8"/>
      <c r="AK113" s="8"/>
      <c r="AL113" s="8"/>
      <c r="AN113" s="8">
        <f t="shared" si="55"/>
        <v>1</v>
      </c>
      <c r="AO113" s="8">
        <f t="shared" si="56"/>
        <v>2.7668869431042022</v>
      </c>
      <c r="AP113" s="8">
        <f t="shared" si="57"/>
        <v>0.84853447301023954</v>
      </c>
      <c r="AQ113" s="8"/>
      <c r="AR113" s="8">
        <f t="shared" si="58"/>
        <v>158.53094422972472</v>
      </c>
      <c r="AS113" s="8">
        <f t="shared" si="59"/>
        <v>41.382555925155813</v>
      </c>
    </row>
    <row r="114" spans="1:45">
      <c r="A114" s="19">
        <v>2.7360666669999998</v>
      </c>
      <c r="B114" s="19">
        <v>1283.823877</v>
      </c>
      <c r="C114" s="19">
        <v>-473.02593710000002</v>
      </c>
      <c r="E114" s="9">
        <f t="shared" si="45"/>
        <v>323.82387700000004</v>
      </c>
      <c r="F114" s="9">
        <f t="shared" si="50"/>
        <v>66.974062899999979</v>
      </c>
      <c r="I114">
        <v>1</v>
      </c>
      <c r="J114">
        <f t="shared" si="46"/>
        <v>0.21508590167712974</v>
      </c>
      <c r="K114">
        <f t="shared" si="51"/>
        <v>0.20394696390895611</v>
      </c>
      <c r="O114">
        <f t="shared" si="52"/>
        <v>0.2090079450924327</v>
      </c>
      <c r="P114">
        <f t="shared" si="53"/>
        <v>4.3227545142448927E-2</v>
      </c>
      <c r="Q114">
        <f t="shared" si="54"/>
        <v>0.97695806370038019</v>
      </c>
      <c r="R114">
        <f t="shared" si="44"/>
        <v>1</v>
      </c>
      <c r="AG114" s="8">
        <f t="shared" si="47"/>
        <v>-0.69808703301242958</v>
      </c>
      <c r="AH114" s="8">
        <f t="shared" si="48"/>
        <v>0.27492594786366409</v>
      </c>
      <c r="AI114" s="8">
        <f t="shared" si="49"/>
        <v>0.66112798876705314</v>
      </c>
      <c r="AJ114" s="8"/>
      <c r="AK114" s="8"/>
      <c r="AL114" s="8"/>
      <c r="AN114" s="8">
        <f t="shared" si="55"/>
        <v>0.99999999999999989</v>
      </c>
      <c r="AO114" s="8">
        <f t="shared" si="56"/>
        <v>2.7664186011828571</v>
      </c>
      <c r="AP114" s="8">
        <f t="shared" si="57"/>
        <v>0.84847512242900069</v>
      </c>
      <c r="AQ114" s="8"/>
      <c r="AR114" s="8">
        <f t="shared" si="58"/>
        <v>158.5041102142626</v>
      </c>
      <c r="AS114" s="8">
        <f t="shared" si="59"/>
        <v>41.385956462972445</v>
      </c>
    </row>
    <row r="115" spans="1:45">
      <c r="A115" s="19">
        <v>2.7694333329999998</v>
      </c>
      <c r="B115" s="19">
        <v>1283.120083</v>
      </c>
      <c r="C115" s="19">
        <v>-473.1413124</v>
      </c>
      <c r="E115" s="9">
        <f t="shared" si="45"/>
        <v>323.12008300000002</v>
      </c>
      <c r="F115" s="9">
        <f t="shared" si="50"/>
        <v>66.858687599999996</v>
      </c>
      <c r="I115">
        <v>1</v>
      </c>
      <c r="J115">
        <f t="shared" si="46"/>
        <v>0.21463204410831546</v>
      </c>
      <c r="K115">
        <f t="shared" si="51"/>
        <v>0.2040365478678329</v>
      </c>
      <c r="O115">
        <f t="shared" si="52"/>
        <v>0.20856984803063586</v>
      </c>
      <c r="P115">
        <f t="shared" si="53"/>
        <v>4.3156420928066409E-2</v>
      </c>
      <c r="Q115">
        <f t="shared" si="54"/>
        <v>0.97705483051114228</v>
      </c>
      <c r="R115">
        <f t="shared" si="44"/>
        <v>1</v>
      </c>
      <c r="AG115" s="8">
        <f t="shared" si="47"/>
        <v>-0.69798513129656325</v>
      </c>
      <c r="AH115" s="8">
        <f t="shared" si="48"/>
        <v>0.27536239265710383</v>
      </c>
      <c r="AI115" s="8">
        <f t="shared" si="49"/>
        <v>0.6610539381919408</v>
      </c>
      <c r="AJ115" s="8"/>
      <c r="AK115" s="8"/>
      <c r="AL115" s="8"/>
      <c r="AN115" s="8">
        <f t="shared" si="55"/>
        <v>1</v>
      </c>
      <c r="AO115" s="8">
        <f t="shared" si="56"/>
        <v>2.7658276308759366</v>
      </c>
      <c r="AP115" s="8">
        <f t="shared" si="57"/>
        <v>0.84857381629337336</v>
      </c>
      <c r="AQ115" s="8"/>
      <c r="AR115" s="8">
        <f t="shared" si="58"/>
        <v>158.47025010985851</v>
      </c>
      <c r="AS115" s="8">
        <f t="shared" si="59"/>
        <v>41.380301721080059</v>
      </c>
    </row>
    <row r="116" spans="1:45">
      <c r="A116" s="19">
        <v>2.8028</v>
      </c>
      <c r="B116" s="19">
        <v>1282.3135119999999</v>
      </c>
      <c r="C116" s="19">
        <v>-473.11909220000001</v>
      </c>
      <c r="E116" s="9">
        <f t="shared" si="45"/>
        <v>322.31351199999995</v>
      </c>
      <c r="F116" s="9">
        <f t="shared" si="50"/>
        <v>66.880907799999989</v>
      </c>
      <c r="I116">
        <v>1</v>
      </c>
      <c r="J116">
        <f t="shared" si="46"/>
        <v>0.21413178194123383</v>
      </c>
      <c r="K116">
        <f t="shared" si="51"/>
        <v>0.20459912796123556</v>
      </c>
      <c r="O116">
        <f t="shared" si="52"/>
        <v>0.20806692123860357</v>
      </c>
      <c r="P116">
        <f t="shared" si="53"/>
        <v>4.3174437488642754E-2</v>
      </c>
      <c r="Q116">
        <f t="shared" si="54"/>
        <v>0.97716125804998433</v>
      </c>
      <c r="R116">
        <f t="shared" si="44"/>
        <v>1</v>
      </c>
      <c r="AG116" s="8">
        <f t="shared" si="47"/>
        <v>-0.69780479799159778</v>
      </c>
      <c r="AH116" s="8">
        <f t="shared" si="48"/>
        <v>0.27584401312761936</v>
      </c>
      <c r="AI116" s="8">
        <f t="shared" si="49"/>
        <v>0.66104352679801293</v>
      </c>
      <c r="AJ116" s="8"/>
      <c r="AK116" s="8"/>
      <c r="AL116" s="8"/>
      <c r="AN116" s="8">
        <f t="shared" si="55"/>
        <v>1</v>
      </c>
      <c r="AO116" s="8">
        <f t="shared" si="56"/>
        <v>2.7651423538222986</v>
      </c>
      <c r="AP116" s="8">
        <f t="shared" si="57"/>
        <v>0.84858769180675653</v>
      </c>
      <c r="AQ116" s="8"/>
      <c r="AR116" s="8">
        <f t="shared" si="58"/>
        <v>158.43098662688789</v>
      </c>
      <c r="AS116" s="8">
        <f t="shared" si="59"/>
        <v>41.37950671272462</v>
      </c>
    </row>
    <row r="117" spans="1:45">
      <c r="A117" s="19">
        <v>2.8361666670000001</v>
      </c>
      <c r="B117" s="19">
        <v>1281.4036630000001</v>
      </c>
      <c r="C117" s="19">
        <v>-472.57689679999999</v>
      </c>
      <c r="E117" s="9">
        <f t="shared" si="45"/>
        <v>321.40366300000005</v>
      </c>
      <c r="F117" s="9">
        <f t="shared" si="50"/>
        <v>67.423103200000014</v>
      </c>
      <c r="I117">
        <v>1</v>
      </c>
      <c r="J117">
        <f t="shared" si="46"/>
        <v>0.21363483463543442</v>
      </c>
      <c r="K117">
        <f t="shared" si="51"/>
        <v>0.20677862439072245</v>
      </c>
      <c r="O117">
        <f t="shared" si="52"/>
        <v>0.20749704979451539</v>
      </c>
      <c r="P117">
        <f t="shared" si="53"/>
        <v>4.3528113125428668E-2</v>
      </c>
      <c r="Q117">
        <f t="shared" si="54"/>
        <v>0.9772667382523117</v>
      </c>
      <c r="R117">
        <f t="shared" si="44"/>
        <v>1</v>
      </c>
      <c r="AG117" s="8">
        <f t="shared" si="47"/>
        <v>-0.69738892181007672</v>
      </c>
      <c r="AH117" s="8">
        <f t="shared" si="48"/>
        <v>0.27632506076983465</v>
      </c>
      <c r="AI117" s="8">
        <f t="shared" si="49"/>
        <v>0.66128144728785931</v>
      </c>
      <c r="AJ117" s="8"/>
      <c r="AK117" s="8"/>
      <c r="AL117" s="8"/>
      <c r="AN117" s="8">
        <f t="shared" si="55"/>
        <v>1</v>
      </c>
      <c r="AO117" s="8">
        <f t="shared" si="56"/>
        <v>2.7643421707371485</v>
      </c>
      <c r="AP117" s="8">
        <f t="shared" si="57"/>
        <v>0.84827056712009652</v>
      </c>
      <c r="AQ117" s="8"/>
      <c r="AR117" s="8">
        <f t="shared" si="58"/>
        <v>158.38513951327104</v>
      </c>
      <c r="AS117" s="8">
        <f t="shared" si="59"/>
        <v>41.397676618849651</v>
      </c>
    </row>
    <row r="118" spans="1:45">
      <c r="A118" s="19">
        <v>2.8695333330000001</v>
      </c>
      <c r="B118" s="19">
        <v>1280.8376499999999</v>
      </c>
      <c r="C118" s="19">
        <v>-472.20456289999998</v>
      </c>
      <c r="E118" s="9">
        <f t="shared" si="45"/>
        <v>320.83764999999994</v>
      </c>
      <c r="F118" s="9">
        <f t="shared" si="50"/>
        <v>67.795437100000015</v>
      </c>
      <c r="I118">
        <v>1</v>
      </c>
      <c r="J118">
        <f t="shared" si="46"/>
        <v>0.2133307565451506</v>
      </c>
      <c r="K118">
        <f t="shared" si="51"/>
        <v>0.20824424455682097</v>
      </c>
      <c r="O118">
        <f t="shared" si="52"/>
        <v>0.20714227642800212</v>
      </c>
      <c r="P118">
        <f t="shared" si="53"/>
        <v>4.377073941392301E-2</v>
      </c>
      <c r="Q118">
        <f t="shared" si="54"/>
        <v>0.97733116172942303</v>
      </c>
      <c r="R118">
        <f t="shared" si="44"/>
        <v>1</v>
      </c>
      <c r="AG118" s="8">
        <f t="shared" si="47"/>
        <v>-0.6971156265093239</v>
      </c>
      <c r="AH118" s="8">
        <f t="shared" si="48"/>
        <v>0.27662007378545683</v>
      </c>
      <c r="AI118" s="8">
        <f t="shared" si="49"/>
        <v>0.66144624729107149</v>
      </c>
      <c r="AJ118" s="8"/>
      <c r="AK118" s="8"/>
      <c r="AL118" s="8"/>
      <c r="AN118" s="8">
        <f t="shared" si="55"/>
        <v>1</v>
      </c>
      <c r="AO118" s="8">
        <f t="shared" si="56"/>
        <v>2.7638422449658133</v>
      </c>
      <c r="AP118" s="8">
        <f t="shared" si="57"/>
        <v>0.84805085289267712</v>
      </c>
      <c r="AQ118" s="8"/>
      <c r="AR118" s="8">
        <f t="shared" si="58"/>
        <v>158.35649587650371</v>
      </c>
      <c r="AS118" s="8">
        <f t="shared" si="59"/>
        <v>41.410265316779757</v>
      </c>
    </row>
    <row r="119" spans="1:45">
      <c r="A119" s="19">
        <v>2.9028999999999998</v>
      </c>
      <c r="B119" s="19">
        <v>1280.3604760000001</v>
      </c>
      <c r="C119" s="19">
        <v>-472.12323170000002</v>
      </c>
      <c r="E119" s="9">
        <f t="shared" si="45"/>
        <v>320.36047600000006</v>
      </c>
      <c r="F119" s="9">
        <f t="shared" si="50"/>
        <v>67.876768299999981</v>
      </c>
      <c r="I119">
        <v>1</v>
      </c>
      <c r="J119">
        <f t="shared" si="46"/>
        <v>0.21304395286166455</v>
      </c>
      <c r="K119">
        <f t="shared" si="51"/>
        <v>0.20878849270257066</v>
      </c>
      <c r="O119">
        <f t="shared" si="52"/>
        <v>0.20684420030833414</v>
      </c>
      <c r="P119">
        <f t="shared" si="53"/>
        <v>4.3825368328293965E-2</v>
      </c>
      <c r="Q119">
        <f t="shared" si="54"/>
        <v>0.97739184255327971</v>
      </c>
      <c r="R119">
        <f t="shared" si="44"/>
        <v>1</v>
      </c>
      <c r="AG119" s="8">
        <f t="shared" si="47"/>
        <v>-0.69698058958812215</v>
      </c>
      <c r="AH119" s="8">
        <f t="shared" si="48"/>
        <v>0.27689680047978305</v>
      </c>
      <c r="AI119" s="8">
        <f t="shared" si="49"/>
        <v>0.66147276559315182</v>
      </c>
      <c r="AJ119" s="8"/>
      <c r="AK119" s="8"/>
      <c r="AL119" s="8"/>
      <c r="AN119" s="8">
        <f t="shared" si="55"/>
        <v>0.99999999999999989</v>
      </c>
      <c r="AO119" s="8">
        <f t="shared" si="56"/>
        <v>2.7634328651025664</v>
      </c>
      <c r="AP119" s="8">
        <f t="shared" si="57"/>
        <v>0.84801549425518463</v>
      </c>
      <c r="AQ119" s="8"/>
      <c r="AR119" s="8">
        <f t="shared" si="58"/>
        <v>158.33304013812202</v>
      </c>
      <c r="AS119" s="8">
        <f t="shared" si="59"/>
        <v>41.41229121747741</v>
      </c>
    </row>
    <row r="120" spans="1:45">
      <c r="A120" s="19">
        <v>2.9362666669999999</v>
      </c>
      <c r="B120" s="19">
        <v>1280.0663730000001</v>
      </c>
      <c r="C120" s="19">
        <v>-472.16215679999999</v>
      </c>
      <c r="E120" s="9">
        <f t="shared" si="45"/>
        <v>320.06637300000011</v>
      </c>
      <c r="F120" s="9">
        <f t="shared" si="50"/>
        <v>67.837843200000009</v>
      </c>
      <c r="I120">
        <v>1</v>
      </c>
      <c r="J120">
        <f t="shared" si="46"/>
        <v>0.21285542138234559</v>
      </c>
      <c r="K120">
        <f t="shared" si="51"/>
        <v>0.20885842560952694</v>
      </c>
      <c r="O120">
        <f t="shared" si="52"/>
        <v>0.20666086665294575</v>
      </c>
      <c r="P120">
        <f t="shared" si="53"/>
        <v>4.380162569461378E-2</v>
      </c>
      <c r="Q120">
        <f t="shared" si="54"/>
        <v>0.97743168752642884</v>
      </c>
      <c r="R120">
        <f t="shared" si="44"/>
        <v>1</v>
      </c>
      <c r="AG120" s="8">
        <f t="shared" si="47"/>
        <v>-0.69693388286044289</v>
      </c>
      <c r="AH120" s="8">
        <f t="shared" si="48"/>
        <v>0.27707809559844754</v>
      </c>
      <c r="AI120" s="8">
        <f t="shared" si="49"/>
        <v>0.66144606118761051</v>
      </c>
      <c r="AJ120" s="8"/>
      <c r="AK120" s="8"/>
      <c r="AL120" s="8"/>
      <c r="AN120" s="8">
        <f t="shared" si="55"/>
        <v>1.0000000000000002</v>
      </c>
      <c r="AO120" s="8">
        <f t="shared" si="56"/>
        <v>2.7631852220887465</v>
      </c>
      <c r="AP120" s="8">
        <f t="shared" si="57"/>
        <v>0.8480511010330547</v>
      </c>
      <c r="AQ120" s="8"/>
      <c r="AR120" s="8">
        <f t="shared" si="58"/>
        <v>158.31885123860422</v>
      </c>
      <c r="AS120" s="8">
        <f t="shared" si="59"/>
        <v>41.410251099383395</v>
      </c>
    </row>
    <row r="121" spans="1:45">
      <c r="A121" s="19">
        <v>2.969633333</v>
      </c>
      <c r="B121" s="19">
        <v>1279.4241440000001</v>
      </c>
      <c r="C121" s="19">
        <v>-472.04521699999998</v>
      </c>
      <c r="E121" s="9">
        <f t="shared" si="45"/>
        <v>319.42414400000007</v>
      </c>
      <c r="F121" s="9">
        <f t="shared" si="50"/>
        <v>67.95478300000002</v>
      </c>
      <c r="I121">
        <v>1</v>
      </c>
      <c r="J121">
        <f t="shared" si="46"/>
        <v>0.21247043449810762</v>
      </c>
      <c r="K121">
        <f t="shared" si="51"/>
        <v>0.20961648188463067</v>
      </c>
      <c r="O121">
        <f t="shared" si="52"/>
        <v>0.20625952637056577</v>
      </c>
      <c r="P121">
        <f t="shared" si="53"/>
        <v>4.3879968435305804E-2</v>
      </c>
      <c r="Q121">
        <f t="shared" si="54"/>
        <v>0.97751294423731616</v>
      </c>
      <c r="R121">
        <f t="shared" si="44"/>
        <v>1</v>
      </c>
      <c r="AG121" s="8">
        <f t="shared" si="47"/>
        <v>-0.69674887828359966</v>
      </c>
      <c r="AH121" s="8">
        <f t="shared" si="48"/>
        <v>0.27744965241458319</v>
      </c>
      <c r="AI121" s="8">
        <f t="shared" si="49"/>
        <v>0.66148521599924859</v>
      </c>
      <c r="AJ121" s="8"/>
      <c r="AK121" s="8"/>
      <c r="AL121" s="8"/>
      <c r="AN121" s="8">
        <f t="shared" si="55"/>
        <v>0.99999999999999989</v>
      </c>
      <c r="AO121" s="8">
        <f t="shared" si="56"/>
        <v>2.7626336993193874</v>
      </c>
      <c r="AP121" s="8">
        <f t="shared" si="57"/>
        <v>0.84799889291011943</v>
      </c>
      <c r="AQ121" s="8"/>
      <c r="AR121" s="8">
        <f t="shared" si="58"/>
        <v>158.2872513116146</v>
      </c>
      <c r="AS121" s="8">
        <f t="shared" si="59"/>
        <v>41.413242404483888</v>
      </c>
    </row>
    <row r="122" spans="1:45">
      <c r="A122" s="19">
        <v>3.0030000000000001</v>
      </c>
      <c r="B122" s="19">
        <v>1279.1257639999999</v>
      </c>
      <c r="C122" s="19">
        <v>-472.03214129999998</v>
      </c>
      <c r="E122" s="9">
        <f t="shared" si="45"/>
        <v>319.12576399999989</v>
      </c>
      <c r="F122" s="9">
        <f t="shared" si="50"/>
        <v>67.967858700000022</v>
      </c>
      <c r="I122">
        <v>1</v>
      </c>
      <c r="J122">
        <f t="shared" si="46"/>
        <v>0.21228611022944685</v>
      </c>
      <c r="K122">
        <f t="shared" si="51"/>
        <v>0.20984596893491672</v>
      </c>
      <c r="O122">
        <f t="shared" si="52"/>
        <v>0.20607322078596163</v>
      </c>
      <c r="P122">
        <f t="shared" si="53"/>
        <v>4.3889767396637247E-2</v>
      </c>
      <c r="Q122">
        <f t="shared" si="54"/>
        <v>0.97755179708942763</v>
      </c>
      <c r="R122">
        <f t="shared" si="44"/>
        <v>1</v>
      </c>
      <c r="AG122" s="8">
        <f t="shared" si="47"/>
        <v>-0.69667981580070037</v>
      </c>
      <c r="AH122" s="8">
        <f t="shared" si="48"/>
        <v>0.27762725465218019</v>
      </c>
      <c r="AI122" s="8">
        <f t="shared" si="49"/>
        <v>0.66148344025394612</v>
      </c>
      <c r="AJ122" s="8"/>
      <c r="AK122" s="8"/>
      <c r="AL122" s="8"/>
      <c r="AN122" s="8">
        <f t="shared" si="55"/>
        <v>1.0000000000000002</v>
      </c>
      <c r="AO122" s="8">
        <f t="shared" si="56"/>
        <v>2.7623796172688242</v>
      </c>
      <c r="AP122" s="8">
        <f t="shared" si="57"/>
        <v>0.84800126070000015</v>
      </c>
      <c r="AQ122" s="8"/>
      <c r="AR122" s="8">
        <f t="shared" si="58"/>
        <v>158.27269348246728</v>
      </c>
      <c r="AS122" s="8">
        <f t="shared" si="59"/>
        <v>41.413106740116952</v>
      </c>
    </row>
    <row r="123" spans="1:45">
      <c r="A123" s="19">
        <v>3.0363666669999998</v>
      </c>
      <c r="B123" s="19">
        <v>1278.4563109999999</v>
      </c>
      <c r="C123" s="19">
        <v>-472.0186569</v>
      </c>
      <c r="E123" s="9">
        <f t="shared" si="45"/>
        <v>318.45631099999991</v>
      </c>
      <c r="F123" s="9">
        <f t="shared" si="50"/>
        <v>67.981343100000004</v>
      </c>
      <c r="I123">
        <v>1</v>
      </c>
      <c r="J123">
        <f t="shared" si="46"/>
        <v>0.21187043766033481</v>
      </c>
      <c r="K123">
        <f t="shared" si="51"/>
        <v>0.21031472531408743</v>
      </c>
      <c r="O123">
        <f t="shared" si="52"/>
        <v>0.205655218910125</v>
      </c>
      <c r="P123">
        <f t="shared" si="53"/>
        <v>4.3901525936582309E-2</v>
      </c>
      <c r="Q123">
        <f t="shared" si="54"/>
        <v>0.97763929286596707</v>
      </c>
      <c r="R123">
        <f t="shared" si="44"/>
        <v>1</v>
      </c>
      <c r="AG123" s="8">
        <f t="shared" si="47"/>
        <v>-0.6965312667881437</v>
      </c>
      <c r="AH123" s="8">
        <f t="shared" si="48"/>
        <v>0.27802764808580016</v>
      </c>
      <c r="AI123" s="8">
        <f t="shared" si="49"/>
        <v>0.66147170860618232</v>
      </c>
      <c r="AJ123" s="8"/>
      <c r="AK123" s="8"/>
      <c r="AL123" s="8"/>
      <c r="AN123" s="8">
        <f t="shared" si="55"/>
        <v>0.99999999999999989</v>
      </c>
      <c r="AO123" s="8">
        <f t="shared" si="56"/>
        <v>2.7618103421954268</v>
      </c>
      <c r="AP123" s="8">
        <f t="shared" si="57"/>
        <v>0.84801690362817206</v>
      </c>
      <c r="AQ123" s="8"/>
      <c r="AR123" s="8">
        <f t="shared" si="58"/>
        <v>158.24007642337961</v>
      </c>
      <c r="AS123" s="8">
        <f t="shared" si="59"/>
        <v>41.412210466353471</v>
      </c>
    </row>
    <row r="124" spans="1:45">
      <c r="A124" s="19">
        <v>3.0697333329999998</v>
      </c>
      <c r="B124" s="19">
        <v>1277.923411</v>
      </c>
      <c r="C124" s="19">
        <v>-472.03688949999997</v>
      </c>
      <c r="E124" s="9">
        <f t="shared" si="45"/>
        <v>317.92341099999999</v>
      </c>
      <c r="F124" s="9">
        <f t="shared" si="50"/>
        <v>67.963110500000028</v>
      </c>
      <c r="I124">
        <v>1</v>
      </c>
      <c r="J124">
        <f t="shared" si="46"/>
        <v>0.21153567568610041</v>
      </c>
      <c r="K124">
        <f t="shared" si="51"/>
        <v>0.2106020817355129</v>
      </c>
      <c r="O124">
        <f t="shared" si="52"/>
        <v>0.2053225381564357</v>
      </c>
      <c r="P124">
        <f t="shared" si="53"/>
        <v>4.3892201285127476E-2</v>
      </c>
      <c r="Q124">
        <f t="shared" si="54"/>
        <v>0.9777096348054185</v>
      </c>
      <c r="R124">
        <f t="shared" si="44"/>
        <v>1</v>
      </c>
      <c r="AG124" s="8">
        <f t="shared" si="47"/>
        <v>-0.69642480745716751</v>
      </c>
      <c r="AH124" s="8">
        <f t="shared" si="48"/>
        <v>0.27834987351720786</v>
      </c>
      <c r="AI124" s="8">
        <f t="shared" si="49"/>
        <v>0.66144828631662622</v>
      </c>
      <c r="AJ124" s="8"/>
      <c r="AK124" s="8"/>
      <c r="AL124" s="8"/>
      <c r="AN124" s="8">
        <f t="shared" si="55"/>
        <v>1</v>
      </c>
      <c r="AO124" s="8">
        <f t="shared" si="56"/>
        <v>2.7613586942306738</v>
      </c>
      <c r="AP124" s="8">
        <f t="shared" si="57"/>
        <v>0.84804813416176117</v>
      </c>
      <c r="AQ124" s="8"/>
      <c r="AR124" s="8">
        <f t="shared" si="58"/>
        <v>158.2141989011736</v>
      </c>
      <c r="AS124" s="8">
        <f t="shared" si="59"/>
        <v>41.410421088586872</v>
      </c>
    </row>
    <row r="125" spans="1:45">
      <c r="A125" s="19">
        <v>3.1031</v>
      </c>
      <c r="B125" s="19">
        <v>1277.2558449999999</v>
      </c>
      <c r="C125" s="19">
        <v>-471.49078040000001</v>
      </c>
      <c r="E125" s="9">
        <f t="shared" si="45"/>
        <v>317.25584499999991</v>
      </c>
      <c r="F125" s="9">
        <f t="shared" si="50"/>
        <v>68.509219599999994</v>
      </c>
      <c r="I125">
        <v>1</v>
      </c>
      <c r="J125">
        <f t="shared" si="46"/>
        <v>0.2111925771806723</v>
      </c>
      <c r="K125">
        <f t="shared" si="51"/>
        <v>0.21267744335831507</v>
      </c>
      <c r="O125">
        <f t="shared" si="52"/>
        <v>0.20490309901873707</v>
      </c>
      <c r="P125">
        <f t="shared" si="53"/>
        <v>4.4247416174145522E-2</v>
      </c>
      <c r="Q125">
        <f t="shared" si="54"/>
        <v>0.97778161476601189</v>
      </c>
      <c r="R125">
        <f t="shared" si="44"/>
        <v>1</v>
      </c>
      <c r="AG125" s="8">
        <f t="shared" si="47"/>
        <v>-0.69605760796395055</v>
      </c>
      <c r="AH125" s="8">
        <f t="shared" si="48"/>
        <v>0.27868487657140278</v>
      </c>
      <c r="AI125" s="8">
        <f t="shared" si="49"/>
        <v>0.66169369497214148</v>
      </c>
      <c r="AJ125" s="8"/>
      <c r="AK125" s="8"/>
      <c r="AL125" s="8"/>
      <c r="AN125" s="8">
        <f t="shared" si="55"/>
        <v>1</v>
      </c>
      <c r="AO125" s="8">
        <f t="shared" si="56"/>
        <v>2.7607620372896702</v>
      </c>
      <c r="AP125" s="8">
        <f t="shared" si="57"/>
        <v>0.84772087136264396</v>
      </c>
      <c r="AQ125" s="8"/>
      <c r="AR125" s="8">
        <f t="shared" si="58"/>
        <v>158.1800129766369</v>
      </c>
      <c r="AS125" s="8">
        <f t="shared" si="59"/>
        <v>41.429171865767927</v>
      </c>
    </row>
    <row r="126" spans="1:45">
      <c r="A126" s="19">
        <v>3.1364666670000001</v>
      </c>
      <c r="B126" s="19">
        <v>1276.6007030000001</v>
      </c>
      <c r="C126" s="19">
        <v>-471.10485190000003</v>
      </c>
      <c r="E126" s="9">
        <f t="shared" si="45"/>
        <v>316.60070300000007</v>
      </c>
      <c r="F126" s="9">
        <f t="shared" si="50"/>
        <v>68.895148099999972</v>
      </c>
      <c r="I126">
        <v>1</v>
      </c>
      <c r="J126">
        <f t="shared" si="46"/>
        <v>0.21083632083812109</v>
      </c>
      <c r="K126">
        <f t="shared" si="51"/>
        <v>0.21426850294655564</v>
      </c>
      <c r="O126">
        <f t="shared" si="52"/>
        <v>0.20449205131796824</v>
      </c>
      <c r="P126">
        <f t="shared" si="53"/>
        <v>4.4499301572379052E-2</v>
      </c>
      <c r="Q126">
        <f t="shared" si="54"/>
        <v>0.97785623335301186</v>
      </c>
      <c r="R126">
        <f t="shared" si="44"/>
        <v>1</v>
      </c>
      <c r="AG126" s="8">
        <f t="shared" si="47"/>
        <v>-0.69575865008179005</v>
      </c>
      <c r="AH126" s="8">
        <f t="shared" si="48"/>
        <v>0.27903171788683589</v>
      </c>
      <c r="AI126" s="8">
        <f t="shared" si="49"/>
        <v>0.66186192007811318</v>
      </c>
      <c r="AJ126" s="8"/>
      <c r="AK126" s="8"/>
      <c r="AL126" s="8"/>
      <c r="AN126" s="8">
        <f t="shared" si="55"/>
        <v>1.0000000000000002</v>
      </c>
      <c r="AO126" s="8">
        <f t="shared" si="56"/>
        <v>2.7601842656888071</v>
      </c>
      <c r="AP126" s="8">
        <f t="shared" si="57"/>
        <v>0.84749648147249512</v>
      </c>
      <c r="AQ126" s="8"/>
      <c r="AR126" s="8">
        <f t="shared" si="58"/>
        <v>158.14690910238494</v>
      </c>
      <c r="AS126" s="8">
        <f t="shared" si="59"/>
        <v>41.442028459438859</v>
      </c>
    </row>
    <row r="127" spans="1:45">
      <c r="A127" s="19">
        <v>3.1698333330000001</v>
      </c>
      <c r="B127" s="19">
        <v>1276.144137</v>
      </c>
      <c r="C127" s="19">
        <v>-471.08266099999997</v>
      </c>
      <c r="E127" s="9">
        <f t="shared" si="45"/>
        <v>316.144137</v>
      </c>
      <c r="F127" s="9">
        <f t="shared" si="50"/>
        <v>68.917339000000027</v>
      </c>
      <c r="I127">
        <v>1</v>
      </c>
      <c r="J127">
        <f t="shared" si="46"/>
        <v>0.21055474088036363</v>
      </c>
      <c r="K127">
        <f t="shared" si="51"/>
        <v>0.21463554805213197</v>
      </c>
      <c r="O127">
        <f t="shared" si="52"/>
        <v>0.20420666950989289</v>
      </c>
      <c r="P127">
        <f t="shared" si="53"/>
        <v>4.4515708569582792E-2</v>
      </c>
      <c r="Q127">
        <f t="shared" si="54"/>
        <v>0.97791512301335504</v>
      </c>
      <c r="R127">
        <f t="shared" si="44"/>
        <v>1</v>
      </c>
      <c r="AG127" s="8">
        <f t="shared" si="47"/>
        <v>-0.69565161425668443</v>
      </c>
      <c r="AH127" s="8">
        <f t="shared" si="48"/>
        <v>0.27930323075732022</v>
      </c>
      <c r="AI127" s="8">
        <f t="shared" si="49"/>
        <v>0.66185990728445865</v>
      </c>
      <c r="AJ127" s="8"/>
      <c r="AK127" s="8"/>
      <c r="AL127" s="8"/>
      <c r="AN127" s="8">
        <f t="shared" si="55"/>
        <v>1</v>
      </c>
      <c r="AO127" s="8">
        <f t="shared" si="56"/>
        <v>2.7597949469484568</v>
      </c>
      <c r="AP127" s="8">
        <f t="shared" si="57"/>
        <v>0.84749916653395185</v>
      </c>
      <c r="AQ127" s="8"/>
      <c r="AR127" s="8">
        <f t="shared" si="58"/>
        <v>158.12460278167751</v>
      </c>
      <c r="AS127" s="8">
        <f t="shared" si="59"/>
        <v>41.441874616749658</v>
      </c>
    </row>
    <row r="128" spans="1:45">
      <c r="A128" s="19">
        <v>3.2031999999999998</v>
      </c>
      <c r="B128" s="19">
        <v>1275.3917039999999</v>
      </c>
      <c r="C128" s="19">
        <v>-471.01505789999999</v>
      </c>
      <c r="E128" s="9">
        <f t="shared" si="45"/>
        <v>315.39170399999989</v>
      </c>
      <c r="F128" s="9">
        <f t="shared" si="50"/>
        <v>68.984942100000012</v>
      </c>
      <c r="I128">
        <v>1</v>
      </c>
      <c r="J128">
        <f t="shared" si="46"/>
        <v>0.21009491506302613</v>
      </c>
      <c r="K128">
        <f t="shared" si="51"/>
        <v>0.21533653925144608</v>
      </c>
      <c r="O128">
        <f t="shared" si="52"/>
        <v>0.20373610737968234</v>
      </c>
      <c r="P128">
        <f t="shared" si="53"/>
        <v>4.4562756068139239E-2</v>
      </c>
      <c r="Q128">
        <f t="shared" si="54"/>
        <v>0.97801112433416937</v>
      </c>
      <c r="R128">
        <f t="shared" si="44"/>
        <v>1</v>
      </c>
      <c r="AG128" s="8">
        <f t="shared" si="47"/>
        <v>-0.69546230856143509</v>
      </c>
      <c r="AH128" s="8">
        <f t="shared" si="48"/>
        <v>0.27974695194244192</v>
      </c>
      <c r="AI128" s="8">
        <f t="shared" si="49"/>
        <v>0.66187145296448036</v>
      </c>
      <c r="AJ128" s="8"/>
      <c r="AK128" s="8"/>
      <c r="AL128" s="8"/>
      <c r="AN128" s="8">
        <f t="shared" si="55"/>
        <v>1</v>
      </c>
      <c r="AO128" s="8">
        <f t="shared" si="56"/>
        <v>2.7591515454264672</v>
      </c>
      <c r="AP128" s="8">
        <f t="shared" si="57"/>
        <v>0.84748376454061269</v>
      </c>
      <c r="AQ128" s="8"/>
      <c r="AR128" s="8">
        <f t="shared" si="58"/>
        <v>158.08773858993521</v>
      </c>
      <c r="AS128" s="8">
        <f t="shared" si="59"/>
        <v>41.442757085964082</v>
      </c>
    </row>
    <row r="129" spans="1:45">
      <c r="A129" s="19">
        <v>3.236566667</v>
      </c>
      <c r="B129" s="19">
        <v>1274.73569</v>
      </c>
      <c r="C129" s="19">
        <v>-471.00193839999997</v>
      </c>
      <c r="E129" s="9">
        <f t="shared" si="45"/>
        <v>314.73568999999998</v>
      </c>
      <c r="F129" s="9">
        <f t="shared" si="50"/>
        <v>68.998061600000028</v>
      </c>
      <c r="I129">
        <v>1</v>
      </c>
      <c r="J129">
        <f t="shared" si="46"/>
        <v>0.2096877665006556</v>
      </c>
      <c r="K129">
        <f t="shared" si="51"/>
        <v>0.21581135718385366</v>
      </c>
      <c r="O129">
        <f t="shared" si="52"/>
        <v>0.20332594948078736</v>
      </c>
      <c r="P129">
        <f t="shared" si="53"/>
        <v>4.45742152316881E-2</v>
      </c>
      <c r="Q129">
        <f t="shared" si="54"/>
        <v>0.97809595521309434</v>
      </c>
      <c r="R129">
        <f t="shared" si="44"/>
        <v>1</v>
      </c>
      <c r="AG129" s="8">
        <f t="shared" si="47"/>
        <v>-0.6953159397905756</v>
      </c>
      <c r="AH129" s="8">
        <f t="shared" si="48"/>
        <v>0.2801393607231803</v>
      </c>
      <c r="AI129" s="8">
        <f t="shared" si="49"/>
        <v>0.66185926181232557</v>
      </c>
      <c r="AJ129" s="8"/>
      <c r="AK129" s="8"/>
      <c r="AL129" s="8"/>
      <c r="AN129" s="8">
        <f t="shared" si="55"/>
        <v>1</v>
      </c>
      <c r="AO129" s="8">
        <f t="shared" si="56"/>
        <v>2.7585930250103115</v>
      </c>
      <c r="AP129" s="8">
        <f t="shared" si="57"/>
        <v>0.84750002759073662</v>
      </c>
      <c r="AQ129" s="8"/>
      <c r="AR129" s="8">
        <f t="shared" si="58"/>
        <v>158.05573772731759</v>
      </c>
      <c r="AS129" s="8">
        <f t="shared" si="59"/>
        <v>41.441825281829971</v>
      </c>
    </row>
    <row r="130" spans="1:45">
      <c r="A130" s="19">
        <v>3.269933333</v>
      </c>
      <c r="B130" s="19">
        <v>1274.2125779999999</v>
      </c>
      <c r="C130" s="19">
        <v>-471.06612389999998</v>
      </c>
      <c r="E130" s="9">
        <f t="shared" si="45"/>
        <v>314.21257799999989</v>
      </c>
      <c r="F130" s="9">
        <f t="shared" si="50"/>
        <v>68.93387610000002</v>
      </c>
      <c r="I130">
        <v>1</v>
      </c>
      <c r="J130">
        <f t="shared" si="46"/>
        <v>0.20935287569285116</v>
      </c>
      <c r="K130">
        <f t="shared" si="51"/>
        <v>0.2159646829249933</v>
      </c>
      <c r="O130">
        <f t="shared" si="52"/>
        <v>0.20299915504542304</v>
      </c>
      <c r="P130">
        <f t="shared" si="53"/>
        <v>4.4535195539835752E-2</v>
      </c>
      <c r="Q130">
        <f t="shared" si="54"/>
        <v>0.9781656093980573</v>
      </c>
      <c r="R130">
        <f t="shared" si="44"/>
        <v>1</v>
      </c>
      <c r="AG130" s="8">
        <f t="shared" si="47"/>
        <v>-0.69522980733760431</v>
      </c>
      <c r="AH130" s="8">
        <f t="shared" si="48"/>
        <v>0.28046130247114753</v>
      </c>
      <c r="AI130" s="8">
        <f t="shared" si="49"/>
        <v>0.66181339726958155</v>
      </c>
      <c r="AJ130" s="8"/>
      <c r="AK130" s="8"/>
      <c r="AL130" s="8"/>
      <c r="AN130" s="8">
        <f t="shared" si="55"/>
        <v>0.99999999999999989</v>
      </c>
      <c r="AO130" s="8">
        <f t="shared" si="56"/>
        <v>2.758151757418561</v>
      </c>
      <c r="AP130" s="8">
        <f t="shared" si="57"/>
        <v>0.84756120899903109</v>
      </c>
      <c r="AQ130" s="8"/>
      <c r="AR130" s="8">
        <f t="shared" si="58"/>
        <v>158.03045495667439</v>
      </c>
      <c r="AS130" s="8">
        <f t="shared" si="59"/>
        <v>41.43831984535003</v>
      </c>
    </row>
    <row r="131" spans="1:45">
      <c r="A131" s="19">
        <v>3.3033000000000001</v>
      </c>
      <c r="B131" s="19">
        <v>1273.4683319999999</v>
      </c>
      <c r="C131" s="19">
        <v>-470.85356250000001</v>
      </c>
      <c r="E131" s="9">
        <f t="shared" si="45"/>
        <v>313.46833199999992</v>
      </c>
      <c r="F131" s="9">
        <f t="shared" si="50"/>
        <v>69.14643749999999</v>
      </c>
      <c r="I131">
        <v>1</v>
      </c>
      <c r="J131">
        <f t="shared" si="46"/>
        <v>0.20891805216977805</v>
      </c>
      <c r="K131">
        <f t="shared" si="51"/>
        <v>0.21710830709072973</v>
      </c>
      <c r="O131">
        <f t="shared" si="52"/>
        <v>0.20253272704679479</v>
      </c>
      <c r="P131">
        <f t="shared" si="53"/>
        <v>4.4675698062047804E-2</v>
      </c>
      <c r="Q131">
        <f t="shared" si="54"/>
        <v>0.97825588496960103</v>
      </c>
      <c r="R131">
        <f t="shared" si="44"/>
        <v>1</v>
      </c>
      <c r="AG131" s="8">
        <f t="shared" si="47"/>
        <v>-0.69498218112995758</v>
      </c>
      <c r="AH131" s="8">
        <f t="shared" si="48"/>
        <v>0.2808826105299419</v>
      </c>
      <c r="AI131" s="8">
        <f t="shared" si="49"/>
        <v>0.66189480056405636</v>
      </c>
      <c r="AJ131" s="8"/>
      <c r="AK131" s="8"/>
      <c r="AL131" s="8"/>
      <c r="AN131" s="8">
        <f t="shared" si="55"/>
        <v>1</v>
      </c>
      <c r="AO131" s="8">
        <f t="shared" si="56"/>
        <v>2.7575069383704571</v>
      </c>
      <c r="AP131" s="8">
        <f t="shared" si="57"/>
        <v>0.84745261808909589</v>
      </c>
      <c r="AQ131" s="8"/>
      <c r="AR131" s="8">
        <f t="shared" si="58"/>
        <v>157.99350954666841</v>
      </c>
      <c r="AS131" s="8">
        <f t="shared" si="59"/>
        <v>41.444541646182799</v>
      </c>
    </row>
    <row r="132" spans="1:45">
      <c r="A132" s="19">
        <v>3.3366666669999998</v>
      </c>
      <c r="B132" s="19">
        <v>1272.8322370000001</v>
      </c>
      <c r="C132" s="19">
        <v>-470.59503310000002</v>
      </c>
      <c r="E132" s="9">
        <f t="shared" si="45"/>
        <v>312.83223700000008</v>
      </c>
      <c r="F132" s="9">
        <f t="shared" si="50"/>
        <v>69.404966899999977</v>
      </c>
      <c r="I132">
        <v>1</v>
      </c>
      <c r="J132">
        <f t="shared" si="46"/>
        <v>0.20855719522962651</v>
      </c>
      <c r="K132">
        <f t="shared" si="51"/>
        <v>0.21832376365262388</v>
      </c>
      <c r="O132">
        <f t="shared" si="52"/>
        <v>0.2021336322874551</v>
      </c>
      <c r="P132">
        <f t="shared" si="53"/>
        <v>4.4845372052521502E-2</v>
      </c>
      <c r="Q132">
        <f t="shared" si="54"/>
        <v>0.97833066358146559</v>
      </c>
      <c r="R132">
        <f t="shared" si="44"/>
        <v>1</v>
      </c>
      <c r="AG132" s="8">
        <f t="shared" si="47"/>
        <v>-0.6947387686025166</v>
      </c>
      <c r="AH132" s="8">
        <f t="shared" si="48"/>
        <v>0.28123339524108082</v>
      </c>
      <c r="AI132" s="8">
        <f t="shared" si="49"/>
        <v>0.66200137522654212</v>
      </c>
      <c r="AJ132" s="8"/>
      <c r="AK132" s="8"/>
      <c r="AL132" s="8"/>
      <c r="AN132" s="8">
        <f t="shared" si="55"/>
        <v>1</v>
      </c>
      <c r="AO132" s="8">
        <f t="shared" si="56"/>
        <v>2.7569513211577883</v>
      </c>
      <c r="AP132" s="8">
        <f t="shared" si="57"/>
        <v>0.84731043316787369</v>
      </c>
      <c r="AQ132" s="8"/>
      <c r="AR132" s="8">
        <f t="shared" si="58"/>
        <v>157.96167502535766</v>
      </c>
      <c r="AS132" s="8">
        <f t="shared" si="59"/>
        <v>41.452688242079233</v>
      </c>
    </row>
    <row r="133" spans="1:45">
      <c r="A133" s="19">
        <v>3.3700333329999999</v>
      </c>
      <c r="B133" s="19">
        <v>1272.314985</v>
      </c>
      <c r="C133" s="19">
        <v>-470.35043009999998</v>
      </c>
      <c r="E133" s="9">
        <f t="shared" si="45"/>
        <v>312.31498499999998</v>
      </c>
      <c r="F133" s="9">
        <f t="shared" si="50"/>
        <v>69.649569900000017</v>
      </c>
      <c r="I133">
        <v>1</v>
      </c>
      <c r="J133">
        <f t="shared" si="46"/>
        <v>0.2082687220828062</v>
      </c>
      <c r="K133">
        <f t="shared" si="51"/>
        <v>0.21942015198170758</v>
      </c>
      <c r="O133">
        <f t="shared" si="52"/>
        <v>0.20180887894291194</v>
      </c>
      <c r="P133">
        <f t="shared" si="53"/>
        <v>4.5005530619592227E-2</v>
      </c>
      <c r="Q133">
        <f t="shared" si="54"/>
        <v>0.97839035082805981</v>
      </c>
      <c r="R133">
        <f t="shared" si="44"/>
        <v>1</v>
      </c>
      <c r="AG133" s="8">
        <f t="shared" si="47"/>
        <v>-0.69452657313160304</v>
      </c>
      <c r="AH133" s="8">
        <f t="shared" si="48"/>
        <v>0.28151447414191516</v>
      </c>
      <c r="AI133" s="8">
        <f t="shared" si="49"/>
        <v>0.66210455372446508</v>
      </c>
      <c r="AJ133" s="8"/>
      <c r="AK133" s="8"/>
      <c r="AL133" s="8"/>
      <c r="AN133" s="8">
        <f t="shared" si="55"/>
        <v>1</v>
      </c>
      <c r="AO133" s="8">
        <f t="shared" si="56"/>
        <v>2.7564974146476922</v>
      </c>
      <c r="AP133" s="8">
        <f t="shared" si="57"/>
        <v>0.8471727621726225</v>
      </c>
      <c r="AQ133" s="8"/>
      <c r="AR133" s="8">
        <f t="shared" si="58"/>
        <v>157.93566809803562</v>
      </c>
      <c r="AS133" s="8">
        <f t="shared" si="59"/>
        <v>41.460576209068492</v>
      </c>
    </row>
    <row r="134" spans="1:45">
      <c r="A134" s="19">
        <v>3.4034</v>
      </c>
      <c r="B134" s="19">
        <v>1271.5818019999999</v>
      </c>
      <c r="C134" s="19">
        <v>-470.2988982</v>
      </c>
      <c r="E134" s="9">
        <f t="shared" si="45"/>
        <v>311.58180199999993</v>
      </c>
      <c r="F134" s="9">
        <f t="shared" si="50"/>
        <v>69.701101800000004</v>
      </c>
      <c r="I134">
        <v>1</v>
      </c>
      <c r="J134">
        <f t="shared" si="46"/>
        <v>0.20781895618488189</v>
      </c>
      <c r="K134">
        <f t="shared" si="51"/>
        <v>0.22007751203050496</v>
      </c>
      <c r="O134">
        <f t="shared" si="52"/>
        <v>0.20134979718579879</v>
      </c>
      <c r="P134">
        <f t="shared" si="53"/>
        <v>4.5042112924992703E-2</v>
      </c>
      <c r="Q134">
        <f t="shared" si="54"/>
        <v>0.97848324831674549</v>
      </c>
      <c r="R134">
        <f t="shared" si="44"/>
        <v>1</v>
      </c>
      <c r="AG134" s="8">
        <f t="shared" si="47"/>
        <v>-0.69434704193328201</v>
      </c>
      <c r="AH134" s="8">
        <f t="shared" si="48"/>
        <v>0.28194861708853536</v>
      </c>
      <c r="AI134" s="8">
        <f t="shared" si="49"/>
        <v>0.66210812008339204</v>
      </c>
      <c r="AJ134" s="8"/>
      <c r="AK134" s="8"/>
      <c r="AL134" s="8"/>
      <c r="AN134" s="8">
        <f t="shared" si="55"/>
        <v>0.99999999999999989</v>
      </c>
      <c r="AO134" s="8">
        <f t="shared" si="56"/>
        <v>2.7558705361946618</v>
      </c>
      <c r="AP134" s="8">
        <f t="shared" si="57"/>
        <v>0.84716800328309383</v>
      </c>
      <c r="AQ134" s="8"/>
      <c r="AR134" s="8">
        <f t="shared" si="58"/>
        <v>157.89975060840931</v>
      </c>
      <c r="AS134" s="8">
        <f t="shared" si="59"/>
        <v>41.460848873353655</v>
      </c>
    </row>
    <row r="135" spans="1:45">
      <c r="A135" s="19">
        <v>3.4367666670000001</v>
      </c>
      <c r="B135" s="19">
        <v>1270.895874</v>
      </c>
      <c r="C135" s="19">
        <v>-470.28510699999998</v>
      </c>
      <c r="E135" s="9">
        <f t="shared" si="45"/>
        <v>310.89587400000005</v>
      </c>
      <c r="F135" s="9">
        <f t="shared" si="50"/>
        <v>69.714893000000018</v>
      </c>
      <c r="I135">
        <v>1</v>
      </c>
      <c r="J135">
        <f t="shared" si="46"/>
        <v>0.20739337884090908</v>
      </c>
      <c r="K135">
        <f t="shared" si="51"/>
        <v>0.2205897275505414</v>
      </c>
      <c r="O135">
        <f t="shared" si="52"/>
        <v>0.20092035143626955</v>
      </c>
      <c r="P135">
        <f t="shared" si="53"/>
        <v>4.5054122532040837E-2</v>
      </c>
      <c r="Q135">
        <f t="shared" si="54"/>
        <v>0.9785709674937193</v>
      </c>
      <c r="R135">
        <f t="shared" si="44"/>
        <v>1</v>
      </c>
      <c r="AG135" s="8">
        <f t="shared" si="47"/>
        <v>-0.69419307819085363</v>
      </c>
      <c r="AH135" s="8">
        <f t="shared" si="48"/>
        <v>0.28235895545795353</v>
      </c>
      <c r="AI135" s="8">
        <f t="shared" si="49"/>
        <v>0.66209469901563245</v>
      </c>
      <c r="AJ135" s="8"/>
      <c r="AK135" s="8"/>
      <c r="AL135" s="8"/>
      <c r="AN135" s="8">
        <f t="shared" si="55"/>
        <v>1.0000000000000002</v>
      </c>
      <c r="AO135" s="8">
        <f t="shared" si="56"/>
        <v>2.7552859307524153</v>
      </c>
      <c r="AP135" s="8">
        <f t="shared" si="57"/>
        <v>0.84718591202675098</v>
      </c>
      <c r="AQ135" s="8"/>
      <c r="AR135" s="8">
        <f t="shared" si="58"/>
        <v>157.8662551838882</v>
      </c>
      <c r="AS135" s="8">
        <f t="shared" si="59"/>
        <v>41.459822777925716</v>
      </c>
    </row>
    <row r="136" spans="1:45">
      <c r="A136" s="19">
        <v>3.4701333330000002</v>
      </c>
      <c r="B136" s="19">
        <v>1270.405454</v>
      </c>
      <c r="C136" s="19">
        <v>-470.07876590000001</v>
      </c>
      <c r="E136" s="9">
        <f t="shared" si="45"/>
        <v>310.40545399999996</v>
      </c>
      <c r="F136" s="9">
        <f t="shared" si="50"/>
        <v>69.921234099999992</v>
      </c>
      <c r="I136">
        <v>1</v>
      </c>
      <c r="J136">
        <f t="shared" si="46"/>
        <v>0.20711663893874016</v>
      </c>
      <c r="K136">
        <f t="shared" si="51"/>
        <v>0.22155975879119932</v>
      </c>
      <c r="O136">
        <f t="shared" si="52"/>
        <v>0.20061235538924135</v>
      </c>
      <c r="P136">
        <f t="shared" si="53"/>
        <v>4.5189487761138181E-2</v>
      </c>
      <c r="Q136">
        <f t="shared" si="54"/>
        <v>0.97862791348962996</v>
      </c>
      <c r="R136">
        <f t="shared" si="44"/>
        <v>1</v>
      </c>
      <c r="AG136" s="8">
        <f t="shared" si="47"/>
        <v>-0.69400206079622517</v>
      </c>
      <c r="AH136" s="8">
        <f t="shared" si="48"/>
        <v>0.28262854401426357</v>
      </c>
      <c r="AI136" s="8">
        <f t="shared" si="49"/>
        <v>0.66217991944710175</v>
      </c>
      <c r="AJ136" s="8"/>
      <c r="AK136" s="8"/>
      <c r="AL136" s="8"/>
      <c r="AN136" s="8">
        <f t="shared" si="55"/>
        <v>1</v>
      </c>
      <c r="AO136" s="8">
        <f t="shared" si="56"/>
        <v>2.7548566339681964</v>
      </c>
      <c r="AP136" s="8">
        <f t="shared" si="57"/>
        <v>0.84707219115970966</v>
      </c>
      <c r="AQ136" s="8"/>
      <c r="AR136" s="8">
        <f t="shared" si="58"/>
        <v>157.84165828999392</v>
      </c>
      <c r="AS136" s="8">
        <f t="shared" si="59"/>
        <v>41.466338503649752</v>
      </c>
    </row>
    <row r="137" spans="1:45">
      <c r="A137" s="19">
        <v>3.5034999999999998</v>
      </c>
      <c r="B137" s="19">
        <v>1269.545404</v>
      </c>
      <c r="C137" s="19">
        <v>-469.99563180000001</v>
      </c>
      <c r="E137" s="9">
        <f t="shared" si="45"/>
        <v>309.54540399999996</v>
      </c>
      <c r="F137" s="9">
        <f t="shared" si="50"/>
        <v>70.004368199999988</v>
      </c>
      <c r="I137">
        <v>1</v>
      </c>
      <c r="J137">
        <f t="shared" si="46"/>
        <v>0.2065923583251198</v>
      </c>
      <c r="K137">
        <f t="shared" si="51"/>
        <v>0.22241083373581624</v>
      </c>
      <c r="O137">
        <f t="shared" si="52"/>
        <v>0.20007335773599835</v>
      </c>
      <c r="P137">
        <f t="shared" si="53"/>
        <v>4.524702619057832E-2</v>
      </c>
      <c r="Q137">
        <f t="shared" si="54"/>
        <v>0.9787355915389776</v>
      </c>
      <c r="R137">
        <f t="shared" si="44"/>
        <v>1</v>
      </c>
      <c r="AG137" s="8">
        <f t="shared" si="47"/>
        <v>-0.69378155052858947</v>
      </c>
      <c r="AH137" s="8">
        <f t="shared" si="48"/>
        <v>0.28313508473584809</v>
      </c>
      <c r="AI137" s="8">
        <f t="shared" si="49"/>
        <v>0.66219459672951908</v>
      </c>
      <c r="AJ137" s="8"/>
      <c r="AK137" s="8"/>
      <c r="AL137" s="8"/>
      <c r="AN137" s="8">
        <f t="shared" si="55"/>
        <v>1</v>
      </c>
      <c r="AO137" s="8">
        <f t="shared" si="56"/>
        <v>2.7541195780185936</v>
      </c>
      <c r="AP137" s="8">
        <f t="shared" si="57"/>
        <v>0.84705260417144013</v>
      </c>
      <c r="AQ137" s="8"/>
      <c r="AR137" s="8">
        <f t="shared" si="58"/>
        <v>157.79942809481668</v>
      </c>
      <c r="AS137" s="8">
        <f t="shared" si="59"/>
        <v>41.467460755410968</v>
      </c>
    </row>
    <row r="138" spans="1:45">
      <c r="A138" s="19">
        <v>3.536866667</v>
      </c>
      <c r="B138" s="19">
        <v>1269.2438119999999</v>
      </c>
      <c r="C138" s="19">
        <v>-469.99150959999997</v>
      </c>
      <c r="E138" s="9">
        <f t="shared" si="45"/>
        <v>309.24381199999993</v>
      </c>
      <c r="F138" s="9">
        <f t="shared" si="50"/>
        <v>70.008490400000028</v>
      </c>
      <c r="I138">
        <v>1</v>
      </c>
      <c r="J138">
        <f t="shared" si="46"/>
        <v>0.20640498873783808</v>
      </c>
      <c r="K138">
        <f t="shared" si="51"/>
        <v>0.22263332878846134</v>
      </c>
      <c r="O138">
        <f t="shared" si="52"/>
        <v>0.19988442280931026</v>
      </c>
      <c r="P138">
        <f t="shared" si="53"/>
        <v>4.5251048371358023E-2</v>
      </c>
      <c r="Q138">
        <f t="shared" si="54"/>
        <v>0.9787740087167629</v>
      </c>
      <c r="R138">
        <f t="shared" si="44"/>
        <v>1</v>
      </c>
      <c r="AG138" s="8">
        <f t="shared" si="47"/>
        <v>-0.69371446615910803</v>
      </c>
      <c r="AH138" s="8">
        <f t="shared" si="48"/>
        <v>0.28331574820391958</v>
      </c>
      <c r="AI138" s="8">
        <f t="shared" si="49"/>
        <v>0.66218760654457809</v>
      </c>
      <c r="AJ138" s="8"/>
      <c r="AK138" s="8"/>
      <c r="AL138" s="8"/>
      <c r="AN138" s="8">
        <f t="shared" si="55"/>
        <v>0.99999999999999989</v>
      </c>
      <c r="AO138" s="8">
        <f t="shared" si="56"/>
        <v>2.7538625269691819</v>
      </c>
      <c r="AP138" s="8">
        <f t="shared" si="57"/>
        <v>0.84706193268929164</v>
      </c>
      <c r="AQ138" s="8"/>
      <c r="AR138" s="8">
        <f t="shared" si="58"/>
        <v>157.78470015456597</v>
      </c>
      <c r="AS138" s="8">
        <f t="shared" si="59"/>
        <v>41.466926270708967</v>
      </c>
    </row>
    <row r="139" spans="1:45">
      <c r="A139" s="19">
        <v>3.570233333</v>
      </c>
      <c r="B139" s="19">
        <v>1268.481278</v>
      </c>
      <c r="C139" s="19">
        <v>-469.71300769999999</v>
      </c>
      <c r="E139" s="9">
        <f t="shared" si="45"/>
        <v>308.48127799999997</v>
      </c>
      <c r="F139" s="9">
        <f t="shared" si="50"/>
        <v>70.286992300000009</v>
      </c>
      <c r="I139">
        <v>1</v>
      </c>
      <c r="J139">
        <f t="shared" si="46"/>
        <v>0.20596922895145245</v>
      </c>
      <c r="K139">
        <f t="shared" si="51"/>
        <v>0.22402401324161317</v>
      </c>
      <c r="O139">
        <f t="shared" si="52"/>
        <v>0.19940542820029597</v>
      </c>
      <c r="P139">
        <f t="shared" si="53"/>
        <v>4.5434225011517254E-2</v>
      </c>
      <c r="Q139">
        <f t="shared" si="54"/>
        <v>0.97886322149821292</v>
      </c>
      <c r="R139">
        <f t="shared" si="44"/>
        <v>1</v>
      </c>
      <c r="AG139" s="8">
        <f t="shared" si="47"/>
        <v>-0.69343437503463878</v>
      </c>
      <c r="AH139" s="8">
        <f t="shared" si="48"/>
        <v>0.28374003917738877</v>
      </c>
      <c r="AI139" s="8">
        <f t="shared" si="49"/>
        <v>0.66229929615539684</v>
      </c>
      <c r="AJ139" s="8"/>
      <c r="AK139" s="8"/>
      <c r="AL139" s="8"/>
      <c r="AN139" s="8">
        <f t="shared" si="55"/>
        <v>1.0000000000000002</v>
      </c>
      <c r="AO139" s="8">
        <f t="shared" si="56"/>
        <v>2.753196925483727</v>
      </c>
      <c r="AP139" s="8">
        <f t="shared" si="57"/>
        <v>0.8469128718457557</v>
      </c>
      <c r="AQ139" s="8"/>
      <c r="AR139" s="8">
        <f t="shared" si="58"/>
        <v>157.74656399861175</v>
      </c>
      <c r="AS139" s="8">
        <f t="shared" si="59"/>
        <v>41.475466827934234</v>
      </c>
    </row>
    <row r="140" spans="1:45">
      <c r="A140" s="19">
        <v>3.6036000000000001</v>
      </c>
      <c r="B140" s="19">
        <v>1267.662896</v>
      </c>
      <c r="C140" s="19">
        <v>-469.37873380000002</v>
      </c>
      <c r="E140" s="9">
        <f t="shared" si="45"/>
        <v>307.66289600000005</v>
      </c>
      <c r="F140" s="9">
        <f t="shared" si="50"/>
        <v>70.62126619999998</v>
      </c>
      <c r="I140">
        <v>1</v>
      </c>
      <c r="J140">
        <f t="shared" si="46"/>
        <v>0.20550697070798249</v>
      </c>
      <c r="K140">
        <f t="shared" si="51"/>
        <v>0.22563245916326607</v>
      </c>
      <c r="O140">
        <f t="shared" si="52"/>
        <v>0.19889105221325568</v>
      </c>
      <c r="P140">
        <f t="shared" si="53"/>
        <v>4.5653662257506743E-2</v>
      </c>
      <c r="Q140">
        <f t="shared" si="54"/>
        <v>0.97895765611796581</v>
      </c>
      <c r="R140">
        <f t="shared" si="44"/>
        <v>1</v>
      </c>
      <c r="AG140" s="8">
        <f t="shared" si="47"/>
        <v>-0.69311895085911746</v>
      </c>
      <c r="AH140" s="8">
        <f t="shared" si="48"/>
        <v>0.28419109947739385</v>
      </c>
      <c r="AI140" s="8">
        <f t="shared" si="49"/>
        <v>0.66243606403772004</v>
      </c>
      <c r="AJ140" s="8"/>
      <c r="AK140" s="8"/>
      <c r="AL140" s="8"/>
      <c r="AN140" s="8">
        <f t="shared" si="55"/>
        <v>0.99999999999999989</v>
      </c>
      <c r="AO140" s="8">
        <f t="shared" si="56"/>
        <v>2.7524801939560763</v>
      </c>
      <c r="AP140" s="8">
        <f t="shared" si="57"/>
        <v>0.84673031481025907</v>
      </c>
      <c r="AQ140" s="8"/>
      <c r="AR140" s="8">
        <f t="shared" si="58"/>
        <v>157.70549830703342</v>
      </c>
      <c r="AS140" s="8">
        <f t="shared" si="59"/>
        <v>41.485926575588614</v>
      </c>
    </row>
    <row r="141" spans="1:45">
      <c r="A141" s="19">
        <v>3.6369666669999998</v>
      </c>
      <c r="B141" s="19">
        <v>1267.1127739999999</v>
      </c>
      <c r="C141" s="19">
        <v>-469.32705620000002</v>
      </c>
      <c r="E141" s="9">
        <f t="shared" si="45"/>
        <v>307.11277399999994</v>
      </c>
      <c r="F141" s="9">
        <f t="shared" si="50"/>
        <v>70.672943799999985</v>
      </c>
      <c r="I141">
        <v>1</v>
      </c>
      <c r="J141">
        <f t="shared" si="46"/>
        <v>0.20517165449201219</v>
      </c>
      <c r="K141">
        <f t="shared" si="51"/>
        <v>0.22618282674853182</v>
      </c>
      <c r="O141">
        <f t="shared" si="52"/>
        <v>0.19854598519177807</v>
      </c>
      <c r="P141">
        <f t="shared" si="53"/>
        <v>4.5689500538893785E-2</v>
      </c>
      <c r="Q141">
        <f t="shared" si="54"/>
        <v>0.97902602687810736</v>
      </c>
      <c r="R141">
        <f t="shared" si="44"/>
        <v>1</v>
      </c>
      <c r="AG141" s="8">
        <f t="shared" si="47"/>
        <v>-0.69297802264713237</v>
      </c>
      <c r="AH141" s="8">
        <f t="shared" si="48"/>
        <v>0.28451529213104559</v>
      </c>
      <c r="AI141" s="8">
        <f t="shared" si="49"/>
        <v>0.66244434382946937</v>
      </c>
      <c r="AJ141" s="8"/>
      <c r="AK141" s="8"/>
      <c r="AL141" s="8"/>
      <c r="AN141" s="8">
        <f t="shared" si="55"/>
        <v>1</v>
      </c>
      <c r="AO141" s="8">
        <f t="shared" si="56"/>
        <v>2.7520084060465515</v>
      </c>
      <c r="AP141" s="8">
        <f t="shared" si="57"/>
        <v>0.84671926204264092</v>
      </c>
      <c r="AQ141" s="8"/>
      <c r="AR141" s="8">
        <f t="shared" si="58"/>
        <v>157.67846685099235</v>
      </c>
      <c r="AS141" s="8">
        <f t="shared" si="59"/>
        <v>41.486559852525069</v>
      </c>
    </row>
    <row r="142" spans="1:45">
      <c r="A142" s="19">
        <v>3.6703333329999999</v>
      </c>
      <c r="B142" s="19">
        <v>1266.3862810000001</v>
      </c>
      <c r="C142" s="19">
        <v>-469.22588209999998</v>
      </c>
      <c r="E142" s="9">
        <f t="shared" si="45"/>
        <v>306.38628100000005</v>
      </c>
      <c r="F142" s="9">
        <f t="shared" si="50"/>
        <v>70.774117900000022</v>
      </c>
      <c r="I142">
        <v>1</v>
      </c>
      <c r="J142">
        <f t="shared" si="46"/>
        <v>0.20473360289585191</v>
      </c>
      <c r="K142">
        <f t="shared" si="51"/>
        <v>0.22701448941357708</v>
      </c>
      <c r="O142">
        <f t="shared" si="52"/>
        <v>0.19809003883173287</v>
      </c>
      <c r="P142">
        <f t="shared" si="53"/>
        <v>4.5758079367439572E-2</v>
      </c>
      <c r="Q142">
        <f t="shared" si="54"/>
        <v>0.97911517948004756</v>
      </c>
      <c r="R142">
        <f t="shared" si="44"/>
        <v>1</v>
      </c>
      <c r="AG142" s="8">
        <f t="shared" si="47"/>
        <v>-0.69277819387605921</v>
      </c>
      <c r="AH142" s="8">
        <f t="shared" si="48"/>
        <v>0.28493943061296922</v>
      </c>
      <c r="AI142" s="8">
        <f t="shared" si="49"/>
        <v>0.66247105217645708</v>
      </c>
      <c r="AJ142" s="8"/>
      <c r="AK142" s="8"/>
      <c r="AL142" s="8"/>
      <c r="AN142" s="8">
        <f t="shared" si="55"/>
        <v>0.99999999999999989</v>
      </c>
      <c r="AO142" s="8">
        <f t="shared" si="56"/>
        <v>2.7513833091261444</v>
      </c>
      <c r="AP142" s="8">
        <f t="shared" si="57"/>
        <v>0.84668360809648224</v>
      </c>
      <c r="AQ142" s="8"/>
      <c r="AR142" s="8">
        <f t="shared" si="58"/>
        <v>157.64265143566638</v>
      </c>
      <c r="AS142" s="8">
        <f t="shared" si="59"/>
        <v>41.488602673162951</v>
      </c>
    </row>
    <row r="143" spans="1:45">
      <c r="A143" s="19">
        <v>3.7037</v>
      </c>
      <c r="B143" s="19">
        <v>1265.5991710000001</v>
      </c>
      <c r="C143" s="19">
        <v>-469.19750340000002</v>
      </c>
      <c r="E143" s="9">
        <f t="shared" si="45"/>
        <v>305.59917100000007</v>
      </c>
      <c r="F143" s="9">
        <f t="shared" si="50"/>
        <v>70.802496599999984</v>
      </c>
      <c r="I143">
        <v>1</v>
      </c>
      <c r="J143">
        <f t="shared" si="46"/>
        <v>0.204247348112952</v>
      </c>
      <c r="K143">
        <f t="shared" si="51"/>
        <v>0.22766737159900302</v>
      </c>
      <c r="O143">
        <f t="shared" si="52"/>
        <v>0.19759628463729167</v>
      </c>
      <c r="P143">
        <f t="shared" si="53"/>
        <v>4.5779935283935931E-2</v>
      </c>
      <c r="Q143">
        <f t="shared" si="54"/>
        <v>0.97921392240048188</v>
      </c>
      <c r="R143">
        <f t="shared" si="44"/>
        <v>1</v>
      </c>
      <c r="AG143" s="8">
        <f t="shared" si="47"/>
        <v>-0.69259494740617056</v>
      </c>
      <c r="AH143" s="8">
        <f t="shared" si="48"/>
        <v>0.28540882643698146</v>
      </c>
      <c r="AI143" s="8">
        <f t="shared" si="49"/>
        <v>0.66246059552195924</v>
      </c>
      <c r="AJ143" s="8"/>
      <c r="AK143" s="8"/>
      <c r="AL143" s="8"/>
      <c r="AN143" s="8">
        <f t="shared" si="55"/>
        <v>1</v>
      </c>
      <c r="AO143" s="8">
        <f t="shared" si="56"/>
        <v>2.750710746102035</v>
      </c>
      <c r="AP143" s="8">
        <f t="shared" si="57"/>
        <v>0.84669756719971967</v>
      </c>
      <c r="AQ143" s="8"/>
      <c r="AR143" s="8">
        <f t="shared" si="58"/>
        <v>157.60411641292836</v>
      </c>
      <c r="AS143" s="8">
        <f t="shared" si="59"/>
        <v>41.487802875461661</v>
      </c>
    </row>
    <row r="144" spans="1:45">
      <c r="A144" s="19">
        <v>3.7370666670000001</v>
      </c>
      <c r="B144" s="19">
        <v>1265.0847349999999</v>
      </c>
      <c r="C144" s="19">
        <v>-469.24009919999997</v>
      </c>
      <c r="E144" s="9">
        <f t="shared" si="45"/>
        <v>305.08473499999991</v>
      </c>
      <c r="F144" s="9">
        <f t="shared" si="50"/>
        <v>70.759900800000025</v>
      </c>
      <c r="I144">
        <v>1</v>
      </c>
      <c r="J144">
        <f t="shared" si="46"/>
        <v>0.2039207047983273</v>
      </c>
      <c r="K144">
        <f t="shared" si="51"/>
        <v>0.22790561721325023</v>
      </c>
      <c r="O144">
        <f t="shared" si="52"/>
        <v>0.19727377880655222</v>
      </c>
      <c r="P144">
        <f t="shared" si="53"/>
        <v>4.5754740953501939E-2</v>
      </c>
      <c r="Q144">
        <f t="shared" si="54"/>
        <v>0.97928012329244252</v>
      </c>
      <c r="R144">
        <f t="shared" si="44"/>
        <v>1</v>
      </c>
      <c r="AG144" s="8">
        <f t="shared" si="47"/>
        <v>-0.6925002553780526</v>
      </c>
      <c r="AH144" s="8">
        <f t="shared" si="48"/>
        <v>0.28572304234142365</v>
      </c>
      <c r="AI144" s="8">
        <f t="shared" si="49"/>
        <v>0.6624241385822931</v>
      </c>
      <c r="AJ144" s="8"/>
      <c r="AK144" s="8"/>
      <c r="AL144" s="8"/>
      <c r="AN144" s="8">
        <f t="shared" si="55"/>
        <v>1</v>
      </c>
      <c r="AO144" s="8">
        <f t="shared" si="56"/>
        <v>2.7502747815129642</v>
      </c>
      <c r="AP144" s="8">
        <f t="shared" si="57"/>
        <v>0.84674623401688787</v>
      </c>
      <c r="AQ144" s="8"/>
      <c r="AR144" s="8">
        <f t="shared" si="58"/>
        <v>157.57913748195745</v>
      </c>
      <c r="AS144" s="8">
        <f t="shared" si="59"/>
        <v>41.485014472235584</v>
      </c>
    </row>
    <row r="145" spans="1:45">
      <c r="A145" s="19">
        <v>3.7704333330000002</v>
      </c>
      <c r="B145" s="19">
        <v>1264.421245</v>
      </c>
      <c r="C145" s="19">
        <v>-469.06097790000001</v>
      </c>
      <c r="E145" s="9">
        <f t="shared" si="45"/>
        <v>304.421245</v>
      </c>
      <c r="F145" s="9">
        <f t="shared" si="50"/>
        <v>70.939022099999988</v>
      </c>
      <c r="I145">
        <v>1</v>
      </c>
      <c r="J145">
        <f t="shared" si="46"/>
        <v>0.20353330308672873</v>
      </c>
      <c r="K145">
        <f t="shared" si="51"/>
        <v>0.22894343071268142</v>
      </c>
      <c r="O145">
        <f t="shared" si="52"/>
        <v>0.19685669723387808</v>
      </c>
      <c r="P145">
        <f t="shared" si="53"/>
        <v>4.5873347622657164E-2</v>
      </c>
      <c r="Q145">
        <f t="shared" si="54"/>
        <v>0.97935850265980751</v>
      </c>
      <c r="R145">
        <f t="shared" si="44"/>
        <v>1</v>
      </c>
      <c r="AG145" s="8">
        <f t="shared" si="47"/>
        <v>-0.69228158431135911</v>
      </c>
      <c r="AH145" s="8">
        <f t="shared" si="48"/>
        <v>0.28609987985717233</v>
      </c>
      <c r="AI145" s="8">
        <f t="shared" si="49"/>
        <v>0.66249005031703401</v>
      </c>
      <c r="AJ145" s="8"/>
      <c r="AK145" s="8"/>
      <c r="AL145" s="8"/>
      <c r="AN145" s="8">
        <f t="shared" si="55"/>
        <v>1</v>
      </c>
      <c r="AO145" s="8">
        <f t="shared" si="56"/>
        <v>2.7496983953182443</v>
      </c>
      <c r="AP145" s="8">
        <f t="shared" si="57"/>
        <v>0.84665824610170726</v>
      </c>
      <c r="AQ145" s="8"/>
      <c r="AR145" s="8">
        <f t="shared" si="58"/>
        <v>157.5461129856304</v>
      </c>
      <c r="AS145" s="8">
        <f t="shared" si="59"/>
        <v>41.490055808423591</v>
      </c>
    </row>
    <row r="146" spans="1:45">
      <c r="A146" s="19">
        <v>3.8037999999999998</v>
      </c>
      <c r="B146" s="19">
        <v>1264.024737</v>
      </c>
      <c r="C146" s="19">
        <v>-468.93134099999997</v>
      </c>
      <c r="E146" s="9">
        <f t="shared" si="45"/>
        <v>304.02473699999996</v>
      </c>
      <c r="F146" s="9">
        <f t="shared" si="50"/>
        <v>71.068659000000025</v>
      </c>
      <c r="I146">
        <v>1</v>
      </c>
      <c r="J146">
        <f t="shared" si="46"/>
        <v>0.20330515439155142</v>
      </c>
      <c r="K146">
        <f t="shared" si="51"/>
        <v>0.22963602152701706</v>
      </c>
      <c r="O146">
        <f t="shared" si="52"/>
        <v>0.19660729951539169</v>
      </c>
      <c r="P146">
        <f t="shared" si="53"/>
        <v>4.595881658856675E-2</v>
      </c>
      <c r="Q146">
        <f t="shared" si="54"/>
        <v>0.97940459308451455</v>
      </c>
      <c r="R146">
        <f t="shared" si="44"/>
        <v>1</v>
      </c>
      <c r="AG146" s="8">
        <f t="shared" si="47"/>
        <v>-0.69214151893906506</v>
      </c>
      <c r="AH146" s="8">
        <f t="shared" si="48"/>
        <v>0.28632233422538533</v>
      </c>
      <c r="AI146" s="8">
        <f t="shared" si="49"/>
        <v>0.662540292121506</v>
      </c>
      <c r="AJ146" s="8"/>
      <c r="AK146" s="8"/>
      <c r="AL146" s="8"/>
      <c r="AN146" s="8">
        <f t="shared" si="55"/>
        <v>1</v>
      </c>
      <c r="AO146" s="8">
        <f t="shared" si="56"/>
        <v>2.7493524982086512</v>
      </c>
      <c r="AP146" s="8">
        <f t="shared" si="57"/>
        <v>0.84659117193383027</v>
      </c>
      <c r="AQ146" s="8"/>
      <c r="AR146" s="8">
        <f t="shared" si="58"/>
        <v>157.52629454110493</v>
      </c>
      <c r="AS146" s="8">
        <f t="shared" si="59"/>
        <v>41.493898875157292</v>
      </c>
    </row>
    <row r="147" spans="1:45">
      <c r="A147" s="19">
        <v>3.837166667</v>
      </c>
      <c r="B147" s="19">
        <v>1263.3801450000001</v>
      </c>
      <c r="C147" s="19">
        <v>-468.87421970000003</v>
      </c>
      <c r="E147" s="9">
        <f t="shared" si="45"/>
        <v>303.38014500000008</v>
      </c>
      <c r="F147" s="9">
        <f t="shared" si="50"/>
        <v>71.125780299999974</v>
      </c>
      <c r="I147">
        <v>1</v>
      </c>
      <c r="J147">
        <f t="shared" si="46"/>
        <v>0.20291196667907324</v>
      </c>
      <c r="K147">
        <f t="shared" si="51"/>
        <v>0.23028538574321111</v>
      </c>
      <c r="O147">
        <f t="shared" si="52"/>
        <v>0.19620247489135809</v>
      </c>
      <c r="P147">
        <f t="shared" si="53"/>
        <v>4.5998574242355227E-2</v>
      </c>
      <c r="Q147">
        <f t="shared" si="54"/>
        <v>0.97948390492859883</v>
      </c>
      <c r="R147">
        <f t="shared" si="44"/>
        <v>1</v>
      </c>
      <c r="AG147" s="8">
        <f t="shared" si="47"/>
        <v>-0.6919769947742711</v>
      </c>
      <c r="AH147" s="8">
        <f t="shared" si="48"/>
        <v>0.28670263824714071</v>
      </c>
      <c r="AI147" s="8">
        <f t="shared" si="49"/>
        <v>0.66254768577461465</v>
      </c>
      <c r="AJ147" s="8"/>
      <c r="AK147" s="8"/>
      <c r="AL147" s="8"/>
      <c r="AN147" s="8">
        <f t="shared" si="55"/>
        <v>1</v>
      </c>
      <c r="AO147" s="8">
        <f t="shared" si="56"/>
        <v>2.7487993581976391</v>
      </c>
      <c r="AP147" s="8">
        <f t="shared" si="57"/>
        <v>0.84658130087105266</v>
      </c>
      <c r="AQ147" s="8"/>
      <c r="AR147" s="8">
        <f t="shared" si="58"/>
        <v>157.49460195299412</v>
      </c>
      <c r="AS147" s="8">
        <f t="shared" si="59"/>
        <v>41.49446444539376</v>
      </c>
    </row>
    <row r="148" spans="1:45">
      <c r="A148" s="19">
        <v>3.870533333</v>
      </c>
      <c r="B148" s="19">
        <v>1262.7593420000001</v>
      </c>
      <c r="C148" s="19">
        <v>-468.68367139999998</v>
      </c>
      <c r="E148" s="9">
        <f t="shared" si="45"/>
        <v>302.75934200000006</v>
      </c>
      <c r="F148" s="9">
        <f t="shared" si="50"/>
        <v>71.31632860000002</v>
      </c>
      <c r="I148">
        <v>1</v>
      </c>
      <c r="J148">
        <f t="shared" si="46"/>
        <v>0.20255318315244311</v>
      </c>
      <c r="K148">
        <f t="shared" si="51"/>
        <v>0.23133738575482551</v>
      </c>
      <c r="O148">
        <f t="shared" si="52"/>
        <v>0.19581190220214989</v>
      </c>
      <c r="P148">
        <f t="shared" si="53"/>
        <v>4.6124376770641774E-2</v>
      </c>
      <c r="Q148">
        <f t="shared" si="54"/>
        <v>0.97955614480411257</v>
      </c>
      <c r="R148">
        <f t="shared" si="44"/>
        <v>1</v>
      </c>
      <c r="AG148" s="8">
        <f t="shared" si="47"/>
        <v>-0.69176255586718904</v>
      </c>
      <c r="AH148" s="8">
        <f t="shared" si="48"/>
        <v>0.2870524330082565</v>
      </c>
      <c r="AI148" s="8">
        <f t="shared" si="49"/>
        <v>0.66262015288107146</v>
      </c>
      <c r="AJ148" s="8"/>
      <c r="AK148" s="8"/>
      <c r="AL148" s="8"/>
      <c r="AN148" s="8">
        <f t="shared" si="55"/>
        <v>1</v>
      </c>
      <c r="AO148" s="8">
        <f t="shared" si="56"/>
        <v>2.7482582894162619</v>
      </c>
      <c r="AP148" s="8">
        <f t="shared" si="57"/>
        <v>0.84648454746888069</v>
      </c>
      <c r="AQ148" s="8"/>
      <c r="AR148" s="8">
        <f t="shared" si="58"/>
        <v>157.46360099539493</v>
      </c>
      <c r="AS148" s="8">
        <f t="shared" si="59"/>
        <v>41.500008006991742</v>
      </c>
    </row>
    <row r="149" spans="1:45">
      <c r="A149" s="19">
        <v>3.9039000000000001</v>
      </c>
      <c r="B149" s="19">
        <v>1262.294492</v>
      </c>
      <c r="C149" s="19">
        <v>-468.74910670000003</v>
      </c>
      <c r="E149" s="9">
        <f t="shared" si="45"/>
        <v>302.29449199999999</v>
      </c>
      <c r="F149" s="9">
        <f t="shared" si="50"/>
        <v>71.250893299999973</v>
      </c>
      <c r="I149">
        <v>1</v>
      </c>
      <c r="J149">
        <f t="shared" si="46"/>
        <v>0.20225404877864386</v>
      </c>
      <c r="K149">
        <f t="shared" si="51"/>
        <v>0.23147547806850627</v>
      </c>
      <c r="O149">
        <f t="shared" si="52"/>
        <v>0.19552031836239089</v>
      </c>
      <c r="P149">
        <f t="shared" si="53"/>
        <v>4.6084191774227692E-2</v>
      </c>
      <c r="Q149">
        <f t="shared" si="54"/>
        <v>0.9796162781293426</v>
      </c>
      <c r="R149">
        <f t="shared" si="44"/>
        <v>1</v>
      </c>
      <c r="AG149" s="8">
        <f t="shared" si="47"/>
        <v>-0.6916876653773405</v>
      </c>
      <c r="AH149" s="8">
        <f t="shared" si="48"/>
        <v>0.28733965864371891</v>
      </c>
      <c r="AI149" s="8">
        <f t="shared" si="49"/>
        <v>0.66257384051542167</v>
      </c>
      <c r="AJ149" s="8"/>
      <c r="AK149" s="8"/>
      <c r="AL149" s="8"/>
      <c r="AN149" s="8">
        <f t="shared" si="55"/>
        <v>1</v>
      </c>
      <c r="AO149" s="8">
        <f t="shared" si="56"/>
        <v>2.7478657705302862</v>
      </c>
      <c r="AP149" s="8">
        <f t="shared" si="57"/>
        <v>0.84654638170469021</v>
      </c>
      <c r="AQ149" s="8"/>
      <c r="AR149" s="8">
        <f t="shared" si="58"/>
        <v>157.44111131984934</v>
      </c>
      <c r="AS149" s="8">
        <f t="shared" si="59"/>
        <v>41.496465166250445</v>
      </c>
    </row>
    <row r="150" spans="1:45">
      <c r="A150" s="19">
        <v>3.9372666669999998</v>
      </c>
      <c r="B150" s="19">
        <v>1261.4113769999999</v>
      </c>
      <c r="C150" s="19">
        <v>-468.48680030000003</v>
      </c>
      <c r="E150" s="9">
        <f t="shared" si="45"/>
        <v>301.4113769999999</v>
      </c>
      <c r="F150" s="9">
        <f t="shared" si="50"/>
        <v>71.513199699999973</v>
      </c>
      <c r="I150">
        <v>1</v>
      </c>
      <c r="J150">
        <f t="shared" si="46"/>
        <v>0.2017426604081774</v>
      </c>
      <c r="K150">
        <f t="shared" si="51"/>
        <v>0.23295365964595496</v>
      </c>
      <c r="O150">
        <f t="shared" si="52"/>
        <v>0.19496452572641648</v>
      </c>
      <c r="P150">
        <f t="shared" si="53"/>
        <v>4.6257500965827869E-2</v>
      </c>
      <c r="Q150">
        <f t="shared" si="54"/>
        <v>0.97971887667466628</v>
      </c>
      <c r="R150">
        <f t="shared" si="44"/>
        <v>1</v>
      </c>
      <c r="AG150" s="8">
        <f t="shared" si="47"/>
        <v>-0.69138584519337931</v>
      </c>
      <c r="AH150" s="8">
        <f t="shared" si="48"/>
        <v>0.28783831421019823</v>
      </c>
      <c r="AI150" s="8">
        <f t="shared" si="49"/>
        <v>0.66267240619997736</v>
      </c>
      <c r="AJ150" s="8"/>
      <c r="AK150" s="8"/>
      <c r="AL150" s="8"/>
      <c r="AN150" s="8">
        <f t="shared" si="55"/>
        <v>1</v>
      </c>
      <c r="AO150" s="8">
        <f t="shared" si="56"/>
        <v>2.7470962655979356</v>
      </c>
      <c r="AP150" s="8">
        <f t="shared" si="57"/>
        <v>0.8464147770715853</v>
      </c>
      <c r="AQ150" s="8"/>
      <c r="AR150" s="8">
        <f t="shared" si="58"/>
        <v>157.39702193491115</v>
      </c>
      <c r="AS150" s="8">
        <f t="shared" si="59"/>
        <v>41.504005556291723</v>
      </c>
    </row>
    <row r="151" spans="1:45">
      <c r="A151" s="19">
        <v>3.9706333329999999</v>
      </c>
      <c r="B151" s="19">
        <v>1260.6767950000001</v>
      </c>
      <c r="C151" s="19">
        <v>-468.25095040000002</v>
      </c>
      <c r="E151" s="9">
        <f t="shared" si="45"/>
        <v>300.67679500000008</v>
      </c>
      <c r="F151" s="9">
        <f t="shared" si="50"/>
        <v>71.749049599999978</v>
      </c>
      <c r="I151">
        <v>1</v>
      </c>
      <c r="J151">
        <f t="shared" si="46"/>
        <v>0.20132016765612221</v>
      </c>
      <c r="K151">
        <f t="shared" si="51"/>
        <v>0.23424461761526447</v>
      </c>
      <c r="O151">
        <f t="shared" si="52"/>
        <v>0.19450200957334252</v>
      </c>
      <c r="P151">
        <f t="shared" si="53"/>
        <v>4.6413073985897106E-2</v>
      </c>
      <c r="Q151">
        <f t="shared" si="54"/>
        <v>0.97980344704186006</v>
      </c>
      <c r="R151">
        <f t="shared" si="44"/>
        <v>1</v>
      </c>
      <c r="AG151" s="8">
        <f t="shared" si="47"/>
        <v>-0.69112728535398438</v>
      </c>
      <c r="AH151" s="8">
        <f t="shared" si="48"/>
        <v>0.28825093992620798</v>
      </c>
      <c r="AI151" s="8">
        <f t="shared" si="49"/>
        <v>0.66276275624908942</v>
      </c>
      <c r="AJ151" s="8"/>
      <c r="AK151" s="8"/>
      <c r="AL151" s="8"/>
      <c r="AN151" s="8">
        <f t="shared" si="55"/>
        <v>1</v>
      </c>
      <c r="AO151" s="8">
        <f t="shared" si="56"/>
        <v>2.7464548541013705</v>
      </c>
      <c r="AP151" s="8">
        <f t="shared" si="57"/>
        <v>0.84629412846858854</v>
      </c>
      <c r="AQ151" s="8"/>
      <c r="AR151" s="8">
        <f t="shared" si="58"/>
        <v>157.36027176322679</v>
      </c>
      <c r="AS151" s="8">
        <f t="shared" si="59"/>
        <v>41.510918212047585</v>
      </c>
    </row>
    <row r="152" spans="1:45">
      <c r="A152" s="19">
        <v>4.0039999999999996</v>
      </c>
      <c r="B152" s="19">
        <v>1260.309773</v>
      </c>
      <c r="C152" s="19">
        <v>-468.20151129999999</v>
      </c>
      <c r="E152" s="9">
        <f t="shared" si="45"/>
        <v>300.30977299999995</v>
      </c>
      <c r="F152" s="9">
        <f t="shared" si="50"/>
        <v>71.798488700000007</v>
      </c>
      <c r="I152">
        <v>1</v>
      </c>
      <c r="J152">
        <f t="shared" si="46"/>
        <v>0.20109898912155966</v>
      </c>
      <c r="K152">
        <f t="shared" si="51"/>
        <v>0.23467625386613702</v>
      </c>
      <c r="O152">
        <f t="shared" si="52"/>
        <v>0.19427118177697211</v>
      </c>
      <c r="P152">
        <f t="shared" si="53"/>
        <v>4.6446631124287721E-2</v>
      </c>
      <c r="Q152">
        <f t="shared" si="54"/>
        <v>0.97984765060094059</v>
      </c>
      <c r="R152">
        <f t="shared" si="44"/>
        <v>1</v>
      </c>
      <c r="AG152" s="8">
        <f t="shared" si="47"/>
        <v>-0.69102622743042674</v>
      </c>
      <c r="AH152" s="8">
        <f t="shared" si="48"/>
        <v>0.28846542407495923</v>
      </c>
      <c r="AI152" s="8">
        <f t="shared" si="49"/>
        <v>0.66277481252422843</v>
      </c>
      <c r="AJ152" s="8"/>
      <c r="AK152" s="8"/>
      <c r="AL152" s="8"/>
      <c r="AN152" s="8">
        <f t="shared" si="55"/>
        <v>1</v>
      </c>
      <c r="AO152" s="8">
        <f t="shared" si="56"/>
        <v>2.7461385458827157</v>
      </c>
      <c r="AP152" s="8">
        <f t="shared" si="57"/>
        <v>0.8462780281920641</v>
      </c>
      <c r="AQ152" s="8"/>
      <c r="AR152" s="8">
        <f t="shared" si="58"/>
        <v>157.34214863727257</v>
      </c>
      <c r="AS152" s="8">
        <f t="shared" si="59"/>
        <v>41.51184068994143</v>
      </c>
    </row>
    <row r="153" spans="1:45">
      <c r="A153" s="19">
        <v>4.0373666669999997</v>
      </c>
      <c r="B153" s="19">
        <v>1259.5443170000001</v>
      </c>
      <c r="C153" s="19">
        <v>-467.96177189999997</v>
      </c>
      <c r="E153" s="9">
        <f t="shared" si="45"/>
        <v>299.54431700000009</v>
      </c>
      <c r="F153" s="9">
        <f t="shared" si="50"/>
        <v>72.038228100000026</v>
      </c>
      <c r="I153">
        <v>1</v>
      </c>
      <c r="J153">
        <f t="shared" si="46"/>
        <v>0.20065820293251377</v>
      </c>
      <c r="K153">
        <f t="shared" si="51"/>
        <v>0.23601081534116081</v>
      </c>
      <c r="O153">
        <f t="shared" si="52"/>
        <v>0.19378907375713833</v>
      </c>
      <c r="P153">
        <f t="shared" si="53"/>
        <v>4.6604861806156236E-2</v>
      </c>
      <c r="Q153">
        <f t="shared" si="54"/>
        <v>0.97993560081690034</v>
      </c>
      <c r="R153">
        <f t="shared" si="44"/>
        <v>1</v>
      </c>
      <c r="AG153" s="8">
        <f t="shared" si="47"/>
        <v>-0.69075896737566134</v>
      </c>
      <c r="AH153" s="8">
        <f t="shared" si="48"/>
        <v>0.28889611110456681</v>
      </c>
      <c r="AI153" s="8">
        <f t="shared" si="49"/>
        <v>0.66286581295068137</v>
      </c>
      <c r="AJ153" s="8"/>
      <c r="AK153" s="8"/>
      <c r="AL153" s="8"/>
      <c r="AN153" s="8">
        <f t="shared" si="55"/>
        <v>0.99999999999999978</v>
      </c>
      <c r="AO153" s="8">
        <f t="shared" si="56"/>
        <v>2.7454702171646659</v>
      </c>
      <c r="AP153" s="8">
        <f t="shared" si="57"/>
        <v>0.84615649635404488</v>
      </c>
      <c r="AQ153" s="8"/>
      <c r="AR153" s="8">
        <f t="shared" si="58"/>
        <v>157.30385622240095</v>
      </c>
      <c r="AS153" s="8">
        <f t="shared" si="59"/>
        <v>41.518803951336395</v>
      </c>
    </row>
    <row r="154" spans="1:45">
      <c r="A154" s="19">
        <v>4.0707333329999997</v>
      </c>
      <c r="B154" s="19">
        <v>1258.62366</v>
      </c>
      <c r="C154" s="19">
        <v>-467.59960469999999</v>
      </c>
      <c r="E154" s="9">
        <f t="shared" si="45"/>
        <v>298.62365999999997</v>
      </c>
      <c r="F154" s="9">
        <f t="shared" si="50"/>
        <v>72.400395300000014</v>
      </c>
      <c r="I154">
        <v>1</v>
      </c>
      <c r="J154">
        <f t="shared" si="46"/>
        <v>0.2001395544931503</v>
      </c>
      <c r="K154">
        <f t="shared" si="51"/>
        <v>0.23785737364621617</v>
      </c>
      <c r="O154">
        <f t="shared" si="52"/>
        <v>0.19320872625083305</v>
      </c>
      <c r="P154">
        <f t="shared" si="53"/>
        <v>4.6842866221550573E-2</v>
      </c>
      <c r="Q154">
        <f t="shared" si="54"/>
        <v>0.98003884309994604</v>
      </c>
      <c r="R154">
        <f t="shared" si="44"/>
        <v>1</v>
      </c>
      <c r="AG154" s="8">
        <f t="shared" si="47"/>
        <v>-0.69040677358502922</v>
      </c>
      <c r="AH154" s="8">
        <f t="shared" si="48"/>
        <v>0.28940510983895507</v>
      </c>
      <c r="AI154" s="8">
        <f t="shared" si="49"/>
        <v>0.66301068572611466</v>
      </c>
      <c r="AJ154" s="8"/>
      <c r="AK154" s="8"/>
      <c r="AL154" s="8"/>
      <c r="AN154" s="8">
        <f t="shared" si="55"/>
        <v>1.0000000000000002</v>
      </c>
      <c r="AO154" s="8">
        <f t="shared" si="56"/>
        <v>2.744661416983436</v>
      </c>
      <c r="AP154" s="8">
        <f t="shared" si="57"/>
        <v>0.84596299055475865</v>
      </c>
      <c r="AQ154" s="8"/>
      <c r="AR154" s="8">
        <f t="shared" si="58"/>
        <v>157.25751538554707</v>
      </c>
      <c r="AS154" s="8">
        <f t="shared" si="59"/>
        <v>41.529891016946806</v>
      </c>
    </row>
    <row r="155" spans="1:45">
      <c r="A155" s="19">
        <v>4.1040999999999999</v>
      </c>
      <c r="B155" s="19">
        <v>1258.1195270000001</v>
      </c>
      <c r="C155" s="19">
        <v>-467.30536640000003</v>
      </c>
      <c r="E155" s="9">
        <f t="shared" si="45"/>
        <v>298.11952700000006</v>
      </c>
      <c r="F155" s="9">
        <f t="shared" si="50"/>
        <v>72.694633599999975</v>
      </c>
      <c r="I155">
        <v>1</v>
      </c>
      <c r="J155">
        <f t="shared" si="46"/>
        <v>0.19987034379550034</v>
      </c>
      <c r="K155">
        <f t="shared" si="51"/>
        <v>0.23917636437652021</v>
      </c>
      <c r="O155">
        <f t="shared" si="52"/>
        <v>0.19289043949349818</v>
      </c>
      <c r="P155">
        <f t="shared" si="53"/>
        <v>4.7035160578135525E-2</v>
      </c>
      <c r="Q155">
        <f t="shared" si="54"/>
        <v>0.98009232831473292</v>
      </c>
      <c r="R155">
        <f t="shared" ref="R155:R218" si="60">SQRT(O155^2+P155^2+Q155^2)</f>
        <v>1</v>
      </c>
      <c r="AG155" s="8">
        <f t="shared" si="47"/>
        <v>-0.69017419642632594</v>
      </c>
      <c r="AH155" s="8">
        <f t="shared" si="48"/>
        <v>0.28967211938821963</v>
      </c>
      <c r="AI155" s="8">
        <f t="shared" si="49"/>
        <v>0.66313621665266664</v>
      </c>
      <c r="AJ155" s="8"/>
      <c r="AK155" s="8"/>
      <c r="AL155" s="8"/>
      <c r="AN155" s="8">
        <f t="shared" si="55"/>
        <v>1</v>
      </c>
      <c r="AO155" s="8">
        <f t="shared" si="56"/>
        <v>2.7442123019681284</v>
      </c>
      <c r="AP155" s="8">
        <f t="shared" si="57"/>
        <v>0.84579529273976073</v>
      </c>
      <c r="AQ155" s="8"/>
      <c r="AR155" s="8">
        <f t="shared" si="58"/>
        <v>157.23178299065398</v>
      </c>
      <c r="AS155" s="8">
        <f t="shared" si="59"/>
        <v>41.539499393979753</v>
      </c>
    </row>
    <row r="156" spans="1:45">
      <c r="A156" s="19">
        <v>4.137466667</v>
      </c>
      <c r="B156" s="19">
        <v>1257.4131460000001</v>
      </c>
      <c r="C156" s="19">
        <v>-467.15621729999998</v>
      </c>
      <c r="E156" s="9">
        <f t="shared" si="45"/>
        <v>297.4131460000001</v>
      </c>
      <c r="F156" s="9">
        <f t="shared" si="50"/>
        <v>72.84378270000002</v>
      </c>
      <c r="I156">
        <v>1</v>
      </c>
      <c r="J156">
        <f t="shared" si="46"/>
        <v>0.19945349868495429</v>
      </c>
      <c r="K156">
        <f t="shared" si="51"/>
        <v>0.24019609953023083</v>
      </c>
      <c r="O156">
        <f t="shared" si="52"/>
        <v>0.19244554119504598</v>
      </c>
      <c r="P156">
        <f t="shared" si="53"/>
        <v>4.7134638710273506E-2</v>
      </c>
      <c r="Q156">
        <f t="shared" si="54"/>
        <v>0.98017500453123052</v>
      </c>
      <c r="R156">
        <f t="shared" si="60"/>
        <v>1</v>
      </c>
      <c r="AG156" s="8">
        <f t="shared" si="47"/>
        <v>-0.68995672339147551</v>
      </c>
      <c r="AH156" s="8">
        <f t="shared" si="48"/>
        <v>0.29007831558875319</v>
      </c>
      <c r="AI156" s="8">
        <f t="shared" si="49"/>
        <v>0.66318495962445545</v>
      </c>
      <c r="AJ156" s="8"/>
      <c r="AK156" s="8"/>
      <c r="AL156" s="8"/>
      <c r="AN156" s="8">
        <f t="shared" si="55"/>
        <v>1</v>
      </c>
      <c r="AO156" s="8">
        <f t="shared" si="56"/>
        <v>2.7435994298137292</v>
      </c>
      <c r="AP156" s="8">
        <f t="shared" si="57"/>
        <v>0.84573016988031047</v>
      </c>
      <c r="AQ156" s="8"/>
      <c r="AR156" s="8">
        <f t="shared" si="58"/>
        <v>157.19666800282582</v>
      </c>
      <c r="AS156" s="8">
        <f t="shared" si="59"/>
        <v>41.543230658976078</v>
      </c>
    </row>
    <row r="157" spans="1:45">
      <c r="A157" s="19">
        <v>4.170833333</v>
      </c>
      <c r="B157" s="19">
        <v>1256.9973480000001</v>
      </c>
      <c r="C157" s="19">
        <v>-467.17777869999998</v>
      </c>
      <c r="E157" s="9">
        <f t="shared" si="45"/>
        <v>296.9973480000001</v>
      </c>
      <c r="F157" s="9">
        <f t="shared" si="50"/>
        <v>72.822221300000024</v>
      </c>
      <c r="I157">
        <v>1</v>
      </c>
      <c r="J157">
        <f t="shared" si="46"/>
        <v>0.19919150233797811</v>
      </c>
      <c r="K157">
        <f t="shared" si="51"/>
        <v>0.2404510844355966</v>
      </c>
      <c r="O157">
        <f t="shared" si="52"/>
        <v>0.19218409547925983</v>
      </c>
      <c r="P157">
        <f t="shared" si="53"/>
        <v>4.7122551179584901E-2</v>
      </c>
      <c r="Q157">
        <f t="shared" si="54"/>
        <v>0.98022688119391321</v>
      </c>
      <c r="R157">
        <f t="shared" si="60"/>
        <v>1</v>
      </c>
      <c r="AG157" s="8">
        <f t="shared" si="47"/>
        <v>-0.68987376334696882</v>
      </c>
      <c r="AH157" s="8">
        <f t="shared" si="48"/>
        <v>0.29033075371766648</v>
      </c>
      <c r="AI157" s="8">
        <f t="shared" si="49"/>
        <v>0.66316079806576478</v>
      </c>
      <c r="AJ157" s="8"/>
      <c r="AK157" s="8"/>
      <c r="AL157" s="8"/>
      <c r="AN157" s="8">
        <f t="shared" si="55"/>
        <v>0.99999999999999978</v>
      </c>
      <c r="AO157" s="8">
        <f t="shared" si="56"/>
        <v>2.7432455638991282</v>
      </c>
      <c r="AP157" s="8">
        <f t="shared" si="57"/>
        <v>0.84576245130726624</v>
      </c>
      <c r="AQ157" s="8"/>
      <c r="AR157" s="8">
        <f t="shared" si="58"/>
        <v>157.17639297940565</v>
      </c>
      <c r="AS157" s="8">
        <f t="shared" si="59"/>
        <v>41.54138106945485</v>
      </c>
    </row>
    <row r="158" spans="1:45">
      <c r="A158" s="19">
        <v>4.2042000000000002</v>
      </c>
      <c r="B158" s="19">
        <v>1256.478175</v>
      </c>
      <c r="C158" s="19">
        <v>-467.15384649999999</v>
      </c>
      <c r="E158" s="9">
        <f t="shared" si="45"/>
        <v>296.47817499999996</v>
      </c>
      <c r="F158" s="9">
        <f t="shared" si="50"/>
        <v>72.846153500000014</v>
      </c>
      <c r="I158">
        <v>1</v>
      </c>
      <c r="J158">
        <f t="shared" si="46"/>
        <v>0.19887212481567168</v>
      </c>
      <c r="K158">
        <f t="shared" si="51"/>
        <v>0.24093219053582568</v>
      </c>
      <c r="O158">
        <f t="shared" si="52"/>
        <v>0.19185737256877305</v>
      </c>
      <c r="P158">
        <f t="shared" si="53"/>
        <v>4.7140305057030034E-2</v>
      </c>
      <c r="Q158">
        <f t="shared" si="54"/>
        <v>0.98029002862935266</v>
      </c>
      <c r="R158">
        <f t="shared" si="60"/>
        <v>1</v>
      </c>
      <c r="AG158" s="8">
        <f t="shared" si="47"/>
        <v>-0.68974910980019777</v>
      </c>
      <c r="AH158" s="8">
        <f t="shared" si="48"/>
        <v>0.29063975177711376</v>
      </c>
      <c r="AI158" s="8">
        <f t="shared" si="49"/>
        <v>0.6631551102244273</v>
      </c>
      <c r="AJ158" s="8"/>
      <c r="AK158" s="8"/>
      <c r="AL158" s="8"/>
      <c r="AN158" s="8">
        <f t="shared" si="55"/>
        <v>0.99999999999999989</v>
      </c>
      <c r="AO158" s="8">
        <f t="shared" si="56"/>
        <v>2.7428004535130208</v>
      </c>
      <c r="AP158" s="8">
        <f t="shared" si="57"/>
        <v>0.84577005050204768</v>
      </c>
      <c r="AQ158" s="8"/>
      <c r="AR158" s="8">
        <f t="shared" si="58"/>
        <v>157.15089003286425</v>
      </c>
      <c r="AS158" s="8">
        <f t="shared" si="59"/>
        <v>41.540945667666172</v>
      </c>
    </row>
    <row r="159" spans="1:45">
      <c r="A159" s="19">
        <v>4.2375666670000003</v>
      </c>
      <c r="B159" s="19">
        <v>1256.2006510000001</v>
      </c>
      <c r="C159" s="19">
        <v>-467.10804439999998</v>
      </c>
      <c r="E159" s="9">
        <f t="shared" si="45"/>
        <v>296.20065100000011</v>
      </c>
      <c r="F159" s="9">
        <f t="shared" si="50"/>
        <v>72.891955600000017</v>
      </c>
      <c r="I159">
        <v>1</v>
      </c>
      <c r="J159">
        <f t="shared" si="46"/>
        <v>0.1987064584678512</v>
      </c>
      <c r="K159">
        <f t="shared" si="51"/>
        <v>0.24129509177736472</v>
      </c>
      <c r="O159">
        <f t="shared" si="52"/>
        <v>0.19168255383011232</v>
      </c>
      <c r="P159">
        <f t="shared" si="53"/>
        <v>4.7171119158273406E-2</v>
      </c>
      <c r="Q159">
        <f t="shared" si="54"/>
        <v>0.98032274485218496</v>
      </c>
      <c r="R159">
        <f t="shared" si="60"/>
        <v>1</v>
      </c>
      <c r="AG159" s="8">
        <f t="shared" si="47"/>
        <v>-0.68966881485650633</v>
      </c>
      <c r="AH159" s="8">
        <f t="shared" si="48"/>
        <v>0.29080089979007395</v>
      </c>
      <c r="AI159" s="8">
        <f t="shared" si="49"/>
        <v>0.66316797457032373</v>
      </c>
      <c r="AJ159" s="8"/>
      <c r="AK159" s="8"/>
      <c r="AL159" s="8"/>
      <c r="AN159" s="8">
        <f t="shared" si="55"/>
        <v>1.0000000000000002</v>
      </c>
      <c r="AO159" s="8">
        <f t="shared" si="56"/>
        <v>2.7425603882207561</v>
      </c>
      <c r="AP159" s="8">
        <f t="shared" si="57"/>
        <v>0.84575286312292708</v>
      </c>
      <c r="AQ159" s="8"/>
      <c r="AR159" s="8">
        <f t="shared" si="58"/>
        <v>157.1371353048099</v>
      </c>
      <c r="AS159" s="8">
        <f t="shared" si="59"/>
        <v>41.541930431950675</v>
      </c>
    </row>
    <row r="160" spans="1:45">
      <c r="A160" s="19">
        <v>4.2709333330000003</v>
      </c>
      <c r="B160" s="19">
        <v>1255.386665</v>
      </c>
      <c r="C160" s="19">
        <v>-466.98437669999998</v>
      </c>
      <c r="E160" s="9">
        <f t="shared" ref="E160:E223" si="61">(B160-($B$15/2))</f>
        <v>295.38666499999999</v>
      </c>
      <c r="F160" s="9">
        <f t="shared" si="50"/>
        <v>73.015623300000016</v>
      </c>
      <c r="I160">
        <v>1</v>
      </c>
      <c r="J160">
        <f t="shared" ref="J160:J223" si="62">ATAN((SQRT(E160^2+F160^2)^$B$16)/($F$24))</f>
        <v>0.19821900643831764</v>
      </c>
      <c r="K160">
        <f t="shared" si="51"/>
        <v>0.24232900271150845</v>
      </c>
      <c r="O160">
        <f t="shared" si="52"/>
        <v>0.19116975984229417</v>
      </c>
      <c r="P160">
        <f t="shared" si="53"/>
        <v>4.7254601594816141E-2</v>
      </c>
      <c r="Q160">
        <f t="shared" si="54"/>
        <v>0.98041885209840529</v>
      </c>
      <c r="R160">
        <f t="shared" si="60"/>
        <v>1</v>
      </c>
      <c r="AG160" s="8">
        <f t="shared" ref="AG160:AG223" si="63">$O160*$Z$27+$P160*$Z$31+$Q160*$Z$35</f>
        <v>-0.68943755888198688</v>
      </c>
      <c r="AH160" s="8">
        <f t="shared" ref="AH160:AH223" si="64">$O160*$AA$27+$P160*$AA$31+$Q160*$AA$35</f>
        <v>0.29127485209421577</v>
      </c>
      <c r="AI160" s="8">
        <f t="shared" ref="AI160:AI223" si="65">$AB$27*$O160+$P160*$AB$31+$AB$35*$Q160</f>
        <v>0.66320043195126144</v>
      </c>
      <c r="AJ160" s="8"/>
      <c r="AK160" s="8"/>
      <c r="AL160" s="8"/>
      <c r="AN160" s="8">
        <f t="shared" si="55"/>
        <v>1.0000000000000002</v>
      </c>
      <c r="AO160" s="8">
        <f t="shared" si="56"/>
        <v>2.7418568377909942</v>
      </c>
      <c r="AP160" s="8">
        <f t="shared" si="57"/>
        <v>0.84570949735202483</v>
      </c>
      <c r="AQ160" s="8"/>
      <c r="AR160" s="8">
        <f t="shared" si="58"/>
        <v>157.09682483450993</v>
      </c>
      <c r="AS160" s="8">
        <f t="shared" si="59"/>
        <v>41.544415107598709</v>
      </c>
    </row>
    <row r="161" spans="1:45">
      <c r="A161" s="19">
        <v>4.3042999999999996</v>
      </c>
      <c r="B161" s="19">
        <v>1254.521849</v>
      </c>
      <c r="C161" s="19">
        <v>-466.79942449999999</v>
      </c>
      <c r="E161" s="9">
        <f t="shared" si="61"/>
        <v>294.52184899999997</v>
      </c>
      <c r="F161" s="9">
        <f t="shared" ref="F161:F224" si="66">(($C$15/2)+C161)</f>
        <v>73.200575500000014</v>
      </c>
      <c r="I161">
        <v>1</v>
      </c>
      <c r="J161">
        <f t="shared" si="62"/>
        <v>0.19770953148493706</v>
      </c>
      <c r="K161">
        <f t="shared" ref="K161:K224" si="67">ATAN2(E161,F161)</f>
        <v>0.24360444235856768</v>
      </c>
      <c r="O161">
        <f t="shared" ref="O161:O224" si="68">COS(K161)*SIN(J161)</f>
        <v>0.19062455810602461</v>
      </c>
      <c r="P161">
        <f t="shared" ref="P161:P224" si="69">SIN(K161)*SIN(J161)</f>
        <v>4.7377902200370178E-2</v>
      </c>
      <c r="Q161">
        <f t="shared" ref="Q161:Q224" si="70">COS(J161)</f>
        <v>0.98051905245638904</v>
      </c>
      <c r="R161">
        <f t="shared" si="60"/>
        <v>1</v>
      </c>
      <c r="AG161" s="8">
        <f t="shared" si="63"/>
        <v>-0.68916949690750129</v>
      </c>
      <c r="AH161" s="8">
        <f t="shared" si="64"/>
        <v>0.29177185701373998</v>
      </c>
      <c r="AI161" s="8">
        <f t="shared" si="65"/>
        <v>0.66326057321916498</v>
      </c>
      <c r="AJ161" s="8"/>
      <c r="AK161" s="8"/>
      <c r="AL161" s="8"/>
      <c r="AN161" s="8">
        <f t="shared" ref="AN161:AN224" si="71">AG161^2+AH161^2+AI161^2</f>
        <v>1</v>
      </c>
      <c r="AO161" s="8">
        <f t="shared" ref="AO161:AO224" si="72">IF(ATAN2(AG161,AH161)&gt;=0,ATAN2(AG161,AH161),ATAN2(AG161,AH161)+2*PI())</f>
        <v>2.7411056958386157</v>
      </c>
      <c r="AP161" s="8">
        <f t="shared" ref="AP161:AP224" si="73">ACOS(AI161/AN161)</f>
        <v>0.84562913919179961</v>
      </c>
      <c r="AQ161" s="8"/>
      <c r="AR161" s="8">
        <f t="shared" ref="AR161:AR224" si="74">DEGREES(AO161)</f>
        <v>157.05378757082343</v>
      </c>
      <c r="AS161" s="8">
        <f t="shared" ref="AS161:AS224" si="75">90-DEGREES(AP161)</f>
        <v>41.549019291029047</v>
      </c>
    </row>
    <row r="162" spans="1:45">
      <c r="A162" s="19">
        <v>4.3376666669999997</v>
      </c>
      <c r="B162" s="19">
        <v>1254.1218429999999</v>
      </c>
      <c r="C162" s="19">
        <v>-466.78756859999999</v>
      </c>
      <c r="E162" s="9">
        <f t="shared" si="61"/>
        <v>294.1218429999999</v>
      </c>
      <c r="F162" s="9">
        <f t="shared" si="66"/>
        <v>73.212431400000014</v>
      </c>
      <c r="I162">
        <v>1</v>
      </c>
      <c r="J162">
        <f t="shared" si="62"/>
        <v>0.19746254369415323</v>
      </c>
      <c r="K162">
        <f t="shared" si="67"/>
        <v>0.24396072509314568</v>
      </c>
      <c r="O162">
        <f t="shared" si="68"/>
        <v>0.19037265514176563</v>
      </c>
      <c r="P162">
        <f t="shared" si="69"/>
        <v>4.7387316810069025E-2</v>
      </c>
      <c r="Q162">
        <f t="shared" si="70"/>
        <v>0.98056753687842257</v>
      </c>
      <c r="R162">
        <f t="shared" si="60"/>
        <v>1</v>
      </c>
      <c r="AG162" s="8">
        <f t="shared" si="63"/>
        <v>-0.68907584831547519</v>
      </c>
      <c r="AH162" s="8">
        <f t="shared" si="64"/>
        <v>0.29201073597155286</v>
      </c>
      <c r="AI162" s="8">
        <f t="shared" si="65"/>
        <v>0.66325274620287877</v>
      </c>
      <c r="AJ162" s="8"/>
      <c r="AK162" s="8"/>
      <c r="AL162" s="8"/>
      <c r="AN162" s="8">
        <f t="shared" si="71"/>
        <v>1</v>
      </c>
      <c r="AO162" s="8">
        <f t="shared" si="72"/>
        <v>2.7407629796469797</v>
      </c>
      <c r="AP162" s="8">
        <f t="shared" si="73"/>
        <v>0.84563959763625496</v>
      </c>
      <c r="AQ162" s="8"/>
      <c r="AR162" s="8">
        <f t="shared" si="74"/>
        <v>157.03415137947189</v>
      </c>
      <c r="AS162" s="8">
        <f t="shared" si="75"/>
        <v>41.548420066301482</v>
      </c>
    </row>
    <row r="163" spans="1:45">
      <c r="A163" s="19">
        <v>4.3710333329999997</v>
      </c>
      <c r="B163" s="19">
        <v>1253.565662</v>
      </c>
      <c r="C163" s="19">
        <v>-466.7590027</v>
      </c>
      <c r="E163" s="9">
        <f t="shared" si="61"/>
        <v>293.56566199999997</v>
      </c>
      <c r="F163" s="9">
        <f t="shared" si="66"/>
        <v>73.240997300000004</v>
      </c>
      <c r="I163">
        <v>1</v>
      </c>
      <c r="J163">
        <f t="shared" si="62"/>
        <v>0.19712100454875151</v>
      </c>
      <c r="K163">
        <f t="shared" si="67"/>
        <v>0.24449636172789496</v>
      </c>
      <c r="O163">
        <f t="shared" si="68"/>
        <v>0.19002229236120385</v>
      </c>
      <c r="P163">
        <f t="shared" si="69"/>
        <v>4.7408208803953175E-2</v>
      </c>
      <c r="Q163">
        <f t="shared" si="70"/>
        <v>0.9806344834563967</v>
      </c>
      <c r="R163">
        <f t="shared" si="60"/>
        <v>1</v>
      </c>
      <c r="AG163" s="8">
        <f t="shared" si="63"/>
        <v>-0.68894055986742342</v>
      </c>
      <c r="AH163" s="8">
        <f t="shared" si="64"/>
        <v>0.29234140675441495</v>
      </c>
      <c r="AI163" s="8">
        <f t="shared" si="65"/>
        <v>0.66324762107859148</v>
      </c>
      <c r="AJ163" s="8"/>
      <c r="AK163" s="8"/>
      <c r="AL163" s="8"/>
      <c r="AN163" s="8">
        <f t="shared" si="71"/>
        <v>1</v>
      </c>
      <c r="AO163" s="8">
        <f t="shared" si="72"/>
        <v>2.7402856303799727</v>
      </c>
      <c r="AP163" s="8">
        <f t="shared" si="73"/>
        <v>0.84564644576518044</v>
      </c>
      <c r="AQ163" s="8"/>
      <c r="AR163" s="8">
        <f t="shared" si="74"/>
        <v>157.00680128111873</v>
      </c>
      <c r="AS163" s="8">
        <f t="shared" si="75"/>
        <v>41.548027697416494</v>
      </c>
    </row>
    <row r="164" spans="1:45">
      <c r="A164" s="19">
        <v>4.4043999999999999</v>
      </c>
      <c r="B164" s="19">
        <v>1252.6016520000001</v>
      </c>
      <c r="C164" s="19">
        <v>-466.64934449999998</v>
      </c>
      <c r="E164" s="9">
        <f t="shared" si="61"/>
        <v>292.60165200000006</v>
      </c>
      <c r="F164" s="9">
        <f t="shared" si="66"/>
        <v>73.350655500000016</v>
      </c>
      <c r="I164">
        <v>1</v>
      </c>
      <c r="J164">
        <f t="shared" si="62"/>
        <v>0.19653843701516274</v>
      </c>
      <c r="K164">
        <f t="shared" si="67"/>
        <v>0.24562265525682236</v>
      </c>
      <c r="O164">
        <f t="shared" si="68"/>
        <v>0.18941460478194461</v>
      </c>
      <c r="P164">
        <f t="shared" si="69"/>
        <v>4.7483277442429042E-2</v>
      </c>
      <c r="Q164">
        <f t="shared" si="70"/>
        <v>0.98074841109156274</v>
      </c>
      <c r="R164">
        <f t="shared" si="60"/>
        <v>1</v>
      </c>
      <c r="AG164" s="8">
        <f t="shared" si="63"/>
        <v>-0.68868098607785244</v>
      </c>
      <c r="AH164" s="8">
        <f t="shared" si="64"/>
        <v>0.29290720038262064</v>
      </c>
      <c r="AI164" s="8">
        <f t="shared" si="65"/>
        <v>0.66326757148141358</v>
      </c>
      <c r="AJ164" s="8"/>
      <c r="AK164" s="8"/>
      <c r="AL164" s="8"/>
      <c r="AN164" s="8">
        <f t="shared" si="71"/>
        <v>1</v>
      </c>
      <c r="AO164" s="8">
        <f t="shared" si="72"/>
        <v>2.7394541873423122</v>
      </c>
      <c r="AP164" s="8">
        <f t="shared" si="73"/>
        <v>0.84561978804484705</v>
      </c>
      <c r="AQ164" s="8"/>
      <c r="AR164" s="8">
        <f t="shared" si="74"/>
        <v>156.95916310415524</v>
      </c>
      <c r="AS164" s="8">
        <f t="shared" si="75"/>
        <v>41.549555072283034</v>
      </c>
    </row>
    <row r="165" spans="1:45">
      <c r="A165" s="19">
        <v>4.437766667</v>
      </c>
      <c r="B165" s="19">
        <v>1251.58176</v>
      </c>
      <c r="C165" s="19">
        <v>-466.57372479999998</v>
      </c>
      <c r="E165" s="9">
        <f t="shared" si="61"/>
        <v>291.58176000000003</v>
      </c>
      <c r="F165" s="9">
        <f t="shared" si="66"/>
        <v>73.426275200000021</v>
      </c>
      <c r="I165">
        <v>1</v>
      </c>
      <c r="J165">
        <f t="shared" si="62"/>
        <v>0.19591591148749543</v>
      </c>
      <c r="K165">
        <f t="shared" si="67"/>
        <v>0.24669137379097733</v>
      </c>
      <c r="O165">
        <f t="shared" si="68"/>
        <v>0.18877165649415997</v>
      </c>
      <c r="P165">
        <f t="shared" si="69"/>
        <v>4.753657979051934E-2</v>
      </c>
      <c r="Q165">
        <f t="shared" si="70"/>
        <v>0.98086978508172551</v>
      </c>
      <c r="R165">
        <f t="shared" si="60"/>
        <v>1</v>
      </c>
      <c r="AG165" s="8">
        <f t="shared" si="63"/>
        <v>-0.68842270838000641</v>
      </c>
      <c r="AH165" s="8">
        <f t="shared" si="64"/>
        <v>0.29351072848147025</v>
      </c>
      <c r="AI165" s="8">
        <f t="shared" si="65"/>
        <v>0.6632688948330181</v>
      </c>
      <c r="AJ165" s="8"/>
      <c r="AK165" s="8"/>
      <c r="AL165" s="8"/>
      <c r="AN165" s="8">
        <f t="shared" si="71"/>
        <v>1</v>
      </c>
      <c r="AO165" s="8">
        <f t="shared" si="72"/>
        <v>2.7385770020250391</v>
      </c>
      <c r="AP165" s="8">
        <f t="shared" si="73"/>
        <v>0.8456180197606844</v>
      </c>
      <c r="AQ165" s="8"/>
      <c r="AR165" s="8">
        <f t="shared" si="74"/>
        <v>156.90890408762465</v>
      </c>
      <c r="AS165" s="8">
        <f t="shared" si="75"/>
        <v>41.549656387502537</v>
      </c>
    </row>
    <row r="166" spans="1:45">
      <c r="A166" s="19">
        <v>4.471133333</v>
      </c>
      <c r="B166" s="19">
        <v>1251.2180900000001</v>
      </c>
      <c r="C166" s="19">
        <v>-466.39717669999999</v>
      </c>
      <c r="E166" s="9">
        <f t="shared" si="61"/>
        <v>291.21809000000007</v>
      </c>
      <c r="F166" s="9">
        <f t="shared" si="66"/>
        <v>73.602823300000011</v>
      </c>
      <c r="I166">
        <v>1</v>
      </c>
      <c r="J166">
        <f t="shared" si="62"/>
        <v>0.19571744205536898</v>
      </c>
      <c r="K166">
        <f t="shared" si="67"/>
        <v>0.24755699183877691</v>
      </c>
      <c r="O166">
        <f t="shared" si="68"/>
        <v>0.1885416956728081</v>
      </c>
      <c r="P166">
        <f t="shared" si="69"/>
        <v>4.7652263330509669E-2</v>
      </c>
      <c r="Q166">
        <f t="shared" si="70"/>
        <v>0.98090840081645847</v>
      </c>
      <c r="R166">
        <f t="shared" si="60"/>
        <v>1</v>
      </c>
      <c r="AG166" s="8">
        <f t="shared" si="63"/>
        <v>-0.68826873688564327</v>
      </c>
      <c r="AH166" s="8">
        <f t="shared" si="64"/>
        <v>0.29370764153320705</v>
      </c>
      <c r="AI166" s="8">
        <f t="shared" si="65"/>
        <v>0.66334151621230686</v>
      </c>
      <c r="AJ166" s="8"/>
      <c r="AK166" s="8"/>
      <c r="AL166" s="8"/>
      <c r="AN166" s="8">
        <f t="shared" si="71"/>
        <v>0.99999999999999989</v>
      </c>
      <c r="AO166" s="8">
        <f t="shared" si="72"/>
        <v>2.7382542462241428</v>
      </c>
      <c r="AP166" s="8">
        <f t="shared" si="73"/>
        <v>0.84552097763090683</v>
      </c>
      <c r="AQ166" s="8"/>
      <c r="AR166" s="8">
        <f t="shared" si="74"/>
        <v>156.89041154241991</v>
      </c>
      <c r="AS166" s="8">
        <f t="shared" si="75"/>
        <v>41.555216491973752</v>
      </c>
    </row>
    <row r="167" spans="1:45">
      <c r="A167" s="19">
        <v>4.5045000000000002</v>
      </c>
      <c r="B167" s="19">
        <v>1250.7989970000001</v>
      </c>
      <c r="C167" s="19">
        <v>-466.0457834</v>
      </c>
      <c r="E167" s="9">
        <f t="shared" si="61"/>
        <v>290.7989970000001</v>
      </c>
      <c r="F167" s="9">
        <f t="shared" si="66"/>
        <v>73.954216599999995</v>
      </c>
      <c r="I167">
        <v>1</v>
      </c>
      <c r="J167">
        <f t="shared" si="62"/>
        <v>0.19551225595921318</v>
      </c>
      <c r="K167">
        <f t="shared" si="67"/>
        <v>0.24903463132312129</v>
      </c>
      <c r="O167">
        <f t="shared" si="68"/>
        <v>0.18827601324756874</v>
      </c>
      <c r="P167">
        <f t="shared" si="69"/>
        <v>4.7881200444082561E-2</v>
      </c>
      <c r="Q167">
        <f t="shared" si="70"/>
        <v>0.98094828277521084</v>
      </c>
      <c r="R167">
        <f t="shared" si="60"/>
        <v>1</v>
      </c>
      <c r="AG167" s="8">
        <f t="shared" si="63"/>
        <v>-0.6880301030270991</v>
      </c>
      <c r="AH167" s="8">
        <f t="shared" si="64"/>
        <v>0.29391645465710392</v>
      </c>
      <c r="AI167" s="8">
        <f t="shared" si="65"/>
        <v>0.66349656744426189</v>
      </c>
      <c r="AJ167" s="8"/>
      <c r="AK167" s="8"/>
      <c r="AL167" s="8"/>
      <c r="AN167" s="8">
        <f t="shared" si="71"/>
        <v>1</v>
      </c>
      <c r="AO167" s="8">
        <f t="shared" si="72"/>
        <v>2.7378723608441806</v>
      </c>
      <c r="AP167" s="8">
        <f t="shared" si="73"/>
        <v>0.84531375860955715</v>
      </c>
      <c r="AQ167" s="8"/>
      <c r="AR167" s="8">
        <f t="shared" si="74"/>
        <v>156.86853112189033</v>
      </c>
      <c r="AS167" s="8">
        <f t="shared" si="75"/>
        <v>41.567089267331916</v>
      </c>
    </row>
    <row r="168" spans="1:45">
      <c r="A168" s="19">
        <v>4.5378666670000003</v>
      </c>
      <c r="B168" s="19">
        <v>1250.118442</v>
      </c>
      <c r="C168" s="19">
        <v>-465.6477946</v>
      </c>
      <c r="E168" s="9">
        <f t="shared" si="61"/>
        <v>290.11844199999996</v>
      </c>
      <c r="F168" s="9">
        <f t="shared" si="66"/>
        <v>74.352205400000003</v>
      </c>
      <c r="I168">
        <v>1</v>
      </c>
      <c r="J168">
        <f t="shared" si="62"/>
        <v>0.19515240199159534</v>
      </c>
      <c r="K168">
        <f t="shared" si="67"/>
        <v>0.25088256784877283</v>
      </c>
      <c r="O168">
        <f t="shared" si="68"/>
        <v>0.18784525116864836</v>
      </c>
      <c r="P168">
        <f t="shared" si="69"/>
        <v>4.8141402532093897E-2</v>
      </c>
      <c r="Q168">
        <f t="shared" si="70"/>
        <v>0.98101812775077213</v>
      </c>
      <c r="R168">
        <f t="shared" si="60"/>
        <v>1</v>
      </c>
      <c r="AG168" s="8">
        <f t="shared" si="63"/>
        <v>-0.68771373866982799</v>
      </c>
      <c r="AH168" s="8">
        <f t="shared" si="64"/>
        <v>0.2942766232771139</v>
      </c>
      <c r="AI168" s="8">
        <f t="shared" si="65"/>
        <v>0.66366488730185735</v>
      </c>
      <c r="AJ168" s="8"/>
      <c r="AK168" s="8"/>
      <c r="AL168" s="8"/>
      <c r="AN168" s="8">
        <f t="shared" si="71"/>
        <v>1</v>
      </c>
      <c r="AO168" s="8">
        <f t="shared" si="72"/>
        <v>2.7372634354275203</v>
      </c>
      <c r="AP168" s="8">
        <f t="shared" si="73"/>
        <v>0.84508876354886175</v>
      </c>
      <c r="AQ168" s="8"/>
      <c r="AR168" s="8">
        <f t="shared" si="74"/>
        <v>156.83364226547747</v>
      </c>
      <c r="AS168" s="8">
        <f t="shared" si="75"/>
        <v>41.579980534721052</v>
      </c>
    </row>
    <row r="169" spans="1:45">
      <c r="A169" s="19">
        <v>4.5712333330000003</v>
      </c>
      <c r="B169" s="19">
        <v>1249.3374530000001</v>
      </c>
      <c r="C169" s="19">
        <v>-465.46492169999999</v>
      </c>
      <c r="E169" s="9">
        <f t="shared" si="61"/>
        <v>289.3374530000001</v>
      </c>
      <c r="F169" s="9">
        <f t="shared" si="66"/>
        <v>74.535078300000009</v>
      </c>
      <c r="I169">
        <v>1</v>
      </c>
      <c r="J169">
        <f t="shared" si="62"/>
        <v>0.19469629029985366</v>
      </c>
      <c r="K169">
        <f t="shared" si="67"/>
        <v>0.25212438789389907</v>
      </c>
      <c r="O169">
        <f t="shared" si="68"/>
        <v>0.18735199643761166</v>
      </c>
      <c r="P169">
        <f t="shared" si="69"/>
        <v>4.8263007707262502E-2</v>
      </c>
      <c r="Q169">
        <f t="shared" si="70"/>
        <v>0.9811064730791913</v>
      </c>
      <c r="R169">
        <f t="shared" si="60"/>
        <v>1</v>
      </c>
      <c r="AG169" s="8">
        <f t="shared" si="63"/>
        <v>-0.68746365091537842</v>
      </c>
      <c r="AH169" s="8">
        <f t="shared" si="64"/>
        <v>0.29472344484312024</v>
      </c>
      <c r="AI169" s="8">
        <f t="shared" si="65"/>
        <v>0.66372571121654089</v>
      </c>
      <c r="AJ169" s="8"/>
      <c r="AK169" s="8"/>
      <c r="AL169" s="8"/>
      <c r="AN169" s="8">
        <f t="shared" si="71"/>
        <v>1</v>
      </c>
      <c r="AO169" s="8">
        <f t="shared" si="72"/>
        <v>2.7365826945509184</v>
      </c>
      <c r="AP169" s="8">
        <f t="shared" si="73"/>
        <v>0.84500744848544029</v>
      </c>
      <c r="AQ169" s="8"/>
      <c r="AR169" s="8">
        <f t="shared" si="74"/>
        <v>156.79463868630614</v>
      </c>
      <c r="AS169" s="8">
        <f t="shared" si="75"/>
        <v>41.584639544665947</v>
      </c>
    </row>
    <row r="170" spans="1:45">
      <c r="A170" s="19">
        <v>4.6045999999999996</v>
      </c>
      <c r="B170" s="19">
        <v>1248.885769</v>
      </c>
      <c r="C170" s="19">
        <v>-465.3027179</v>
      </c>
      <c r="E170" s="9">
        <f t="shared" si="61"/>
        <v>288.88576899999998</v>
      </c>
      <c r="F170" s="9">
        <f t="shared" si="66"/>
        <v>74.697282099999995</v>
      </c>
      <c r="I170">
        <v>1</v>
      </c>
      <c r="J170">
        <f t="shared" si="62"/>
        <v>0.19444166487649586</v>
      </c>
      <c r="K170">
        <f t="shared" si="67"/>
        <v>0.25302842789482916</v>
      </c>
      <c r="O170">
        <f t="shared" si="68"/>
        <v>0.18706642188787795</v>
      </c>
      <c r="P170">
        <f t="shared" si="69"/>
        <v>4.8369822215771498E-2</v>
      </c>
      <c r="Q170">
        <f t="shared" si="70"/>
        <v>0.98115570329121626</v>
      </c>
      <c r="R170">
        <f t="shared" si="60"/>
        <v>1</v>
      </c>
      <c r="AG170" s="8">
        <f t="shared" si="63"/>
        <v>-0.68729557790369689</v>
      </c>
      <c r="AH170" s="8">
        <f t="shared" si="64"/>
        <v>0.29497494331801255</v>
      </c>
      <c r="AI170" s="8">
        <f t="shared" si="65"/>
        <v>0.66378804705158612</v>
      </c>
      <c r="AJ170" s="8"/>
      <c r="AK170" s="8"/>
      <c r="AL170" s="8"/>
      <c r="AN170" s="8">
        <f t="shared" si="71"/>
        <v>1</v>
      </c>
      <c r="AO170" s="8">
        <f t="shared" si="72"/>
        <v>2.7361850891422312</v>
      </c>
      <c r="AP170" s="8">
        <f t="shared" si="73"/>
        <v>0.84492410605792811</v>
      </c>
      <c r="AQ170" s="8"/>
      <c r="AR170" s="8">
        <f t="shared" si="74"/>
        <v>156.77185757447677</v>
      </c>
      <c r="AS170" s="8">
        <f t="shared" si="75"/>
        <v>41.589414714016769</v>
      </c>
    </row>
    <row r="171" spans="1:45">
      <c r="A171" s="19">
        <v>4.6379666669999997</v>
      </c>
      <c r="B171" s="19">
        <v>1248.2712320000001</v>
      </c>
      <c r="C171" s="19">
        <v>-465.32130690000002</v>
      </c>
      <c r="E171" s="9">
        <f t="shared" si="61"/>
        <v>288.27123200000005</v>
      </c>
      <c r="F171" s="9">
        <f t="shared" si="66"/>
        <v>74.678693099999975</v>
      </c>
      <c r="I171">
        <v>1</v>
      </c>
      <c r="J171">
        <f t="shared" si="62"/>
        <v>0.1940568841844352</v>
      </c>
      <c r="K171">
        <f t="shared" si="67"/>
        <v>0.25348460706603881</v>
      </c>
      <c r="O171">
        <f t="shared" si="68"/>
        <v>0.18667885768795736</v>
      </c>
      <c r="P171">
        <f t="shared" si="69"/>
        <v>4.8360472964355798E-2</v>
      </c>
      <c r="Q171">
        <f t="shared" si="70"/>
        <v>0.98122997750118868</v>
      </c>
      <c r="R171">
        <f t="shared" si="60"/>
        <v>1</v>
      </c>
      <c r="AG171" s="8">
        <f t="shared" si="63"/>
        <v>-0.68716572621563776</v>
      </c>
      <c r="AH171" s="8">
        <f t="shared" si="64"/>
        <v>0.29534643100241759</v>
      </c>
      <c r="AI171" s="8">
        <f t="shared" si="65"/>
        <v>0.66375729781951887</v>
      </c>
      <c r="AJ171" s="8"/>
      <c r="AK171" s="8"/>
      <c r="AL171" s="8"/>
      <c r="AN171" s="8">
        <f t="shared" si="71"/>
        <v>1.0000000000000002</v>
      </c>
      <c r="AO171" s="8">
        <f t="shared" si="72"/>
        <v>2.7356602021456689</v>
      </c>
      <c r="AP171" s="8">
        <f t="shared" si="73"/>
        <v>0.84496521826352666</v>
      </c>
      <c r="AQ171" s="8"/>
      <c r="AR171" s="8">
        <f t="shared" si="74"/>
        <v>156.74178376485247</v>
      </c>
      <c r="AS171" s="8">
        <f t="shared" si="75"/>
        <v>41.587059158149493</v>
      </c>
    </row>
    <row r="172" spans="1:45">
      <c r="A172" s="19">
        <v>4.6713333329999998</v>
      </c>
      <c r="B172" s="19">
        <v>1247.843615</v>
      </c>
      <c r="C172" s="19">
        <v>-465.21754729999998</v>
      </c>
      <c r="E172" s="9">
        <f t="shared" si="61"/>
        <v>287.843615</v>
      </c>
      <c r="F172" s="9">
        <f t="shared" si="66"/>
        <v>74.782452700000022</v>
      </c>
      <c r="I172">
        <v>1</v>
      </c>
      <c r="J172">
        <f t="shared" si="62"/>
        <v>0.19380795355307323</v>
      </c>
      <c r="K172">
        <f t="shared" si="67"/>
        <v>0.25418293132824982</v>
      </c>
      <c r="O172">
        <f t="shared" si="68"/>
        <v>0.18640862514522241</v>
      </c>
      <c r="P172">
        <f t="shared" si="69"/>
        <v>4.8429402169628218E-2</v>
      </c>
      <c r="Q172">
        <f t="shared" si="70"/>
        <v>0.98127795118251815</v>
      </c>
      <c r="R172">
        <f t="shared" si="60"/>
        <v>1</v>
      </c>
      <c r="AG172" s="8">
        <f t="shared" si="63"/>
        <v>-0.68702704341236953</v>
      </c>
      <c r="AH172" s="8">
        <f t="shared" si="64"/>
        <v>0.29559062442730832</v>
      </c>
      <c r="AI172" s="8">
        <f t="shared" si="65"/>
        <v>0.66379215449621898</v>
      </c>
      <c r="AJ172" s="8"/>
      <c r="AK172" s="8"/>
      <c r="AL172" s="8"/>
      <c r="AN172" s="8">
        <f t="shared" si="71"/>
        <v>1</v>
      </c>
      <c r="AO172" s="8">
        <f t="shared" si="72"/>
        <v>2.7352870171857409</v>
      </c>
      <c r="AP172" s="8">
        <f t="shared" si="73"/>
        <v>0.84491861422645376</v>
      </c>
      <c r="AQ172" s="8"/>
      <c r="AR172" s="8">
        <f t="shared" si="74"/>
        <v>156.72040184167082</v>
      </c>
      <c r="AS172" s="8">
        <f t="shared" si="75"/>
        <v>41.589729372782045</v>
      </c>
    </row>
    <row r="173" spans="1:45">
      <c r="A173" s="19">
        <v>4.7046999999999999</v>
      </c>
      <c r="B173" s="19">
        <v>1247.1131820000001</v>
      </c>
      <c r="C173" s="19">
        <v>-465.15366499999999</v>
      </c>
      <c r="E173" s="9">
        <f t="shared" si="61"/>
        <v>287.11318200000005</v>
      </c>
      <c r="F173" s="9">
        <f t="shared" si="66"/>
        <v>74.84633500000001</v>
      </c>
      <c r="I173">
        <v>1</v>
      </c>
      <c r="J173">
        <f t="shared" si="62"/>
        <v>0.19336454212092902</v>
      </c>
      <c r="K173">
        <f t="shared" si="67"/>
        <v>0.25501034442245679</v>
      </c>
      <c r="O173">
        <f t="shared" si="68"/>
        <v>0.1859474332046093</v>
      </c>
      <c r="P173">
        <f t="shared" si="69"/>
        <v>4.8473858918892519E-2</v>
      </c>
      <c r="Q173">
        <f t="shared" si="70"/>
        <v>0.98136325439978067</v>
      </c>
      <c r="R173">
        <f t="shared" si="60"/>
        <v>1</v>
      </c>
      <c r="AG173" s="8">
        <f t="shared" si="63"/>
        <v>-0.68683688318006109</v>
      </c>
      <c r="AH173" s="8">
        <f t="shared" si="64"/>
        <v>0.29602163239249674</v>
      </c>
      <c r="AI173" s="8">
        <f t="shared" si="65"/>
        <v>0.66379687334242587</v>
      </c>
      <c r="AJ173" s="8"/>
      <c r="AK173" s="8"/>
      <c r="AL173" s="8"/>
      <c r="AN173" s="8">
        <f t="shared" si="71"/>
        <v>0.99999999999999989</v>
      </c>
      <c r="AO173" s="8">
        <f t="shared" si="72"/>
        <v>2.7346571667774699</v>
      </c>
      <c r="AP173" s="8">
        <f t="shared" si="73"/>
        <v>0.8449123048915379</v>
      </c>
      <c r="AQ173" s="8"/>
      <c r="AR173" s="8">
        <f t="shared" si="74"/>
        <v>156.68431407155231</v>
      </c>
      <c r="AS173" s="8">
        <f t="shared" si="75"/>
        <v>41.590090871044261</v>
      </c>
    </row>
    <row r="174" spans="1:45">
      <c r="A174" s="19">
        <v>4.738066667</v>
      </c>
      <c r="B174" s="19">
        <v>1246.3616959999999</v>
      </c>
      <c r="C174" s="19">
        <v>-465.09967779999999</v>
      </c>
      <c r="E174" s="9">
        <f t="shared" si="61"/>
        <v>286.36169599999994</v>
      </c>
      <c r="F174" s="9">
        <f t="shared" si="66"/>
        <v>74.900322200000005</v>
      </c>
      <c r="I174">
        <v>1</v>
      </c>
      <c r="J174">
        <f t="shared" si="62"/>
        <v>0.1929065106992516</v>
      </c>
      <c r="K174">
        <f t="shared" si="67"/>
        <v>0.25582727605742711</v>
      </c>
      <c r="O174">
        <f t="shared" si="68"/>
        <v>0.18547288578074664</v>
      </c>
      <c r="P174">
        <f t="shared" si="69"/>
        <v>4.8512001075526966E-2</v>
      </c>
      <c r="Q174">
        <f t="shared" si="70"/>
        <v>0.98145116760428286</v>
      </c>
      <c r="R174">
        <f t="shared" si="60"/>
        <v>1</v>
      </c>
      <c r="AG174" s="8">
        <f t="shared" si="63"/>
        <v>-0.68664591028276567</v>
      </c>
      <c r="AH174" s="8">
        <f t="shared" si="64"/>
        <v>0.29646650005242758</v>
      </c>
      <c r="AI174" s="8">
        <f t="shared" si="65"/>
        <v>0.66379590857327231</v>
      </c>
      <c r="AJ174" s="8"/>
      <c r="AK174" s="8"/>
      <c r="AL174" s="8"/>
      <c r="AN174" s="8">
        <f t="shared" si="71"/>
        <v>1</v>
      </c>
      <c r="AO174" s="8">
        <f t="shared" si="72"/>
        <v>2.7340098656450782</v>
      </c>
      <c r="AP174" s="8">
        <f t="shared" si="73"/>
        <v>0.84491359483933415</v>
      </c>
      <c r="AQ174" s="8"/>
      <c r="AR174" s="8">
        <f t="shared" si="74"/>
        <v>156.64722644859222</v>
      </c>
      <c r="AS174" s="8">
        <f t="shared" si="75"/>
        <v>41.590016962479737</v>
      </c>
    </row>
    <row r="175" spans="1:45">
      <c r="A175" s="19">
        <v>4.7714333330000001</v>
      </c>
      <c r="B175" s="19">
        <v>1246.143943</v>
      </c>
      <c r="C175" s="19">
        <v>-465.0043005</v>
      </c>
      <c r="E175" s="9">
        <f t="shared" si="61"/>
        <v>286.14394300000004</v>
      </c>
      <c r="F175" s="9">
        <f t="shared" si="66"/>
        <v>74.995699500000001</v>
      </c>
      <c r="I175">
        <v>1</v>
      </c>
      <c r="J175">
        <f t="shared" si="62"/>
        <v>0.19278677312281853</v>
      </c>
      <c r="K175">
        <f t="shared" si="67"/>
        <v>0.25632548567806124</v>
      </c>
      <c r="O175">
        <f t="shared" si="68"/>
        <v>0.18533501519471376</v>
      </c>
      <c r="P175">
        <f t="shared" si="69"/>
        <v>4.8574605356475037E-2</v>
      </c>
      <c r="Q175">
        <f t="shared" si="70"/>
        <v>0.98147411573471355</v>
      </c>
      <c r="R175">
        <f t="shared" si="60"/>
        <v>1</v>
      </c>
      <c r="AG175" s="8">
        <f t="shared" si="63"/>
        <v>-0.68655755811369878</v>
      </c>
      <c r="AH175" s="8">
        <f t="shared" si="64"/>
        <v>0.29658562625338192</v>
      </c>
      <c r="AI175" s="8">
        <f t="shared" si="65"/>
        <v>0.66383407994531618</v>
      </c>
      <c r="AJ175" s="8"/>
      <c r="AK175" s="8"/>
      <c r="AL175" s="8"/>
      <c r="AN175" s="8">
        <f t="shared" si="71"/>
        <v>1</v>
      </c>
      <c r="AO175" s="8">
        <f t="shared" si="72"/>
        <v>2.7338168004000667</v>
      </c>
      <c r="AP175" s="8">
        <f t="shared" si="73"/>
        <v>0.8448625565529877</v>
      </c>
      <c r="AQ175" s="8"/>
      <c r="AR175" s="8">
        <f t="shared" si="74"/>
        <v>156.63616462488241</v>
      </c>
      <c r="AS175" s="8">
        <f t="shared" si="75"/>
        <v>41.592941240880975</v>
      </c>
    </row>
    <row r="176" spans="1:45">
      <c r="A176" s="19">
        <v>4.8048000000000002</v>
      </c>
      <c r="B176" s="19">
        <v>1245.4675520000001</v>
      </c>
      <c r="C176" s="19">
        <v>-464.57337610000002</v>
      </c>
      <c r="E176" s="9">
        <f t="shared" si="61"/>
        <v>285.46755200000007</v>
      </c>
      <c r="F176" s="9">
        <f t="shared" si="66"/>
        <v>75.426623899999981</v>
      </c>
      <c r="I176">
        <v>1</v>
      </c>
      <c r="J176">
        <f t="shared" si="62"/>
        <v>0.19243718199246643</v>
      </c>
      <c r="K176">
        <f t="shared" si="67"/>
        <v>0.25831803934375236</v>
      </c>
      <c r="O176">
        <f t="shared" si="68"/>
        <v>0.18490611807505555</v>
      </c>
      <c r="P176">
        <f t="shared" si="69"/>
        <v>4.8856145390759498E-2</v>
      </c>
      <c r="Q176">
        <f t="shared" si="70"/>
        <v>0.98154103559452399</v>
      </c>
      <c r="R176">
        <f t="shared" si="60"/>
        <v>1</v>
      </c>
      <c r="AG176" s="8">
        <f t="shared" si="63"/>
        <v>-0.6862272770339064</v>
      </c>
      <c r="AH176" s="8">
        <f t="shared" si="64"/>
        <v>0.29693911556539965</v>
      </c>
      <c r="AI176" s="8">
        <f t="shared" si="65"/>
        <v>0.66401753433314448</v>
      </c>
      <c r="AJ176" s="8"/>
      <c r="AK176" s="8"/>
      <c r="AL176" s="8"/>
      <c r="AN176" s="8">
        <f t="shared" si="71"/>
        <v>1.0000000000000002</v>
      </c>
      <c r="AO176" s="8">
        <f t="shared" si="72"/>
        <v>2.7332076339527314</v>
      </c>
      <c r="AP176" s="8">
        <f t="shared" si="73"/>
        <v>0.8446172305707712</v>
      </c>
      <c r="AQ176" s="8"/>
      <c r="AR176" s="8">
        <f t="shared" si="74"/>
        <v>156.60126195842912</v>
      </c>
      <c r="AS176" s="8">
        <f t="shared" si="75"/>
        <v>41.606997384266876</v>
      </c>
    </row>
    <row r="177" spans="1:45">
      <c r="A177" s="19">
        <v>4.8381666670000003</v>
      </c>
      <c r="B177" s="19">
        <v>1244.6910339999999</v>
      </c>
      <c r="C177" s="19">
        <v>-464.28254349999997</v>
      </c>
      <c r="E177" s="9">
        <f t="shared" si="61"/>
        <v>284.69103399999995</v>
      </c>
      <c r="F177" s="9">
        <f t="shared" si="66"/>
        <v>75.717456500000026</v>
      </c>
      <c r="I177">
        <v>1</v>
      </c>
      <c r="J177">
        <f t="shared" si="62"/>
        <v>0.19200302466120506</v>
      </c>
      <c r="K177">
        <f t="shared" si="67"/>
        <v>0.25994590069710866</v>
      </c>
      <c r="O177">
        <f t="shared" si="68"/>
        <v>0.1844144981994606</v>
      </c>
      <c r="P177">
        <f t="shared" si="69"/>
        <v>4.9047546560201799E-2</v>
      </c>
      <c r="Q177">
        <f t="shared" si="70"/>
        <v>0.98162397639333665</v>
      </c>
      <c r="R177">
        <f t="shared" si="60"/>
        <v>1</v>
      </c>
      <c r="AG177" s="8">
        <f t="shared" si="63"/>
        <v>-0.68593222451162494</v>
      </c>
      <c r="AH177" s="8">
        <f t="shared" si="64"/>
        <v>0.29736991798708379</v>
      </c>
      <c r="AI177" s="8">
        <f t="shared" si="65"/>
        <v>0.66412959221291201</v>
      </c>
      <c r="AJ177" s="8"/>
      <c r="AK177" s="8"/>
      <c r="AL177" s="8"/>
      <c r="AN177" s="8">
        <f t="shared" si="71"/>
        <v>1</v>
      </c>
      <c r="AO177" s="8">
        <f t="shared" si="72"/>
        <v>2.7325220584205838</v>
      </c>
      <c r="AP177" s="8">
        <f t="shared" si="73"/>
        <v>0.84446735389563254</v>
      </c>
      <c r="AQ177" s="8"/>
      <c r="AR177" s="8">
        <f t="shared" si="74"/>
        <v>156.56198137389961</v>
      </c>
      <c r="AS177" s="8">
        <f t="shared" si="75"/>
        <v>41.615584685199778</v>
      </c>
    </row>
    <row r="178" spans="1:45">
      <c r="A178" s="19">
        <v>4.8715333330000004</v>
      </c>
      <c r="B178" s="19">
        <v>1244.139829</v>
      </c>
      <c r="C178" s="19">
        <v>-464.2069262</v>
      </c>
      <c r="E178" s="9">
        <f t="shared" si="61"/>
        <v>284.13982899999996</v>
      </c>
      <c r="F178" s="9">
        <f t="shared" si="66"/>
        <v>75.793073800000002</v>
      </c>
      <c r="I178">
        <v>1</v>
      </c>
      <c r="J178">
        <f t="shared" si="62"/>
        <v>0.19167343379654997</v>
      </c>
      <c r="K178">
        <f t="shared" si="67"/>
        <v>0.26067616416809442</v>
      </c>
      <c r="O178">
        <f t="shared" si="68"/>
        <v>0.18406601740004516</v>
      </c>
      <c r="P178">
        <f t="shared" si="69"/>
        <v>4.909881620599451E-2</v>
      </c>
      <c r="Q178">
        <f t="shared" si="70"/>
        <v>0.98168681741462549</v>
      </c>
      <c r="R178">
        <f t="shared" si="60"/>
        <v>1</v>
      </c>
      <c r="AG178" s="8">
        <f t="shared" si="63"/>
        <v>-0.68577679605968245</v>
      </c>
      <c r="AH178" s="8">
        <f t="shared" si="64"/>
        <v>0.29769177523218238</v>
      </c>
      <c r="AI178" s="8">
        <f t="shared" si="65"/>
        <v>0.66414591239066467</v>
      </c>
      <c r="AJ178" s="8"/>
      <c r="AK178" s="8"/>
      <c r="AL178" s="8"/>
      <c r="AN178" s="8">
        <f t="shared" si="71"/>
        <v>0.99999999999999989</v>
      </c>
      <c r="AO178" s="8">
        <f t="shared" si="72"/>
        <v>2.7320443665993954</v>
      </c>
      <c r="AP178" s="8">
        <f t="shared" si="73"/>
        <v>0.84444552410084717</v>
      </c>
      <c r="AQ178" s="8"/>
      <c r="AR178" s="8">
        <f t="shared" si="74"/>
        <v>156.53461164863762</v>
      </c>
      <c r="AS178" s="8">
        <f t="shared" si="75"/>
        <v>41.616835440308613</v>
      </c>
    </row>
    <row r="179" spans="1:45">
      <c r="A179" s="19">
        <v>4.9048999999999996</v>
      </c>
      <c r="B179" s="19">
        <v>1243.4761559999999</v>
      </c>
      <c r="C179" s="19">
        <v>-464.17094580000003</v>
      </c>
      <c r="E179" s="9">
        <f t="shared" si="61"/>
        <v>283.47615599999995</v>
      </c>
      <c r="F179" s="9">
        <f t="shared" si="66"/>
        <v>75.829054199999973</v>
      </c>
      <c r="I179">
        <v>1</v>
      </c>
      <c r="J179">
        <f t="shared" si="62"/>
        <v>0.19126753502099647</v>
      </c>
      <c r="K179">
        <f t="shared" si="67"/>
        <v>0.26137754714579625</v>
      </c>
      <c r="O179">
        <f t="shared" si="68"/>
        <v>0.18364658833938732</v>
      </c>
      <c r="P179">
        <f t="shared" si="69"/>
        <v>4.9124932753894429E-2</v>
      </c>
      <c r="Q179">
        <f t="shared" si="70"/>
        <v>0.98176406105195613</v>
      </c>
      <c r="R179">
        <f t="shared" si="60"/>
        <v>1</v>
      </c>
      <c r="AG179" s="8">
        <f t="shared" si="63"/>
        <v>-0.68561231162069614</v>
      </c>
      <c r="AH179" s="8">
        <f t="shared" si="64"/>
        <v>0.2980860655378087</v>
      </c>
      <c r="AI179" s="8">
        <f t="shared" si="65"/>
        <v>0.66413888282972466</v>
      </c>
      <c r="AJ179" s="8"/>
      <c r="AK179" s="8"/>
      <c r="AL179" s="8"/>
      <c r="AN179" s="8">
        <f t="shared" si="71"/>
        <v>1</v>
      </c>
      <c r="AO179" s="8">
        <f t="shared" si="72"/>
        <v>2.7314729722092426</v>
      </c>
      <c r="AP179" s="8">
        <f t="shared" si="73"/>
        <v>0.84445492686116708</v>
      </c>
      <c r="AQ179" s="8"/>
      <c r="AR179" s="8">
        <f t="shared" si="74"/>
        <v>156.5018731616444</v>
      </c>
      <c r="AS179" s="8">
        <f t="shared" si="75"/>
        <v>41.616296701826514</v>
      </c>
    </row>
    <row r="180" spans="1:45">
      <c r="A180" s="19">
        <v>4.9382666669999997</v>
      </c>
      <c r="B180" s="19">
        <v>1243.1726120000001</v>
      </c>
      <c r="C180" s="19">
        <v>-464.1683117</v>
      </c>
      <c r="E180" s="9">
        <f t="shared" si="61"/>
        <v>283.17261200000007</v>
      </c>
      <c r="F180" s="9">
        <f t="shared" si="66"/>
        <v>75.831688299999996</v>
      </c>
      <c r="I180">
        <v>1</v>
      </c>
      <c r="J180">
        <f t="shared" si="62"/>
        <v>0.19107960461882928</v>
      </c>
      <c r="K180">
        <f t="shared" si="67"/>
        <v>0.26165380091575202</v>
      </c>
      <c r="O180">
        <f t="shared" si="68"/>
        <v>0.18345478367523205</v>
      </c>
      <c r="P180">
        <f t="shared" si="69"/>
        <v>4.9127936047728096E-2</v>
      </c>
      <c r="Q180">
        <f t="shared" si="70"/>
        <v>0.98179976993599061</v>
      </c>
      <c r="R180">
        <f t="shared" si="60"/>
        <v>1</v>
      </c>
      <c r="AG180" s="8">
        <f t="shared" si="63"/>
        <v>-0.68554275473066262</v>
      </c>
      <c r="AH180" s="8">
        <f t="shared" si="64"/>
        <v>0.29826809986959346</v>
      </c>
      <c r="AI180" s="8">
        <f t="shared" si="65"/>
        <v>0.66412895738439004</v>
      </c>
      <c r="AJ180" s="8"/>
      <c r="AK180" s="8"/>
      <c r="AL180" s="8"/>
      <c r="AN180" s="8">
        <f t="shared" si="71"/>
        <v>1.0000000000000002</v>
      </c>
      <c r="AO180" s="8">
        <f t="shared" si="72"/>
        <v>2.7312125819520419</v>
      </c>
      <c r="AP180" s="8">
        <f t="shared" si="73"/>
        <v>0.84446820303079351</v>
      </c>
      <c r="AQ180" s="8"/>
      <c r="AR180" s="8">
        <f t="shared" si="74"/>
        <v>156.48695389888047</v>
      </c>
      <c r="AS180" s="8">
        <f t="shared" si="75"/>
        <v>41.61553603333882</v>
      </c>
    </row>
    <row r="181" spans="1:45">
      <c r="A181" s="19">
        <v>4.9716333329999998</v>
      </c>
      <c r="B181" s="19">
        <v>1242.350162</v>
      </c>
      <c r="C181" s="19">
        <v>-464.02604919999999</v>
      </c>
      <c r="E181" s="9">
        <f t="shared" si="61"/>
        <v>282.35016199999995</v>
      </c>
      <c r="F181" s="9">
        <f t="shared" si="66"/>
        <v>75.973950800000011</v>
      </c>
      <c r="I181">
        <v>1</v>
      </c>
      <c r="J181">
        <f t="shared" si="62"/>
        <v>0.19059296279037513</v>
      </c>
      <c r="K181">
        <f t="shared" si="67"/>
        <v>0.26285140329391798</v>
      </c>
      <c r="O181">
        <f t="shared" si="68"/>
        <v>0.1829344203340626</v>
      </c>
      <c r="P181">
        <f t="shared" si="69"/>
        <v>4.9223455554761111E-2</v>
      </c>
      <c r="Q181">
        <f t="shared" si="70"/>
        <v>0.98189207618774932</v>
      </c>
      <c r="R181">
        <f t="shared" si="60"/>
        <v>1</v>
      </c>
      <c r="AG181" s="8">
        <f t="shared" si="63"/>
        <v>-0.68529819844837248</v>
      </c>
      <c r="AH181" s="8">
        <f t="shared" si="64"/>
        <v>0.29874471025739147</v>
      </c>
      <c r="AI181" s="8">
        <f t="shared" si="65"/>
        <v>0.66416713054519816</v>
      </c>
      <c r="AJ181" s="8"/>
      <c r="AK181" s="8"/>
      <c r="AL181" s="8"/>
      <c r="AN181" s="8">
        <f t="shared" si="71"/>
        <v>1</v>
      </c>
      <c r="AO181" s="8">
        <f t="shared" si="72"/>
        <v>2.730497472100339</v>
      </c>
      <c r="AP181" s="8">
        <f t="shared" si="73"/>
        <v>0.84441714216181762</v>
      </c>
      <c r="AQ181" s="8"/>
      <c r="AR181" s="8">
        <f t="shared" si="74"/>
        <v>156.44598112248968</v>
      </c>
      <c r="AS181" s="8">
        <f t="shared" si="75"/>
        <v>41.618461605629406</v>
      </c>
    </row>
    <row r="182" spans="1:45">
      <c r="A182" s="19">
        <v>5.0049999999999999</v>
      </c>
      <c r="B182" s="19">
        <v>1241.53774</v>
      </c>
      <c r="C182" s="19">
        <v>-463.75172209999999</v>
      </c>
      <c r="E182" s="9">
        <f t="shared" si="61"/>
        <v>281.53773999999999</v>
      </c>
      <c r="F182" s="9">
        <f t="shared" si="66"/>
        <v>76.248277900000005</v>
      </c>
      <c r="I182">
        <v>1</v>
      </c>
      <c r="J182">
        <f t="shared" si="62"/>
        <v>0.19013490165359723</v>
      </c>
      <c r="K182">
        <f t="shared" si="67"/>
        <v>0.26448333045669226</v>
      </c>
      <c r="O182">
        <f t="shared" si="68"/>
        <v>0.18241970133525451</v>
      </c>
      <c r="P182">
        <f t="shared" si="69"/>
        <v>4.9404346578350342E-2</v>
      </c>
      <c r="Q182">
        <f t="shared" si="70"/>
        <v>0.9819787488046382</v>
      </c>
      <c r="R182">
        <f t="shared" si="60"/>
        <v>1</v>
      </c>
      <c r="AG182" s="8">
        <f t="shared" si="63"/>
        <v>-0.68500099031237327</v>
      </c>
      <c r="AH182" s="8">
        <f t="shared" si="64"/>
        <v>0.29919904221627402</v>
      </c>
      <c r="AI182" s="8">
        <f t="shared" si="65"/>
        <v>0.66426920477162876</v>
      </c>
      <c r="AJ182" s="8"/>
      <c r="AK182" s="8"/>
      <c r="AL182" s="8"/>
      <c r="AN182" s="8">
        <f t="shared" si="71"/>
        <v>0.99999999999999989</v>
      </c>
      <c r="AO182" s="8">
        <f t="shared" si="72"/>
        <v>2.7297814161161504</v>
      </c>
      <c r="AP182" s="8">
        <f t="shared" si="73"/>
        <v>0.84428059509616993</v>
      </c>
      <c r="AQ182" s="8"/>
      <c r="AR182" s="8">
        <f t="shared" si="74"/>
        <v>156.40495413670058</v>
      </c>
      <c r="AS182" s="8">
        <f t="shared" si="75"/>
        <v>41.626285176195914</v>
      </c>
    </row>
    <row r="183" spans="1:45">
      <c r="A183" s="19">
        <v>5.038366667</v>
      </c>
      <c r="B183" s="19">
        <v>1241.1057000000001</v>
      </c>
      <c r="C183" s="19">
        <v>-463.47711800000002</v>
      </c>
      <c r="E183" s="9">
        <f t="shared" si="61"/>
        <v>281.10570000000007</v>
      </c>
      <c r="F183" s="9">
        <f t="shared" si="66"/>
        <v>76.522881999999981</v>
      </c>
      <c r="I183">
        <v>1</v>
      </c>
      <c r="J183">
        <f t="shared" si="62"/>
        <v>0.18991319553079319</v>
      </c>
      <c r="K183">
        <f t="shared" si="67"/>
        <v>0.26578078952121409</v>
      </c>
      <c r="O183">
        <f t="shared" si="68"/>
        <v>0.18214537683335114</v>
      </c>
      <c r="P183">
        <f t="shared" si="69"/>
        <v>4.9583801318379722E-2</v>
      </c>
      <c r="Q183">
        <f t="shared" si="70"/>
        <v>0.98202062521367439</v>
      </c>
      <c r="R183">
        <f t="shared" si="60"/>
        <v>1</v>
      </c>
      <c r="AG183" s="8">
        <f t="shared" si="63"/>
        <v>-0.68478952351223699</v>
      </c>
      <c r="AH183" s="8">
        <f t="shared" si="64"/>
        <v>0.29942480382443337</v>
      </c>
      <c r="AI183" s="8">
        <f t="shared" si="65"/>
        <v>0.66438550205628599</v>
      </c>
      <c r="AJ183" s="8"/>
      <c r="AK183" s="8"/>
      <c r="AL183" s="8"/>
      <c r="AN183" s="8">
        <f t="shared" si="71"/>
        <v>1.0000000000000002</v>
      </c>
      <c r="AO183" s="8">
        <f t="shared" si="72"/>
        <v>2.7293913505624587</v>
      </c>
      <c r="AP183" s="8">
        <f t="shared" si="73"/>
        <v>0.84412500131876211</v>
      </c>
      <c r="AQ183" s="8"/>
      <c r="AR183" s="8">
        <f t="shared" si="74"/>
        <v>156.38260502674061</v>
      </c>
      <c r="AS183" s="8">
        <f t="shared" si="75"/>
        <v>41.63520004295988</v>
      </c>
    </row>
    <row r="184" spans="1:45">
      <c r="A184" s="19">
        <v>5.0717333330000001</v>
      </c>
      <c r="B184" s="19">
        <v>1240.4762149999999</v>
      </c>
      <c r="C184" s="19">
        <v>-463.15453550000001</v>
      </c>
      <c r="E184" s="9">
        <f t="shared" si="61"/>
        <v>280.47621499999991</v>
      </c>
      <c r="F184" s="9">
        <f t="shared" si="66"/>
        <v>76.845464499999991</v>
      </c>
      <c r="I184">
        <v>1</v>
      </c>
      <c r="J184">
        <f t="shared" si="62"/>
        <v>0.18957753326004348</v>
      </c>
      <c r="K184">
        <f t="shared" si="67"/>
        <v>0.26741963833375476</v>
      </c>
      <c r="O184">
        <f t="shared" si="68"/>
        <v>0.18174595067507823</v>
      </c>
      <c r="P184">
        <f t="shared" si="69"/>
        <v>4.9795138602467523E-2</v>
      </c>
      <c r="Q184">
        <f t="shared" si="70"/>
        <v>0.98208393408342298</v>
      </c>
      <c r="R184">
        <f t="shared" si="60"/>
        <v>1</v>
      </c>
      <c r="AG184" s="8">
        <f t="shared" si="63"/>
        <v>-0.68451337430793202</v>
      </c>
      <c r="AH184" s="8">
        <f t="shared" si="64"/>
        <v>0.29976324937634491</v>
      </c>
      <c r="AI184" s="8">
        <f t="shared" si="65"/>
        <v>0.66451744500570065</v>
      </c>
      <c r="AJ184" s="8"/>
      <c r="AK184" s="8"/>
      <c r="AL184" s="8"/>
      <c r="AN184" s="8">
        <f t="shared" si="71"/>
        <v>1.0000000000000002</v>
      </c>
      <c r="AO184" s="8">
        <f t="shared" si="72"/>
        <v>2.7288283290303883</v>
      </c>
      <c r="AP184" s="8">
        <f t="shared" si="73"/>
        <v>0.8439484491922512</v>
      </c>
      <c r="AQ184" s="8"/>
      <c r="AR184" s="8">
        <f t="shared" si="74"/>
        <v>156.35034626917798</v>
      </c>
      <c r="AS184" s="8">
        <f t="shared" si="75"/>
        <v>41.645315734673012</v>
      </c>
    </row>
    <row r="185" spans="1:45">
      <c r="A185" s="19">
        <v>5.1051000000000002</v>
      </c>
      <c r="B185" s="19">
        <v>1239.810606</v>
      </c>
      <c r="C185" s="19">
        <v>-463.14136930000001</v>
      </c>
      <c r="E185" s="9">
        <f t="shared" si="61"/>
        <v>279.81060600000001</v>
      </c>
      <c r="F185" s="9">
        <f t="shared" si="66"/>
        <v>76.858630699999992</v>
      </c>
      <c r="I185">
        <v>1</v>
      </c>
      <c r="J185">
        <f t="shared" si="62"/>
        <v>0.18916717053810536</v>
      </c>
      <c r="K185">
        <f t="shared" si="67"/>
        <v>0.26806952734484696</v>
      </c>
      <c r="O185">
        <f t="shared" si="68"/>
        <v>0.18132491897839745</v>
      </c>
      <c r="P185">
        <f t="shared" si="69"/>
        <v>4.9806492983572141E-2</v>
      </c>
      <c r="Q185">
        <f t="shared" si="70"/>
        <v>0.98216118178950396</v>
      </c>
      <c r="R185">
        <f t="shared" si="60"/>
        <v>1</v>
      </c>
      <c r="AG185" s="8">
        <f t="shared" si="63"/>
        <v>-0.68435707711734006</v>
      </c>
      <c r="AH185" s="8">
        <f t="shared" si="64"/>
        <v>0.30016147351107514</v>
      </c>
      <c r="AI185" s="8">
        <f t="shared" si="65"/>
        <v>0.66449866878653052</v>
      </c>
      <c r="AJ185" s="8"/>
      <c r="AK185" s="8"/>
      <c r="AL185" s="8"/>
      <c r="AN185" s="8">
        <f t="shared" si="71"/>
        <v>1</v>
      </c>
      <c r="AO185" s="8">
        <f t="shared" si="72"/>
        <v>2.728256292310844</v>
      </c>
      <c r="AP185" s="8">
        <f t="shared" si="73"/>
        <v>0.84397357523809025</v>
      </c>
      <c r="AQ185" s="8"/>
      <c r="AR185" s="8">
        <f t="shared" si="74"/>
        <v>156.31757097942159</v>
      </c>
      <c r="AS185" s="8">
        <f t="shared" si="75"/>
        <v>41.643876118290585</v>
      </c>
    </row>
    <row r="186" spans="1:45">
      <c r="A186" s="19">
        <v>5.1384666670000003</v>
      </c>
      <c r="B186" s="19">
        <v>1239.096483</v>
      </c>
      <c r="C186" s="19">
        <v>-463.14878190000002</v>
      </c>
      <c r="E186" s="9">
        <f t="shared" si="61"/>
        <v>279.09648300000003</v>
      </c>
      <c r="F186" s="9">
        <f t="shared" si="66"/>
        <v>76.851218099999983</v>
      </c>
      <c r="I186">
        <v>1</v>
      </c>
      <c r="J186">
        <f t="shared" si="62"/>
        <v>0.18872324751398281</v>
      </c>
      <c r="K186">
        <f t="shared" si="67"/>
        <v>0.26869823995947156</v>
      </c>
      <c r="O186">
        <f t="shared" si="68"/>
        <v>0.18087319236064514</v>
      </c>
      <c r="P186">
        <f t="shared" si="69"/>
        <v>4.9804730626258689E-2</v>
      </c>
      <c r="Q186">
        <f t="shared" si="70"/>
        <v>0.98224456073450206</v>
      </c>
      <c r="R186">
        <f t="shared" si="60"/>
        <v>1</v>
      </c>
      <c r="AG186" s="8">
        <f t="shared" si="63"/>
        <v>-0.68419815150956043</v>
      </c>
      <c r="AH186" s="8">
        <f t="shared" si="64"/>
        <v>0.30059137330547109</v>
      </c>
      <c r="AI186" s="8">
        <f t="shared" si="65"/>
        <v>0.66446799453790961</v>
      </c>
      <c r="AJ186" s="8"/>
      <c r="AK186" s="8"/>
      <c r="AL186" s="8"/>
      <c r="AN186" s="8">
        <f t="shared" si="71"/>
        <v>0.99999999999999989</v>
      </c>
      <c r="AO186" s="8">
        <f t="shared" si="72"/>
        <v>2.7276440601569631</v>
      </c>
      <c r="AP186" s="8">
        <f t="shared" si="73"/>
        <v>0.84401462183513198</v>
      </c>
      <c r="AQ186" s="8"/>
      <c r="AR186" s="8">
        <f t="shared" si="74"/>
        <v>156.282492660922</v>
      </c>
      <c r="AS186" s="8">
        <f t="shared" si="75"/>
        <v>41.641524321516719</v>
      </c>
    </row>
    <row r="187" spans="1:45">
      <c r="A187" s="19">
        <v>5.1718333330000004</v>
      </c>
      <c r="B187" s="19">
        <v>1238.3615629999999</v>
      </c>
      <c r="C187" s="19">
        <v>-463.11095360000002</v>
      </c>
      <c r="E187" s="9">
        <f t="shared" si="61"/>
        <v>278.36156299999993</v>
      </c>
      <c r="F187" s="9">
        <f t="shared" si="66"/>
        <v>76.889046399999984</v>
      </c>
      <c r="I187">
        <v>1</v>
      </c>
      <c r="J187">
        <f t="shared" si="62"/>
        <v>0.18827418626881234</v>
      </c>
      <c r="K187">
        <f t="shared" si="67"/>
        <v>0.26950013267002804</v>
      </c>
      <c r="O187">
        <f t="shared" si="68"/>
        <v>0.18040801144092722</v>
      </c>
      <c r="P187">
        <f t="shared" si="69"/>
        <v>4.9832310945219047E-2</v>
      </c>
      <c r="Q187">
        <f t="shared" si="70"/>
        <v>0.98232870781311754</v>
      </c>
      <c r="R187">
        <f t="shared" si="60"/>
        <v>1</v>
      </c>
      <c r="AG187" s="8">
        <f t="shared" si="63"/>
        <v>-0.684015589064353</v>
      </c>
      <c r="AH187" s="8">
        <f t="shared" si="64"/>
        <v>0.30102819106061679</v>
      </c>
      <c r="AI187" s="8">
        <f t="shared" si="65"/>
        <v>0.66445820192373195</v>
      </c>
      <c r="AJ187" s="8"/>
      <c r="AK187" s="8"/>
      <c r="AL187" s="8"/>
      <c r="AN187" s="8">
        <f t="shared" si="71"/>
        <v>1</v>
      </c>
      <c r="AO187" s="8">
        <f t="shared" si="72"/>
        <v>2.7270106604789879</v>
      </c>
      <c r="AP187" s="8">
        <f t="shared" si="73"/>
        <v>0.84402772545884686</v>
      </c>
      <c r="AQ187" s="8"/>
      <c r="AR187" s="8">
        <f t="shared" si="74"/>
        <v>156.2462015326291</v>
      </c>
      <c r="AS187" s="8">
        <f t="shared" si="75"/>
        <v>41.640773539181531</v>
      </c>
    </row>
    <row r="188" spans="1:45">
      <c r="A188" s="19">
        <v>5.2051999999999996</v>
      </c>
      <c r="B188" s="19">
        <v>1237.7239629999999</v>
      </c>
      <c r="C188" s="19">
        <v>-463.00222539999999</v>
      </c>
      <c r="E188" s="9">
        <f t="shared" si="61"/>
        <v>277.72396299999991</v>
      </c>
      <c r="F188" s="9">
        <f t="shared" si="66"/>
        <v>76.997774600000014</v>
      </c>
      <c r="I188">
        <v>1</v>
      </c>
      <c r="J188">
        <f t="shared" si="62"/>
        <v>0.18789767102500196</v>
      </c>
      <c r="K188">
        <f t="shared" si="67"/>
        <v>0.2704528195061911</v>
      </c>
      <c r="O188">
        <f t="shared" si="68"/>
        <v>0.18000402495035608</v>
      </c>
      <c r="P188">
        <f t="shared" si="69"/>
        <v>4.9905341946385441E-2</v>
      </c>
      <c r="Q188">
        <f t="shared" si="70"/>
        <v>0.98239910822785559</v>
      </c>
      <c r="R188">
        <f t="shared" si="60"/>
        <v>1</v>
      </c>
      <c r="AG188" s="8">
        <f t="shared" si="63"/>
        <v>-0.68382560066849041</v>
      </c>
      <c r="AH188" s="8">
        <f t="shared" si="64"/>
        <v>0.30139780617680945</v>
      </c>
      <c r="AI188" s="8">
        <f t="shared" si="65"/>
        <v>0.66448620023457572</v>
      </c>
      <c r="AJ188" s="8"/>
      <c r="AK188" s="8"/>
      <c r="AL188" s="8"/>
      <c r="AN188" s="8">
        <f t="shared" si="71"/>
        <v>1</v>
      </c>
      <c r="AO188" s="8">
        <f t="shared" si="72"/>
        <v>2.72645555337408</v>
      </c>
      <c r="AP188" s="8">
        <f t="shared" si="73"/>
        <v>0.84399026015113709</v>
      </c>
      <c r="AQ188" s="8"/>
      <c r="AR188" s="8">
        <f t="shared" si="74"/>
        <v>156.21439623834013</v>
      </c>
      <c r="AS188" s="8">
        <f t="shared" si="75"/>
        <v>41.642920143191461</v>
      </c>
    </row>
    <row r="189" spans="1:45">
      <c r="A189" s="19">
        <v>5.2385666669999997</v>
      </c>
      <c r="B189" s="19">
        <v>1237.275189</v>
      </c>
      <c r="C189" s="19">
        <v>-463.07116309999998</v>
      </c>
      <c r="E189" s="9">
        <f t="shared" si="61"/>
        <v>277.27518899999995</v>
      </c>
      <c r="F189" s="9">
        <f t="shared" si="66"/>
        <v>76.928836900000022</v>
      </c>
      <c r="I189">
        <v>1</v>
      </c>
      <c r="J189">
        <f t="shared" si="62"/>
        <v>0.18760770042982852</v>
      </c>
      <c r="K189">
        <f t="shared" si="67"/>
        <v>0.27063862772300534</v>
      </c>
      <c r="O189">
        <f t="shared" si="68"/>
        <v>0.17972024365459047</v>
      </c>
      <c r="P189">
        <f t="shared" si="69"/>
        <v>4.9862626950485128E-2</v>
      </c>
      <c r="Q189">
        <f t="shared" si="70"/>
        <v>0.98245323168806942</v>
      </c>
      <c r="R189">
        <f t="shared" si="60"/>
        <v>1</v>
      </c>
      <c r="AG189" s="8">
        <f t="shared" si="63"/>
        <v>-0.68375208020253586</v>
      </c>
      <c r="AH189" s="8">
        <f t="shared" si="64"/>
        <v>0.30167588311646298</v>
      </c>
      <c r="AI189" s="8">
        <f t="shared" si="65"/>
        <v>0.66443566608408899</v>
      </c>
      <c r="AJ189" s="8"/>
      <c r="AK189" s="8"/>
      <c r="AL189" s="8"/>
      <c r="AN189" s="8">
        <f t="shared" si="71"/>
        <v>0.99999999999999989</v>
      </c>
      <c r="AO189" s="8">
        <f t="shared" si="72"/>
        <v>2.7260753954322019</v>
      </c>
      <c r="AP189" s="8">
        <f t="shared" si="73"/>
        <v>0.84405788037750473</v>
      </c>
      <c r="AQ189" s="8"/>
      <c r="AR189" s="8">
        <f t="shared" si="74"/>
        <v>156.19261479272214</v>
      </c>
      <c r="AS189" s="8">
        <f t="shared" si="75"/>
        <v>41.639045789610876</v>
      </c>
    </row>
    <row r="190" spans="1:45">
      <c r="A190" s="19">
        <v>5.2719333329999998</v>
      </c>
      <c r="B190" s="19">
        <v>1236.5884390000001</v>
      </c>
      <c r="C190" s="19">
        <v>-463.05573570000001</v>
      </c>
      <c r="E190" s="9">
        <f t="shared" si="61"/>
        <v>276.58843900000011</v>
      </c>
      <c r="F190" s="9">
        <f t="shared" si="66"/>
        <v>76.944264299999986</v>
      </c>
      <c r="I190">
        <v>1</v>
      </c>
      <c r="J190">
        <f t="shared" si="62"/>
        <v>0.18718475516446761</v>
      </c>
      <c r="K190">
        <f t="shared" si="67"/>
        <v>0.27132992740550216</v>
      </c>
      <c r="O190">
        <f t="shared" si="68"/>
        <v>0.17928539250759282</v>
      </c>
      <c r="P190">
        <f t="shared" si="69"/>
        <v>4.9875485309902844E-2</v>
      </c>
      <c r="Q190">
        <f t="shared" si="70"/>
        <v>0.98253202695815467</v>
      </c>
      <c r="R190">
        <f t="shared" si="60"/>
        <v>1</v>
      </c>
      <c r="AG190" s="8">
        <f t="shared" si="63"/>
        <v>-0.6835893350892901</v>
      </c>
      <c r="AH190" s="8">
        <f t="shared" si="64"/>
        <v>0.30208651475973858</v>
      </c>
      <c r="AI190" s="8">
        <f t="shared" si="65"/>
        <v>0.66441655499580721</v>
      </c>
      <c r="AJ190" s="8"/>
      <c r="AK190" s="8"/>
      <c r="AL190" s="8"/>
      <c r="AN190" s="8">
        <f t="shared" si="71"/>
        <v>1</v>
      </c>
      <c r="AO190" s="8">
        <f t="shared" si="72"/>
        <v>2.7254848061282457</v>
      </c>
      <c r="AP190" s="8">
        <f t="shared" si="73"/>
        <v>0.84408345204671431</v>
      </c>
      <c r="AQ190" s="8"/>
      <c r="AR190" s="8">
        <f t="shared" si="74"/>
        <v>156.15877651817988</v>
      </c>
      <c r="AS190" s="8">
        <f t="shared" si="75"/>
        <v>41.637580640890064</v>
      </c>
    </row>
    <row r="191" spans="1:45">
      <c r="A191" s="19">
        <v>5.3052999999999999</v>
      </c>
      <c r="B191" s="19">
        <v>1235.9896000000001</v>
      </c>
      <c r="C191" s="19">
        <v>-462.9242936</v>
      </c>
      <c r="E191" s="9">
        <f t="shared" si="61"/>
        <v>275.98960000000011</v>
      </c>
      <c r="F191" s="9">
        <f t="shared" si="66"/>
        <v>77.075706400000001</v>
      </c>
      <c r="I191">
        <v>1</v>
      </c>
      <c r="J191">
        <f t="shared" si="62"/>
        <v>0.18683637855720761</v>
      </c>
      <c r="K191">
        <f t="shared" si="67"/>
        <v>0.27233195129940313</v>
      </c>
      <c r="O191">
        <f t="shared" si="68"/>
        <v>0.17890563874399953</v>
      </c>
      <c r="P191">
        <f t="shared" si="69"/>
        <v>4.9963036596802804E-2</v>
      </c>
      <c r="Q191">
        <f t="shared" si="70"/>
        <v>0.98259679797953137</v>
      </c>
      <c r="R191">
        <f t="shared" si="60"/>
        <v>1</v>
      </c>
      <c r="AG191" s="8">
        <f t="shared" si="63"/>
        <v>-0.68339839376901645</v>
      </c>
      <c r="AH191" s="8">
        <f t="shared" si="64"/>
        <v>0.3024300302022731</v>
      </c>
      <c r="AI191" s="8">
        <f t="shared" si="65"/>
        <v>0.66445670455326156</v>
      </c>
      <c r="AJ191" s="8"/>
      <c r="AK191" s="8"/>
      <c r="AL191" s="8"/>
      <c r="AN191" s="8">
        <f t="shared" si="71"/>
        <v>0.99999999999999978</v>
      </c>
      <c r="AO191" s="8">
        <f t="shared" si="72"/>
        <v>2.7249610966311457</v>
      </c>
      <c r="AP191" s="8">
        <f t="shared" si="73"/>
        <v>0.84402972909618734</v>
      </c>
      <c r="AQ191" s="8"/>
      <c r="AR191" s="8">
        <f t="shared" si="74"/>
        <v>156.12877017430515</v>
      </c>
      <c r="AS191" s="8">
        <f t="shared" si="75"/>
        <v>41.640658739218246</v>
      </c>
    </row>
    <row r="192" spans="1:45">
      <c r="A192" s="19">
        <v>5.338666667</v>
      </c>
      <c r="B192" s="19">
        <v>1235.2199330000001</v>
      </c>
      <c r="C192" s="19">
        <v>-462.55548429999999</v>
      </c>
      <c r="E192" s="9">
        <f t="shared" si="61"/>
        <v>275.21993300000008</v>
      </c>
      <c r="F192" s="9">
        <f t="shared" si="66"/>
        <v>77.444515700000011</v>
      </c>
      <c r="I192">
        <v>1</v>
      </c>
      <c r="J192">
        <f t="shared" si="62"/>
        <v>0.1864236297849281</v>
      </c>
      <c r="K192">
        <f t="shared" si="67"/>
        <v>0.27429845915305745</v>
      </c>
      <c r="O192">
        <f t="shared" si="68"/>
        <v>0.17841662121736571</v>
      </c>
      <c r="P192">
        <f t="shared" si="69"/>
        <v>5.020489857836434E-2</v>
      </c>
      <c r="Q192">
        <f t="shared" si="70"/>
        <v>0.98267338288574557</v>
      </c>
      <c r="R192">
        <f t="shared" si="60"/>
        <v>1</v>
      </c>
      <c r="AG192" s="8">
        <f t="shared" si="63"/>
        <v>-0.68306993595650778</v>
      </c>
      <c r="AH192" s="8">
        <f t="shared" si="64"/>
        <v>0.30284686447841946</v>
      </c>
      <c r="AI192" s="8">
        <f t="shared" si="65"/>
        <v>0.66460457361348491</v>
      </c>
      <c r="AJ192" s="8"/>
      <c r="AK192" s="8"/>
      <c r="AL192" s="8"/>
      <c r="AN192" s="8">
        <f t="shared" si="71"/>
        <v>0.99999999999999989</v>
      </c>
      <c r="AO192" s="8">
        <f t="shared" si="72"/>
        <v>2.724273059223274</v>
      </c>
      <c r="AP192" s="8">
        <f t="shared" si="73"/>
        <v>0.84383184769011521</v>
      </c>
      <c r="AQ192" s="8"/>
      <c r="AR192" s="8">
        <f t="shared" si="74"/>
        <v>156.08934853468696</v>
      </c>
      <c r="AS192" s="8">
        <f t="shared" si="75"/>
        <v>41.65199650863029</v>
      </c>
    </row>
    <row r="193" spans="1:45">
      <c r="A193" s="19">
        <v>5.3720333330000001</v>
      </c>
      <c r="B193" s="19">
        <v>1234.470462</v>
      </c>
      <c r="C193" s="19">
        <v>-462.38963260000003</v>
      </c>
      <c r="E193" s="9">
        <f t="shared" si="61"/>
        <v>274.470462</v>
      </c>
      <c r="F193" s="9">
        <f t="shared" si="66"/>
        <v>77.610367399999973</v>
      </c>
      <c r="I193">
        <v>1</v>
      </c>
      <c r="J193">
        <f t="shared" si="62"/>
        <v>0.18598846462830582</v>
      </c>
      <c r="K193">
        <f t="shared" si="67"/>
        <v>0.2755699214709646</v>
      </c>
      <c r="O193">
        <f t="shared" si="68"/>
        <v>0.17794113547075704</v>
      </c>
      <c r="P193">
        <f t="shared" si="69"/>
        <v>5.0315348321374638E-2</v>
      </c>
      <c r="Q193">
        <f t="shared" si="70"/>
        <v>0.98275394582300024</v>
      </c>
      <c r="R193">
        <f t="shared" si="60"/>
        <v>1</v>
      </c>
      <c r="AG193" s="8">
        <f t="shared" si="63"/>
        <v>-0.68283001565095114</v>
      </c>
      <c r="AH193" s="8">
        <f t="shared" si="64"/>
        <v>0.3032765796996077</v>
      </c>
      <c r="AI193" s="8">
        <f t="shared" si="65"/>
        <v>0.66465516317247508</v>
      </c>
      <c r="AJ193" s="8"/>
      <c r="AK193" s="8"/>
      <c r="AL193" s="8"/>
      <c r="AN193" s="8">
        <f t="shared" si="71"/>
        <v>1.0000000000000002</v>
      </c>
      <c r="AO193" s="8">
        <f t="shared" si="72"/>
        <v>2.7236171282839985</v>
      </c>
      <c r="AP193" s="8">
        <f t="shared" si="73"/>
        <v>0.84376413970942399</v>
      </c>
      <c r="AQ193" s="8"/>
      <c r="AR193" s="8">
        <f t="shared" si="74"/>
        <v>156.05176646021442</v>
      </c>
      <c r="AS193" s="8">
        <f t="shared" si="75"/>
        <v>41.655875890163252</v>
      </c>
    </row>
    <row r="194" spans="1:45">
      <c r="A194" s="19">
        <v>5.4054000000000002</v>
      </c>
      <c r="B194" s="19">
        <v>1233.9988169999999</v>
      </c>
      <c r="C194" s="19">
        <v>-462.39850109999998</v>
      </c>
      <c r="E194" s="9">
        <f t="shared" si="61"/>
        <v>273.99881699999992</v>
      </c>
      <c r="F194" s="9">
        <f t="shared" si="66"/>
        <v>77.601498900000024</v>
      </c>
      <c r="I194">
        <v>1</v>
      </c>
      <c r="J194">
        <f t="shared" si="62"/>
        <v>0.18569486281930214</v>
      </c>
      <c r="K194">
        <f t="shared" si="67"/>
        <v>0.27599059794430691</v>
      </c>
      <c r="O194">
        <f t="shared" si="68"/>
        <v>0.17764232676448347</v>
      </c>
      <c r="P194">
        <f t="shared" si="69"/>
        <v>5.0311570597063975E-2</v>
      </c>
      <c r="Q194">
        <f t="shared" si="70"/>
        <v>0.98280819573595191</v>
      </c>
      <c r="R194">
        <f t="shared" si="60"/>
        <v>1</v>
      </c>
      <c r="AG194" s="8">
        <f t="shared" si="63"/>
        <v>-0.68272589280324425</v>
      </c>
      <c r="AH194" s="8">
        <f t="shared" si="64"/>
        <v>0.30356097302458984</v>
      </c>
      <c r="AI194" s="8">
        <f t="shared" si="65"/>
        <v>0.66463229755435238</v>
      </c>
      <c r="AJ194" s="8"/>
      <c r="AK194" s="8"/>
      <c r="AL194" s="8"/>
      <c r="AN194" s="8">
        <f t="shared" si="71"/>
        <v>0.99999999999999989</v>
      </c>
      <c r="AO194" s="8">
        <f t="shared" si="72"/>
        <v>2.7232127022258035</v>
      </c>
      <c r="AP194" s="8">
        <f t="shared" si="73"/>
        <v>0.84379474306733082</v>
      </c>
      <c r="AQ194" s="8"/>
      <c r="AR194" s="8">
        <f t="shared" si="74"/>
        <v>156.02859455395475</v>
      </c>
      <c r="AS194" s="8">
        <f t="shared" si="75"/>
        <v>41.654122446916261</v>
      </c>
    </row>
    <row r="195" spans="1:45">
      <c r="A195" s="19">
        <v>5.4387666670000003</v>
      </c>
      <c r="B195" s="19">
        <v>1233.4319069999999</v>
      </c>
      <c r="C195" s="19">
        <v>-462.14281469999997</v>
      </c>
      <c r="E195" s="9">
        <f t="shared" si="61"/>
        <v>273.43190699999991</v>
      </c>
      <c r="F195" s="9">
        <f t="shared" si="66"/>
        <v>77.857185300000026</v>
      </c>
      <c r="I195">
        <v>1</v>
      </c>
      <c r="J195">
        <f t="shared" si="62"/>
        <v>0.18538883643708293</v>
      </c>
      <c r="K195">
        <f t="shared" si="67"/>
        <v>0.27739929545721043</v>
      </c>
      <c r="O195">
        <f t="shared" si="68"/>
        <v>0.1772820011795819</v>
      </c>
      <c r="P195">
        <f t="shared" si="69"/>
        <v>5.0479396379273095E-2</v>
      </c>
      <c r="Q195">
        <f t="shared" si="70"/>
        <v>0.9828646512104029</v>
      </c>
      <c r="R195">
        <f t="shared" si="60"/>
        <v>1</v>
      </c>
      <c r="AG195" s="8">
        <f t="shared" si="63"/>
        <v>-0.68249018077249235</v>
      </c>
      <c r="AH195" s="8">
        <f t="shared" si="64"/>
        <v>0.30386991599258717</v>
      </c>
      <c r="AI195" s="8">
        <f t="shared" si="65"/>
        <v>0.66473320009142678</v>
      </c>
      <c r="AJ195" s="8"/>
      <c r="AK195" s="8"/>
      <c r="AL195" s="8"/>
      <c r="AN195" s="8">
        <f t="shared" si="71"/>
        <v>1.0000000000000002</v>
      </c>
      <c r="AO195" s="8">
        <f t="shared" si="72"/>
        <v>2.7227066507212587</v>
      </c>
      <c r="AP195" s="8">
        <f t="shared" si="73"/>
        <v>0.84365968877264219</v>
      </c>
      <c r="AQ195" s="8"/>
      <c r="AR195" s="8">
        <f t="shared" si="74"/>
        <v>155.99959993852809</v>
      </c>
      <c r="AS195" s="8">
        <f t="shared" si="75"/>
        <v>41.661860488007036</v>
      </c>
    </row>
    <row r="196" spans="1:45">
      <c r="A196" s="19">
        <v>5.4721333330000004</v>
      </c>
      <c r="B196" s="19">
        <v>1233.107661</v>
      </c>
      <c r="C196" s="19">
        <v>-462.0417951</v>
      </c>
      <c r="E196" s="9">
        <f t="shared" si="61"/>
        <v>273.10766100000001</v>
      </c>
      <c r="F196" s="9">
        <f t="shared" si="66"/>
        <v>77.958204899999998</v>
      </c>
      <c r="I196">
        <v>1</v>
      </c>
      <c r="J196">
        <f t="shared" si="62"/>
        <v>0.18520596228852065</v>
      </c>
      <c r="K196">
        <f t="shared" si="67"/>
        <v>0.27805402615231267</v>
      </c>
      <c r="O196">
        <f t="shared" si="68"/>
        <v>0.17707607285709231</v>
      </c>
      <c r="P196">
        <f t="shared" si="69"/>
        <v>5.054612060362719E-2</v>
      </c>
      <c r="Q196">
        <f t="shared" si="70"/>
        <v>0.98289834373318241</v>
      </c>
      <c r="R196">
        <f t="shared" si="60"/>
        <v>1</v>
      </c>
      <c r="AG196" s="8">
        <f t="shared" si="63"/>
        <v>-0.68237406451959948</v>
      </c>
      <c r="AH196" s="8">
        <f t="shared" si="64"/>
        <v>0.30405219338103173</v>
      </c>
      <c r="AI196" s="8">
        <f t="shared" si="65"/>
        <v>0.66476905747122816</v>
      </c>
      <c r="AJ196" s="8"/>
      <c r="AK196" s="8"/>
      <c r="AL196" s="8"/>
      <c r="AN196" s="8">
        <f t="shared" si="71"/>
        <v>0.99999999999999978</v>
      </c>
      <c r="AO196" s="8">
        <f t="shared" si="72"/>
        <v>2.7224205280415057</v>
      </c>
      <c r="AP196" s="8">
        <f t="shared" si="73"/>
        <v>0.84361169109437684</v>
      </c>
      <c r="AQ196" s="8"/>
      <c r="AR196" s="8">
        <f t="shared" si="74"/>
        <v>155.98320631655525</v>
      </c>
      <c r="AS196" s="8">
        <f t="shared" si="75"/>
        <v>41.664610552398074</v>
      </c>
    </row>
    <row r="197" spans="1:45">
      <c r="A197" s="19">
        <v>5.5054999999999996</v>
      </c>
      <c r="B197" s="19">
        <v>1232.3703559999999</v>
      </c>
      <c r="C197" s="19">
        <v>-461.85879770000003</v>
      </c>
      <c r="E197" s="9">
        <f t="shared" si="61"/>
        <v>272.3703559999999</v>
      </c>
      <c r="F197" s="9">
        <f t="shared" si="66"/>
        <v>78.141202299999975</v>
      </c>
      <c r="I197">
        <v>1</v>
      </c>
      <c r="J197">
        <f t="shared" si="62"/>
        <v>0.18478208172370791</v>
      </c>
      <c r="K197">
        <f t="shared" si="67"/>
        <v>0.2793892564471066</v>
      </c>
      <c r="O197">
        <f t="shared" si="68"/>
        <v>0.17660793220739046</v>
      </c>
      <c r="P197">
        <f t="shared" si="69"/>
        <v>5.066761435081571E-2</v>
      </c>
      <c r="Q197">
        <f t="shared" si="70"/>
        <v>0.98297631260240792</v>
      </c>
      <c r="R197">
        <f t="shared" si="60"/>
        <v>1</v>
      </c>
      <c r="AG197" s="8">
        <f t="shared" si="63"/>
        <v>-0.68212926329166035</v>
      </c>
      <c r="AH197" s="8">
        <f t="shared" si="64"/>
        <v>0.30447243046226835</v>
      </c>
      <c r="AI197" s="8">
        <f t="shared" si="65"/>
        <v>0.66482795311988496</v>
      </c>
      <c r="AJ197" s="8"/>
      <c r="AK197" s="8"/>
      <c r="AL197" s="8"/>
      <c r="AN197" s="8">
        <f t="shared" si="71"/>
        <v>1</v>
      </c>
      <c r="AO197" s="8">
        <f t="shared" si="72"/>
        <v>2.7217732816891189</v>
      </c>
      <c r="AP197" s="8">
        <f t="shared" si="73"/>
        <v>0.84353285058930971</v>
      </c>
      <c r="AQ197" s="8"/>
      <c r="AR197" s="8">
        <f t="shared" si="74"/>
        <v>155.94612183225826</v>
      </c>
      <c r="AS197" s="8">
        <f t="shared" si="75"/>
        <v>41.669127780593094</v>
      </c>
    </row>
    <row r="198" spans="1:45">
      <c r="A198" s="19">
        <v>5.5388666669999997</v>
      </c>
      <c r="B198" s="19">
        <v>1231.586211</v>
      </c>
      <c r="C198" s="19">
        <v>-461.54704659999999</v>
      </c>
      <c r="E198" s="9">
        <f t="shared" si="61"/>
        <v>271.58621100000005</v>
      </c>
      <c r="F198" s="9">
        <f t="shared" si="66"/>
        <v>78.452953400000013</v>
      </c>
      <c r="I198">
        <v>1</v>
      </c>
      <c r="J198">
        <f t="shared" si="62"/>
        <v>0.18435248223897485</v>
      </c>
      <c r="K198">
        <f t="shared" si="67"/>
        <v>0.28121423989215361</v>
      </c>
      <c r="O198">
        <f t="shared" si="68"/>
        <v>0.17610945595607949</v>
      </c>
      <c r="P198">
        <f t="shared" si="69"/>
        <v>5.0872637791694285E-2</v>
      </c>
      <c r="Q198">
        <f t="shared" si="70"/>
        <v>0.98305515320706638</v>
      </c>
      <c r="R198">
        <f t="shared" si="60"/>
        <v>1</v>
      </c>
      <c r="AG198" s="8">
        <f t="shared" si="63"/>
        <v>-0.68182009549077272</v>
      </c>
      <c r="AH198" s="8">
        <f t="shared" si="64"/>
        <v>0.30490485990840299</v>
      </c>
      <c r="AI198" s="8">
        <f t="shared" si="65"/>
        <v>0.66494690298488557</v>
      </c>
      <c r="AJ198" s="8"/>
      <c r="AK198" s="8"/>
      <c r="AL198" s="8"/>
      <c r="AN198" s="8">
        <f t="shared" si="71"/>
        <v>1</v>
      </c>
      <c r="AO198" s="8">
        <f t="shared" si="72"/>
        <v>2.7210758652033427</v>
      </c>
      <c r="AP198" s="8">
        <f t="shared" si="73"/>
        <v>0.8433736017932788</v>
      </c>
      <c r="AQ198" s="8"/>
      <c r="AR198" s="8">
        <f t="shared" si="74"/>
        <v>155.90616281106043</v>
      </c>
      <c r="AS198" s="8">
        <f t="shared" si="75"/>
        <v>41.67825206449821</v>
      </c>
    </row>
    <row r="199" spans="1:45">
      <c r="A199" s="19">
        <v>5.5722333329999998</v>
      </c>
      <c r="B199" s="19">
        <v>1231.059728</v>
      </c>
      <c r="C199" s="19">
        <v>-461.28044269999998</v>
      </c>
      <c r="E199" s="9">
        <f t="shared" si="61"/>
        <v>271.05972799999995</v>
      </c>
      <c r="F199" s="9">
        <f t="shared" si="66"/>
        <v>78.719557300000019</v>
      </c>
      <c r="I199">
        <v>1</v>
      </c>
      <c r="J199">
        <f t="shared" si="62"/>
        <v>0.18407463792933157</v>
      </c>
      <c r="K199">
        <f t="shared" si="67"/>
        <v>0.28263932264408897</v>
      </c>
      <c r="O199">
        <f t="shared" si="68"/>
        <v>0.17577447367339941</v>
      </c>
      <c r="P199">
        <f t="shared" si="69"/>
        <v>5.1047379314903288E-2</v>
      </c>
      <c r="Q199">
        <f t="shared" si="70"/>
        <v>0.98310604690944703</v>
      </c>
      <c r="R199">
        <f t="shared" si="60"/>
        <v>1</v>
      </c>
      <c r="AG199" s="8">
        <f t="shared" si="63"/>
        <v>-0.68158860462225757</v>
      </c>
      <c r="AH199" s="8">
        <f t="shared" si="64"/>
        <v>0.30518808873462155</v>
      </c>
      <c r="AI199" s="8">
        <f t="shared" si="65"/>
        <v>0.66505428691467938</v>
      </c>
      <c r="AJ199" s="8"/>
      <c r="AK199" s="8"/>
      <c r="AL199" s="8"/>
      <c r="AN199" s="8">
        <f t="shared" si="71"/>
        <v>1</v>
      </c>
      <c r="AO199" s="8">
        <f t="shared" si="72"/>
        <v>2.720603104352449</v>
      </c>
      <c r="AP199" s="8">
        <f t="shared" si="73"/>
        <v>0.84322981795258523</v>
      </c>
      <c r="AQ199" s="8"/>
      <c r="AR199" s="8">
        <f t="shared" si="74"/>
        <v>155.87907560958521</v>
      </c>
      <c r="AS199" s="8">
        <f t="shared" si="75"/>
        <v>41.686490271732133</v>
      </c>
    </row>
    <row r="200" spans="1:45">
      <c r="A200" s="19">
        <v>5.6055999999999999</v>
      </c>
      <c r="B200" s="19">
        <v>1230.3552540000001</v>
      </c>
      <c r="C200" s="19">
        <v>-461.15320120000001</v>
      </c>
      <c r="E200" s="9">
        <f t="shared" si="61"/>
        <v>270.35525400000006</v>
      </c>
      <c r="F200" s="9">
        <f t="shared" si="66"/>
        <v>78.846798799999988</v>
      </c>
      <c r="I200">
        <v>1</v>
      </c>
      <c r="J200">
        <f t="shared" si="62"/>
        <v>0.1836619696349957</v>
      </c>
      <c r="K200">
        <f t="shared" si="67"/>
        <v>0.2837708711036217</v>
      </c>
      <c r="O200">
        <f t="shared" si="68"/>
        <v>0.1753271121532019</v>
      </c>
      <c r="P200">
        <f t="shared" si="69"/>
        <v>5.1132653542322291E-2</v>
      </c>
      <c r="Q200">
        <f t="shared" si="70"/>
        <v>0.98318149671652155</v>
      </c>
      <c r="R200">
        <f t="shared" si="60"/>
        <v>1</v>
      </c>
      <c r="AG200" s="8">
        <f t="shared" si="63"/>
        <v>-0.68137394452979438</v>
      </c>
      <c r="AH200" s="8">
        <f t="shared" si="64"/>
        <v>0.30559543981436149</v>
      </c>
      <c r="AI200" s="8">
        <f t="shared" si="65"/>
        <v>0.66508719344201461</v>
      </c>
      <c r="AJ200" s="8"/>
      <c r="AK200" s="8"/>
      <c r="AL200" s="8"/>
      <c r="AN200" s="8">
        <f t="shared" si="71"/>
        <v>1</v>
      </c>
      <c r="AO200" s="8">
        <f t="shared" si="72"/>
        <v>2.7199877747383874</v>
      </c>
      <c r="AP200" s="8">
        <f t="shared" si="73"/>
        <v>0.84318575342039515</v>
      </c>
      <c r="AQ200" s="8"/>
      <c r="AR200" s="8">
        <f t="shared" si="74"/>
        <v>155.84381981969008</v>
      </c>
      <c r="AS200" s="8">
        <f t="shared" si="75"/>
        <v>41.689014983452843</v>
      </c>
    </row>
    <row r="201" spans="1:45">
      <c r="A201" s="19">
        <v>5.638966667</v>
      </c>
      <c r="B201" s="19">
        <v>1229.640977</v>
      </c>
      <c r="C201" s="19">
        <v>-461.14701229999997</v>
      </c>
      <c r="E201" s="9">
        <f t="shared" si="61"/>
        <v>269.64097700000002</v>
      </c>
      <c r="F201" s="9">
        <f t="shared" si="66"/>
        <v>78.852987700000028</v>
      </c>
      <c r="I201">
        <v>1</v>
      </c>
      <c r="J201">
        <f t="shared" si="62"/>
        <v>0.1832215226387148</v>
      </c>
      <c r="K201">
        <f t="shared" si="67"/>
        <v>0.28450386479036072</v>
      </c>
      <c r="O201">
        <f t="shared" si="68"/>
        <v>0.17487393655512795</v>
      </c>
      <c r="P201">
        <f t="shared" si="69"/>
        <v>5.1139602450825147E-2</v>
      </c>
      <c r="Q201">
        <f t="shared" si="70"/>
        <v>0.98326184069905032</v>
      </c>
      <c r="R201">
        <f t="shared" si="60"/>
        <v>1</v>
      </c>
      <c r="AG201" s="8">
        <f t="shared" si="63"/>
        <v>-0.68120711464933448</v>
      </c>
      <c r="AH201" s="8">
        <f t="shared" si="64"/>
        <v>0.30602364938069515</v>
      </c>
      <c r="AI201" s="8">
        <f t="shared" si="65"/>
        <v>0.66506119490679172</v>
      </c>
      <c r="AJ201" s="8"/>
      <c r="AK201" s="8"/>
      <c r="AL201" s="8"/>
      <c r="AN201" s="8">
        <f t="shared" si="71"/>
        <v>0.99999999999999978</v>
      </c>
      <c r="AO201" s="8">
        <f t="shared" si="72"/>
        <v>2.7193731649659161</v>
      </c>
      <c r="AP201" s="8">
        <f t="shared" si="73"/>
        <v>0.8432205677294039</v>
      </c>
      <c r="AQ201" s="8"/>
      <c r="AR201" s="8">
        <f t="shared" si="74"/>
        <v>155.80860527367997</v>
      </c>
      <c r="AS201" s="8">
        <f t="shared" si="75"/>
        <v>41.687020270479977</v>
      </c>
    </row>
    <row r="202" spans="1:45">
      <c r="A202" s="19">
        <v>5.6723333330000001</v>
      </c>
      <c r="B202" s="19">
        <v>1229.189079</v>
      </c>
      <c r="C202" s="19">
        <v>-461.14725979999997</v>
      </c>
      <c r="E202" s="9">
        <f t="shared" si="61"/>
        <v>269.18907899999999</v>
      </c>
      <c r="F202" s="9">
        <f t="shared" si="66"/>
        <v>78.852740200000028</v>
      </c>
      <c r="I202">
        <v>1</v>
      </c>
      <c r="J202">
        <f t="shared" si="62"/>
        <v>0.18294213225810166</v>
      </c>
      <c r="K202">
        <f t="shared" si="67"/>
        <v>0.28495520723663081</v>
      </c>
      <c r="O202">
        <f t="shared" si="68"/>
        <v>0.17458719459531244</v>
      </c>
      <c r="P202">
        <f t="shared" si="69"/>
        <v>5.1141297220571938E-2</v>
      </c>
      <c r="Q202">
        <f t="shared" si="70"/>
        <v>0.98331270672250326</v>
      </c>
      <c r="R202">
        <f t="shared" si="60"/>
        <v>1</v>
      </c>
      <c r="AG202" s="8">
        <f t="shared" si="63"/>
        <v>-0.68110321025679832</v>
      </c>
      <c r="AH202" s="8">
        <f t="shared" si="64"/>
        <v>0.30629507458214966</v>
      </c>
      <c r="AI202" s="8">
        <f t="shared" si="65"/>
        <v>0.66504266349204921</v>
      </c>
      <c r="AJ202" s="8"/>
      <c r="AK202" s="8"/>
      <c r="AL202" s="8"/>
      <c r="AN202" s="8">
        <f t="shared" si="71"/>
        <v>1</v>
      </c>
      <c r="AO202" s="8">
        <f t="shared" si="72"/>
        <v>2.7189846197254437</v>
      </c>
      <c r="AP202" s="8">
        <f t="shared" si="73"/>
        <v>0.84324538225313972</v>
      </c>
      <c r="AQ202" s="8"/>
      <c r="AR202" s="8">
        <f t="shared" si="74"/>
        <v>155.78634327125101</v>
      </c>
      <c r="AS202" s="8">
        <f t="shared" si="75"/>
        <v>41.685598502999284</v>
      </c>
    </row>
    <row r="203" spans="1:45">
      <c r="A203" s="19">
        <v>5.7057000000000002</v>
      </c>
      <c r="B203" s="19">
        <v>1228.4041130000001</v>
      </c>
      <c r="C203" s="19">
        <v>-461.02866610000001</v>
      </c>
      <c r="E203" s="9">
        <f t="shared" si="61"/>
        <v>268.40411300000005</v>
      </c>
      <c r="F203" s="9">
        <f t="shared" si="66"/>
        <v>78.971333899999991</v>
      </c>
      <c r="I203">
        <v>1</v>
      </c>
      <c r="J203">
        <f t="shared" si="62"/>
        <v>0.18247847681545162</v>
      </c>
      <c r="K203">
        <f t="shared" si="67"/>
        <v>0.28615070320126662</v>
      </c>
      <c r="O203">
        <f t="shared" si="68"/>
        <v>0.17408853238499647</v>
      </c>
      <c r="P203">
        <f t="shared" si="69"/>
        <v>5.1221285193705349E-2</v>
      </c>
      <c r="Q203">
        <f t="shared" si="70"/>
        <v>0.98339695079613865</v>
      </c>
      <c r="R203">
        <f t="shared" si="60"/>
        <v>1</v>
      </c>
      <c r="AG203" s="8">
        <f t="shared" si="63"/>
        <v>-0.68087315036213991</v>
      </c>
      <c r="AH203" s="8">
        <f t="shared" si="64"/>
        <v>0.30675180574662486</v>
      </c>
      <c r="AI203" s="8">
        <f t="shared" si="65"/>
        <v>0.66506772796995628</v>
      </c>
      <c r="AJ203" s="8"/>
      <c r="AK203" s="8"/>
      <c r="AL203" s="8"/>
      <c r="AN203" s="8">
        <f t="shared" si="71"/>
        <v>1</v>
      </c>
      <c r="AO203" s="8">
        <f t="shared" si="72"/>
        <v>2.7183004773200263</v>
      </c>
      <c r="AP203" s="8">
        <f t="shared" si="73"/>
        <v>0.84321181948886259</v>
      </c>
      <c r="AQ203" s="8"/>
      <c r="AR203" s="8">
        <f t="shared" si="74"/>
        <v>155.74714479883465</v>
      </c>
      <c r="AS203" s="8">
        <f t="shared" si="75"/>
        <v>41.68752150774116</v>
      </c>
    </row>
    <row r="204" spans="1:45">
      <c r="A204" s="19">
        <v>5.7390666670000003</v>
      </c>
      <c r="B204" s="19">
        <v>1227.8566149999999</v>
      </c>
      <c r="C204" s="19">
        <v>-460.76982199999998</v>
      </c>
      <c r="E204" s="9">
        <f t="shared" si="61"/>
        <v>267.85661499999992</v>
      </c>
      <c r="F204" s="9">
        <f t="shared" si="66"/>
        <v>79.230178000000024</v>
      </c>
      <c r="I204">
        <v>1</v>
      </c>
      <c r="J204">
        <f t="shared" si="62"/>
        <v>0.18218735339204511</v>
      </c>
      <c r="K204">
        <f t="shared" si="67"/>
        <v>0.28759293400682251</v>
      </c>
      <c r="O204">
        <f t="shared" si="68"/>
        <v>0.17373993927953568</v>
      </c>
      <c r="P204">
        <f t="shared" si="69"/>
        <v>5.1391100850082846E-2</v>
      </c>
      <c r="Q204">
        <f t="shared" si="70"/>
        <v>0.98344973854923556</v>
      </c>
      <c r="R204">
        <f t="shared" si="60"/>
        <v>1</v>
      </c>
      <c r="AG204" s="8">
        <f t="shared" si="63"/>
        <v>-0.68063942663078891</v>
      </c>
      <c r="AH204" s="8">
        <f t="shared" si="64"/>
        <v>0.30704853586826975</v>
      </c>
      <c r="AI204" s="8">
        <f t="shared" si="65"/>
        <v>0.6651700290428475</v>
      </c>
      <c r="AJ204" s="8"/>
      <c r="AK204" s="8"/>
      <c r="AL204" s="8"/>
      <c r="AN204" s="8">
        <f t="shared" si="71"/>
        <v>0.99999999999999978</v>
      </c>
      <c r="AO204" s="8">
        <f t="shared" si="72"/>
        <v>2.7178095833482816</v>
      </c>
      <c r="AP204" s="8">
        <f t="shared" si="73"/>
        <v>0.84307482211740237</v>
      </c>
      <c r="AQ204" s="8"/>
      <c r="AR204" s="8">
        <f t="shared" si="74"/>
        <v>155.71901864606528</v>
      </c>
      <c r="AS204" s="8">
        <f t="shared" si="75"/>
        <v>41.695370878930213</v>
      </c>
    </row>
    <row r="205" spans="1:45">
      <c r="A205" s="19">
        <v>5.7724333330000004</v>
      </c>
      <c r="B205" s="19">
        <v>1227.261927</v>
      </c>
      <c r="C205" s="19">
        <v>-460.7099169</v>
      </c>
      <c r="E205" s="9">
        <f t="shared" si="61"/>
        <v>267.26192700000001</v>
      </c>
      <c r="F205" s="9">
        <f t="shared" si="66"/>
        <v>79.290083100000004</v>
      </c>
      <c r="I205">
        <v>1</v>
      </c>
      <c r="J205">
        <f t="shared" si="62"/>
        <v>0.1818309336476282</v>
      </c>
      <c r="K205">
        <f t="shared" si="67"/>
        <v>0.28840407006808144</v>
      </c>
      <c r="O205">
        <f t="shared" si="68"/>
        <v>0.17336214188209983</v>
      </c>
      <c r="P205">
        <f t="shared" si="69"/>
        <v>5.1432311330396434E-2</v>
      </c>
      <c r="Q205">
        <f t="shared" si="70"/>
        <v>0.98351425262334857</v>
      </c>
      <c r="R205">
        <f t="shared" si="60"/>
        <v>1</v>
      </c>
      <c r="AG205" s="8">
        <f t="shared" si="63"/>
        <v>-0.68047731425625535</v>
      </c>
      <c r="AH205" s="8">
        <f t="shared" si="64"/>
        <v>0.30739823851752601</v>
      </c>
      <c r="AI205" s="8">
        <f t="shared" si="65"/>
        <v>0.66517437393432077</v>
      </c>
      <c r="AJ205" s="8"/>
      <c r="AK205" s="8"/>
      <c r="AL205" s="8"/>
      <c r="AN205" s="8">
        <f t="shared" si="71"/>
        <v>1</v>
      </c>
      <c r="AO205" s="8">
        <f t="shared" si="72"/>
        <v>2.7172933966650947</v>
      </c>
      <c r="AP205" s="8">
        <f t="shared" si="73"/>
        <v>0.84306900324809009</v>
      </c>
      <c r="AQ205" s="8"/>
      <c r="AR205" s="8">
        <f t="shared" si="74"/>
        <v>155.68944332767782</v>
      </c>
      <c r="AS205" s="8">
        <f t="shared" si="75"/>
        <v>41.695704275583346</v>
      </c>
    </row>
    <row r="206" spans="1:45">
      <c r="A206" s="19">
        <v>5.8057999999999996</v>
      </c>
      <c r="B206" s="19">
        <v>1226.4118989999999</v>
      </c>
      <c r="C206" s="19">
        <v>-460.61366770000001</v>
      </c>
      <c r="E206" s="9">
        <f t="shared" si="61"/>
        <v>266.41189899999995</v>
      </c>
      <c r="F206" s="9">
        <f t="shared" si="66"/>
        <v>79.386332299999992</v>
      </c>
      <c r="I206">
        <v>1</v>
      </c>
      <c r="J206">
        <f t="shared" si="62"/>
        <v>0.18132357095015744</v>
      </c>
      <c r="K206">
        <f t="shared" si="67"/>
        <v>0.28960570788724327</v>
      </c>
      <c r="O206">
        <f t="shared" si="68"/>
        <v>0.17282197301286856</v>
      </c>
      <c r="P206">
        <f t="shared" si="69"/>
        <v>5.1498084844705902E-2</v>
      </c>
      <c r="Q206">
        <f t="shared" si="70"/>
        <v>0.9836058727464303</v>
      </c>
      <c r="R206">
        <f t="shared" si="60"/>
        <v>1</v>
      </c>
      <c r="AG206" s="8">
        <f t="shared" si="63"/>
        <v>-0.68024098080043705</v>
      </c>
      <c r="AH206" s="8">
        <f t="shared" si="64"/>
        <v>0.30789676113040154</v>
      </c>
      <c r="AI206" s="8">
        <f t="shared" si="65"/>
        <v>0.66518553240811529</v>
      </c>
      <c r="AJ206" s="8"/>
      <c r="AK206" s="8"/>
      <c r="AL206" s="8"/>
      <c r="AN206" s="8">
        <f t="shared" si="71"/>
        <v>1</v>
      </c>
      <c r="AO206" s="8">
        <f t="shared" si="72"/>
        <v>2.7165546423466926</v>
      </c>
      <c r="AP206" s="8">
        <f t="shared" si="73"/>
        <v>0.84305405919215226</v>
      </c>
      <c r="AQ206" s="8"/>
      <c r="AR206" s="8">
        <f t="shared" si="74"/>
        <v>155.64711582313632</v>
      </c>
      <c r="AS206" s="8">
        <f t="shared" si="75"/>
        <v>41.696560506917393</v>
      </c>
    </row>
    <row r="207" spans="1:45">
      <c r="A207" s="19">
        <v>5.8391666669999998</v>
      </c>
      <c r="B207" s="19">
        <v>1226.091907</v>
      </c>
      <c r="C207" s="19">
        <v>-460.32654550000001</v>
      </c>
      <c r="E207" s="9">
        <f t="shared" si="61"/>
        <v>266.09190699999999</v>
      </c>
      <c r="F207" s="9">
        <f t="shared" si="66"/>
        <v>79.673454499999991</v>
      </c>
      <c r="I207">
        <v>1</v>
      </c>
      <c r="J207">
        <f t="shared" si="62"/>
        <v>0.18117893436102395</v>
      </c>
      <c r="K207">
        <f t="shared" si="67"/>
        <v>0.29092534342854526</v>
      </c>
      <c r="O207">
        <f t="shared" si="68"/>
        <v>0.17261757479922279</v>
      </c>
      <c r="P207">
        <f t="shared" si="69"/>
        <v>5.1685294177948163E-2</v>
      </c>
      <c r="Q207">
        <f t="shared" si="70"/>
        <v>0.98363194500594264</v>
      </c>
      <c r="R207">
        <f t="shared" si="60"/>
        <v>1</v>
      </c>
      <c r="AG207" s="8">
        <f t="shared" si="63"/>
        <v>-0.68004772839053629</v>
      </c>
      <c r="AH207" s="8">
        <f t="shared" si="64"/>
        <v>0.30805331113543327</v>
      </c>
      <c r="AI207" s="8">
        <f t="shared" si="65"/>
        <v>0.66531063767939813</v>
      </c>
      <c r="AJ207" s="8"/>
      <c r="AK207" s="8"/>
      <c r="AL207" s="8"/>
      <c r="AN207" s="8">
        <f t="shared" si="71"/>
        <v>1</v>
      </c>
      <c r="AO207" s="8">
        <f t="shared" si="72"/>
        <v>2.716256866727774</v>
      </c>
      <c r="AP207" s="8">
        <f t="shared" si="73"/>
        <v>0.84288649755143497</v>
      </c>
      <c r="AQ207" s="8"/>
      <c r="AR207" s="8">
        <f t="shared" si="74"/>
        <v>155.63005453693037</v>
      </c>
      <c r="AS207" s="8">
        <f t="shared" si="75"/>
        <v>41.706161081738777</v>
      </c>
    </row>
    <row r="208" spans="1:45">
      <c r="A208" s="19">
        <v>5.8725333329999998</v>
      </c>
      <c r="B208" s="19">
        <v>1225.3500140000001</v>
      </c>
      <c r="C208" s="19">
        <v>-460.16752789999998</v>
      </c>
      <c r="E208" s="9">
        <f t="shared" si="61"/>
        <v>265.3500140000001</v>
      </c>
      <c r="F208" s="9">
        <f t="shared" si="66"/>
        <v>79.832472100000018</v>
      </c>
      <c r="I208">
        <v>1</v>
      </c>
      <c r="J208">
        <f t="shared" si="62"/>
        <v>0.18075041587999541</v>
      </c>
      <c r="K208">
        <f t="shared" si="67"/>
        <v>0.29224306494197266</v>
      </c>
      <c r="O208">
        <f t="shared" si="68"/>
        <v>0.17214566959790045</v>
      </c>
      <c r="P208">
        <f t="shared" si="69"/>
        <v>5.1791270549208276E-2</v>
      </c>
      <c r="Q208">
        <f t="shared" si="70"/>
        <v>0.98370906915286149</v>
      </c>
      <c r="R208">
        <f t="shared" si="60"/>
        <v>1</v>
      </c>
      <c r="AG208" s="8">
        <f t="shared" si="63"/>
        <v>-0.67981000715989526</v>
      </c>
      <c r="AH208" s="8">
        <f t="shared" si="64"/>
        <v>0.30847907717673584</v>
      </c>
      <c r="AI208" s="8">
        <f t="shared" si="65"/>
        <v>0.66535630538039736</v>
      </c>
      <c r="AJ208" s="8"/>
      <c r="AK208" s="8"/>
      <c r="AL208" s="8"/>
      <c r="AN208" s="8">
        <f t="shared" si="71"/>
        <v>1</v>
      </c>
      <c r="AO208" s="8">
        <f t="shared" si="72"/>
        <v>2.7156059576162823</v>
      </c>
      <c r="AP208" s="8">
        <f t="shared" si="73"/>
        <v>0.84282532559025214</v>
      </c>
      <c r="AQ208" s="8"/>
      <c r="AR208" s="8">
        <f t="shared" si="74"/>
        <v>155.5927601919953</v>
      </c>
      <c r="AS208" s="8">
        <f t="shared" si="75"/>
        <v>41.709665976939093</v>
      </c>
    </row>
    <row r="209" spans="1:45">
      <c r="A209" s="19">
        <v>5.9058999999999999</v>
      </c>
      <c r="B209" s="19">
        <v>1225.1048479999999</v>
      </c>
      <c r="C209" s="19">
        <v>-460.16563819999999</v>
      </c>
      <c r="E209" s="9">
        <f t="shared" si="61"/>
        <v>265.10484799999995</v>
      </c>
      <c r="F209" s="9">
        <f t="shared" si="66"/>
        <v>79.834361800000011</v>
      </c>
      <c r="I209">
        <v>1</v>
      </c>
      <c r="J209">
        <f t="shared" si="62"/>
        <v>0.18059944481119389</v>
      </c>
      <c r="K209">
        <f t="shared" si="67"/>
        <v>0.2925047165863931</v>
      </c>
      <c r="O209">
        <f t="shared" si="68"/>
        <v>0.17198990694751487</v>
      </c>
      <c r="P209">
        <f t="shared" si="69"/>
        <v>5.1793486844104203E-2</v>
      </c>
      <c r="Q209">
        <f t="shared" si="70"/>
        <v>0.98373619768142861</v>
      </c>
      <c r="R209">
        <f t="shared" si="60"/>
        <v>1</v>
      </c>
      <c r="AG209" s="8">
        <f t="shared" si="63"/>
        <v>-0.67975245802222806</v>
      </c>
      <c r="AH209" s="8">
        <f t="shared" si="64"/>
        <v>0.30862605773023866</v>
      </c>
      <c r="AI209" s="8">
        <f t="shared" si="65"/>
        <v>0.6653469413040316</v>
      </c>
      <c r="AJ209" s="8"/>
      <c r="AK209" s="8"/>
      <c r="AL209" s="8"/>
      <c r="AN209" s="8">
        <f t="shared" si="71"/>
        <v>1</v>
      </c>
      <c r="AO209" s="8">
        <f t="shared" si="72"/>
        <v>2.715394814546106</v>
      </c>
      <c r="AP209" s="8">
        <f t="shared" si="73"/>
        <v>0.84283786905787417</v>
      </c>
      <c r="AQ209" s="8"/>
      <c r="AR209" s="8">
        <f t="shared" si="74"/>
        <v>155.58066258520074</v>
      </c>
      <c r="AS209" s="8">
        <f t="shared" si="75"/>
        <v>41.708947289183889</v>
      </c>
    </row>
    <row r="210" spans="1:45">
      <c r="A210" s="19">
        <v>5.9392666670000001</v>
      </c>
      <c r="B210" s="19">
        <v>1224.316714</v>
      </c>
      <c r="C210" s="19">
        <v>-460.04141220000002</v>
      </c>
      <c r="E210" s="9">
        <f t="shared" si="61"/>
        <v>264.31671400000005</v>
      </c>
      <c r="F210" s="9">
        <f t="shared" si="66"/>
        <v>79.958587799999975</v>
      </c>
      <c r="I210">
        <v>1</v>
      </c>
      <c r="J210">
        <f t="shared" si="62"/>
        <v>0.18013619457408986</v>
      </c>
      <c r="K210">
        <f t="shared" si="67"/>
        <v>0.29375843358093834</v>
      </c>
      <c r="O210">
        <f t="shared" si="68"/>
        <v>0.17148862475471818</v>
      </c>
      <c r="P210">
        <f t="shared" si="69"/>
        <v>5.187711382925024E-2</v>
      </c>
      <c r="Q210">
        <f t="shared" si="70"/>
        <v>0.98381930080705493</v>
      </c>
      <c r="R210">
        <f t="shared" si="60"/>
        <v>1</v>
      </c>
      <c r="AG210" s="8">
        <f t="shared" si="63"/>
        <v>-0.67951822578622512</v>
      </c>
      <c r="AH210" s="8">
        <f t="shared" si="64"/>
        <v>0.3090838827314476</v>
      </c>
      <c r="AI210" s="8">
        <f t="shared" si="65"/>
        <v>0.66537368016776366</v>
      </c>
      <c r="AJ210" s="8"/>
      <c r="AK210" s="8"/>
      <c r="AL210" s="8"/>
      <c r="AN210" s="8">
        <f t="shared" si="71"/>
        <v>1</v>
      </c>
      <c r="AO210" s="8">
        <f t="shared" si="72"/>
        <v>2.7147066737588137</v>
      </c>
      <c r="AP210" s="8">
        <f t="shared" si="73"/>
        <v>0.84280205115794271</v>
      </c>
      <c r="AQ210" s="8"/>
      <c r="AR210" s="8">
        <f t="shared" si="74"/>
        <v>155.54123502237809</v>
      </c>
      <c r="AS210" s="8">
        <f t="shared" si="75"/>
        <v>41.710999503680988</v>
      </c>
    </row>
    <row r="211" spans="1:45">
      <c r="A211" s="19">
        <v>5.9726333330000001</v>
      </c>
      <c r="B211" s="19">
        <v>1223.6758620000001</v>
      </c>
      <c r="C211" s="19">
        <v>-459.89661410000002</v>
      </c>
      <c r="E211" s="9">
        <f t="shared" si="61"/>
        <v>263.67586200000005</v>
      </c>
      <c r="F211" s="9">
        <f t="shared" si="66"/>
        <v>80.103385899999978</v>
      </c>
      <c r="I211">
        <v>1</v>
      </c>
      <c r="J211">
        <f t="shared" si="62"/>
        <v>0.17976787674706779</v>
      </c>
      <c r="K211">
        <f t="shared" si="67"/>
        <v>0.29493472059917908</v>
      </c>
      <c r="O211">
        <f t="shared" si="68"/>
        <v>0.17108076016689236</v>
      </c>
      <c r="P211">
        <f t="shared" si="69"/>
        <v>5.197346487375442E-2</v>
      </c>
      <c r="Q211">
        <f t="shared" si="70"/>
        <v>0.98388522320936134</v>
      </c>
      <c r="R211">
        <f t="shared" si="60"/>
        <v>1</v>
      </c>
      <c r="AG211" s="8">
        <f t="shared" si="63"/>
        <v>-0.67930941294249991</v>
      </c>
      <c r="AH211" s="8">
        <f t="shared" si="64"/>
        <v>0.30945070012823617</v>
      </c>
      <c r="AI211" s="8">
        <f t="shared" si="65"/>
        <v>0.66541640021708259</v>
      </c>
      <c r="AJ211" s="8"/>
      <c r="AK211" s="8"/>
      <c r="AL211" s="8"/>
      <c r="AN211" s="8">
        <f t="shared" si="71"/>
        <v>1</v>
      </c>
      <c r="AO211" s="8">
        <f t="shared" si="72"/>
        <v>2.7141435510607783</v>
      </c>
      <c r="AP211" s="8">
        <f t="shared" si="73"/>
        <v>0.84274482337450063</v>
      </c>
      <c r="AQ211" s="8"/>
      <c r="AR211" s="8">
        <f t="shared" si="74"/>
        <v>155.50897046843264</v>
      </c>
      <c r="AS211" s="8">
        <f t="shared" si="75"/>
        <v>41.714278414143109</v>
      </c>
    </row>
    <row r="212" spans="1:45">
      <c r="A212" s="19">
        <v>6.0060000000000002</v>
      </c>
      <c r="B212" s="19">
        <v>1223.0578210000001</v>
      </c>
      <c r="C212" s="19">
        <v>-459.71644459999999</v>
      </c>
      <c r="E212" s="9">
        <f t="shared" si="61"/>
        <v>263.0578210000001</v>
      </c>
      <c r="F212" s="9">
        <f t="shared" si="66"/>
        <v>80.283555400000012</v>
      </c>
      <c r="I212">
        <v>1</v>
      </c>
      <c r="J212">
        <f t="shared" si="62"/>
        <v>0.17942048968800656</v>
      </c>
      <c r="K212">
        <f t="shared" si="67"/>
        <v>0.29621470020921237</v>
      </c>
      <c r="O212">
        <f t="shared" si="68"/>
        <v>0.17068718125887158</v>
      </c>
      <c r="P212">
        <f t="shared" si="69"/>
        <v>5.2092630131937635E-2</v>
      </c>
      <c r="Q212">
        <f t="shared" si="70"/>
        <v>0.98394727706307428</v>
      </c>
      <c r="R212">
        <f t="shared" si="60"/>
        <v>1</v>
      </c>
      <c r="AG212" s="8">
        <f t="shared" si="63"/>
        <v>-0.67909105222810906</v>
      </c>
      <c r="AH212" s="8">
        <f t="shared" si="64"/>
        <v>0.30979941043603587</v>
      </c>
      <c r="AI212" s="8">
        <f t="shared" si="65"/>
        <v>0.66547702295211086</v>
      </c>
      <c r="AJ212" s="8"/>
      <c r="AK212" s="8"/>
      <c r="AL212" s="8"/>
      <c r="AN212" s="8">
        <f t="shared" si="71"/>
        <v>1</v>
      </c>
      <c r="AO212" s="8">
        <f t="shared" si="72"/>
        <v>2.7135971320964067</v>
      </c>
      <c r="AP212" s="8">
        <f t="shared" si="73"/>
        <v>0.84266360813972152</v>
      </c>
      <c r="AQ212" s="8"/>
      <c r="AR212" s="8">
        <f t="shared" si="74"/>
        <v>155.47766296792824</v>
      </c>
      <c r="AS212" s="8">
        <f t="shared" si="75"/>
        <v>41.718931704328114</v>
      </c>
    </row>
    <row r="213" spans="1:45">
      <c r="A213" s="19">
        <v>6.0393666670000004</v>
      </c>
      <c r="B213" s="19">
        <v>1222.2663789999999</v>
      </c>
      <c r="C213" s="19">
        <v>-459.36232619999998</v>
      </c>
      <c r="E213" s="9">
        <f t="shared" si="61"/>
        <v>262.26637899999992</v>
      </c>
      <c r="F213" s="9">
        <f t="shared" si="66"/>
        <v>80.637673800000016</v>
      </c>
      <c r="I213">
        <v>1</v>
      </c>
      <c r="J213">
        <f t="shared" si="62"/>
        <v>0.17899938178370689</v>
      </c>
      <c r="K213">
        <f t="shared" si="67"/>
        <v>0.29829106616355278</v>
      </c>
      <c r="O213">
        <f t="shared" si="68"/>
        <v>0.17018258450057844</v>
      </c>
      <c r="P213">
        <f t="shared" si="69"/>
        <v>5.232515043568961E-2</v>
      </c>
      <c r="Q213">
        <f t="shared" si="70"/>
        <v>0.98402234048043136</v>
      </c>
      <c r="R213">
        <f t="shared" si="60"/>
        <v>1</v>
      </c>
      <c r="AG213" s="8">
        <f t="shared" si="63"/>
        <v>-0.67875991951221837</v>
      </c>
      <c r="AH213" s="8">
        <f t="shared" si="64"/>
        <v>0.31023058974061968</v>
      </c>
      <c r="AI213" s="8">
        <f t="shared" si="65"/>
        <v>0.66561396684035579</v>
      </c>
      <c r="AJ213" s="8"/>
      <c r="AK213" s="8"/>
      <c r="AL213" s="8"/>
      <c r="AN213" s="8">
        <f t="shared" si="71"/>
        <v>1.0000000000000002</v>
      </c>
      <c r="AO213" s="8">
        <f t="shared" si="72"/>
        <v>2.7128873298496221</v>
      </c>
      <c r="AP213" s="8">
        <f t="shared" si="73"/>
        <v>0.84248012511895776</v>
      </c>
      <c r="AQ213" s="8"/>
      <c r="AR213" s="8">
        <f t="shared" si="74"/>
        <v>155.4369942948986</v>
      </c>
      <c r="AS213" s="8">
        <f t="shared" si="75"/>
        <v>41.729444507030188</v>
      </c>
    </row>
    <row r="214" spans="1:45">
      <c r="A214" s="19">
        <v>6.0727333330000004</v>
      </c>
      <c r="B214" s="19">
        <v>1221.5594269999999</v>
      </c>
      <c r="C214" s="19">
        <v>-459.15796280000001</v>
      </c>
      <c r="E214" s="9">
        <f t="shared" si="61"/>
        <v>261.55942699999991</v>
      </c>
      <c r="F214" s="9">
        <f t="shared" si="66"/>
        <v>80.842037199999993</v>
      </c>
      <c r="I214">
        <v>1</v>
      </c>
      <c r="J214">
        <f t="shared" si="62"/>
        <v>0.17860249553969285</v>
      </c>
      <c r="K214">
        <f t="shared" si="67"/>
        <v>0.29976349319930518</v>
      </c>
      <c r="O214">
        <f t="shared" si="68"/>
        <v>0.16973221258454738</v>
      </c>
      <c r="P214">
        <f t="shared" si="69"/>
        <v>5.2460345249946923E-2</v>
      </c>
      <c r="Q214">
        <f t="shared" si="70"/>
        <v>0.98409292660165504</v>
      </c>
      <c r="R214">
        <f t="shared" si="60"/>
        <v>1</v>
      </c>
      <c r="AG214" s="8">
        <f t="shared" si="63"/>
        <v>-0.67851048553654769</v>
      </c>
      <c r="AH214" s="8">
        <f t="shared" si="64"/>
        <v>0.31062961983452786</v>
      </c>
      <c r="AI214" s="8">
        <f t="shared" si="65"/>
        <v>0.66568217664168761</v>
      </c>
      <c r="AJ214" s="8"/>
      <c r="AK214" s="8"/>
      <c r="AL214" s="8"/>
      <c r="AN214" s="8">
        <f t="shared" si="71"/>
        <v>1</v>
      </c>
      <c r="AO214" s="8">
        <f t="shared" si="72"/>
        <v>2.7122620473896921</v>
      </c>
      <c r="AP214" s="8">
        <f t="shared" si="73"/>
        <v>0.84238872363520811</v>
      </c>
      <c r="AQ214" s="8"/>
      <c r="AR214" s="8">
        <f t="shared" si="74"/>
        <v>155.40116824894105</v>
      </c>
      <c r="AS214" s="8">
        <f t="shared" si="75"/>
        <v>41.73468142629028</v>
      </c>
    </row>
    <row r="215" spans="1:45">
      <c r="A215" s="19">
        <v>6.1060999999999996</v>
      </c>
      <c r="B215" s="19">
        <v>1221.1691989999999</v>
      </c>
      <c r="C215" s="19">
        <v>-459.2458694</v>
      </c>
      <c r="E215" s="9">
        <f t="shared" si="61"/>
        <v>261.16919899999994</v>
      </c>
      <c r="F215" s="9">
        <f t="shared" si="66"/>
        <v>80.754130599999996</v>
      </c>
      <c r="I215">
        <v>1</v>
      </c>
      <c r="J215">
        <f t="shared" si="62"/>
        <v>0.17834527548136597</v>
      </c>
      <c r="K215">
        <f t="shared" si="67"/>
        <v>0.29987779134041931</v>
      </c>
      <c r="O215">
        <f t="shared" si="68"/>
        <v>0.16948437776875203</v>
      </c>
      <c r="P215">
        <f t="shared" si="69"/>
        <v>5.2404968232864016E-2</v>
      </c>
      <c r="Q215">
        <f t="shared" si="70"/>
        <v>0.98413859034022821</v>
      </c>
      <c r="R215">
        <f t="shared" si="60"/>
        <v>1</v>
      </c>
      <c r="AG215" s="8">
        <f t="shared" si="63"/>
        <v>-0.67845619782303535</v>
      </c>
      <c r="AH215" s="8">
        <f t="shared" si="64"/>
        <v>0.31087483226758561</v>
      </c>
      <c r="AI215" s="8">
        <f t="shared" si="65"/>
        <v>0.66562303618347751</v>
      </c>
      <c r="AJ215" s="8"/>
      <c r="AK215" s="8"/>
      <c r="AL215" s="8"/>
      <c r="AN215" s="8">
        <f t="shared" si="71"/>
        <v>1.0000000000000002</v>
      </c>
      <c r="AO215" s="8">
        <f t="shared" si="72"/>
        <v>2.7119330109222073</v>
      </c>
      <c r="AP215" s="8">
        <f t="shared" si="73"/>
        <v>0.84246797258215533</v>
      </c>
      <c r="AQ215" s="8"/>
      <c r="AR215" s="8">
        <f t="shared" si="74"/>
        <v>155.38231584804825</v>
      </c>
      <c r="AS215" s="8">
        <f t="shared" si="75"/>
        <v>41.730140796099342</v>
      </c>
    </row>
    <row r="216" spans="1:45">
      <c r="A216" s="19">
        <v>6.1394666669999998</v>
      </c>
      <c r="B216" s="19">
        <v>1220.504541</v>
      </c>
      <c r="C216" s="19">
        <v>-459.2756498</v>
      </c>
      <c r="E216" s="9">
        <f t="shared" si="61"/>
        <v>260.50454100000002</v>
      </c>
      <c r="F216" s="9">
        <f t="shared" si="66"/>
        <v>80.724350200000003</v>
      </c>
      <c r="I216">
        <v>1</v>
      </c>
      <c r="J216">
        <f t="shared" si="62"/>
        <v>0.17793001147502008</v>
      </c>
      <c r="K216">
        <f t="shared" si="67"/>
        <v>0.30049339598333374</v>
      </c>
      <c r="O216">
        <f t="shared" si="68"/>
        <v>0.16906170558193218</v>
      </c>
      <c r="P216">
        <f t="shared" si="69"/>
        <v>5.2388324112957345E-2</v>
      </c>
      <c r="Q216">
        <f t="shared" si="70"/>
        <v>0.98421217387429416</v>
      </c>
      <c r="R216">
        <f t="shared" si="60"/>
        <v>1</v>
      </c>
      <c r="AG216" s="8">
        <f t="shared" si="63"/>
        <v>-0.67831373869327105</v>
      </c>
      <c r="AH216" s="8">
        <f t="shared" si="64"/>
        <v>0.31127756950800384</v>
      </c>
      <c r="AI216" s="8">
        <f t="shared" si="65"/>
        <v>0.66558000767837577</v>
      </c>
      <c r="AJ216" s="8"/>
      <c r="AK216" s="8"/>
      <c r="AL216" s="8"/>
      <c r="AN216" s="8">
        <f t="shared" si="71"/>
        <v>1</v>
      </c>
      <c r="AO216" s="8">
        <f t="shared" si="72"/>
        <v>2.7113629193151101</v>
      </c>
      <c r="AP216" s="8">
        <f t="shared" si="73"/>
        <v>0.84252562779206874</v>
      </c>
      <c r="AQ216" s="8"/>
      <c r="AR216" s="8">
        <f t="shared" si="74"/>
        <v>155.34965200502577</v>
      </c>
      <c r="AS216" s="8">
        <f t="shared" si="75"/>
        <v>41.726837395904369</v>
      </c>
    </row>
    <row r="217" spans="1:45">
      <c r="A217" s="19">
        <v>6.1728333329999998</v>
      </c>
      <c r="B217" s="19">
        <v>1219.9601729999999</v>
      </c>
      <c r="C217" s="19">
        <v>-459.14013340000002</v>
      </c>
      <c r="E217" s="9">
        <f t="shared" si="61"/>
        <v>259.96017299999994</v>
      </c>
      <c r="F217" s="9">
        <f t="shared" si="66"/>
        <v>80.859866599999975</v>
      </c>
      <c r="I217">
        <v>1</v>
      </c>
      <c r="J217">
        <f t="shared" si="62"/>
        <v>0.17762052782109522</v>
      </c>
      <c r="K217">
        <f t="shared" si="67"/>
        <v>0.30156071340154089</v>
      </c>
      <c r="O217">
        <f t="shared" si="68"/>
        <v>0.16871483389702494</v>
      </c>
      <c r="P217">
        <f t="shared" si="69"/>
        <v>5.2478265439354785E-2</v>
      </c>
      <c r="Q217">
        <f t="shared" si="70"/>
        <v>0.98426690307028808</v>
      </c>
      <c r="R217">
        <f t="shared" si="60"/>
        <v>1</v>
      </c>
      <c r="AG217" s="8">
        <f t="shared" si="63"/>
        <v>-0.67813045232443148</v>
      </c>
      <c r="AH217" s="8">
        <f t="shared" si="64"/>
        <v>0.31158751916300009</v>
      </c>
      <c r="AI217" s="8">
        <f t="shared" si="65"/>
        <v>0.66562174508658367</v>
      </c>
      <c r="AJ217" s="8"/>
      <c r="AK217" s="8"/>
      <c r="AL217" s="8"/>
      <c r="AN217" s="8">
        <f t="shared" si="71"/>
        <v>1</v>
      </c>
      <c r="AO217" s="8">
        <f t="shared" si="72"/>
        <v>2.7108830129847767</v>
      </c>
      <c r="AP217" s="8">
        <f t="shared" si="73"/>
        <v>0.84246970260551346</v>
      </c>
      <c r="AQ217" s="8"/>
      <c r="AR217" s="8">
        <f t="shared" si="74"/>
        <v>155.32215539773605</v>
      </c>
      <c r="AS217" s="8">
        <f t="shared" si="75"/>
        <v>41.730041673062466</v>
      </c>
    </row>
    <row r="218" spans="1:45">
      <c r="A218" s="19">
        <v>6.2061999999999999</v>
      </c>
      <c r="B218" s="19">
        <v>1219.32871</v>
      </c>
      <c r="C218" s="19">
        <v>-458.98234969999999</v>
      </c>
      <c r="E218" s="9">
        <f t="shared" si="61"/>
        <v>259.32871</v>
      </c>
      <c r="F218" s="9">
        <f t="shared" si="66"/>
        <v>81.017650300000014</v>
      </c>
      <c r="I218">
        <v>1</v>
      </c>
      <c r="J218">
        <f t="shared" si="62"/>
        <v>0.17726185708063591</v>
      </c>
      <c r="K218">
        <f t="shared" si="67"/>
        <v>0.30280557157331073</v>
      </c>
      <c r="O218">
        <f t="shared" si="68"/>
        <v>0.16831239809198179</v>
      </c>
      <c r="P218">
        <f t="shared" si="69"/>
        <v>5.2582974749577745E-2</v>
      </c>
      <c r="Q218">
        <f t="shared" si="70"/>
        <v>0.98433021258874887</v>
      </c>
      <c r="R218">
        <f t="shared" si="60"/>
        <v>1</v>
      </c>
      <c r="AG218" s="8">
        <f t="shared" si="63"/>
        <v>-0.67791746810250963</v>
      </c>
      <c r="AH218" s="8">
        <f t="shared" si="64"/>
        <v>0.31194696790511134</v>
      </c>
      <c r="AI218" s="8">
        <f t="shared" si="65"/>
        <v>0.66567033556880861</v>
      </c>
      <c r="AJ218" s="8"/>
      <c r="AK218" s="8"/>
      <c r="AL218" s="8"/>
      <c r="AN218" s="8">
        <f t="shared" si="71"/>
        <v>1</v>
      </c>
      <c r="AO218" s="8">
        <f t="shared" si="72"/>
        <v>2.7103261664535361</v>
      </c>
      <c r="AP218" s="8">
        <f t="shared" si="73"/>
        <v>0.84240459126815859</v>
      </c>
      <c r="AQ218" s="8"/>
      <c r="AR218" s="8">
        <f t="shared" si="74"/>
        <v>155.29025044165945</v>
      </c>
      <c r="AS218" s="8">
        <f t="shared" si="75"/>
        <v>41.733772277891354</v>
      </c>
    </row>
    <row r="219" spans="1:45">
      <c r="A219" s="19">
        <v>6.2395666670000001</v>
      </c>
      <c r="B219" s="19">
        <v>1218.619966</v>
      </c>
      <c r="C219" s="19">
        <v>-458.8761662</v>
      </c>
      <c r="E219" s="9">
        <f t="shared" si="61"/>
        <v>258.61996599999998</v>
      </c>
      <c r="F219" s="9">
        <f t="shared" si="66"/>
        <v>81.1238338</v>
      </c>
      <c r="I219">
        <v>1</v>
      </c>
      <c r="J219">
        <f t="shared" si="62"/>
        <v>0.17684586803542998</v>
      </c>
      <c r="K219">
        <f t="shared" si="67"/>
        <v>0.30395925319364409</v>
      </c>
      <c r="O219">
        <f t="shared" si="68"/>
        <v>0.16786090750726562</v>
      </c>
      <c r="P219">
        <f t="shared" si="69"/>
        <v>5.2654559401405954E-2</v>
      </c>
      <c r="Q219">
        <f t="shared" si="70"/>
        <v>0.98440348084770657</v>
      </c>
      <c r="R219">
        <f t="shared" ref="R219:R282" si="76">SQRT(O219^2+P219^2+Q219^2)</f>
        <v>1</v>
      </c>
      <c r="AG219" s="8">
        <f t="shared" si="63"/>
        <v>-0.67770775273247974</v>
      </c>
      <c r="AH219" s="8">
        <f t="shared" si="64"/>
        <v>0.31235921386535104</v>
      </c>
      <c r="AI219" s="8">
        <f t="shared" si="65"/>
        <v>0.66569056129684756</v>
      </c>
      <c r="AJ219" s="8"/>
      <c r="AK219" s="8"/>
      <c r="AL219" s="8"/>
      <c r="AN219" s="8">
        <f t="shared" si="71"/>
        <v>1</v>
      </c>
      <c r="AO219" s="8">
        <f t="shared" si="72"/>
        <v>2.7097068313876207</v>
      </c>
      <c r="AP219" s="8">
        <f t="shared" si="73"/>
        <v>0.84237748763993736</v>
      </c>
      <c r="AQ219" s="8"/>
      <c r="AR219" s="8">
        <f t="shared" si="74"/>
        <v>155.25476515627804</v>
      </c>
      <c r="AS219" s="8">
        <f t="shared" si="75"/>
        <v>41.73532520139792</v>
      </c>
    </row>
    <row r="220" spans="1:45">
      <c r="A220" s="19">
        <v>6.2729333330000001</v>
      </c>
      <c r="B220" s="19">
        <v>1218.1186929999999</v>
      </c>
      <c r="C220" s="19">
        <v>-458.8586067</v>
      </c>
      <c r="E220" s="9">
        <f t="shared" si="61"/>
        <v>258.11869299999989</v>
      </c>
      <c r="F220" s="9">
        <f t="shared" si="66"/>
        <v>81.141393300000004</v>
      </c>
      <c r="I220">
        <v>1</v>
      </c>
      <c r="J220">
        <f t="shared" si="62"/>
        <v>0.17654062113236069</v>
      </c>
      <c r="K220">
        <f t="shared" si="67"/>
        <v>0.30457567229398974</v>
      </c>
      <c r="O220">
        <f t="shared" si="68"/>
        <v>0.16754175450062708</v>
      </c>
      <c r="P220">
        <f t="shared" si="69"/>
        <v>5.2667907303046171E-2</v>
      </c>
      <c r="Q220">
        <f t="shared" si="70"/>
        <v>0.9844571357043278</v>
      </c>
      <c r="R220">
        <f t="shared" si="76"/>
        <v>1</v>
      </c>
      <c r="AG220" s="8">
        <f t="shared" si="63"/>
        <v>-0.67758326565847893</v>
      </c>
      <c r="AH220" s="8">
        <f t="shared" si="64"/>
        <v>0.31265793782902657</v>
      </c>
      <c r="AI220" s="8">
        <f t="shared" si="65"/>
        <v>0.6656770478333256</v>
      </c>
      <c r="AJ220" s="8"/>
      <c r="AK220" s="8"/>
      <c r="AL220" s="8"/>
      <c r="AN220" s="8">
        <f t="shared" si="71"/>
        <v>1</v>
      </c>
      <c r="AO220" s="8">
        <f t="shared" si="72"/>
        <v>2.7092734548835553</v>
      </c>
      <c r="AP220" s="8">
        <f t="shared" si="73"/>
        <v>0.84239559652382945</v>
      </c>
      <c r="AQ220" s="8"/>
      <c r="AR220" s="8">
        <f t="shared" si="74"/>
        <v>155.22993451165496</v>
      </c>
      <c r="AS220" s="8">
        <f t="shared" si="75"/>
        <v>41.734287638779207</v>
      </c>
    </row>
    <row r="221" spans="1:45">
      <c r="A221" s="19">
        <v>6.3063000000000002</v>
      </c>
      <c r="B221" s="19">
        <v>1217.4298229999999</v>
      </c>
      <c r="C221" s="19">
        <v>-458.59744990000002</v>
      </c>
      <c r="E221" s="9">
        <f t="shared" si="61"/>
        <v>257.42982299999994</v>
      </c>
      <c r="F221" s="9">
        <f t="shared" si="66"/>
        <v>81.402550099999985</v>
      </c>
      <c r="I221">
        <v>1</v>
      </c>
      <c r="J221">
        <f t="shared" si="62"/>
        <v>0.1761672672200984</v>
      </c>
      <c r="K221">
        <f t="shared" si="67"/>
        <v>0.30626356929065712</v>
      </c>
      <c r="O221">
        <f t="shared" si="68"/>
        <v>0.16710215863061972</v>
      </c>
      <c r="P221">
        <f t="shared" si="69"/>
        <v>5.283980574289239E-2</v>
      </c>
      <c r="Q221">
        <f t="shared" si="70"/>
        <v>0.98452263737815626</v>
      </c>
      <c r="R221">
        <f t="shared" si="76"/>
        <v>1</v>
      </c>
      <c r="AG221" s="8">
        <f t="shared" si="63"/>
        <v>-0.67731343441244596</v>
      </c>
      <c r="AH221" s="8">
        <f t="shared" si="64"/>
        <v>0.31303891821393121</v>
      </c>
      <c r="AI221" s="8">
        <f t="shared" si="65"/>
        <v>0.66577259424511392</v>
      </c>
      <c r="AJ221" s="8"/>
      <c r="AK221" s="8"/>
      <c r="AL221" s="8"/>
      <c r="AN221" s="8">
        <f t="shared" si="71"/>
        <v>1.0000000000000002</v>
      </c>
      <c r="AO221" s="8">
        <f t="shared" si="72"/>
        <v>2.7086583248482659</v>
      </c>
      <c r="AP221" s="8">
        <f t="shared" si="73"/>
        <v>0.84226755209437743</v>
      </c>
      <c r="AQ221" s="8"/>
      <c r="AR221" s="8">
        <f t="shared" si="74"/>
        <v>155.19469015678115</v>
      </c>
      <c r="AS221" s="8">
        <f t="shared" si="75"/>
        <v>41.741624044176973</v>
      </c>
    </row>
    <row r="222" spans="1:45">
      <c r="A222" s="19">
        <v>6.3396666670000004</v>
      </c>
      <c r="B222" s="19">
        <v>1216.974551</v>
      </c>
      <c r="C222" s="19">
        <v>-458.31455410000001</v>
      </c>
      <c r="E222" s="9">
        <f t="shared" si="61"/>
        <v>256.97455100000002</v>
      </c>
      <c r="F222" s="9">
        <f t="shared" si="66"/>
        <v>81.685445899999991</v>
      </c>
      <c r="I222">
        <v>1</v>
      </c>
      <c r="J222">
        <f t="shared" si="62"/>
        <v>0.17594232476604638</v>
      </c>
      <c r="K222">
        <f t="shared" si="67"/>
        <v>0.30777294480121847</v>
      </c>
      <c r="O222">
        <f t="shared" si="68"/>
        <v>0.16681115436176949</v>
      </c>
      <c r="P222">
        <f t="shared" si="69"/>
        <v>5.3024875312010437E-2</v>
      </c>
      <c r="Q222">
        <f t="shared" si="70"/>
        <v>0.98456203531247322</v>
      </c>
      <c r="R222">
        <f t="shared" si="76"/>
        <v>1</v>
      </c>
      <c r="AG222" s="8">
        <f t="shared" si="63"/>
        <v>-0.67708910071039252</v>
      </c>
      <c r="AH222" s="8">
        <f t="shared" si="64"/>
        <v>0.31327694033132425</v>
      </c>
      <c r="AI222" s="8">
        <f t="shared" si="65"/>
        <v>0.66588881080540452</v>
      </c>
      <c r="AJ222" s="8"/>
      <c r="AK222" s="8"/>
      <c r="AL222" s="8"/>
      <c r="AN222" s="8">
        <f t="shared" si="71"/>
        <v>1</v>
      </c>
      <c r="AO222" s="8">
        <f t="shared" si="72"/>
        <v>2.7082425650883546</v>
      </c>
      <c r="AP222" s="8">
        <f t="shared" si="73"/>
        <v>0.84211178729686575</v>
      </c>
      <c r="AQ222" s="8"/>
      <c r="AR222" s="8">
        <f t="shared" si="74"/>
        <v>155.17086887724687</v>
      </c>
      <c r="AS222" s="8">
        <f t="shared" si="75"/>
        <v>41.750548709671101</v>
      </c>
    </row>
    <row r="223" spans="1:45">
      <c r="A223" s="19">
        <v>6.3730333330000004</v>
      </c>
      <c r="B223" s="19">
        <v>1216.321492</v>
      </c>
      <c r="C223" s="19">
        <v>-458.22217790000002</v>
      </c>
      <c r="E223" s="9">
        <f t="shared" si="61"/>
        <v>256.32149200000003</v>
      </c>
      <c r="F223" s="9">
        <f t="shared" si="66"/>
        <v>81.77782209999998</v>
      </c>
      <c r="I223">
        <v>1</v>
      </c>
      <c r="J223">
        <f t="shared" si="62"/>
        <v>0.17555872063787181</v>
      </c>
      <c r="K223">
        <f t="shared" si="67"/>
        <v>0.30883546273491541</v>
      </c>
      <c r="O223">
        <f t="shared" si="68"/>
        <v>0.16639489483678127</v>
      </c>
      <c r="P223">
        <f t="shared" si="69"/>
        <v>5.3087285042451686E-2</v>
      </c>
      <c r="Q223">
        <f t="shared" si="70"/>
        <v>0.98462910739987675</v>
      </c>
      <c r="R223">
        <f t="shared" si="76"/>
        <v>1</v>
      </c>
      <c r="AG223" s="8">
        <f t="shared" si="63"/>
        <v>-0.67689761730417752</v>
      </c>
      <c r="AH223" s="8">
        <f t="shared" si="64"/>
        <v>0.3136574101770323</v>
      </c>
      <c r="AI223" s="8">
        <f t="shared" si="65"/>
        <v>0.66590438107055894</v>
      </c>
      <c r="AJ223" s="8"/>
      <c r="AK223" s="8"/>
      <c r="AL223" s="8"/>
      <c r="AN223" s="8">
        <f t="shared" si="71"/>
        <v>1</v>
      </c>
      <c r="AO223" s="8">
        <f t="shared" si="72"/>
        <v>2.707671940281239</v>
      </c>
      <c r="AP223" s="8">
        <f t="shared" si="73"/>
        <v>0.84209091686010051</v>
      </c>
      <c r="AQ223" s="8"/>
      <c r="AR223" s="8">
        <f t="shared" si="74"/>
        <v>155.13817448411368</v>
      </c>
      <c r="AS223" s="8">
        <f t="shared" si="75"/>
        <v>41.751744497614347</v>
      </c>
    </row>
    <row r="224" spans="1:45">
      <c r="A224" s="19">
        <v>6.4063999999999997</v>
      </c>
      <c r="B224" s="19">
        <v>1215.626037</v>
      </c>
      <c r="C224" s="19">
        <v>-458.21826579999998</v>
      </c>
      <c r="E224" s="9">
        <f t="shared" ref="E224:E287" si="77">(B224-($B$15/2))</f>
        <v>255.626037</v>
      </c>
      <c r="F224" s="9">
        <f t="shared" si="66"/>
        <v>81.781734200000017</v>
      </c>
      <c r="I224">
        <v>1</v>
      </c>
      <c r="J224">
        <f t="shared" ref="J224:J287" si="78">ATAN((SQRT(E224^2+F224^2)^$B$16)/($F$24))</f>
        <v>0.1751317877507336</v>
      </c>
      <c r="K224">
        <f t="shared" si="67"/>
        <v>0.30963694776711059</v>
      </c>
      <c r="O224">
        <f t="shared" si="68"/>
        <v>0.16595189806941252</v>
      </c>
      <c r="P224">
        <f t="shared" si="69"/>
        <v>5.30925338325305E-2</v>
      </c>
      <c r="Q224">
        <f t="shared" si="70"/>
        <v>0.98470358503379118</v>
      </c>
      <c r="R224">
        <f t="shared" si="76"/>
        <v>1</v>
      </c>
      <c r="AG224" s="8">
        <f t="shared" ref="AG224:AG287" si="79">$O224*$Z$27+$P224*$Z$31+$Q224*$Z$35</f>
        <v>-0.67673286914582087</v>
      </c>
      <c r="AH224" s="8">
        <f t="shared" ref="AH224:AH287" si="80">$O224*$AA$27+$P224*$AA$31+$Q224*$AA$35</f>
        <v>0.31407434375186327</v>
      </c>
      <c r="AI224" s="8">
        <f t="shared" ref="AI224:AI287" si="81">$AB$27*$O224+$P224*$AB$31+$AB$35*$Q224</f>
        <v>0.66587531146191448</v>
      </c>
      <c r="AJ224" s="8"/>
      <c r="AK224" s="8"/>
      <c r="AL224" s="8"/>
      <c r="AN224" s="8">
        <f t="shared" si="71"/>
        <v>0.99999999999999989</v>
      </c>
      <c r="AO224" s="8">
        <f t="shared" si="72"/>
        <v>2.7070720455348272</v>
      </c>
      <c r="AP224" s="8">
        <f t="shared" si="73"/>
        <v>0.84212988154849189</v>
      </c>
      <c r="AQ224" s="8"/>
      <c r="AR224" s="8">
        <f t="shared" si="74"/>
        <v>155.1038030469922</v>
      </c>
      <c r="AS224" s="8">
        <f t="shared" si="75"/>
        <v>41.749511985419474</v>
      </c>
    </row>
    <row r="225" spans="1:45">
      <c r="A225" s="19">
        <v>6.4397666669999998</v>
      </c>
      <c r="B225" s="19">
        <v>1215.220924</v>
      </c>
      <c r="C225" s="19">
        <v>-458.04215640000001</v>
      </c>
      <c r="E225" s="9">
        <f t="shared" si="77"/>
        <v>255.22092399999997</v>
      </c>
      <c r="F225" s="9">
        <f t="shared" ref="F225:F288" si="82">(($C$15/2)+C225)</f>
        <v>81.95784359999999</v>
      </c>
      <c r="I225">
        <v>1</v>
      </c>
      <c r="J225">
        <f t="shared" si="78"/>
        <v>0.17491740457789348</v>
      </c>
      <c r="K225">
        <f t="shared" ref="K225:K288" si="83">ATAN2(E225,F225)</f>
        <v>0.31072319836511669</v>
      </c>
      <c r="O225">
        <f t="shared" ref="O225:O288" si="84">COS(K225)*SIN(J225)</f>
        <v>0.16569312988203574</v>
      </c>
      <c r="P225">
        <f t="shared" ref="P225:P288" si="85">SIN(K225)*SIN(J225)</f>
        <v>5.3208222161543348E-2</v>
      </c>
      <c r="Q225">
        <f t="shared" ref="Q225:Q288" si="86">COS(J225)</f>
        <v>0.98474091608112979</v>
      </c>
      <c r="R225">
        <f t="shared" si="76"/>
        <v>1</v>
      </c>
      <c r="AG225" s="8">
        <f t="shared" si="79"/>
        <v>-0.67656446454966945</v>
      </c>
      <c r="AH225" s="8">
        <f t="shared" si="80"/>
        <v>0.31429552406871608</v>
      </c>
      <c r="AI225" s="8">
        <f t="shared" si="81"/>
        <v>0.6659420762040722</v>
      </c>
      <c r="AJ225" s="8"/>
      <c r="AK225" s="8"/>
      <c r="AL225" s="8"/>
      <c r="AN225" s="8">
        <f t="shared" ref="AN225:AN288" si="87">AG225^2+AH225^2+AI225^2</f>
        <v>1.0000000000000002</v>
      </c>
      <c r="AO225" s="8">
        <f t="shared" ref="AO225:AO288" si="88">IF(ATAN2(AG225,AH225)&gt;=0,ATAN2(AG225,AH225),ATAN2(AG225,AH225)+2*PI())</f>
        <v>2.7067080784574684</v>
      </c>
      <c r="AP225" s="8">
        <f t="shared" ref="AP225:AP288" si="89">ACOS(AI225/AN225)</f>
        <v>0.84204038856389529</v>
      </c>
      <c r="AQ225" s="8"/>
      <c r="AR225" s="8">
        <f t="shared" ref="AR225:AR288" si="90">DEGREES(AO225)</f>
        <v>155.08294926957785</v>
      </c>
      <c r="AS225" s="8">
        <f t="shared" ref="AS225:AS288" si="91">90-DEGREES(AP225)</f>
        <v>41.754639555732886</v>
      </c>
    </row>
    <row r="226" spans="1:45">
      <c r="A226" s="19">
        <v>6.4731333329999998</v>
      </c>
      <c r="B226" s="19">
        <v>1214.4151670000001</v>
      </c>
      <c r="C226" s="19">
        <v>-457.53792340000001</v>
      </c>
      <c r="E226" s="9">
        <f t="shared" si="77"/>
        <v>254.41516700000011</v>
      </c>
      <c r="F226" s="9">
        <f t="shared" si="82"/>
        <v>82.462076599999989</v>
      </c>
      <c r="I226">
        <v>1</v>
      </c>
      <c r="J226">
        <f t="shared" si="78"/>
        <v>0.17452220140823094</v>
      </c>
      <c r="K226">
        <f t="shared" si="83"/>
        <v>0.31343943652931527</v>
      </c>
      <c r="O226">
        <f t="shared" si="84"/>
        <v>0.16517776796666098</v>
      </c>
      <c r="P226">
        <f t="shared" si="85"/>
        <v>5.3538088610431842E-2</v>
      </c>
      <c r="Q226">
        <f t="shared" si="86"/>
        <v>0.98480961512238163</v>
      </c>
      <c r="R226">
        <f t="shared" si="76"/>
        <v>1</v>
      </c>
      <c r="AG226" s="8">
        <f t="shared" si="79"/>
        <v>-0.67616520758071519</v>
      </c>
      <c r="AH226" s="8">
        <f t="shared" si="80"/>
        <v>0.31471618243320998</v>
      </c>
      <c r="AI226" s="8">
        <f t="shared" si="81"/>
        <v>0.66614888468869693</v>
      </c>
      <c r="AJ226" s="8"/>
      <c r="AK226" s="8"/>
      <c r="AL226" s="8"/>
      <c r="AN226" s="8">
        <f t="shared" si="87"/>
        <v>1</v>
      </c>
      <c r="AO226" s="8">
        <f t="shared" si="88"/>
        <v>2.7059710197606126</v>
      </c>
      <c r="AP226" s="8">
        <f t="shared" si="89"/>
        <v>0.84176313236300426</v>
      </c>
      <c r="AQ226" s="8"/>
      <c r="AR226" s="8">
        <f t="shared" si="90"/>
        <v>155.04071891699459</v>
      </c>
      <c r="AS226" s="8">
        <f t="shared" si="91"/>
        <v>41.770525165887776</v>
      </c>
    </row>
    <row r="227" spans="1:45">
      <c r="A227" s="19">
        <v>6.5065</v>
      </c>
      <c r="B227" s="19">
        <v>1213.590563</v>
      </c>
      <c r="C227" s="19">
        <v>-457.21929699999998</v>
      </c>
      <c r="E227" s="9">
        <f t="shared" si="77"/>
        <v>253.59056299999997</v>
      </c>
      <c r="F227" s="9">
        <f t="shared" si="82"/>
        <v>82.780703000000017</v>
      </c>
      <c r="I227">
        <v>1</v>
      </c>
      <c r="J227">
        <f t="shared" si="78"/>
        <v>0.17407942613298474</v>
      </c>
      <c r="K227">
        <f t="shared" si="83"/>
        <v>0.31552878758478903</v>
      </c>
      <c r="O227">
        <f t="shared" si="84"/>
        <v>0.16465100883989556</v>
      </c>
      <c r="P227">
        <f t="shared" si="85"/>
        <v>5.3747766084756766E-2</v>
      </c>
      <c r="Q227">
        <f t="shared" si="86"/>
        <v>0.98488640102750069</v>
      </c>
      <c r="R227">
        <f t="shared" si="76"/>
        <v>1</v>
      </c>
      <c r="AG227" s="8">
        <f t="shared" si="79"/>
        <v>-0.67583854527418918</v>
      </c>
      <c r="AH227" s="8">
        <f t="shared" si="80"/>
        <v>0.31517125893524534</v>
      </c>
      <c r="AI227" s="8">
        <f t="shared" si="81"/>
        <v>0.6662652161585807</v>
      </c>
      <c r="AJ227" s="8"/>
      <c r="AK227" s="8"/>
      <c r="AL227" s="8"/>
      <c r="AN227" s="8">
        <f t="shared" si="87"/>
        <v>1</v>
      </c>
      <c r="AO227" s="8">
        <f t="shared" si="88"/>
        <v>2.7052329105332289</v>
      </c>
      <c r="AP227" s="8">
        <f t="shared" si="89"/>
        <v>0.84160714329849384</v>
      </c>
      <c r="AQ227" s="8"/>
      <c r="AR227" s="8">
        <f t="shared" si="90"/>
        <v>154.99842837344585</v>
      </c>
      <c r="AS227" s="8">
        <f t="shared" si="91"/>
        <v>41.779462680934415</v>
      </c>
    </row>
    <row r="228" spans="1:45">
      <c r="A228" s="19">
        <v>6.5398666670000001</v>
      </c>
      <c r="B228" s="19">
        <v>1213.179245</v>
      </c>
      <c r="C228" s="19">
        <v>-457.13890909999998</v>
      </c>
      <c r="E228" s="9">
        <f t="shared" si="77"/>
        <v>253.17924500000004</v>
      </c>
      <c r="F228" s="9">
        <f t="shared" si="82"/>
        <v>82.861090900000022</v>
      </c>
      <c r="I228">
        <v>1</v>
      </c>
      <c r="J228">
        <f t="shared" si="78"/>
        <v>0.17384304058288752</v>
      </c>
      <c r="K228">
        <f t="shared" si="83"/>
        <v>0.31629479335045274</v>
      </c>
      <c r="O228">
        <f t="shared" si="84"/>
        <v>0.16438852074524901</v>
      </c>
      <c r="P228">
        <f t="shared" si="85"/>
        <v>5.3801456594076709E-2</v>
      </c>
      <c r="Q228">
        <f t="shared" si="86"/>
        <v>0.9849273158540911</v>
      </c>
      <c r="R228">
        <f t="shared" si="76"/>
        <v>1</v>
      </c>
      <c r="AG228" s="8">
        <f t="shared" si="79"/>
        <v>-0.67570823124339352</v>
      </c>
      <c r="AH228" s="8">
        <f t="shared" si="80"/>
        <v>0.31540805033687236</v>
      </c>
      <c r="AI228" s="8">
        <f t="shared" si="81"/>
        <v>0.66628533528257827</v>
      </c>
      <c r="AJ228" s="8"/>
      <c r="AK228" s="8"/>
      <c r="AL228" s="8"/>
      <c r="AN228" s="8">
        <f t="shared" si="87"/>
        <v>1.0000000000000002</v>
      </c>
      <c r="AO228" s="8">
        <f t="shared" si="88"/>
        <v>2.7048712629464733</v>
      </c>
      <c r="AP228" s="8">
        <f t="shared" si="89"/>
        <v>0.8415801633261154</v>
      </c>
      <c r="AQ228" s="8"/>
      <c r="AR228" s="8">
        <f t="shared" si="90"/>
        <v>154.97770749305366</v>
      </c>
      <c r="AS228" s="8">
        <f t="shared" si="91"/>
        <v>41.78100851948308</v>
      </c>
    </row>
    <row r="229" spans="1:45">
      <c r="A229" s="19">
        <v>6.5732333330000001</v>
      </c>
      <c r="B229" s="19">
        <v>1212.4678039999999</v>
      </c>
      <c r="C229" s="19">
        <v>-457.1132154</v>
      </c>
      <c r="E229" s="9">
        <f t="shared" si="77"/>
        <v>252.46780399999989</v>
      </c>
      <c r="F229" s="9">
        <f t="shared" si="82"/>
        <v>82.886784599999999</v>
      </c>
      <c r="I229">
        <v>1</v>
      </c>
      <c r="J229">
        <f t="shared" si="78"/>
        <v>0.17341152006548938</v>
      </c>
      <c r="K229">
        <f t="shared" si="83"/>
        <v>0.31721947196961814</v>
      </c>
      <c r="O229">
        <f t="shared" si="84"/>
        <v>0.16393487537581555</v>
      </c>
      <c r="P229">
        <f t="shared" si="85"/>
        <v>5.3820861465975568E-2</v>
      </c>
      <c r="Q229">
        <f t="shared" si="86"/>
        <v>0.9850018637071587</v>
      </c>
      <c r="R229">
        <f t="shared" si="76"/>
        <v>1</v>
      </c>
      <c r="AG229" s="8">
        <f t="shared" si="79"/>
        <v>-0.67552992344944685</v>
      </c>
      <c r="AH229" s="8">
        <f t="shared" si="80"/>
        <v>0.31583176951760566</v>
      </c>
      <c r="AI229" s="8">
        <f t="shared" si="81"/>
        <v>0.66626542450269965</v>
      </c>
      <c r="AJ229" s="8"/>
      <c r="AK229" s="8"/>
      <c r="AL229" s="8"/>
      <c r="AN229" s="8">
        <f t="shared" si="87"/>
        <v>1</v>
      </c>
      <c r="AO229" s="8">
        <f t="shared" si="88"/>
        <v>2.7042552507739721</v>
      </c>
      <c r="AP229" s="8">
        <f t="shared" si="89"/>
        <v>0.84160686391001127</v>
      </c>
      <c r="AQ229" s="8"/>
      <c r="AR229" s="8">
        <f t="shared" si="90"/>
        <v>154.94241259544066</v>
      </c>
      <c r="AS229" s="8">
        <f t="shared" si="91"/>
        <v>41.779478688715315</v>
      </c>
    </row>
    <row r="230" spans="1:45">
      <c r="A230" s="19">
        <v>6.6066000000000003</v>
      </c>
      <c r="B230" s="19">
        <v>1212.0393790000001</v>
      </c>
      <c r="C230" s="19">
        <v>-457.09532280000002</v>
      </c>
      <c r="E230" s="9">
        <f t="shared" si="77"/>
        <v>252.03937900000005</v>
      </c>
      <c r="F230" s="9">
        <f t="shared" si="82"/>
        <v>82.904677199999981</v>
      </c>
      <c r="I230">
        <v>1</v>
      </c>
      <c r="J230">
        <f t="shared" si="78"/>
        <v>0.17315219465506076</v>
      </c>
      <c r="K230">
        <f t="shared" si="83"/>
        <v>0.31778721760515</v>
      </c>
      <c r="O230">
        <f t="shared" si="84"/>
        <v>0.16366164077163892</v>
      </c>
      <c r="P230">
        <f t="shared" si="85"/>
        <v>5.383410938413348E-2</v>
      </c>
      <c r="Q230">
        <f t="shared" si="86"/>
        <v>0.98504657555201525</v>
      </c>
      <c r="R230">
        <f t="shared" si="76"/>
        <v>1</v>
      </c>
      <c r="AG230" s="8">
        <f t="shared" si="79"/>
        <v>-0.67542146105486689</v>
      </c>
      <c r="AH230" s="8">
        <f t="shared" si="80"/>
        <v>0.31608662048726988</v>
      </c>
      <c r="AI230" s="8">
        <f t="shared" si="81"/>
        <v>0.66625452966223453</v>
      </c>
      <c r="AJ230" s="8"/>
      <c r="AK230" s="8"/>
      <c r="AL230" s="8"/>
      <c r="AN230" s="8">
        <f t="shared" si="87"/>
        <v>0.99999999999999978</v>
      </c>
      <c r="AO230" s="8">
        <f t="shared" si="88"/>
        <v>2.7038840653653944</v>
      </c>
      <c r="AP230" s="8">
        <f t="shared" si="89"/>
        <v>0.84162147374625274</v>
      </c>
      <c r="AQ230" s="8"/>
      <c r="AR230" s="8">
        <f t="shared" si="90"/>
        <v>154.9211452381123</v>
      </c>
      <c r="AS230" s="8">
        <f t="shared" si="91"/>
        <v>41.778641606759301</v>
      </c>
    </row>
    <row r="231" spans="1:45">
      <c r="A231" s="19">
        <v>6.6399666670000004</v>
      </c>
      <c r="B231" s="19">
        <v>1211.3023740000001</v>
      </c>
      <c r="C231" s="19">
        <v>-457.10584979999999</v>
      </c>
      <c r="E231" s="9">
        <f t="shared" si="77"/>
        <v>251.3023740000001</v>
      </c>
      <c r="F231" s="9">
        <f t="shared" si="82"/>
        <v>82.894150200000013</v>
      </c>
      <c r="I231">
        <v>1</v>
      </c>
      <c r="J231">
        <f t="shared" si="78"/>
        <v>0.17269780745819827</v>
      </c>
      <c r="K231">
        <f t="shared" si="83"/>
        <v>0.31861968578234373</v>
      </c>
      <c r="O231">
        <f t="shared" si="84"/>
        <v>0.16319168736506909</v>
      </c>
      <c r="P231">
        <f t="shared" si="85"/>
        <v>5.3830117195118404E-2</v>
      </c>
      <c r="Q231">
        <f t="shared" si="86"/>
        <v>0.98512475943796141</v>
      </c>
      <c r="R231">
        <f t="shared" si="76"/>
        <v>1</v>
      </c>
      <c r="AG231" s="8">
        <f t="shared" si="79"/>
        <v>-0.67525194999945026</v>
      </c>
      <c r="AH231" s="8">
        <f t="shared" si="80"/>
        <v>0.31653018360975149</v>
      </c>
      <c r="AI231" s="8">
        <f t="shared" si="81"/>
        <v>0.66621576601422217</v>
      </c>
      <c r="AJ231" s="8"/>
      <c r="AK231" s="8"/>
      <c r="AL231" s="8"/>
      <c r="AN231" s="8">
        <f t="shared" si="87"/>
        <v>0.99999999999999989</v>
      </c>
      <c r="AO231" s="8">
        <f t="shared" si="88"/>
        <v>2.7032490127858275</v>
      </c>
      <c r="AP231" s="8">
        <f t="shared" si="89"/>
        <v>0.84167345373673808</v>
      </c>
      <c r="AQ231" s="8"/>
      <c r="AR231" s="8">
        <f t="shared" si="90"/>
        <v>154.88475940553423</v>
      </c>
      <c r="AS231" s="8">
        <f t="shared" si="91"/>
        <v>41.775663372685358</v>
      </c>
    </row>
    <row r="232" spans="1:45">
      <c r="A232" s="19">
        <v>6.6733333330000004</v>
      </c>
      <c r="B232" s="19">
        <v>1210.4205770000001</v>
      </c>
      <c r="C232" s="19">
        <v>-457.11233859999999</v>
      </c>
      <c r="E232" s="9">
        <f t="shared" si="77"/>
        <v>250.42057700000009</v>
      </c>
      <c r="F232" s="9">
        <f t="shared" si="82"/>
        <v>82.887661400000013</v>
      </c>
      <c r="I232">
        <v>1</v>
      </c>
      <c r="J232">
        <f t="shared" si="78"/>
        <v>0.17215546912952553</v>
      </c>
      <c r="K232">
        <f t="shared" si="83"/>
        <v>0.31964350952555853</v>
      </c>
      <c r="O232">
        <f t="shared" si="84"/>
        <v>0.16262925656894281</v>
      </c>
      <c r="P232">
        <f t="shared" si="85"/>
        <v>5.3829277584566286E-2</v>
      </c>
      <c r="Q232">
        <f t="shared" si="86"/>
        <v>0.98521781032549172</v>
      </c>
      <c r="R232">
        <f t="shared" si="76"/>
        <v>1</v>
      </c>
      <c r="AG232" s="8">
        <f t="shared" si="79"/>
        <v>-0.67504636548428743</v>
      </c>
      <c r="AH232" s="8">
        <f t="shared" si="80"/>
        <v>0.31706010588805184</v>
      </c>
      <c r="AI232" s="8">
        <f t="shared" si="81"/>
        <v>0.66617212017669358</v>
      </c>
      <c r="AJ232" s="8"/>
      <c r="AK232" s="8"/>
      <c r="AL232" s="8"/>
      <c r="AN232" s="8">
        <f t="shared" si="87"/>
        <v>0.99999999999999989</v>
      </c>
      <c r="AO232" s="8">
        <f t="shared" si="88"/>
        <v>2.702488646507299</v>
      </c>
      <c r="AP232" s="8">
        <f t="shared" si="89"/>
        <v>0.84173197759500162</v>
      </c>
      <c r="AQ232" s="8"/>
      <c r="AR232" s="8">
        <f t="shared" si="90"/>
        <v>154.84119362689049</v>
      </c>
      <c r="AS232" s="8">
        <f t="shared" si="91"/>
        <v>41.772310202606036</v>
      </c>
    </row>
    <row r="233" spans="1:45">
      <c r="A233" s="19">
        <v>6.7066999999999997</v>
      </c>
      <c r="B233" s="19">
        <v>1209.9349749999999</v>
      </c>
      <c r="C233" s="19">
        <v>-456.81727690000002</v>
      </c>
      <c r="E233" s="9">
        <f t="shared" si="77"/>
        <v>249.93497499999989</v>
      </c>
      <c r="F233" s="9">
        <f t="shared" si="82"/>
        <v>83.182723099999976</v>
      </c>
      <c r="I233">
        <v>1</v>
      </c>
      <c r="J233">
        <f t="shared" si="78"/>
        <v>0.17191769429145437</v>
      </c>
      <c r="K233">
        <f t="shared" si="83"/>
        <v>0.32128619496336608</v>
      </c>
      <c r="O233">
        <f t="shared" si="84"/>
        <v>0.16231833509501556</v>
      </c>
      <c r="P233">
        <f t="shared" si="85"/>
        <v>5.402237570896868E-2</v>
      </c>
      <c r="Q233">
        <f t="shared" si="86"/>
        <v>0.98525851481463544</v>
      </c>
      <c r="R233">
        <f t="shared" si="76"/>
        <v>1</v>
      </c>
      <c r="AG233" s="8">
        <f t="shared" si="79"/>
        <v>-0.67480859713249786</v>
      </c>
      <c r="AH233" s="8">
        <f t="shared" si="80"/>
        <v>0.31731456094131166</v>
      </c>
      <c r="AI233" s="8">
        <f t="shared" si="81"/>
        <v>0.66629184795455276</v>
      </c>
      <c r="AJ233" s="8"/>
      <c r="AK233" s="8"/>
      <c r="AL233" s="8"/>
      <c r="AN233" s="8">
        <f t="shared" si="87"/>
        <v>1</v>
      </c>
      <c r="AO233" s="8">
        <f t="shared" si="88"/>
        <v>2.7020442294950655</v>
      </c>
      <c r="AP233" s="8">
        <f t="shared" si="89"/>
        <v>0.8415714296201392</v>
      </c>
      <c r="AQ233" s="8"/>
      <c r="AR233" s="8">
        <f t="shared" si="90"/>
        <v>154.81573040774569</v>
      </c>
      <c r="AS233" s="8">
        <f t="shared" si="91"/>
        <v>41.781508923975025</v>
      </c>
    </row>
    <row r="234" spans="1:45">
      <c r="A234" s="19">
        <v>6.7400666669999998</v>
      </c>
      <c r="B234" s="19">
        <v>1209.3322350000001</v>
      </c>
      <c r="C234" s="19">
        <v>-456.28726369999998</v>
      </c>
      <c r="E234" s="9">
        <f t="shared" si="77"/>
        <v>249.33223500000008</v>
      </c>
      <c r="F234" s="9">
        <f t="shared" si="82"/>
        <v>83.712736300000017</v>
      </c>
      <c r="I234">
        <v>1</v>
      </c>
      <c r="J234">
        <f t="shared" si="78"/>
        <v>0.17165684274245172</v>
      </c>
      <c r="K234">
        <f t="shared" si="83"/>
        <v>0.32392195100698895</v>
      </c>
      <c r="O234">
        <f t="shared" si="84"/>
        <v>0.16193173566323538</v>
      </c>
      <c r="P234">
        <f t="shared" si="85"/>
        <v>5.4368215510432201E-2</v>
      </c>
      <c r="Q234">
        <f t="shared" si="86"/>
        <v>0.98530310571280721</v>
      </c>
      <c r="R234">
        <f t="shared" si="76"/>
        <v>1</v>
      </c>
      <c r="AG234" s="8">
        <f t="shared" si="79"/>
        <v>-0.67444505152849821</v>
      </c>
      <c r="AH234" s="8">
        <f t="shared" si="80"/>
        <v>0.31760984642937984</v>
      </c>
      <c r="AI234" s="8">
        <f t="shared" si="81"/>
        <v>0.6665192104657055</v>
      </c>
      <c r="AJ234" s="8"/>
      <c r="AK234" s="8"/>
      <c r="AL234" s="8"/>
      <c r="AN234" s="8">
        <f t="shared" si="87"/>
        <v>1.0000000000000002</v>
      </c>
      <c r="AO234" s="8">
        <f t="shared" si="88"/>
        <v>2.7014782689661354</v>
      </c>
      <c r="AP234" s="8">
        <f t="shared" si="89"/>
        <v>0.84126648632270462</v>
      </c>
      <c r="AQ234" s="8"/>
      <c r="AR234" s="8">
        <f t="shared" si="90"/>
        <v>154.78330325806701</v>
      </c>
      <c r="AS234" s="8">
        <f t="shared" si="91"/>
        <v>41.798980887908833</v>
      </c>
    </row>
    <row r="235" spans="1:45">
      <c r="A235" s="19">
        <v>6.7734333329999998</v>
      </c>
      <c r="B235" s="19">
        <v>1208.856963</v>
      </c>
      <c r="C235" s="19">
        <v>-456.17704170000002</v>
      </c>
      <c r="E235" s="9">
        <f t="shared" si="77"/>
        <v>248.85696299999995</v>
      </c>
      <c r="F235" s="9">
        <f t="shared" si="82"/>
        <v>83.822958299999982</v>
      </c>
      <c r="I235">
        <v>1</v>
      </c>
      <c r="J235">
        <f t="shared" si="78"/>
        <v>0.17138838613713042</v>
      </c>
      <c r="K235">
        <f t="shared" si="83"/>
        <v>0.32489593329716804</v>
      </c>
      <c r="O235">
        <f t="shared" si="84"/>
        <v>0.16162802640496046</v>
      </c>
      <c r="P235">
        <f t="shared" si="85"/>
        <v>5.4441471735931689E-2</v>
      </c>
      <c r="Q235">
        <f t="shared" si="86"/>
        <v>0.98534892664256912</v>
      </c>
      <c r="R235">
        <f t="shared" si="76"/>
        <v>1</v>
      </c>
      <c r="AG235" s="8">
        <f t="shared" si="79"/>
        <v>-0.67428655612070376</v>
      </c>
      <c r="AH235" s="8">
        <f t="shared" si="80"/>
        <v>0.31788118206677807</v>
      </c>
      <c r="AI235" s="8">
        <f t="shared" si="81"/>
        <v>0.66655021890530408</v>
      </c>
      <c r="AJ235" s="8"/>
      <c r="AK235" s="8"/>
      <c r="AL235" s="8"/>
      <c r="AN235" s="8">
        <f t="shared" si="87"/>
        <v>0.99999999999999978</v>
      </c>
      <c r="AO235" s="8">
        <f t="shared" si="88"/>
        <v>2.7010583886857096</v>
      </c>
      <c r="AP235" s="8">
        <f t="shared" si="89"/>
        <v>0.84122489072057627</v>
      </c>
      <c r="AQ235" s="8"/>
      <c r="AR235" s="8">
        <f t="shared" si="90"/>
        <v>154.75924589009782</v>
      </c>
      <c r="AS235" s="8">
        <f t="shared" si="91"/>
        <v>41.801364140357087</v>
      </c>
    </row>
    <row r="236" spans="1:45">
      <c r="A236" s="19">
        <v>6.8068</v>
      </c>
      <c r="B236" s="19">
        <v>1208.3599959999999</v>
      </c>
      <c r="C236" s="19">
        <v>-456.11723490000003</v>
      </c>
      <c r="E236" s="9">
        <f t="shared" si="77"/>
        <v>248.35999599999991</v>
      </c>
      <c r="F236" s="9">
        <f t="shared" si="82"/>
        <v>83.882765099999972</v>
      </c>
      <c r="I236">
        <v>1</v>
      </c>
      <c r="J236">
        <f t="shared" si="78"/>
        <v>0.1710963534518932</v>
      </c>
      <c r="K236">
        <f t="shared" si="83"/>
        <v>0.32571729722133713</v>
      </c>
      <c r="O236">
        <f t="shared" si="84"/>
        <v>0.16131062434452098</v>
      </c>
      <c r="P236">
        <f t="shared" si="85"/>
        <v>5.4482128474610682E-2</v>
      </c>
      <c r="Q236">
        <f t="shared" si="86"/>
        <v>0.98539869096242305</v>
      </c>
      <c r="R236">
        <f t="shared" si="76"/>
        <v>1</v>
      </c>
      <c r="AG236" s="8">
        <f t="shared" si="79"/>
        <v>-0.6741438636516458</v>
      </c>
      <c r="AH236" s="8">
        <f t="shared" si="80"/>
        <v>0.3181718371983302</v>
      </c>
      <c r="AI236" s="8">
        <f t="shared" si="81"/>
        <v>0.66655587396306881</v>
      </c>
      <c r="AJ236" s="8"/>
      <c r="AK236" s="8"/>
      <c r="AL236" s="8"/>
      <c r="AN236" s="8">
        <f t="shared" si="87"/>
        <v>1</v>
      </c>
      <c r="AO236" s="8">
        <f t="shared" si="88"/>
        <v>2.700624087713714</v>
      </c>
      <c r="AP236" s="8">
        <f t="shared" si="89"/>
        <v>0.84121730469858136</v>
      </c>
      <c r="AQ236" s="8"/>
      <c r="AR236" s="8">
        <f t="shared" si="90"/>
        <v>154.73436227736406</v>
      </c>
      <c r="AS236" s="8">
        <f t="shared" si="91"/>
        <v>41.801798787400692</v>
      </c>
    </row>
    <row r="237" spans="1:45">
      <c r="A237" s="19">
        <v>6.8401666670000001</v>
      </c>
      <c r="B237" s="19">
        <v>1207.7033719999999</v>
      </c>
      <c r="C237" s="19">
        <v>-456.11884620000001</v>
      </c>
      <c r="E237" s="9">
        <f t="shared" si="77"/>
        <v>247.70337199999994</v>
      </c>
      <c r="F237" s="9">
        <f t="shared" si="82"/>
        <v>83.881153799999993</v>
      </c>
      <c r="I237">
        <v>1</v>
      </c>
      <c r="J237">
        <f t="shared" si="78"/>
        <v>0.17069391318581165</v>
      </c>
      <c r="K237">
        <f t="shared" si="83"/>
        <v>0.32651488472516377</v>
      </c>
      <c r="O237">
        <f t="shared" si="84"/>
        <v>0.16089149371393197</v>
      </c>
      <c r="P237">
        <f t="shared" si="85"/>
        <v>5.4483570491442729E-2</v>
      </c>
      <c r="Q237">
        <f t="shared" si="86"/>
        <v>0.98546713176899192</v>
      </c>
      <c r="R237">
        <f t="shared" si="76"/>
        <v>1</v>
      </c>
      <c r="AG237" s="8">
        <f t="shared" si="79"/>
        <v>-0.67398882951037664</v>
      </c>
      <c r="AH237" s="8">
        <f t="shared" si="80"/>
        <v>0.31856595786336589</v>
      </c>
      <c r="AI237" s="8">
        <f t="shared" si="81"/>
        <v>0.66652440929483481</v>
      </c>
      <c r="AJ237" s="8"/>
      <c r="AK237" s="8"/>
      <c r="AL237" s="8"/>
      <c r="AN237" s="8">
        <f t="shared" si="87"/>
        <v>0.99999999999999978</v>
      </c>
      <c r="AO237" s="8">
        <f t="shared" si="88"/>
        <v>2.7000572210553648</v>
      </c>
      <c r="AP237" s="8">
        <f t="shared" si="89"/>
        <v>0.84125951257349907</v>
      </c>
      <c r="AQ237" s="8"/>
      <c r="AR237" s="8">
        <f t="shared" si="90"/>
        <v>154.70188321029397</v>
      </c>
      <c r="AS237" s="8">
        <f t="shared" si="91"/>
        <v>41.799380454305691</v>
      </c>
    </row>
    <row r="238" spans="1:45">
      <c r="A238" s="19">
        <v>6.8735333330000001</v>
      </c>
      <c r="B238" s="19">
        <v>1207.212141</v>
      </c>
      <c r="C238" s="19">
        <v>-456.11144719999999</v>
      </c>
      <c r="E238" s="9">
        <f t="shared" si="77"/>
        <v>247.21214099999997</v>
      </c>
      <c r="F238" s="9">
        <f t="shared" si="82"/>
        <v>83.888552800000014</v>
      </c>
      <c r="I238">
        <v>1</v>
      </c>
      <c r="J238">
        <f t="shared" si="78"/>
        <v>0.17039466910749915</v>
      </c>
      <c r="K238">
        <f t="shared" si="83"/>
        <v>0.32714527209377703</v>
      </c>
      <c r="O238">
        <f t="shared" si="84"/>
        <v>0.16057785378891115</v>
      </c>
      <c r="P238">
        <f t="shared" si="85"/>
        <v>5.4490219256997402E-2</v>
      </c>
      <c r="Q238">
        <f t="shared" si="86"/>
        <v>0.98551791910541708</v>
      </c>
      <c r="R238">
        <f t="shared" si="76"/>
        <v>1</v>
      </c>
      <c r="AG238" s="8">
        <f t="shared" si="79"/>
        <v>-0.67386916833785859</v>
      </c>
      <c r="AH238" s="8">
        <f t="shared" si="80"/>
        <v>0.31885971862333951</v>
      </c>
      <c r="AI238" s="8">
        <f t="shared" si="81"/>
        <v>0.66650493156696722</v>
      </c>
      <c r="AJ238" s="8"/>
      <c r="AK238" s="8"/>
      <c r="AL238" s="8"/>
      <c r="AN238" s="8">
        <f t="shared" si="87"/>
        <v>1</v>
      </c>
      <c r="AO238" s="8">
        <f t="shared" si="88"/>
        <v>2.6996323754003173</v>
      </c>
      <c r="AP238" s="8">
        <f t="shared" si="89"/>
        <v>0.84128563992310446</v>
      </c>
      <c r="AQ238" s="8"/>
      <c r="AR238" s="8">
        <f t="shared" si="90"/>
        <v>154.67754134731527</v>
      </c>
      <c r="AS238" s="8">
        <f t="shared" si="91"/>
        <v>41.797883467443441</v>
      </c>
    </row>
    <row r="239" spans="1:45">
      <c r="A239" s="19">
        <v>6.9069000000000003</v>
      </c>
      <c r="B239" s="19">
        <v>1206.6247249999999</v>
      </c>
      <c r="C239" s="19">
        <v>-456.00584789999999</v>
      </c>
      <c r="E239" s="9">
        <f t="shared" si="77"/>
        <v>246.6247249999999</v>
      </c>
      <c r="F239" s="9">
        <f t="shared" si="82"/>
        <v>83.994152100000008</v>
      </c>
      <c r="I239">
        <v>1</v>
      </c>
      <c r="J239">
        <f t="shared" si="78"/>
        <v>0.17005704536581739</v>
      </c>
      <c r="K239">
        <f t="shared" si="83"/>
        <v>0.32825360300045819</v>
      </c>
      <c r="O239">
        <f t="shared" si="84"/>
        <v>0.16020238433387182</v>
      </c>
      <c r="P239">
        <f t="shared" si="85"/>
        <v>5.456088572028573E-2</v>
      </c>
      <c r="Q239">
        <f t="shared" si="86"/>
        <v>0.98557511423694155</v>
      </c>
      <c r="R239">
        <f t="shared" si="76"/>
        <v>1</v>
      </c>
      <c r="AG239" s="8">
        <f t="shared" si="79"/>
        <v>-0.67368562736731286</v>
      </c>
      <c r="AH239" s="8">
        <f t="shared" si="80"/>
        <v>0.31919885921812696</v>
      </c>
      <c r="AI239" s="8">
        <f t="shared" si="81"/>
        <v>0.66652814175588759</v>
      </c>
      <c r="AJ239" s="8"/>
      <c r="AK239" s="8"/>
      <c r="AL239" s="8"/>
      <c r="AN239" s="8">
        <f t="shared" si="87"/>
        <v>1</v>
      </c>
      <c r="AO239" s="8">
        <f t="shared" si="88"/>
        <v>2.699115853082247</v>
      </c>
      <c r="AP239" s="8">
        <f t="shared" si="89"/>
        <v>0.84125450579484584</v>
      </c>
      <c r="AQ239" s="8"/>
      <c r="AR239" s="8">
        <f t="shared" si="90"/>
        <v>154.64794679846551</v>
      </c>
      <c r="AS239" s="8">
        <f t="shared" si="91"/>
        <v>41.799667321591478</v>
      </c>
    </row>
    <row r="240" spans="1:45">
      <c r="A240" s="19">
        <v>6.9402666670000004</v>
      </c>
      <c r="B240" s="19">
        <v>1205.9214609999999</v>
      </c>
      <c r="C240" s="19">
        <v>-455.73757840000002</v>
      </c>
      <c r="E240" s="9">
        <f t="shared" si="77"/>
        <v>245.92146099999991</v>
      </c>
      <c r="F240" s="9">
        <f t="shared" si="82"/>
        <v>84.262421599999982</v>
      </c>
      <c r="I240">
        <v>1</v>
      </c>
      <c r="J240">
        <f t="shared" si="78"/>
        <v>0.16968277797462339</v>
      </c>
      <c r="K240">
        <f t="shared" si="83"/>
        <v>0.33010264719196258</v>
      </c>
      <c r="O240">
        <f t="shared" si="84"/>
        <v>0.15975226076546195</v>
      </c>
      <c r="P240">
        <f t="shared" si="85"/>
        <v>5.4737444602984436E-2</v>
      </c>
      <c r="Q240">
        <f t="shared" si="86"/>
        <v>0.98563838568648443</v>
      </c>
      <c r="R240">
        <f t="shared" si="76"/>
        <v>1</v>
      </c>
      <c r="AG240" s="8">
        <f t="shared" si="79"/>
        <v>-0.67340657228783207</v>
      </c>
      <c r="AH240" s="8">
        <f t="shared" si="80"/>
        <v>0.31958706980330792</v>
      </c>
      <c r="AI240" s="8">
        <f t="shared" si="81"/>
        <v>0.66662410188507915</v>
      </c>
      <c r="AJ240" s="8"/>
      <c r="AK240" s="8"/>
      <c r="AL240" s="8"/>
      <c r="AN240" s="8">
        <f t="shared" si="87"/>
        <v>1</v>
      </c>
      <c r="AO240" s="8">
        <f t="shared" si="88"/>
        <v>2.6984848994169299</v>
      </c>
      <c r="AP240" s="8">
        <f t="shared" si="89"/>
        <v>0.84112577575664282</v>
      </c>
      <c r="AQ240" s="8"/>
      <c r="AR240" s="8">
        <f t="shared" si="90"/>
        <v>154.61179581637455</v>
      </c>
      <c r="AS240" s="8">
        <f t="shared" si="91"/>
        <v>41.80704300947707</v>
      </c>
    </row>
    <row r="241" spans="1:45">
      <c r="A241" s="19">
        <v>6.9736333330000004</v>
      </c>
      <c r="B241" s="19">
        <v>1205.1579280000001</v>
      </c>
      <c r="C241" s="19">
        <v>-455.27933339999998</v>
      </c>
      <c r="E241" s="9">
        <f t="shared" si="77"/>
        <v>245.15792800000008</v>
      </c>
      <c r="F241" s="9">
        <f t="shared" si="82"/>
        <v>84.720666600000015</v>
      </c>
      <c r="I241">
        <v>1</v>
      </c>
      <c r="J241">
        <f t="shared" si="78"/>
        <v>0.16931228866865705</v>
      </c>
      <c r="K241">
        <f t="shared" si="83"/>
        <v>0.33272808552768007</v>
      </c>
      <c r="O241">
        <f t="shared" si="84"/>
        <v>0.15926284887329739</v>
      </c>
      <c r="P241">
        <f t="shared" si="85"/>
        <v>5.5037399080811324E-2</v>
      </c>
      <c r="Q241">
        <f t="shared" si="86"/>
        <v>0.98570088245429743</v>
      </c>
      <c r="R241">
        <f t="shared" si="76"/>
        <v>1</v>
      </c>
      <c r="AG241" s="8">
        <f t="shared" si="79"/>
        <v>-0.67303372008288198</v>
      </c>
      <c r="AH241" s="8">
        <f t="shared" si="80"/>
        <v>0.31998754305013521</v>
      </c>
      <c r="AI241" s="8">
        <f t="shared" si="81"/>
        <v>0.66680850618759713</v>
      </c>
      <c r="AJ241" s="8"/>
      <c r="AK241" s="8"/>
      <c r="AL241" s="8"/>
      <c r="AN241" s="8">
        <f t="shared" si="87"/>
        <v>1</v>
      </c>
      <c r="AO241" s="8">
        <f t="shared" si="88"/>
        <v>2.6977849038303972</v>
      </c>
      <c r="AP241" s="8">
        <f t="shared" si="89"/>
        <v>0.8408783566825665</v>
      </c>
      <c r="AQ241" s="8"/>
      <c r="AR241" s="8">
        <f t="shared" si="90"/>
        <v>154.57168902358845</v>
      </c>
      <c r="AS241" s="8">
        <f t="shared" si="91"/>
        <v>41.821219078192676</v>
      </c>
    </row>
    <row r="242" spans="1:45">
      <c r="A242" s="19">
        <v>7.0069999999999997</v>
      </c>
      <c r="B242" s="19">
        <v>1204.5732680000001</v>
      </c>
      <c r="C242" s="19">
        <v>-455.14898929999998</v>
      </c>
      <c r="E242" s="9">
        <f t="shared" si="77"/>
        <v>244.5732680000001</v>
      </c>
      <c r="F242" s="9">
        <f t="shared" si="82"/>
        <v>84.851010700000018</v>
      </c>
      <c r="I242">
        <v>1</v>
      </c>
      <c r="J242">
        <f t="shared" si="78"/>
        <v>0.16898254167526475</v>
      </c>
      <c r="K242">
        <f t="shared" si="83"/>
        <v>0.33394164343812344</v>
      </c>
      <c r="O242">
        <f t="shared" si="84"/>
        <v>0.15888885549019874</v>
      </c>
      <c r="P242">
        <f t="shared" si="85"/>
        <v>5.512409466315675E-2</v>
      </c>
      <c r="Q242">
        <f t="shared" si="86"/>
        <v>0.98575639272011928</v>
      </c>
      <c r="R242">
        <f t="shared" si="76"/>
        <v>1</v>
      </c>
      <c r="AG242" s="8">
        <f t="shared" si="79"/>
        <v>-0.67284008845905241</v>
      </c>
      <c r="AH242" s="8">
        <f t="shared" si="80"/>
        <v>0.32032184408448378</v>
      </c>
      <c r="AI242" s="8">
        <f t="shared" si="81"/>
        <v>0.66684340857860347</v>
      </c>
      <c r="AJ242" s="8"/>
      <c r="AK242" s="8"/>
      <c r="AL242" s="8"/>
      <c r="AN242" s="8">
        <f t="shared" si="87"/>
        <v>1</v>
      </c>
      <c r="AO242" s="8">
        <f t="shared" si="88"/>
        <v>2.697268186205692</v>
      </c>
      <c r="AP242" s="8">
        <f t="shared" si="89"/>
        <v>0.84083152125676774</v>
      </c>
      <c r="AQ242" s="8"/>
      <c r="AR242" s="8">
        <f t="shared" si="90"/>
        <v>154.5420832844928</v>
      </c>
      <c r="AS242" s="8">
        <f t="shared" si="91"/>
        <v>41.823902550422645</v>
      </c>
    </row>
    <row r="243" spans="1:45">
      <c r="A243" s="19">
        <v>7.0403666669999998</v>
      </c>
      <c r="B243" s="19">
        <v>1204.1183920000001</v>
      </c>
      <c r="C243" s="19">
        <v>-455.13002189999997</v>
      </c>
      <c r="E243" s="9">
        <f t="shared" si="77"/>
        <v>244.11839200000009</v>
      </c>
      <c r="F243" s="9">
        <f t="shared" si="82"/>
        <v>84.869978100000026</v>
      </c>
      <c r="I243">
        <v>1</v>
      </c>
      <c r="J243">
        <f t="shared" si="78"/>
        <v>0.16870862296435166</v>
      </c>
      <c r="K243">
        <f t="shared" si="83"/>
        <v>0.33458785623264176</v>
      </c>
      <c r="O243">
        <f t="shared" si="84"/>
        <v>0.15859815094788293</v>
      </c>
      <c r="P243">
        <f t="shared" si="85"/>
        <v>5.5138088889457045E-2</v>
      </c>
      <c r="Q243">
        <f t="shared" si="86"/>
        <v>0.98580242324186385</v>
      </c>
      <c r="R243">
        <f t="shared" si="76"/>
        <v>1</v>
      </c>
      <c r="AG243" s="8">
        <f t="shared" si="79"/>
        <v>-0.67272376615251583</v>
      </c>
      <c r="AH243" s="8">
        <f t="shared" si="80"/>
        <v>0.32059227729051848</v>
      </c>
      <c r="AI243" s="8">
        <f t="shared" si="81"/>
        <v>0.66683080777304715</v>
      </c>
      <c r="AJ243" s="8"/>
      <c r="AK243" s="8"/>
      <c r="AL243" s="8"/>
      <c r="AN243" s="8">
        <f t="shared" si="87"/>
        <v>1</v>
      </c>
      <c r="AO243" s="8">
        <f t="shared" si="88"/>
        <v>2.6968734307157813</v>
      </c>
      <c r="AP243" s="8">
        <f t="shared" si="89"/>
        <v>0.84084843047067992</v>
      </c>
      <c r="AQ243" s="8"/>
      <c r="AR243" s="8">
        <f t="shared" si="90"/>
        <v>154.51946546098131</v>
      </c>
      <c r="AS243" s="8">
        <f t="shared" si="91"/>
        <v>41.822933723830594</v>
      </c>
    </row>
    <row r="244" spans="1:45">
      <c r="A244" s="19">
        <v>7.0737333329999998</v>
      </c>
      <c r="B244" s="19">
        <v>1203.3688790000001</v>
      </c>
      <c r="C244" s="19">
        <v>-455.13763549999999</v>
      </c>
      <c r="E244" s="9">
        <f t="shared" si="77"/>
        <v>243.36887900000011</v>
      </c>
      <c r="F244" s="9">
        <f t="shared" si="82"/>
        <v>84.862364500000012</v>
      </c>
      <c r="I244">
        <v>1</v>
      </c>
      <c r="J244">
        <f t="shared" si="78"/>
        <v>0.16824910516247812</v>
      </c>
      <c r="K244">
        <f t="shared" si="83"/>
        <v>0.33551488900854798</v>
      </c>
      <c r="O244">
        <f t="shared" si="84"/>
        <v>0.15811921602644188</v>
      </c>
      <c r="P244">
        <f t="shared" si="85"/>
        <v>5.5135934389089036E-2</v>
      </c>
      <c r="Q244">
        <f t="shared" si="86"/>
        <v>0.98587947653971653</v>
      </c>
      <c r="R244">
        <f t="shared" si="76"/>
        <v>1</v>
      </c>
      <c r="AG244" s="8">
        <f t="shared" si="79"/>
        <v>-0.67254817550702317</v>
      </c>
      <c r="AH244" s="8">
        <f t="shared" si="80"/>
        <v>0.32104274360329033</v>
      </c>
      <c r="AI244" s="8">
        <f t="shared" si="81"/>
        <v>0.66679120300274386</v>
      </c>
      <c r="AJ244" s="8"/>
      <c r="AK244" s="8"/>
      <c r="AL244" s="8"/>
      <c r="AN244" s="8">
        <f t="shared" si="87"/>
        <v>1</v>
      </c>
      <c r="AO244" s="8">
        <f t="shared" si="88"/>
        <v>2.696226408189379</v>
      </c>
      <c r="AP244" s="8">
        <f t="shared" si="89"/>
        <v>0.84090157505265906</v>
      </c>
      <c r="AQ244" s="8"/>
      <c r="AR244" s="8">
        <f t="shared" si="90"/>
        <v>154.48239380096857</v>
      </c>
      <c r="AS244" s="8">
        <f t="shared" si="91"/>
        <v>41.8198887635792</v>
      </c>
    </row>
    <row r="245" spans="1:45">
      <c r="A245" s="19">
        <v>7.1071</v>
      </c>
      <c r="B245" s="19">
        <v>1202.6981020000001</v>
      </c>
      <c r="C245" s="19">
        <v>-455.14560340000003</v>
      </c>
      <c r="E245" s="9">
        <f t="shared" si="77"/>
        <v>242.69810200000006</v>
      </c>
      <c r="F245" s="9">
        <f t="shared" si="82"/>
        <v>84.854396599999973</v>
      </c>
      <c r="I245">
        <v>1</v>
      </c>
      <c r="J245">
        <f t="shared" si="78"/>
        <v>0.16783768510588354</v>
      </c>
      <c r="K245">
        <f t="shared" si="83"/>
        <v>0.33634464302560851</v>
      </c>
      <c r="O245">
        <f t="shared" si="84"/>
        <v>0.15769051580380847</v>
      </c>
      <c r="P245">
        <f t="shared" si="85"/>
        <v>5.5133243555711538E-2</v>
      </c>
      <c r="Q245">
        <f t="shared" si="86"/>
        <v>0.9859482880357141</v>
      </c>
      <c r="R245">
        <f t="shared" si="76"/>
        <v>1</v>
      </c>
      <c r="AG245" s="8">
        <f t="shared" si="79"/>
        <v>-0.67239136169828684</v>
      </c>
      <c r="AH245" s="8">
        <f t="shared" si="80"/>
        <v>0.32144601710180476</v>
      </c>
      <c r="AI245" s="8">
        <f t="shared" si="81"/>
        <v>0.66675506357500569</v>
      </c>
      <c r="AJ245" s="8"/>
      <c r="AK245" s="8"/>
      <c r="AL245" s="8"/>
      <c r="AN245" s="8">
        <f t="shared" si="87"/>
        <v>1</v>
      </c>
      <c r="AO245" s="8">
        <f t="shared" si="88"/>
        <v>2.6956474435834843</v>
      </c>
      <c r="AP245" s="8">
        <f t="shared" si="89"/>
        <v>0.8409500673791972</v>
      </c>
      <c r="AQ245" s="8"/>
      <c r="AR245" s="8">
        <f t="shared" si="90"/>
        <v>154.44922157256335</v>
      </c>
      <c r="AS245" s="8">
        <f t="shared" si="91"/>
        <v>41.817110357929792</v>
      </c>
    </row>
    <row r="246" spans="1:45">
      <c r="A246" s="19">
        <v>7.1404666670000001</v>
      </c>
      <c r="B246" s="19">
        <v>1202.1900929999999</v>
      </c>
      <c r="C246" s="19">
        <v>-455.12972209999998</v>
      </c>
      <c r="E246" s="9">
        <f t="shared" si="77"/>
        <v>242.19009299999993</v>
      </c>
      <c r="F246" s="9">
        <f t="shared" si="82"/>
        <v>84.870277900000019</v>
      </c>
      <c r="I246">
        <v>1</v>
      </c>
      <c r="J246">
        <f t="shared" si="78"/>
        <v>0.16753083298131455</v>
      </c>
      <c r="K246">
        <f t="shared" si="83"/>
        <v>0.33705638382575365</v>
      </c>
      <c r="O246">
        <f t="shared" si="84"/>
        <v>0.15736571080991221</v>
      </c>
      <c r="P246">
        <f t="shared" si="85"/>
        <v>5.5145408480305975E-2</v>
      </c>
      <c r="Q246">
        <f t="shared" si="86"/>
        <v>0.98599950151348015</v>
      </c>
      <c r="R246">
        <f t="shared" si="76"/>
        <v>1</v>
      </c>
      <c r="AG246" s="8">
        <f t="shared" si="79"/>
        <v>-0.67226335815995741</v>
      </c>
      <c r="AH246" s="8">
        <f t="shared" si="80"/>
        <v>0.3217486693417454</v>
      </c>
      <c r="AI246" s="8">
        <f t="shared" si="81"/>
        <v>0.66673815778933276</v>
      </c>
      <c r="AJ246" s="8"/>
      <c r="AK246" s="8"/>
      <c r="AL246" s="8"/>
      <c r="AN246" s="8">
        <f t="shared" si="87"/>
        <v>1.0000000000000002</v>
      </c>
      <c r="AO246" s="8">
        <f t="shared" si="88"/>
        <v>2.6952069944942365</v>
      </c>
      <c r="AP246" s="8">
        <f t="shared" si="89"/>
        <v>0.84097275104712876</v>
      </c>
      <c r="AQ246" s="8"/>
      <c r="AR246" s="8">
        <f t="shared" si="90"/>
        <v>154.42398569865907</v>
      </c>
      <c r="AS246" s="8">
        <f t="shared" si="91"/>
        <v>41.815810679493438</v>
      </c>
    </row>
    <row r="247" spans="1:45">
      <c r="A247" s="19">
        <v>7.1738333330000001</v>
      </c>
      <c r="B247" s="19">
        <v>1201.3933609999999</v>
      </c>
      <c r="C247" s="19">
        <v>-455.1057591</v>
      </c>
      <c r="E247" s="9">
        <f t="shared" si="77"/>
        <v>241.39336099999991</v>
      </c>
      <c r="F247" s="9">
        <f t="shared" si="82"/>
        <v>84.8942409</v>
      </c>
      <c r="I247">
        <v>1</v>
      </c>
      <c r="J247">
        <f t="shared" si="78"/>
        <v>0.16704949861611049</v>
      </c>
      <c r="K247">
        <f t="shared" si="83"/>
        <v>0.33817446796465717</v>
      </c>
      <c r="O247">
        <f t="shared" si="84"/>
        <v>0.15685622179567771</v>
      </c>
      <c r="P247">
        <f t="shared" si="85"/>
        <v>5.5163861278629357E-2</v>
      </c>
      <c r="Q247">
        <f t="shared" si="86"/>
        <v>0.98607964895986844</v>
      </c>
      <c r="R247">
        <f t="shared" si="76"/>
        <v>1</v>
      </c>
      <c r="AG247" s="8">
        <f t="shared" si="79"/>
        <v>-0.67206283380912935</v>
      </c>
      <c r="AH247" s="8">
        <f t="shared" si="80"/>
        <v>0.32222343000938219</v>
      </c>
      <c r="AI247" s="8">
        <f t="shared" si="81"/>
        <v>0.66671103828077671</v>
      </c>
      <c r="AJ247" s="8"/>
      <c r="AK247" s="8"/>
      <c r="AL247" s="8"/>
      <c r="AN247" s="8">
        <f t="shared" si="87"/>
        <v>1</v>
      </c>
      <c r="AO247" s="8">
        <f t="shared" si="88"/>
        <v>2.6945162696405918</v>
      </c>
      <c r="AP247" s="8">
        <f t="shared" si="89"/>
        <v>0.84100913821567203</v>
      </c>
      <c r="AQ247" s="8"/>
      <c r="AR247" s="8">
        <f t="shared" si="90"/>
        <v>154.38441007974043</v>
      </c>
      <c r="AS247" s="8">
        <f t="shared" si="91"/>
        <v>41.813725848307477</v>
      </c>
    </row>
    <row r="248" spans="1:45">
      <c r="A248" s="19">
        <v>7.2072000000000003</v>
      </c>
      <c r="B248" s="19">
        <v>1200.902969</v>
      </c>
      <c r="C248" s="19">
        <v>-455.02321030000002</v>
      </c>
      <c r="E248" s="9">
        <f t="shared" si="77"/>
        <v>240.90296899999998</v>
      </c>
      <c r="F248" s="9">
        <f t="shared" si="82"/>
        <v>84.976789699999983</v>
      </c>
      <c r="I248">
        <v>1</v>
      </c>
      <c r="J248">
        <f t="shared" si="78"/>
        <v>0.16676789854154281</v>
      </c>
      <c r="K248">
        <f t="shared" si="83"/>
        <v>0.33911620797574954</v>
      </c>
      <c r="O248">
        <f t="shared" si="84"/>
        <v>0.15654233006681315</v>
      </c>
      <c r="P248">
        <f t="shared" si="85"/>
        <v>5.5219181052250002E-2</v>
      </c>
      <c r="Q248">
        <f t="shared" si="86"/>
        <v>0.98612643253346155</v>
      </c>
      <c r="R248">
        <f t="shared" si="76"/>
        <v>1</v>
      </c>
      <c r="AG248" s="8">
        <f t="shared" si="79"/>
        <v>-0.67191100931311176</v>
      </c>
      <c r="AH248" s="8">
        <f t="shared" si="80"/>
        <v>0.32250711068788629</v>
      </c>
      <c r="AI248" s="8">
        <f t="shared" si="81"/>
        <v>0.66672689995198697</v>
      </c>
      <c r="AJ248" s="8"/>
      <c r="AK248" s="8"/>
      <c r="AL248" s="8"/>
      <c r="AN248" s="8">
        <f t="shared" si="87"/>
        <v>1</v>
      </c>
      <c r="AO248" s="8">
        <f t="shared" si="88"/>
        <v>2.6940849847165476</v>
      </c>
      <c r="AP248" s="8">
        <f t="shared" si="89"/>
        <v>0.84098785621481764</v>
      </c>
      <c r="AQ248" s="8"/>
      <c r="AR248" s="8">
        <f t="shared" si="90"/>
        <v>154.35969927382507</v>
      </c>
      <c r="AS248" s="8">
        <f t="shared" si="91"/>
        <v>41.814945217136028</v>
      </c>
    </row>
    <row r="249" spans="1:45">
      <c r="A249" s="19">
        <v>7.2405666670000004</v>
      </c>
      <c r="B249" s="19">
        <v>1200.352349</v>
      </c>
      <c r="C249" s="19">
        <v>-454.67795410000002</v>
      </c>
      <c r="E249" s="9">
        <f t="shared" si="77"/>
        <v>240.352349</v>
      </c>
      <c r="F249" s="9">
        <f t="shared" si="82"/>
        <v>85.322045899999978</v>
      </c>
      <c r="I249">
        <v>1</v>
      </c>
      <c r="J249">
        <f t="shared" si="78"/>
        <v>0.16650647972229002</v>
      </c>
      <c r="K249">
        <f t="shared" si="83"/>
        <v>0.34111097429276527</v>
      </c>
      <c r="O249">
        <f t="shared" si="84"/>
        <v>0.15618892502967655</v>
      </c>
      <c r="P249">
        <f t="shared" si="85"/>
        <v>5.5445094195662382E-2</v>
      </c>
      <c r="Q249">
        <f t="shared" si="86"/>
        <v>0.98616979330524424</v>
      </c>
      <c r="R249">
        <f t="shared" si="76"/>
        <v>1</v>
      </c>
      <c r="AG249" s="8">
        <f t="shared" si="79"/>
        <v>-0.67163499740972954</v>
      </c>
      <c r="AH249" s="8">
        <f t="shared" si="80"/>
        <v>0.32279384736083611</v>
      </c>
      <c r="AI249" s="8">
        <f t="shared" si="81"/>
        <v>0.66686622523593275</v>
      </c>
      <c r="AJ249" s="8"/>
      <c r="AK249" s="8"/>
      <c r="AL249" s="8"/>
      <c r="AN249" s="8">
        <f t="shared" si="87"/>
        <v>1</v>
      </c>
      <c r="AO249" s="8">
        <f t="shared" si="88"/>
        <v>2.6935778073633818</v>
      </c>
      <c r="AP249" s="8">
        <f t="shared" si="89"/>
        <v>0.84080090258382989</v>
      </c>
      <c r="AQ249" s="8"/>
      <c r="AR249" s="8">
        <f t="shared" si="90"/>
        <v>154.33064015202405</v>
      </c>
      <c r="AS249" s="8">
        <f t="shared" si="91"/>
        <v>41.825656871156276</v>
      </c>
    </row>
    <row r="250" spans="1:45">
      <c r="A250" s="19">
        <v>7.2739333329999996</v>
      </c>
      <c r="B250" s="19">
        <v>1199.557053</v>
      </c>
      <c r="C250" s="19">
        <v>-454.31718860000001</v>
      </c>
      <c r="E250" s="9">
        <f t="shared" si="77"/>
        <v>239.557053</v>
      </c>
      <c r="F250" s="9">
        <f t="shared" si="82"/>
        <v>85.682811399999991</v>
      </c>
      <c r="I250">
        <v>1</v>
      </c>
      <c r="J250">
        <f t="shared" si="78"/>
        <v>0.16609994006907916</v>
      </c>
      <c r="K250">
        <f t="shared" si="83"/>
        <v>0.34349300299443192</v>
      </c>
      <c r="O250">
        <f t="shared" si="84"/>
        <v>0.15567890018157313</v>
      </c>
      <c r="P250">
        <f t="shared" si="85"/>
        <v>5.5681958331726324E-2</v>
      </c>
      <c r="Q250">
        <f t="shared" si="86"/>
        <v>0.98623709094446432</v>
      </c>
      <c r="R250">
        <f t="shared" si="76"/>
        <v>1</v>
      </c>
      <c r="AG250" s="8">
        <f t="shared" si="79"/>
        <v>-0.67129369712491194</v>
      </c>
      <c r="AH250" s="8">
        <f t="shared" si="80"/>
        <v>0.32322528500259767</v>
      </c>
      <c r="AI250" s="8">
        <f t="shared" si="81"/>
        <v>0.66700089005589525</v>
      </c>
      <c r="AJ250" s="8"/>
      <c r="AK250" s="8"/>
      <c r="AL250" s="8"/>
      <c r="AN250" s="8">
        <f t="shared" si="87"/>
        <v>0.99999999999999989</v>
      </c>
      <c r="AO250" s="8">
        <f t="shared" si="88"/>
        <v>2.6928574569287789</v>
      </c>
      <c r="AP250" s="8">
        <f t="shared" si="89"/>
        <v>0.8406201728650049</v>
      </c>
      <c r="AQ250" s="8"/>
      <c r="AR250" s="8">
        <f t="shared" si="90"/>
        <v>154.2893671123509</v>
      </c>
      <c r="AS250" s="8">
        <f t="shared" si="91"/>
        <v>41.836011921277532</v>
      </c>
    </row>
    <row r="251" spans="1:45">
      <c r="A251" s="19">
        <v>7.3072999999999997</v>
      </c>
      <c r="B251" s="19">
        <v>1198.9423730000001</v>
      </c>
      <c r="C251" s="19">
        <v>-454.25786840000001</v>
      </c>
      <c r="E251" s="9">
        <f t="shared" si="77"/>
        <v>238.94237300000009</v>
      </c>
      <c r="F251" s="9">
        <f t="shared" si="82"/>
        <v>85.742131599999993</v>
      </c>
      <c r="I251">
        <v>1</v>
      </c>
      <c r="J251">
        <f t="shared" si="78"/>
        <v>0.16573828723730472</v>
      </c>
      <c r="K251">
        <f t="shared" si="83"/>
        <v>0.3445284761206755</v>
      </c>
      <c r="O251">
        <f t="shared" si="84"/>
        <v>0.15528543405185694</v>
      </c>
      <c r="P251">
        <f t="shared" si="85"/>
        <v>5.5722657956684109E-2</v>
      </c>
      <c r="Q251">
        <f t="shared" si="86"/>
        <v>0.98629682112514627</v>
      </c>
      <c r="R251">
        <f t="shared" si="76"/>
        <v>1</v>
      </c>
      <c r="AG251" s="8">
        <f t="shared" si="79"/>
        <v>-0.67112142969873467</v>
      </c>
      <c r="AH251" s="8">
        <f t="shared" si="80"/>
        <v>0.32358634006950199</v>
      </c>
      <c r="AI251" s="8">
        <f t="shared" si="81"/>
        <v>0.6669991807487855</v>
      </c>
      <c r="AJ251" s="8"/>
      <c r="AK251" s="8"/>
      <c r="AL251" s="8"/>
      <c r="AN251" s="8">
        <f t="shared" si="87"/>
        <v>1</v>
      </c>
      <c r="AO251" s="8">
        <f t="shared" si="88"/>
        <v>2.6923205278851636</v>
      </c>
      <c r="AP251" s="8">
        <f t="shared" si="89"/>
        <v>0.84062246705932853</v>
      </c>
      <c r="AQ251" s="8"/>
      <c r="AR251" s="8">
        <f t="shared" si="90"/>
        <v>154.25860334425374</v>
      </c>
      <c r="AS251" s="8">
        <f t="shared" si="91"/>
        <v>41.835880473625402</v>
      </c>
    </row>
    <row r="252" spans="1:45">
      <c r="A252" s="19">
        <v>7.3406666669999998</v>
      </c>
      <c r="B252" s="19">
        <v>1198.3079640000001</v>
      </c>
      <c r="C252" s="19">
        <v>-454.19706710000003</v>
      </c>
      <c r="E252" s="9">
        <f t="shared" si="77"/>
        <v>238.30796400000008</v>
      </c>
      <c r="F252" s="9">
        <f t="shared" si="82"/>
        <v>85.802932899999973</v>
      </c>
      <c r="I252">
        <v>1</v>
      </c>
      <c r="J252">
        <f t="shared" si="78"/>
        <v>0.16536508200508954</v>
      </c>
      <c r="K252">
        <f t="shared" si="83"/>
        <v>0.34560040225172489</v>
      </c>
      <c r="O252">
        <f t="shared" si="84"/>
        <v>0.15487927674878291</v>
      </c>
      <c r="P252">
        <f t="shared" si="85"/>
        <v>5.5764381380373602E-2</v>
      </c>
      <c r="Q252">
        <f t="shared" si="86"/>
        <v>0.98635832404002055</v>
      </c>
      <c r="R252">
        <f t="shared" si="76"/>
        <v>1</v>
      </c>
      <c r="AG252" s="8">
        <f t="shared" si="79"/>
        <v>-0.67094368233741553</v>
      </c>
      <c r="AH252" s="8">
        <f t="shared" si="80"/>
        <v>0.32395901787764503</v>
      </c>
      <c r="AI252" s="8">
        <f t="shared" si="81"/>
        <v>0.66699709884471081</v>
      </c>
      <c r="AJ252" s="8"/>
      <c r="AK252" s="8"/>
      <c r="AL252" s="8"/>
      <c r="AN252" s="8">
        <f t="shared" si="87"/>
        <v>1</v>
      </c>
      <c r="AO252" s="8">
        <f t="shared" si="88"/>
        <v>2.6917663552564677</v>
      </c>
      <c r="AP252" s="8">
        <f t="shared" si="89"/>
        <v>0.84062526133872051</v>
      </c>
      <c r="AQ252" s="8"/>
      <c r="AR252" s="8">
        <f t="shared" si="90"/>
        <v>154.2268515915078</v>
      </c>
      <c r="AS252" s="8">
        <f t="shared" si="91"/>
        <v>41.835720373209462</v>
      </c>
    </row>
    <row r="253" spans="1:45">
      <c r="A253" s="19">
        <v>7.3740333329999999</v>
      </c>
      <c r="B253" s="19">
        <v>1197.929768</v>
      </c>
      <c r="C253" s="19">
        <v>-454.1436726</v>
      </c>
      <c r="E253" s="9">
        <f t="shared" si="77"/>
        <v>237.92976799999997</v>
      </c>
      <c r="F253" s="9">
        <f t="shared" si="82"/>
        <v>85.856327399999998</v>
      </c>
      <c r="I253">
        <v>1</v>
      </c>
      <c r="J253">
        <f t="shared" si="78"/>
        <v>0.16514644016522309</v>
      </c>
      <c r="K253">
        <f t="shared" si="83"/>
        <v>0.34630551492064338</v>
      </c>
      <c r="O253">
        <f t="shared" si="84"/>
        <v>0.15463705819202025</v>
      </c>
      <c r="P253">
        <f t="shared" si="85"/>
        <v>5.5800373395509494E-2</v>
      </c>
      <c r="Q253">
        <f t="shared" si="86"/>
        <v>0.98639429163121151</v>
      </c>
      <c r="R253">
        <f t="shared" si="76"/>
        <v>1</v>
      </c>
      <c r="AG253" s="8">
        <f t="shared" si="79"/>
        <v>-0.67083049550541229</v>
      </c>
      <c r="AH253" s="8">
        <f t="shared" si="80"/>
        <v>0.32417901617328193</v>
      </c>
      <c r="AI253" s="8">
        <f t="shared" si="81"/>
        <v>0.66700405678892694</v>
      </c>
      <c r="AJ253" s="8"/>
      <c r="AK253" s="8"/>
      <c r="AL253" s="8"/>
      <c r="AN253" s="8">
        <f t="shared" si="87"/>
        <v>1</v>
      </c>
      <c r="AO253" s="8">
        <f t="shared" si="88"/>
        <v>2.6914343953046971</v>
      </c>
      <c r="AP253" s="8">
        <f t="shared" si="89"/>
        <v>0.84061592253328488</v>
      </c>
      <c r="AQ253" s="8"/>
      <c r="AR253" s="8">
        <f t="shared" si="90"/>
        <v>154.20783168730398</v>
      </c>
      <c r="AS253" s="8">
        <f t="shared" si="91"/>
        <v>41.836255447346616</v>
      </c>
    </row>
    <row r="254" spans="1:45">
      <c r="A254" s="19">
        <v>7.4074</v>
      </c>
      <c r="B254" s="19">
        <v>1197.3269640000001</v>
      </c>
      <c r="C254" s="19">
        <v>-454.00644360000001</v>
      </c>
      <c r="E254" s="9">
        <f t="shared" si="77"/>
        <v>237.32696400000009</v>
      </c>
      <c r="F254" s="9">
        <f t="shared" si="82"/>
        <v>85.993556399999989</v>
      </c>
      <c r="I254">
        <v>1</v>
      </c>
      <c r="J254">
        <f t="shared" si="78"/>
        <v>0.16480958600500906</v>
      </c>
      <c r="K254">
        <f t="shared" si="83"/>
        <v>0.3476274418546289</v>
      </c>
      <c r="O254">
        <f t="shared" si="84"/>
        <v>0.15425075455145185</v>
      </c>
      <c r="P254">
        <f t="shared" si="85"/>
        <v>5.589154615091619E-2</v>
      </c>
      <c r="Q254">
        <f t="shared" si="86"/>
        <v>0.98644961340616266</v>
      </c>
      <c r="R254">
        <f t="shared" si="76"/>
        <v>1</v>
      </c>
      <c r="AG254" s="8">
        <f t="shared" si="79"/>
        <v>-0.67062821635098935</v>
      </c>
      <c r="AH254" s="8">
        <f t="shared" si="80"/>
        <v>0.32452308574072003</v>
      </c>
      <c r="AI254" s="8">
        <f t="shared" si="81"/>
        <v>0.66704015040716402</v>
      </c>
      <c r="AJ254" s="8"/>
      <c r="AK254" s="8"/>
      <c r="AL254" s="8"/>
      <c r="AN254" s="8">
        <f t="shared" si="87"/>
        <v>1</v>
      </c>
      <c r="AO254" s="8">
        <f t="shared" si="88"/>
        <v>2.6909004430416248</v>
      </c>
      <c r="AP254" s="8">
        <f t="shared" si="89"/>
        <v>0.84056747718987324</v>
      </c>
      <c r="AQ254" s="8"/>
      <c r="AR254" s="8">
        <f t="shared" si="90"/>
        <v>154.17723847616847</v>
      </c>
      <c r="AS254" s="8">
        <f t="shared" si="91"/>
        <v>41.839031161061172</v>
      </c>
    </row>
    <row r="255" spans="1:45">
      <c r="A255" s="19">
        <v>7.4407666670000001</v>
      </c>
      <c r="B255" s="19">
        <v>1196.541397</v>
      </c>
      <c r="C255" s="19">
        <v>-453.75575830000002</v>
      </c>
      <c r="E255" s="9">
        <f t="shared" si="77"/>
        <v>236.54139699999996</v>
      </c>
      <c r="F255" s="9">
        <f t="shared" si="82"/>
        <v>86.244241699999975</v>
      </c>
      <c r="I255">
        <v>1</v>
      </c>
      <c r="J255">
        <f t="shared" si="78"/>
        <v>0.16438691985949627</v>
      </c>
      <c r="K255">
        <f t="shared" si="83"/>
        <v>0.34962649322513778</v>
      </c>
      <c r="O255">
        <f t="shared" si="84"/>
        <v>0.15374698823251032</v>
      </c>
      <c r="P255">
        <f t="shared" si="85"/>
        <v>5.6056963313578775E-2</v>
      </c>
      <c r="Q255">
        <f t="shared" si="86"/>
        <v>0.98651886980102532</v>
      </c>
      <c r="R255">
        <f t="shared" si="76"/>
        <v>1</v>
      </c>
      <c r="AG255" s="8">
        <f t="shared" si="79"/>
        <v>-0.67033440310895998</v>
      </c>
      <c r="AH255" s="8">
        <f t="shared" si="80"/>
        <v>0.32496237851832432</v>
      </c>
      <c r="AI255" s="8">
        <f t="shared" si="81"/>
        <v>0.66712160852146574</v>
      </c>
      <c r="AJ255" s="8"/>
      <c r="AK255" s="8"/>
      <c r="AL255" s="8"/>
      <c r="AN255" s="8">
        <f t="shared" si="87"/>
        <v>1</v>
      </c>
      <c r="AO255" s="8">
        <f t="shared" si="88"/>
        <v>2.6901978319268829</v>
      </c>
      <c r="AP255" s="8">
        <f t="shared" si="89"/>
        <v>0.84045813528176172</v>
      </c>
      <c r="AQ255" s="8"/>
      <c r="AR255" s="8">
        <f t="shared" si="90"/>
        <v>154.13698182465478</v>
      </c>
      <c r="AS255" s="8">
        <f t="shared" si="91"/>
        <v>41.845295990919865</v>
      </c>
    </row>
    <row r="256" spans="1:45">
      <c r="A256" s="19">
        <v>7.4741333330000002</v>
      </c>
      <c r="B256" s="19">
        <v>1196.1973499999999</v>
      </c>
      <c r="C256" s="19">
        <v>-453.67827870000002</v>
      </c>
      <c r="E256" s="9">
        <f t="shared" si="77"/>
        <v>236.19734999999991</v>
      </c>
      <c r="F256" s="9">
        <f t="shared" si="82"/>
        <v>86.321721299999979</v>
      </c>
      <c r="I256">
        <v>1</v>
      </c>
      <c r="J256">
        <f t="shared" si="78"/>
        <v>0.16419481535031843</v>
      </c>
      <c r="K256">
        <f t="shared" si="83"/>
        <v>0.35038459229664104</v>
      </c>
      <c r="O256">
        <f t="shared" si="84"/>
        <v>0.15352644453523584</v>
      </c>
      <c r="P256">
        <f t="shared" si="85"/>
        <v>5.6108448961643902E-2</v>
      </c>
      <c r="Q256">
        <f t="shared" si="86"/>
        <v>0.9865502890291441</v>
      </c>
      <c r="R256">
        <f t="shared" si="76"/>
        <v>1</v>
      </c>
      <c r="AG256" s="8">
        <f t="shared" si="79"/>
        <v>-0.67021915771074747</v>
      </c>
      <c r="AH256" s="8">
        <f t="shared" si="80"/>
        <v>0.32515883018874342</v>
      </c>
      <c r="AI256" s="8">
        <f t="shared" si="81"/>
        <v>0.6671416759488078</v>
      </c>
      <c r="AJ256" s="8"/>
      <c r="AK256" s="8"/>
      <c r="AL256" s="8"/>
      <c r="AN256" s="8">
        <f t="shared" si="87"/>
        <v>0.99999999999999989</v>
      </c>
      <c r="AO256" s="8">
        <f t="shared" si="88"/>
        <v>2.6898930419581748</v>
      </c>
      <c r="AP256" s="8">
        <f t="shared" si="89"/>
        <v>0.84043119696252389</v>
      </c>
      <c r="AQ256" s="8"/>
      <c r="AR256" s="8">
        <f t="shared" si="90"/>
        <v>154.11951864580988</v>
      </c>
      <c r="AS256" s="8">
        <f t="shared" si="91"/>
        <v>41.846839442919368</v>
      </c>
    </row>
    <row r="257" spans="1:45">
      <c r="A257" s="19">
        <v>7.5075000000000003</v>
      </c>
      <c r="B257" s="19">
        <v>1195.3347249999999</v>
      </c>
      <c r="C257" s="19">
        <v>-453.57920990000002</v>
      </c>
      <c r="E257" s="9">
        <f t="shared" si="77"/>
        <v>235.33472499999993</v>
      </c>
      <c r="F257" s="9">
        <f t="shared" si="82"/>
        <v>86.420790099999977</v>
      </c>
      <c r="I257">
        <v>1</v>
      </c>
      <c r="J257">
        <f t="shared" si="78"/>
        <v>0.16369225718539385</v>
      </c>
      <c r="K257">
        <f t="shared" si="83"/>
        <v>0.35193685365209859</v>
      </c>
      <c r="O257">
        <f t="shared" si="84"/>
        <v>0.1529737354682667</v>
      </c>
      <c r="P257">
        <f t="shared" si="85"/>
        <v>5.6175777219940666E-2</v>
      </c>
      <c r="Q257">
        <f t="shared" si="86"/>
        <v>0.98663231160884868</v>
      </c>
      <c r="R257">
        <f t="shared" si="76"/>
        <v>1</v>
      </c>
      <c r="AG257" s="8">
        <f t="shared" si="79"/>
        <v>-0.66996981369004871</v>
      </c>
      <c r="AH257" s="8">
        <f t="shared" si="80"/>
        <v>0.32566336635539817</v>
      </c>
      <c r="AI257" s="8">
        <f t="shared" si="81"/>
        <v>0.66714602641265208</v>
      </c>
      <c r="AJ257" s="8"/>
      <c r="AK257" s="8"/>
      <c r="AL257" s="8"/>
      <c r="AN257" s="8">
        <f t="shared" si="87"/>
        <v>0.99999999999999989</v>
      </c>
      <c r="AO257" s="8">
        <f t="shared" si="88"/>
        <v>2.6891375691904362</v>
      </c>
      <c r="AP257" s="8">
        <f t="shared" si="89"/>
        <v>0.8404253568564648</v>
      </c>
      <c r="AQ257" s="8"/>
      <c r="AR257" s="8">
        <f t="shared" si="90"/>
        <v>154.07623324468139</v>
      </c>
      <c r="AS257" s="8">
        <f t="shared" si="91"/>
        <v>41.847174056348464</v>
      </c>
    </row>
    <row r="258" spans="1:45">
      <c r="A258" s="19">
        <v>7.5408666670000004</v>
      </c>
      <c r="B258" s="19">
        <v>1194.496146</v>
      </c>
      <c r="C258" s="19">
        <v>-453.26011690000001</v>
      </c>
      <c r="E258" s="9">
        <f t="shared" si="77"/>
        <v>234.49614599999995</v>
      </c>
      <c r="F258" s="9">
        <f t="shared" si="82"/>
        <v>86.739883099999986</v>
      </c>
      <c r="I258">
        <v>1</v>
      </c>
      <c r="J258">
        <f t="shared" si="78"/>
        <v>0.16325403466658581</v>
      </c>
      <c r="K258">
        <f t="shared" si="83"/>
        <v>0.35429105259213439</v>
      </c>
      <c r="O258">
        <f t="shared" si="84"/>
        <v>0.15243553656810624</v>
      </c>
      <c r="P258">
        <f t="shared" si="85"/>
        <v>5.6385748114612125E-2</v>
      </c>
      <c r="Q258">
        <f t="shared" si="86"/>
        <v>0.9867036305805047</v>
      </c>
      <c r="R258">
        <f t="shared" si="76"/>
        <v>1</v>
      </c>
      <c r="AG258" s="8">
        <f t="shared" si="79"/>
        <v>-0.66963406943821735</v>
      </c>
      <c r="AH258" s="8">
        <f t="shared" si="80"/>
        <v>0.32612568089538019</v>
      </c>
      <c r="AI258" s="8">
        <f t="shared" si="81"/>
        <v>0.66725726171255528</v>
      </c>
      <c r="AJ258" s="8"/>
      <c r="AK258" s="8"/>
      <c r="AL258" s="8"/>
      <c r="AN258" s="8">
        <f t="shared" si="87"/>
        <v>1.0000000000000002</v>
      </c>
      <c r="AO258" s="8">
        <f t="shared" si="88"/>
        <v>2.6883822614433743</v>
      </c>
      <c r="AP258" s="8">
        <f t="shared" si="89"/>
        <v>0.84027602310324268</v>
      </c>
      <c r="AQ258" s="8"/>
      <c r="AR258" s="8">
        <f t="shared" si="90"/>
        <v>154.03295729854122</v>
      </c>
      <c r="AS258" s="8">
        <f t="shared" si="91"/>
        <v>41.855730250146941</v>
      </c>
    </row>
    <row r="259" spans="1:45">
      <c r="A259" s="19">
        <v>7.5742333329999996</v>
      </c>
      <c r="B259" s="19">
        <v>1194.1785150000001</v>
      </c>
      <c r="C259" s="19">
        <v>-453.23326759999998</v>
      </c>
      <c r="E259" s="9">
        <f t="shared" si="77"/>
        <v>234.17851500000006</v>
      </c>
      <c r="F259" s="9">
        <f t="shared" si="82"/>
        <v>86.766732400000024</v>
      </c>
      <c r="I259">
        <v>1</v>
      </c>
      <c r="J259">
        <f t="shared" si="78"/>
        <v>0.16306709814859022</v>
      </c>
      <c r="K259">
        <f t="shared" si="83"/>
        <v>0.35483312943574374</v>
      </c>
      <c r="O259">
        <f t="shared" si="84"/>
        <v>0.15223198562953844</v>
      </c>
      <c r="P259">
        <f t="shared" si="85"/>
        <v>5.6404286105575512E-2</v>
      </c>
      <c r="Q259">
        <f t="shared" si="86"/>
        <v>0.98673399610037171</v>
      </c>
      <c r="R259">
        <f t="shared" si="76"/>
        <v>1</v>
      </c>
      <c r="AG259" s="8">
        <f t="shared" si="79"/>
        <v>-0.66954613306478905</v>
      </c>
      <c r="AH259" s="8">
        <f t="shared" si="80"/>
        <v>0.32631264586268138</v>
      </c>
      <c r="AI259" s="8">
        <f t="shared" si="81"/>
        <v>0.6672540991616942</v>
      </c>
      <c r="AJ259" s="8"/>
      <c r="AK259" s="8"/>
      <c r="AL259" s="8"/>
      <c r="AN259" s="8">
        <f t="shared" si="87"/>
        <v>1</v>
      </c>
      <c r="AO259" s="8">
        <f t="shared" si="88"/>
        <v>2.6881048916086399</v>
      </c>
      <c r="AP259" s="8">
        <f t="shared" si="89"/>
        <v>0.84028026911400588</v>
      </c>
      <c r="AQ259" s="8"/>
      <c r="AR259" s="8">
        <f t="shared" si="90"/>
        <v>154.01706517764669</v>
      </c>
      <c r="AS259" s="8">
        <f t="shared" si="91"/>
        <v>41.855486971650443</v>
      </c>
    </row>
    <row r="260" spans="1:45">
      <c r="A260" s="19">
        <v>7.6075999999999997</v>
      </c>
      <c r="B260" s="19">
        <v>1193.47036</v>
      </c>
      <c r="C260" s="19">
        <v>-453.19371869999998</v>
      </c>
      <c r="E260" s="9">
        <f t="shared" si="77"/>
        <v>233.47036000000003</v>
      </c>
      <c r="F260" s="9">
        <f t="shared" si="82"/>
        <v>86.806281300000023</v>
      </c>
      <c r="I260">
        <v>1</v>
      </c>
      <c r="J260">
        <f t="shared" si="78"/>
        <v>0.16264587650136131</v>
      </c>
      <c r="K260">
        <f t="shared" si="83"/>
        <v>0.35596977505309474</v>
      </c>
      <c r="O260">
        <f t="shared" si="84"/>
        <v>0.15177818492126857</v>
      </c>
      <c r="P260">
        <f t="shared" si="85"/>
        <v>5.6432430289990815E-2</v>
      </c>
      <c r="Q260">
        <f t="shared" si="86"/>
        <v>0.98680229194787061</v>
      </c>
      <c r="R260">
        <f t="shared" si="76"/>
        <v>1</v>
      </c>
      <c r="AG260" s="8">
        <f t="shared" si="79"/>
        <v>-0.66935845522216098</v>
      </c>
      <c r="AH260" s="8">
        <f t="shared" si="80"/>
        <v>0.32673202862667783</v>
      </c>
      <c r="AI260" s="8">
        <f t="shared" si="81"/>
        <v>0.66723716914759623</v>
      </c>
      <c r="AJ260" s="8"/>
      <c r="AK260" s="8"/>
      <c r="AL260" s="8"/>
      <c r="AN260" s="8">
        <f t="shared" si="87"/>
        <v>0.99999999999999989</v>
      </c>
      <c r="AO260" s="8">
        <f t="shared" si="88"/>
        <v>2.6874883665519773</v>
      </c>
      <c r="AP260" s="8">
        <f t="shared" si="89"/>
        <v>0.84030299891556803</v>
      </c>
      <c r="AQ260" s="8"/>
      <c r="AR260" s="8">
        <f t="shared" si="90"/>
        <v>153.98174089393586</v>
      </c>
      <c r="AS260" s="8">
        <f t="shared" si="91"/>
        <v>41.854184649951762</v>
      </c>
    </row>
    <row r="261" spans="1:45">
      <c r="A261" s="19">
        <v>7.6409666669999998</v>
      </c>
      <c r="B261" s="19">
        <v>1192.8022940000001</v>
      </c>
      <c r="C261" s="19">
        <v>-453.03429610000001</v>
      </c>
      <c r="E261" s="9">
        <f t="shared" si="77"/>
        <v>232.80229400000007</v>
      </c>
      <c r="F261" s="9">
        <f t="shared" si="82"/>
        <v>86.965703899999994</v>
      </c>
      <c r="I261">
        <v>1</v>
      </c>
      <c r="J261">
        <f t="shared" si="78"/>
        <v>0.16227632252156954</v>
      </c>
      <c r="K261">
        <f t="shared" si="83"/>
        <v>0.35750790483572031</v>
      </c>
      <c r="O261">
        <f t="shared" si="84"/>
        <v>0.15134957579322622</v>
      </c>
      <c r="P261">
        <f t="shared" si="85"/>
        <v>5.6538198862526298E-2</v>
      </c>
      <c r="Q261">
        <f t="shared" si="86"/>
        <v>0.98686206633784035</v>
      </c>
      <c r="R261">
        <f t="shared" si="76"/>
        <v>1</v>
      </c>
      <c r="AG261" s="8">
        <f t="shared" si="79"/>
        <v>-0.66913020247147359</v>
      </c>
      <c r="AH261" s="8">
        <f t="shared" si="80"/>
        <v>0.32711222174379373</v>
      </c>
      <c r="AI261" s="8">
        <f t="shared" si="81"/>
        <v>0.66727982625456617</v>
      </c>
      <c r="AJ261" s="8"/>
      <c r="AK261" s="8"/>
      <c r="AL261" s="8"/>
      <c r="AN261" s="8">
        <f t="shared" si="87"/>
        <v>1</v>
      </c>
      <c r="AO261" s="8">
        <f t="shared" si="88"/>
        <v>2.6868952102948391</v>
      </c>
      <c r="AP261" s="8">
        <f t="shared" si="89"/>
        <v>0.84024572769461314</v>
      </c>
      <c r="AQ261" s="8"/>
      <c r="AR261" s="8">
        <f t="shared" si="90"/>
        <v>153.94775554381008</v>
      </c>
      <c r="AS261" s="8">
        <f t="shared" si="91"/>
        <v>41.857466049200035</v>
      </c>
    </row>
    <row r="262" spans="1:45">
      <c r="A262" s="19">
        <v>7.6743333329999999</v>
      </c>
      <c r="B262" s="19">
        <v>1192.087401</v>
      </c>
      <c r="C262" s="19">
        <v>-452.92147510000001</v>
      </c>
      <c r="E262" s="9">
        <f t="shared" si="77"/>
        <v>232.087401</v>
      </c>
      <c r="F262" s="9">
        <f t="shared" si="82"/>
        <v>87.078524899999991</v>
      </c>
      <c r="I262">
        <v>1</v>
      </c>
      <c r="J262">
        <f t="shared" si="78"/>
        <v>0.16186809229774402</v>
      </c>
      <c r="K262">
        <f t="shared" si="83"/>
        <v>0.35894347832837753</v>
      </c>
      <c r="O262">
        <f t="shared" si="84"/>
        <v>0.15089105092784599</v>
      </c>
      <c r="P262">
        <f t="shared" si="85"/>
        <v>5.6613888038703153E-2</v>
      </c>
      <c r="Q262">
        <f t="shared" si="86"/>
        <v>0.98692793983706395</v>
      </c>
      <c r="R262">
        <f t="shared" si="76"/>
        <v>1</v>
      </c>
      <c r="AG262" s="8">
        <f t="shared" si="79"/>
        <v>-0.66890994333670906</v>
      </c>
      <c r="AH262" s="8">
        <f t="shared" si="80"/>
        <v>0.32752633016736671</v>
      </c>
      <c r="AI262" s="8">
        <f t="shared" si="81"/>
        <v>0.66729752790818708</v>
      </c>
      <c r="AJ262" s="8"/>
      <c r="AK262" s="8"/>
      <c r="AL262" s="8"/>
      <c r="AN262" s="8">
        <f t="shared" si="87"/>
        <v>1</v>
      </c>
      <c r="AO262" s="8">
        <f t="shared" si="88"/>
        <v>2.6862658148026357</v>
      </c>
      <c r="AP262" s="8">
        <f t="shared" si="89"/>
        <v>0.84022196067921995</v>
      </c>
      <c r="AQ262" s="8"/>
      <c r="AR262" s="8">
        <f t="shared" si="90"/>
        <v>153.91169383846224</v>
      </c>
      <c r="AS262" s="8">
        <f t="shared" si="91"/>
        <v>41.858827798873691</v>
      </c>
    </row>
    <row r="263" spans="1:45">
      <c r="A263" s="19">
        <v>7.7077</v>
      </c>
      <c r="B263" s="19">
        <v>1191.3751769999999</v>
      </c>
      <c r="C263" s="19">
        <v>-452.99777189999998</v>
      </c>
      <c r="E263" s="9">
        <f t="shared" si="77"/>
        <v>231.37517699999989</v>
      </c>
      <c r="F263" s="9">
        <f t="shared" si="82"/>
        <v>87.002228100000025</v>
      </c>
      <c r="I263">
        <v>1</v>
      </c>
      <c r="J263">
        <f t="shared" si="78"/>
        <v>0.1614185868892157</v>
      </c>
      <c r="K263">
        <f t="shared" si="83"/>
        <v>0.35966663903763285</v>
      </c>
      <c r="O263">
        <f t="shared" si="84"/>
        <v>0.150434811846403</v>
      </c>
      <c r="P263">
        <f t="shared" si="85"/>
        <v>5.6566845173894112E-2</v>
      </c>
      <c r="Q263">
        <f t="shared" si="86"/>
        <v>0.98700028338993395</v>
      </c>
      <c r="R263">
        <f t="shared" si="76"/>
        <v>1</v>
      </c>
      <c r="AG263" s="8">
        <f t="shared" si="79"/>
        <v>-0.66876924738407495</v>
      </c>
      <c r="AH263" s="8">
        <f t="shared" si="80"/>
        <v>0.32796271359358531</v>
      </c>
      <c r="AI263" s="8">
        <f t="shared" si="81"/>
        <v>0.66722421437300206</v>
      </c>
      <c r="AJ263" s="8"/>
      <c r="AK263" s="8"/>
      <c r="AL263" s="8"/>
      <c r="AN263" s="8">
        <f t="shared" si="87"/>
        <v>1</v>
      </c>
      <c r="AO263" s="8">
        <f t="shared" si="88"/>
        <v>2.6856565764292712</v>
      </c>
      <c r="AP263" s="8">
        <f t="shared" si="89"/>
        <v>0.84032039135023739</v>
      </c>
      <c r="AQ263" s="8"/>
      <c r="AR263" s="8">
        <f t="shared" si="90"/>
        <v>153.87678705095104</v>
      </c>
      <c r="AS263" s="8">
        <f t="shared" si="91"/>
        <v>41.853188136849745</v>
      </c>
    </row>
    <row r="264" spans="1:45">
      <c r="A264" s="19">
        <v>7.7410666670000001</v>
      </c>
      <c r="B264" s="19">
        <v>1190.7453410000001</v>
      </c>
      <c r="C264" s="19">
        <v>-452.97509960000002</v>
      </c>
      <c r="E264" s="9">
        <f t="shared" si="77"/>
        <v>230.74534100000005</v>
      </c>
      <c r="F264" s="9">
        <f t="shared" si="82"/>
        <v>87.024900399999979</v>
      </c>
      <c r="I264">
        <v>1</v>
      </c>
      <c r="J264">
        <f t="shared" si="78"/>
        <v>0.16104171504602866</v>
      </c>
      <c r="K264">
        <f t="shared" si="83"/>
        <v>0.36065159344323833</v>
      </c>
      <c r="O264">
        <f t="shared" si="84"/>
        <v>0.15003096991639403</v>
      </c>
      <c r="P264">
        <f t="shared" si="85"/>
        <v>5.6583721939112E-2</v>
      </c>
      <c r="Q264">
        <f t="shared" si="86"/>
        <v>0.98706078357792304</v>
      </c>
      <c r="R264">
        <f t="shared" si="76"/>
        <v>1</v>
      </c>
      <c r="AG264" s="8">
        <f t="shared" si="79"/>
        <v>-0.66860700169166631</v>
      </c>
      <c r="AH264" s="8">
        <f t="shared" si="80"/>
        <v>0.32833720537081601</v>
      </c>
      <c r="AI264" s="8">
        <f t="shared" si="81"/>
        <v>0.66720263552998849</v>
      </c>
      <c r="AJ264" s="8"/>
      <c r="AK264" s="8"/>
      <c r="AL264" s="8"/>
      <c r="AN264" s="8">
        <f t="shared" si="87"/>
        <v>1</v>
      </c>
      <c r="AO264" s="8">
        <f t="shared" si="88"/>
        <v>2.6851092715039639</v>
      </c>
      <c r="AP264" s="8">
        <f t="shared" si="89"/>
        <v>0.8403493614277483</v>
      </c>
      <c r="AQ264" s="8"/>
      <c r="AR264" s="8">
        <f t="shared" si="90"/>
        <v>153.84542878862422</v>
      </c>
      <c r="AS264" s="8">
        <f t="shared" si="91"/>
        <v>41.851528273676209</v>
      </c>
    </row>
    <row r="265" spans="1:45">
      <c r="A265" s="19">
        <v>7.7744333330000002</v>
      </c>
      <c r="B265" s="19">
        <v>1190.076063</v>
      </c>
      <c r="C265" s="19">
        <v>-452.78631489999998</v>
      </c>
      <c r="E265" s="9">
        <f t="shared" si="77"/>
        <v>230.07606299999998</v>
      </c>
      <c r="F265" s="9">
        <f t="shared" si="82"/>
        <v>87.213685100000021</v>
      </c>
      <c r="I265">
        <v>1</v>
      </c>
      <c r="J265">
        <f t="shared" si="78"/>
        <v>0.16067918456893168</v>
      </c>
      <c r="K265">
        <f t="shared" si="83"/>
        <v>0.36232936299814034</v>
      </c>
      <c r="O265">
        <f t="shared" si="84"/>
        <v>0.14960120808919353</v>
      </c>
      <c r="P265">
        <f t="shared" si="85"/>
        <v>5.6708518403631163E-2</v>
      </c>
      <c r="Q265">
        <f t="shared" si="86"/>
        <v>0.9871188492166072</v>
      </c>
      <c r="R265">
        <f t="shared" si="76"/>
        <v>1</v>
      </c>
      <c r="AG265" s="8">
        <f t="shared" si="79"/>
        <v>-0.66836558484832331</v>
      </c>
      <c r="AH265" s="8">
        <f t="shared" si="80"/>
        <v>0.3287143001159718</v>
      </c>
      <c r="AI265" s="8">
        <f t="shared" si="81"/>
        <v>0.66725883575238287</v>
      </c>
      <c r="AJ265" s="8"/>
      <c r="AK265" s="8"/>
      <c r="AL265" s="8"/>
      <c r="AN265" s="8">
        <f t="shared" si="87"/>
        <v>0.99999999999999978</v>
      </c>
      <c r="AO265" s="8">
        <f t="shared" si="88"/>
        <v>2.6845119527211523</v>
      </c>
      <c r="AP265" s="8">
        <f t="shared" si="89"/>
        <v>0.8402739098062928</v>
      </c>
      <c r="AQ265" s="8"/>
      <c r="AR265" s="8">
        <f t="shared" si="90"/>
        <v>153.81120494334522</v>
      </c>
      <c r="AS265" s="8">
        <f t="shared" si="91"/>
        <v>41.855851333143029</v>
      </c>
    </row>
    <row r="266" spans="1:45">
      <c r="A266" s="19">
        <v>7.8078000000000003</v>
      </c>
      <c r="B266" s="19">
        <v>1189.3929989999999</v>
      </c>
      <c r="C266" s="19">
        <v>-452.50569910000002</v>
      </c>
      <c r="E266" s="9">
        <f t="shared" si="77"/>
        <v>229.39299899999992</v>
      </c>
      <c r="F266" s="9">
        <f t="shared" si="82"/>
        <v>87.494300899999985</v>
      </c>
      <c r="I266">
        <v>1</v>
      </c>
      <c r="J266">
        <f t="shared" si="78"/>
        <v>0.16032992625236922</v>
      </c>
      <c r="K266">
        <f t="shared" si="83"/>
        <v>0.36438429323545202</v>
      </c>
      <c r="O266">
        <f t="shared" si="84"/>
        <v>0.14916222742881668</v>
      </c>
      <c r="P266">
        <f t="shared" si="85"/>
        <v>5.6892951687558355E-2</v>
      </c>
      <c r="Q266">
        <f t="shared" si="86"/>
        <v>0.98717466638723617</v>
      </c>
      <c r="R266">
        <f t="shared" si="76"/>
        <v>1</v>
      </c>
      <c r="AG266" s="8">
        <f t="shared" si="79"/>
        <v>-0.66808225070739091</v>
      </c>
      <c r="AH266" s="8">
        <f t="shared" si="80"/>
        <v>0.32908799727016702</v>
      </c>
      <c r="AI266" s="8">
        <f t="shared" si="81"/>
        <v>0.66735837174823642</v>
      </c>
      <c r="AJ266" s="8"/>
      <c r="AK266" s="8"/>
      <c r="AL266" s="8"/>
      <c r="AN266" s="8">
        <f t="shared" si="87"/>
        <v>0.99999999999999978</v>
      </c>
      <c r="AO266" s="8">
        <f t="shared" si="88"/>
        <v>2.6838937756807479</v>
      </c>
      <c r="AP266" s="8">
        <f t="shared" si="89"/>
        <v>0.84014026521520258</v>
      </c>
      <c r="AQ266" s="8"/>
      <c r="AR266" s="8">
        <f t="shared" si="90"/>
        <v>153.77578600793817</v>
      </c>
      <c r="AS266" s="8">
        <f t="shared" si="91"/>
        <v>41.863508604167244</v>
      </c>
    </row>
    <row r="267" spans="1:45">
      <c r="A267" s="19">
        <v>7.8411666670000004</v>
      </c>
      <c r="B267" s="19">
        <v>1188.953481</v>
      </c>
      <c r="C267" s="19">
        <v>-452.38271479999997</v>
      </c>
      <c r="E267" s="9">
        <f t="shared" si="77"/>
        <v>228.95348100000001</v>
      </c>
      <c r="F267" s="9">
        <f t="shared" si="82"/>
        <v>87.617285200000026</v>
      </c>
      <c r="I267">
        <v>1</v>
      </c>
      <c r="J267">
        <f t="shared" si="78"/>
        <v>0.16009218912336579</v>
      </c>
      <c r="K267">
        <f t="shared" si="83"/>
        <v>0.36549197035396463</v>
      </c>
      <c r="O267">
        <f t="shared" si="84"/>
        <v>0.14887992623848137</v>
      </c>
      <c r="P267">
        <f t="shared" si="85"/>
        <v>5.6974259141279404E-2</v>
      </c>
      <c r="Q267">
        <f t="shared" si="86"/>
        <v>0.98721259177470311</v>
      </c>
      <c r="R267">
        <f t="shared" si="76"/>
        <v>1</v>
      </c>
      <c r="AG267" s="8">
        <f t="shared" si="79"/>
        <v>-0.66792393550479046</v>
      </c>
      <c r="AH267" s="8">
        <f t="shared" si="80"/>
        <v>0.32933571534965633</v>
      </c>
      <c r="AI267" s="8">
        <f t="shared" si="81"/>
        <v>0.66739463810771105</v>
      </c>
      <c r="AJ267" s="8"/>
      <c r="AK267" s="8"/>
      <c r="AL267" s="8"/>
      <c r="AN267" s="8">
        <f t="shared" si="87"/>
        <v>1</v>
      </c>
      <c r="AO267" s="8">
        <f t="shared" si="88"/>
        <v>2.6835014346844073</v>
      </c>
      <c r="AP267" s="8">
        <f t="shared" si="89"/>
        <v>0.84009156726715262</v>
      </c>
      <c r="AQ267" s="8"/>
      <c r="AR267" s="8">
        <f t="shared" si="90"/>
        <v>153.75330652471789</v>
      </c>
      <c r="AS267" s="8">
        <f t="shared" si="91"/>
        <v>41.86629879106146</v>
      </c>
    </row>
    <row r="268" spans="1:45">
      <c r="A268" s="19">
        <v>7.8745333329999996</v>
      </c>
      <c r="B268" s="19">
        <v>1188.4312339999999</v>
      </c>
      <c r="C268" s="19">
        <v>-452.28494920000003</v>
      </c>
      <c r="E268" s="9">
        <f t="shared" si="77"/>
        <v>228.4312339999999</v>
      </c>
      <c r="F268" s="9">
        <f t="shared" si="82"/>
        <v>87.715050799999972</v>
      </c>
      <c r="I268">
        <v>1</v>
      </c>
      <c r="J268">
        <f t="shared" si="78"/>
        <v>0.15979869367192109</v>
      </c>
      <c r="K268">
        <f t="shared" si="83"/>
        <v>0.36662793873412497</v>
      </c>
      <c r="O268">
        <f t="shared" si="84"/>
        <v>0.14854461629090332</v>
      </c>
      <c r="P268">
        <f t="shared" si="85"/>
        <v>5.7039478953316403E-2</v>
      </c>
      <c r="Q268">
        <f t="shared" si="86"/>
        <v>0.98725933513526343</v>
      </c>
      <c r="R268">
        <f t="shared" si="76"/>
        <v>1</v>
      </c>
      <c r="AG268" s="8">
        <f t="shared" si="79"/>
        <v>-0.66775597141464194</v>
      </c>
      <c r="AH268" s="8">
        <f t="shared" si="80"/>
        <v>0.32963616406621399</v>
      </c>
      <c r="AI268" s="8">
        <f t="shared" si="81"/>
        <v>0.66741438550558663</v>
      </c>
      <c r="AJ268" s="8"/>
      <c r="AK268" s="8"/>
      <c r="AL268" s="8"/>
      <c r="AN268" s="8">
        <f t="shared" si="87"/>
        <v>0.99999999999999989</v>
      </c>
      <c r="AO268" s="8">
        <f t="shared" si="88"/>
        <v>2.6830398285569386</v>
      </c>
      <c r="AP268" s="8">
        <f t="shared" si="89"/>
        <v>0.84006504985042851</v>
      </c>
      <c r="AQ268" s="8"/>
      <c r="AR268" s="8">
        <f t="shared" si="90"/>
        <v>153.72685844181655</v>
      </c>
      <c r="AS268" s="8">
        <f t="shared" si="91"/>
        <v>41.867818127123336</v>
      </c>
    </row>
    <row r="269" spans="1:45">
      <c r="A269" s="19">
        <v>7.9078999999999997</v>
      </c>
      <c r="B269" s="19">
        <v>1187.8820370000001</v>
      </c>
      <c r="C269" s="19">
        <v>-452.127948</v>
      </c>
      <c r="E269" s="9">
        <f t="shared" si="77"/>
        <v>227.88203700000008</v>
      </c>
      <c r="F269" s="9">
        <f t="shared" si="82"/>
        <v>87.872051999999996</v>
      </c>
      <c r="I269">
        <v>1</v>
      </c>
      <c r="J269">
        <f t="shared" si="78"/>
        <v>0.15950288994219688</v>
      </c>
      <c r="K269">
        <f t="shared" si="83"/>
        <v>0.36803410404973846</v>
      </c>
      <c r="O269">
        <f t="shared" si="84"/>
        <v>0.14819177673913855</v>
      </c>
      <c r="P269">
        <f t="shared" si="85"/>
        <v>5.714322937877709E-2</v>
      </c>
      <c r="Q269">
        <f t="shared" si="86"/>
        <v>0.98730636007424855</v>
      </c>
      <c r="R269">
        <f t="shared" si="76"/>
        <v>1</v>
      </c>
      <c r="AG269" s="8">
        <f t="shared" si="79"/>
        <v>-0.66755656863701685</v>
      </c>
      <c r="AH269" s="8">
        <f t="shared" si="80"/>
        <v>0.32994523363850242</v>
      </c>
      <c r="AI269" s="8">
        <f t="shared" si="81"/>
        <v>0.6674611377966555</v>
      </c>
      <c r="AJ269" s="8"/>
      <c r="AK269" s="8"/>
      <c r="AL269" s="8"/>
      <c r="AN269" s="8">
        <f t="shared" si="87"/>
        <v>1</v>
      </c>
      <c r="AO269" s="8">
        <f t="shared" si="88"/>
        <v>2.6825491157293961</v>
      </c>
      <c r="AP269" s="8">
        <f t="shared" si="89"/>
        <v>0.84000226691537505</v>
      </c>
      <c r="AQ269" s="8"/>
      <c r="AR269" s="8">
        <f t="shared" si="90"/>
        <v>153.69874266784544</v>
      </c>
      <c r="AS269" s="8">
        <f t="shared" si="91"/>
        <v>41.871415324327344</v>
      </c>
    </row>
    <row r="270" spans="1:45">
      <c r="A270" s="19">
        <v>7.9412666669999998</v>
      </c>
      <c r="B270" s="19">
        <v>1187.285496</v>
      </c>
      <c r="C270" s="19">
        <v>-451.9459804</v>
      </c>
      <c r="E270" s="9">
        <f t="shared" si="77"/>
        <v>227.28549599999997</v>
      </c>
      <c r="F270" s="9">
        <f t="shared" si="82"/>
        <v>88.054019600000004</v>
      </c>
      <c r="I270">
        <v>1</v>
      </c>
      <c r="J270">
        <f t="shared" si="78"/>
        <v>0.15918459492461687</v>
      </c>
      <c r="K270">
        <f t="shared" si="83"/>
        <v>0.36961118386032082</v>
      </c>
      <c r="O270">
        <f t="shared" si="84"/>
        <v>0.1478084331475254</v>
      </c>
      <c r="P270">
        <f t="shared" si="85"/>
        <v>5.7263340153555137E-2</v>
      </c>
      <c r="Q270">
        <f t="shared" si="86"/>
        <v>0.98735686403900169</v>
      </c>
      <c r="R270">
        <f t="shared" si="76"/>
        <v>1</v>
      </c>
      <c r="AG270" s="8">
        <f t="shared" si="79"/>
        <v>-0.6673350746760115</v>
      </c>
      <c r="AH270" s="8">
        <f t="shared" si="80"/>
        <v>0.33027946971406286</v>
      </c>
      <c r="AI270" s="8">
        <f t="shared" si="81"/>
        <v>0.66751731812182924</v>
      </c>
      <c r="AJ270" s="8"/>
      <c r="AK270" s="8"/>
      <c r="AL270" s="8"/>
      <c r="AN270" s="8">
        <f t="shared" si="87"/>
        <v>0.99999999999999978</v>
      </c>
      <c r="AO270" s="8">
        <f t="shared" si="88"/>
        <v>2.682014896167463</v>
      </c>
      <c r="AP270" s="8">
        <f t="shared" si="89"/>
        <v>0.83992681854378892</v>
      </c>
      <c r="AQ270" s="8"/>
      <c r="AR270" s="8">
        <f t="shared" si="90"/>
        <v>153.66813414161334</v>
      </c>
      <c r="AS270" s="8">
        <f t="shared" si="91"/>
        <v>41.875738197590366</v>
      </c>
    </row>
    <row r="271" spans="1:45">
      <c r="A271" s="19">
        <v>7.9746333329999999</v>
      </c>
      <c r="B271" s="19">
        <v>1186.861259</v>
      </c>
      <c r="C271" s="19">
        <v>-451.94366769999999</v>
      </c>
      <c r="E271" s="9">
        <f t="shared" si="77"/>
        <v>226.86125900000002</v>
      </c>
      <c r="F271" s="9">
        <f t="shared" si="82"/>
        <v>88.056332300000008</v>
      </c>
      <c r="I271">
        <v>1</v>
      </c>
      <c r="J271">
        <f t="shared" si="78"/>
        <v>0.15892861437475689</v>
      </c>
      <c r="K271">
        <f t="shared" si="83"/>
        <v>0.37024982130941314</v>
      </c>
      <c r="O271">
        <f t="shared" si="84"/>
        <v>0.147536210210058</v>
      </c>
      <c r="P271">
        <f t="shared" si="85"/>
        <v>5.7266267540812342E-2</v>
      </c>
      <c r="Q271">
        <f t="shared" si="86"/>
        <v>0.98739740797654396</v>
      </c>
      <c r="R271">
        <f t="shared" si="76"/>
        <v>1</v>
      </c>
      <c r="AG271" s="8">
        <f t="shared" si="79"/>
        <v>-0.66723067276991488</v>
      </c>
      <c r="AH271" s="8">
        <f t="shared" si="80"/>
        <v>0.33053325363656871</v>
      </c>
      <c r="AI271" s="8">
        <f t="shared" si="81"/>
        <v>0.6674960655729969</v>
      </c>
      <c r="AJ271" s="8"/>
      <c r="AK271" s="8"/>
      <c r="AL271" s="8"/>
      <c r="AN271" s="8">
        <f t="shared" si="87"/>
        <v>1</v>
      </c>
      <c r="AO271" s="8">
        <f t="shared" si="88"/>
        <v>2.6816472411830481</v>
      </c>
      <c r="AP271" s="8">
        <f t="shared" si="89"/>
        <v>0.83995536063407295</v>
      </c>
      <c r="AQ271" s="8"/>
      <c r="AR271" s="8">
        <f t="shared" si="90"/>
        <v>153.64706906268941</v>
      </c>
      <c r="AS271" s="8">
        <f t="shared" si="91"/>
        <v>41.874102856278611</v>
      </c>
    </row>
    <row r="272" spans="1:45">
      <c r="A272" s="19">
        <v>8.0079999999999991</v>
      </c>
      <c r="B272" s="19">
        <v>1186.3164650000001</v>
      </c>
      <c r="C272" s="19">
        <v>-451.89907110000001</v>
      </c>
      <c r="E272" s="9">
        <f t="shared" si="77"/>
        <v>226.31646500000011</v>
      </c>
      <c r="F272" s="9">
        <f t="shared" si="82"/>
        <v>88.100928899999985</v>
      </c>
      <c r="I272">
        <v>1</v>
      </c>
      <c r="J272">
        <f t="shared" si="78"/>
        <v>0.15860975347593964</v>
      </c>
      <c r="K272">
        <f t="shared" si="83"/>
        <v>0.3712327232653882</v>
      </c>
      <c r="O272">
        <f t="shared" si="84"/>
        <v>0.14718644870179851</v>
      </c>
      <c r="P272">
        <f t="shared" si="85"/>
        <v>5.7297036926237957E-2</v>
      </c>
      <c r="Q272">
        <f t="shared" si="86"/>
        <v>0.98744782083815763</v>
      </c>
      <c r="R272">
        <f t="shared" si="76"/>
        <v>1</v>
      </c>
      <c r="AG272" s="8">
        <f t="shared" si="79"/>
        <v>-0.66707909897971174</v>
      </c>
      <c r="AH272" s="8">
        <f t="shared" si="80"/>
        <v>0.33085386678101447</v>
      </c>
      <c r="AI272" s="8">
        <f t="shared" si="81"/>
        <v>0.66748872240695334</v>
      </c>
      <c r="AJ272" s="8"/>
      <c r="AK272" s="8"/>
      <c r="AL272" s="8"/>
      <c r="AN272" s="8">
        <f t="shared" si="87"/>
        <v>1</v>
      </c>
      <c r="AO272" s="8">
        <f t="shared" si="88"/>
        <v>2.6811710553176122</v>
      </c>
      <c r="AP272" s="8">
        <f t="shared" si="89"/>
        <v>0.83996522230770687</v>
      </c>
      <c r="AQ272" s="8"/>
      <c r="AR272" s="8">
        <f t="shared" si="90"/>
        <v>153.61978562233617</v>
      </c>
      <c r="AS272" s="8">
        <f t="shared" si="91"/>
        <v>41.873537824000451</v>
      </c>
    </row>
    <row r="273" spans="1:45">
      <c r="A273" s="19">
        <v>8.0413666670000001</v>
      </c>
      <c r="B273" s="19">
        <v>1185.4643960000001</v>
      </c>
      <c r="C273" s="19">
        <v>-451.82311499999997</v>
      </c>
      <c r="E273" s="9">
        <f t="shared" si="77"/>
        <v>225.46439600000008</v>
      </c>
      <c r="F273" s="9">
        <f t="shared" si="82"/>
        <v>88.176885000000027</v>
      </c>
      <c r="I273">
        <v>1</v>
      </c>
      <c r="J273">
        <f t="shared" si="78"/>
        <v>0.15811276928805079</v>
      </c>
      <c r="K273">
        <f t="shared" si="83"/>
        <v>0.37280187830811129</v>
      </c>
      <c r="O273">
        <f t="shared" si="84"/>
        <v>0.1466393046007409</v>
      </c>
      <c r="P273">
        <f t="shared" si="85"/>
        <v>5.7349174981310577E-2</v>
      </c>
      <c r="Q273">
        <f t="shared" si="86"/>
        <v>0.98752619533619168</v>
      </c>
      <c r="R273">
        <f t="shared" si="76"/>
        <v>1</v>
      </c>
      <c r="AG273" s="8">
        <f t="shared" si="79"/>
        <v>-0.66683924874985723</v>
      </c>
      <c r="AH273" s="8">
        <f t="shared" si="80"/>
        <v>0.33135449066347356</v>
      </c>
      <c r="AI273" s="8">
        <f t="shared" si="81"/>
        <v>0.66748005052126924</v>
      </c>
      <c r="AJ273" s="8"/>
      <c r="AK273" s="8"/>
      <c r="AL273" s="8"/>
      <c r="AN273" s="8">
        <f t="shared" si="87"/>
        <v>1</v>
      </c>
      <c r="AO273" s="8">
        <f t="shared" si="88"/>
        <v>2.6804256314486241</v>
      </c>
      <c r="AP273" s="8">
        <f t="shared" si="89"/>
        <v>0.83997686830365825</v>
      </c>
      <c r="AQ273" s="8"/>
      <c r="AR273" s="8">
        <f t="shared" si="90"/>
        <v>153.57707598069481</v>
      </c>
      <c r="AS273" s="8">
        <f t="shared" si="91"/>
        <v>41.872870557584207</v>
      </c>
    </row>
    <row r="274" spans="1:45">
      <c r="A274" s="19">
        <v>8.0747333329999993</v>
      </c>
      <c r="B274" s="19">
        <v>1185.0476860000001</v>
      </c>
      <c r="C274" s="19">
        <v>-451.88620309999999</v>
      </c>
      <c r="E274" s="9">
        <f t="shared" si="77"/>
        <v>225.04768600000011</v>
      </c>
      <c r="F274" s="9">
        <f t="shared" si="82"/>
        <v>88.113796900000011</v>
      </c>
      <c r="I274">
        <v>1</v>
      </c>
      <c r="J274">
        <f t="shared" si="78"/>
        <v>0.15784611504847848</v>
      </c>
      <c r="K274">
        <f t="shared" si="83"/>
        <v>0.37318677199425876</v>
      </c>
      <c r="O274">
        <f t="shared" si="84"/>
        <v>0.14637201195733202</v>
      </c>
      <c r="P274">
        <f t="shared" si="85"/>
        <v>5.7309603856369885E-2</v>
      </c>
      <c r="Q274">
        <f t="shared" si="86"/>
        <v>0.98756814621644651</v>
      </c>
      <c r="R274">
        <f t="shared" si="76"/>
        <v>1</v>
      </c>
      <c r="AG274" s="8">
        <f t="shared" si="79"/>
        <v>-0.66676381861667977</v>
      </c>
      <c r="AH274" s="8">
        <f t="shared" si="80"/>
        <v>0.33161201880495206</v>
      </c>
      <c r="AI274" s="8">
        <f t="shared" si="81"/>
        <v>0.66742750854891175</v>
      </c>
      <c r="AJ274" s="8"/>
      <c r="AK274" s="8"/>
      <c r="AL274" s="8"/>
      <c r="AN274" s="8">
        <f t="shared" si="87"/>
        <v>1.0000000000000002</v>
      </c>
      <c r="AO274" s="8">
        <f t="shared" si="88"/>
        <v>2.6800708576772476</v>
      </c>
      <c r="AP274" s="8">
        <f t="shared" si="89"/>
        <v>0.84004742747334749</v>
      </c>
      <c r="AQ274" s="8"/>
      <c r="AR274" s="8">
        <f t="shared" si="90"/>
        <v>153.55674894091302</v>
      </c>
      <c r="AS274" s="8">
        <f t="shared" si="91"/>
        <v>41.868827814955068</v>
      </c>
    </row>
    <row r="275" spans="1:45">
      <c r="A275" s="19">
        <v>8.1081000000000003</v>
      </c>
      <c r="B275" s="19">
        <v>1184.4453679999999</v>
      </c>
      <c r="C275" s="19">
        <v>-451.93480039999997</v>
      </c>
      <c r="E275" s="9">
        <f t="shared" si="77"/>
        <v>224.44536799999992</v>
      </c>
      <c r="F275" s="9">
        <f t="shared" si="82"/>
        <v>88.065199600000028</v>
      </c>
      <c r="I275">
        <v>1</v>
      </c>
      <c r="J275">
        <f t="shared" si="78"/>
        <v>0.1574707899784332</v>
      </c>
      <c r="K275">
        <f t="shared" si="83"/>
        <v>0.37390987692511624</v>
      </c>
      <c r="O275">
        <f t="shared" si="84"/>
        <v>0.14598547364259129</v>
      </c>
      <c r="P275">
        <f t="shared" si="85"/>
        <v>5.7280040972087921E-2</v>
      </c>
      <c r="Q275">
        <f t="shared" si="86"/>
        <v>0.98762707455374277</v>
      </c>
      <c r="R275">
        <f t="shared" si="76"/>
        <v>1</v>
      </c>
      <c r="AG275" s="8">
        <f t="shared" si="79"/>
        <v>-0.66663686933217936</v>
      </c>
      <c r="AH275" s="8">
        <f t="shared" si="80"/>
        <v>0.33197883864900579</v>
      </c>
      <c r="AI275" s="8">
        <f t="shared" si="81"/>
        <v>0.66737196160480727</v>
      </c>
      <c r="AJ275" s="8"/>
      <c r="AK275" s="8"/>
      <c r="AL275" s="8"/>
      <c r="AN275" s="8">
        <f t="shared" si="87"/>
        <v>1</v>
      </c>
      <c r="AO275" s="8">
        <f t="shared" si="88"/>
        <v>2.6795539234815822</v>
      </c>
      <c r="AP275" s="8">
        <f t="shared" si="89"/>
        <v>0.84012201719942137</v>
      </c>
      <c r="AQ275" s="8"/>
      <c r="AR275" s="8">
        <f t="shared" si="90"/>
        <v>153.52713079321541</v>
      </c>
      <c r="AS275" s="8">
        <f t="shared" si="91"/>
        <v>41.864554138456</v>
      </c>
    </row>
    <row r="276" spans="1:45">
      <c r="A276" s="19">
        <v>8.1414666669999995</v>
      </c>
      <c r="B276" s="19">
        <v>1183.926361</v>
      </c>
      <c r="C276" s="19">
        <v>-451.98803120000002</v>
      </c>
      <c r="E276" s="9">
        <f t="shared" si="77"/>
        <v>223.92636100000004</v>
      </c>
      <c r="F276" s="9">
        <f t="shared" si="82"/>
        <v>88.011968799999977</v>
      </c>
      <c r="I276">
        <v>1</v>
      </c>
      <c r="J276">
        <f t="shared" si="78"/>
        <v>0.15714472073621577</v>
      </c>
      <c r="K276">
        <f t="shared" si="83"/>
        <v>0.37449182882227838</v>
      </c>
      <c r="O276">
        <f t="shared" si="84"/>
        <v>0.14565239119380388</v>
      </c>
      <c r="P276">
        <f t="shared" si="85"/>
        <v>5.7247184530428985E-2</v>
      </c>
      <c r="Q276">
        <f t="shared" si="86"/>
        <v>0.98767815648766177</v>
      </c>
      <c r="R276">
        <f t="shared" si="76"/>
        <v>1</v>
      </c>
      <c r="AG276" s="8">
        <f t="shared" si="79"/>
        <v>-0.66653214172008479</v>
      </c>
      <c r="AH276" s="8">
        <f t="shared" si="80"/>
        <v>0.33229634725284735</v>
      </c>
      <c r="AI276" s="8">
        <f t="shared" si="81"/>
        <v>0.66731854586580464</v>
      </c>
      <c r="AJ276" s="8"/>
      <c r="AK276" s="8"/>
      <c r="AL276" s="8"/>
      <c r="AN276" s="8">
        <f t="shared" si="87"/>
        <v>1</v>
      </c>
      <c r="AO276" s="8">
        <f t="shared" si="88"/>
        <v>2.6791096249818791</v>
      </c>
      <c r="AP276" s="8">
        <f t="shared" si="89"/>
        <v>0.8401937403916252</v>
      </c>
      <c r="AQ276" s="8"/>
      <c r="AR276" s="8">
        <f t="shared" si="90"/>
        <v>153.50167436433841</v>
      </c>
      <c r="AS276" s="8">
        <f t="shared" si="91"/>
        <v>41.860444702249517</v>
      </c>
    </row>
    <row r="277" spans="1:45">
      <c r="A277" s="19">
        <v>8.1748333330000005</v>
      </c>
      <c r="B277" s="19">
        <v>1183.2214570000001</v>
      </c>
      <c r="C277" s="19">
        <v>-451.6691687</v>
      </c>
      <c r="E277" s="9">
        <f t="shared" si="77"/>
        <v>223.2214570000001</v>
      </c>
      <c r="F277" s="9">
        <f t="shared" si="82"/>
        <v>88.3308313</v>
      </c>
      <c r="I277">
        <v>1</v>
      </c>
      <c r="J277">
        <f t="shared" si="78"/>
        <v>0.15679512094560119</v>
      </c>
      <c r="K277">
        <f t="shared" si="83"/>
        <v>0.37680213003404728</v>
      </c>
      <c r="O277">
        <f t="shared" si="84"/>
        <v>0.14519866700609804</v>
      </c>
      <c r="P277">
        <f t="shared" si="85"/>
        <v>5.7456479017160597E-2</v>
      </c>
      <c r="Q277">
        <f t="shared" si="86"/>
        <v>0.9877328080602582</v>
      </c>
      <c r="R277">
        <f t="shared" si="76"/>
        <v>1</v>
      </c>
      <c r="AG277" s="8">
        <f t="shared" si="79"/>
        <v>-0.66622603809292691</v>
      </c>
      <c r="AH277" s="8">
        <f t="shared" si="80"/>
        <v>0.33267793299311621</v>
      </c>
      <c r="AI277" s="8">
        <f t="shared" si="81"/>
        <v>0.66743408593390685</v>
      </c>
      <c r="AJ277" s="8"/>
      <c r="AK277" s="8"/>
      <c r="AL277" s="8"/>
      <c r="AN277" s="8">
        <f t="shared" si="87"/>
        <v>1</v>
      </c>
      <c r="AO277" s="8">
        <f t="shared" si="88"/>
        <v>2.6784676296260019</v>
      </c>
      <c r="AP277" s="8">
        <f t="shared" si="89"/>
        <v>0.84003859487789934</v>
      </c>
      <c r="AQ277" s="8"/>
      <c r="AR277" s="8">
        <f t="shared" si="90"/>
        <v>153.46489073997967</v>
      </c>
      <c r="AS277" s="8">
        <f t="shared" si="91"/>
        <v>41.869333885396394</v>
      </c>
    </row>
    <row r="278" spans="1:45">
      <c r="A278" s="19">
        <v>8.2081999999999997</v>
      </c>
      <c r="B278" s="19">
        <v>1182.32655</v>
      </c>
      <c r="C278" s="19">
        <v>-451.27428989999999</v>
      </c>
      <c r="E278" s="9">
        <f t="shared" si="77"/>
        <v>222.32655</v>
      </c>
      <c r="F278" s="9">
        <f t="shared" si="82"/>
        <v>88.725710100000015</v>
      </c>
      <c r="I278">
        <v>1</v>
      </c>
      <c r="J278">
        <f t="shared" si="78"/>
        <v>0.15635005911450617</v>
      </c>
      <c r="K278">
        <f t="shared" si="83"/>
        <v>0.37971158860440513</v>
      </c>
      <c r="O278">
        <f t="shared" si="84"/>
        <v>0.14462258109534712</v>
      </c>
      <c r="P278">
        <f t="shared" si="85"/>
        <v>5.7715739322089551E-2</v>
      </c>
      <c r="Q278">
        <f t="shared" si="86"/>
        <v>0.98780220817318709</v>
      </c>
      <c r="R278">
        <f t="shared" si="76"/>
        <v>1</v>
      </c>
      <c r="AG278" s="8">
        <f t="shared" si="79"/>
        <v>-0.66584131330489871</v>
      </c>
      <c r="AH278" s="8">
        <f t="shared" si="80"/>
        <v>0.33316354863381087</v>
      </c>
      <c r="AI278" s="8">
        <f t="shared" si="81"/>
        <v>0.66757576001389851</v>
      </c>
      <c r="AJ278" s="8"/>
      <c r="AK278" s="8"/>
      <c r="AL278" s="8"/>
      <c r="AN278" s="8">
        <f t="shared" si="87"/>
        <v>1</v>
      </c>
      <c r="AO278" s="8">
        <f t="shared" si="88"/>
        <v>2.6776532554999046</v>
      </c>
      <c r="AP278" s="8">
        <f t="shared" si="89"/>
        <v>0.83984832754465866</v>
      </c>
      <c r="AQ278" s="8"/>
      <c r="AR278" s="8">
        <f t="shared" si="90"/>
        <v>153.41823053960962</v>
      </c>
      <c r="AS278" s="8">
        <f t="shared" si="91"/>
        <v>41.880235400570292</v>
      </c>
    </row>
    <row r="279" spans="1:45">
      <c r="A279" s="19">
        <v>8.2415666670000007</v>
      </c>
      <c r="B279" s="19">
        <v>1181.938257</v>
      </c>
      <c r="C279" s="19">
        <v>-451.22667319999999</v>
      </c>
      <c r="E279" s="9">
        <f t="shared" si="77"/>
        <v>221.93825700000002</v>
      </c>
      <c r="F279" s="9">
        <f t="shared" si="82"/>
        <v>88.773326800000007</v>
      </c>
      <c r="I279">
        <v>1</v>
      </c>
      <c r="J279">
        <f t="shared" si="78"/>
        <v>0.1561275072694939</v>
      </c>
      <c r="K279">
        <f t="shared" si="83"/>
        <v>0.38049870176369505</v>
      </c>
      <c r="O279">
        <f t="shared" si="84"/>
        <v>0.14437298955685565</v>
      </c>
      <c r="P279">
        <f t="shared" si="85"/>
        <v>5.7747910415569925E-2</v>
      </c>
      <c r="Q279">
        <f t="shared" si="86"/>
        <v>0.98783683811095613</v>
      </c>
      <c r="R279">
        <f t="shared" si="76"/>
        <v>1</v>
      </c>
      <c r="AG279" s="8">
        <f t="shared" si="79"/>
        <v>-0.6657261016243573</v>
      </c>
      <c r="AH279" s="8">
        <f t="shared" si="80"/>
        <v>0.33338993962586116</v>
      </c>
      <c r="AI279" s="8">
        <f t="shared" si="81"/>
        <v>0.66757764025789579</v>
      </c>
      <c r="AJ279" s="8"/>
      <c r="AK279" s="8"/>
      <c r="AL279" s="8"/>
      <c r="AN279" s="8">
        <f t="shared" si="87"/>
        <v>1</v>
      </c>
      <c r="AO279" s="8">
        <f t="shared" si="88"/>
        <v>2.677312085187312</v>
      </c>
      <c r="AP279" s="8">
        <f t="shared" si="89"/>
        <v>0.83984580217142257</v>
      </c>
      <c r="AQ279" s="8"/>
      <c r="AR279" s="8">
        <f t="shared" si="90"/>
        <v>153.39868292060291</v>
      </c>
      <c r="AS279" s="8">
        <f t="shared" si="91"/>
        <v>41.880380093798415</v>
      </c>
    </row>
    <row r="280" spans="1:45">
      <c r="A280" s="19">
        <v>8.2749333329999999</v>
      </c>
      <c r="B280" s="19">
        <v>1181.35249</v>
      </c>
      <c r="C280" s="19">
        <v>-451.13730839999999</v>
      </c>
      <c r="E280" s="9">
        <f t="shared" si="77"/>
        <v>221.35248999999999</v>
      </c>
      <c r="F280" s="9">
        <f t="shared" si="82"/>
        <v>88.862691600000005</v>
      </c>
      <c r="I280">
        <v>1</v>
      </c>
      <c r="J280">
        <f t="shared" si="78"/>
        <v>0.15579617049452879</v>
      </c>
      <c r="K280">
        <f t="shared" si="83"/>
        <v>0.3817586094166982</v>
      </c>
      <c r="O280">
        <f t="shared" si="84"/>
        <v>0.14399636588203935</v>
      </c>
      <c r="P280">
        <f t="shared" si="85"/>
        <v>5.7807818890568727E-2</v>
      </c>
      <c r="Q280">
        <f t="shared" si="86"/>
        <v>0.98788830476318579</v>
      </c>
      <c r="R280">
        <f t="shared" si="76"/>
        <v>1</v>
      </c>
      <c r="AG280" s="8">
        <f t="shared" si="79"/>
        <v>-0.66554486379780664</v>
      </c>
      <c r="AH280" s="8">
        <f t="shared" si="80"/>
        <v>0.33372921965225899</v>
      </c>
      <c r="AI280" s="8">
        <f t="shared" si="81"/>
        <v>0.66758882721526525</v>
      </c>
      <c r="AJ280" s="8"/>
      <c r="AK280" s="8"/>
      <c r="AL280" s="8"/>
      <c r="AN280" s="8">
        <f t="shared" si="87"/>
        <v>1</v>
      </c>
      <c r="AO280" s="8">
        <f t="shared" si="88"/>
        <v>2.6767956255082161</v>
      </c>
      <c r="AP280" s="8">
        <f t="shared" si="89"/>
        <v>0.83983077674649531</v>
      </c>
      <c r="AQ280" s="8"/>
      <c r="AR280" s="8">
        <f t="shared" si="90"/>
        <v>153.36909196070204</v>
      </c>
      <c r="AS280" s="8">
        <f t="shared" si="91"/>
        <v>41.88124098723214</v>
      </c>
    </row>
    <row r="281" spans="1:45">
      <c r="A281" s="19">
        <v>8.3082999999999991</v>
      </c>
      <c r="B281" s="19">
        <v>1180.916876</v>
      </c>
      <c r="C281" s="19">
        <v>-451.1295025</v>
      </c>
      <c r="E281" s="9">
        <f t="shared" si="77"/>
        <v>220.916876</v>
      </c>
      <c r="F281" s="9">
        <f t="shared" si="82"/>
        <v>88.870497499999999</v>
      </c>
      <c r="I281">
        <v>1</v>
      </c>
      <c r="J281">
        <f t="shared" si="78"/>
        <v>0.15553569640357048</v>
      </c>
      <c r="K281">
        <f t="shared" si="83"/>
        <v>0.38247056834648568</v>
      </c>
      <c r="O281">
        <f t="shared" si="84"/>
        <v>0.1437164409079669</v>
      </c>
      <c r="P281">
        <f t="shared" si="85"/>
        <v>5.7814286684102718E-2</v>
      </c>
      <c r="Q281">
        <f t="shared" si="86"/>
        <v>0.98792868814907653</v>
      </c>
      <c r="R281">
        <f t="shared" si="76"/>
        <v>1</v>
      </c>
      <c r="AG281" s="8">
        <f t="shared" si="79"/>
        <v>-0.66543457643163206</v>
      </c>
      <c r="AH281" s="8">
        <f t="shared" si="80"/>
        <v>0.33398896757430746</v>
      </c>
      <c r="AI281" s="8">
        <f t="shared" si="81"/>
        <v>0.66756886837831397</v>
      </c>
      <c r="AJ281" s="8"/>
      <c r="AK281" s="8"/>
      <c r="AL281" s="8"/>
      <c r="AN281" s="8">
        <f t="shared" si="87"/>
        <v>1</v>
      </c>
      <c r="AO281" s="8">
        <f t="shared" si="88"/>
        <v>2.6764173728269229</v>
      </c>
      <c r="AP281" s="8">
        <f t="shared" si="89"/>
        <v>0.83985758371575114</v>
      </c>
      <c r="AQ281" s="8"/>
      <c r="AR281" s="8">
        <f t="shared" si="90"/>
        <v>153.34741967847444</v>
      </c>
      <c r="AS281" s="8">
        <f t="shared" si="91"/>
        <v>41.879705061032247</v>
      </c>
    </row>
    <row r="282" spans="1:45">
      <c r="A282" s="19">
        <v>8.3416666670000001</v>
      </c>
      <c r="B282" s="19">
        <v>1180.434624</v>
      </c>
      <c r="C282" s="19">
        <v>-451.09148750000003</v>
      </c>
      <c r="E282" s="9">
        <f t="shared" si="77"/>
        <v>220.43462399999999</v>
      </c>
      <c r="F282" s="9">
        <f t="shared" si="82"/>
        <v>88.908512499999972</v>
      </c>
      <c r="I282">
        <v>1</v>
      </c>
      <c r="J282">
        <f t="shared" si="78"/>
        <v>0.15525453878439258</v>
      </c>
      <c r="K282">
        <f t="shared" si="83"/>
        <v>0.38337616828242682</v>
      </c>
      <c r="O282">
        <f t="shared" si="84"/>
        <v>0.14340641969959617</v>
      </c>
      <c r="P282">
        <f t="shared" si="85"/>
        <v>5.7840511744841817E-2</v>
      </c>
      <c r="Q282">
        <f t="shared" si="86"/>
        <v>0.98797220304522637</v>
      </c>
      <c r="R282">
        <f t="shared" si="76"/>
        <v>1</v>
      </c>
      <c r="AG282" s="8">
        <f t="shared" si="79"/>
        <v>-0.66530011043676918</v>
      </c>
      <c r="AH282" s="8">
        <f t="shared" si="80"/>
        <v>0.33427277888122053</v>
      </c>
      <c r="AI282" s="8">
        <f t="shared" si="81"/>
        <v>0.66756083794052012</v>
      </c>
      <c r="AJ282" s="8"/>
      <c r="AK282" s="8"/>
      <c r="AL282" s="8"/>
      <c r="AN282" s="8">
        <f t="shared" si="87"/>
        <v>1</v>
      </c>
      <c r="AO282" s="8">
        <f t="shared" si="88"/>
        <v>2.6759956807544913</v>
      </c>
      <c r="AP282" s="8">
        <f t="shared" si="89"/>
        <v>0.83986836931771858</v>
      </c>
      <c r="AQ282" s="8"/>
      <c r="AR282" s="8">
        <f t="shared" si="90"/>
        <v>153.32325850246997</v>
      </c>
      <c r="AS282" s="8">
        <f t="shared" si="91"/>
        <v>41.879087091560002</v>
      </c>
    </row>
    <row r="283" spans="1:45">
      <c r="A283" s="19">
        <v>8.3750333329999993</v>
      </c>
      <c r="B283" s="19">
        <v>1180.0325250000001</v>
      </c>
      <c r="C283" s="19">
        <v>-451.01384230000002</v>
      </c>
      <c r="E283" s="9">
        <f t="shared" si="77"/>
        <v>220.03252500000008</v>
      </c>
      <c r="F283" s="9">
        <f t="shared" si="82"/>
        <v>88.986157699999978</v>
      </c>
      <c r="I283">
        <v>1</v>
      </c>
      <c r="J283">
        <f t="shared" si="78"/>
        <v>0.15503137461240932</v>
      </c>
      <c r="K283">
        <f t="shared" si="83"/>
        <v>0.38431326388213427</v>
      </c>
      <c r="O283">
        <f t="shared" si="84"/>
        <v>0.1431477537515338</v>
      </c>
      <c r="P283">
        <f t="shared" si="85"/>
        <v>5.7892207480392935E-2</v>
      </c>
      <c r="Q283">
        <f t="shared" si="86"/>
        <v>0.98800668667217906</v>
      </c>
      <c r="R283">
        <f t="shared" ref="R283:R346" si="92">SQRT(O283^2+P283^2+Q283^2)</f>
        <v>1</v>
      </c>
      <c r="AG283" s="8">
        <f t="shared" si="79"/>
        <v>-0.66516869225196762</v>
      </c>
      <c r="AH283" s="8">
        <f t="shared" si="80"/>
        <v>0.33450356687713639</v>
      </c>
      <c r="AI283" s="8">
        <f t="shared" si="81"/>
        <v>0.66757619384927169</v>
      </c>
      <c r="AJ283" s="8"/>
      <c r="AK283" s="8"/>
      <c r="AL283" s="8"/>
      <c r="AN283" s="8">
        <f t="shared" si="87"/>
        <v>1</v>
      </c>
      <c r="AO283" s="8">
        <f t="shared" si="88"/>
        <v>2.6756394581617986</v>
      </c>
      <c r="AP283" s="8">
        <f t="shared" si="89"/>
        <v>0.83984774485683322</v>
      </c>
      <c r="AQ283" s="8"/>
      <c r="AR283" s="8">
        <f t="shared" si="90"/>
        <v>153.30284845134148</v>
      </c>
      <c r="AS283" s="8">
        <f t="shared" si="91"/>
        <v>41.880268786123466</v>
      </c>
    </row>
    <row r="284" spans="1:45">
      <c r="A284" s="19">
        <v>8.4084000000000003</v>
      </c>
      <c r="B284" s="19">
        <v>1179.416964</v>
      </c>
      <c r="C284" s="19">
        <v>-450.79079610000002</v>
      </c>
      <c r="E284" s="9">
        <f t="shared" si="77"/>
        <v>219.41696400000001</v>
      </c>
      <c r="F284" s="9">
        <f t="shared" si="82"/>
        <v>89.209203899999977</v>
      </c>
      <c r="I284">
        <v>1</v>
      </c>
      <c r="J284">
        <f t="shared" si="78"/>
        <v>0.15471544153853908</v>
      </c>
      <c r="K284">
        <f t="shared" si="83"/>
        <v>0.38616062751681413</v>
      </c>
      <c r="O284">
        <f t="shared" si="84"/>
        <v>0.1427513961490019</v>
      </c>
      <c r="P284">
        <f t="shared" si="85"/>
        <v>5.8038987386891304E-2</v>
      </c>
      <c r="Q284">
        <f t="shared" si="86"/>
        <v>0.98805542093579701</v>
      </c>
      <c r="R284">
        <f t="shared" si="92"/>
        <v>1</v>
      </c>
      <c r="AG284" s="8">
        <f t="shared" si="79"/>
        <v>-0.66492376387403285</v>
      </c>
      <c r="AH284" s="8">
        <f t="shared" si="80"/>
        <v>0.33484359973749045</v>
      </c>
      <c r="AI284" s="8">
        <f t="shared" si="81"/>
        <v>0.66764972249708054</v>
      </c>
      <c r="AJ284" s="8"/>
      <c r="AK284" s="8"/>
      <c r="AL284" s="8"/>
      <c r="AN284" s="8">
        <f t="shared" si="87"/>
        <v>1</v>
      </c>
      <c r="AO284" s="8">
        <f t="shared" si="88"/>
        <v>2.6750835992905189</v>
      </c>
      <c r="AP284" s="8">
        <f t="shared" si="89"/>
        <v>0.83974898353198457</v>
      </c>
      <c r="AQ284" s="8"/>
      <c r="AR284" s="8">
        <f t="shared" si="90"/>
        <v>153.27100008401223</v>
      </c>
      <c r="AS284" s="8">
        <f t="shared" si="91"/>
        <v>41.885927393216413</v>
      </c>
    </row>
    <row r="285" spans="1:45">
      <c r="A285" s="19">
        <v>8.4417666669999996</v>
      </c>
      <c r="B285" s="19">
        <v>1178.5334769999999</v>
      </c>
      <c r="C285" s="19">
        <v>-450.41600349999999</v>
      </c>
      <c r="E285" s="9">
        <f t="shared" si="77"/>
        <v>218.53347699999995</v>
      </c>
      <c r="F285" s="9">
        <f t="shared" si="82"/>
        <v>89.583996500000012</v>
      </c>
      <c r="I285">
        <v>1</v>
      </c>
      <c r="J285">
        <f t="shared" si="78"/>
        <v>0.15427633551385819</v>
      </c>
      <c r="K285">
        <f t="shared" si="83"/>
        <v>0.38903952948922438</v>
      </c>
      <c r="O285">
        <f t="shared" si="84"/>
        <v>0.14218226222997396</v>
      </c>
      <c r="P285">
        <f t="shared" si="85"/>
        <v>5.8285144485995963E-2</v>
      </c>
      <c r="Q285">
        <f t="shared" si="86"/>
        <v>0.9881229914537023</v>
      </c>
      <c r="R285">
        <f t="shared" si="92"/>
        <v>1</v>
      </c>
      <c r="AG285" s="8">
        <f t="shared" si="79"/>
        <v>-0.66454908830372617</v>
      </c>
      <c r="AH285" s="8">
        <f t="shared" si="80"/>
        <v>0.33532460669435599</v>
      </c>
      <c r="AI285" s="8">
        <f t="shared" si="81"/>
        <v>0.66778133949666629</v>
      </c>
      <c r="AJ285" s="8"/>
      <c r="AK285" s="8"/>
      <c r="AL285" s="8"/>
      <c r="AN285" s="8">
        <f t="shared" si="87"/>
        <v>1</v>
      </c>
      <c r="AO285" s="8">
        <f t="shared" si="88"/>
        <v>2.6742800516355656</v>
      </c>
      <c r="AP285" s="8">
        <f t="shared" si="89"/>
        <v>0.83957217794677419</v>
      </c>
      <c r="AQ285" s="8"/>
      <c r="AR285" s="8">
        <f t="shared" si="90"/>
        <v>153.22496019474576</v>
      </c>
      <c r="AS285" s="8">
        <f t="shared" si="91"/>
        <v>41.896057607043311</v>
      </c>
    </row>
    <row r="286" spans="1:45">
      <c r="A286" s="19">
        <v>8.4751333330000005</v>
      </c>
      <c r="B286" s="19">
        <v>1177.764717</v>
      </c>
      <c r="C286" s="19">
        <v>-450.13785869999998</v>
      </c>
      <c r="E286" s="9">
        <f t="shared" si="77"/>
        <v>217.76471700000002</v>
      </c>
      <c r="F286" s="9">
        <f t="shared" si="82"/>
        <v>89.862141300000019</v>
      </c>
      <c r="I286">
        <v>1</v>
      </c>
      <c r="J286">
        <f t="shared" si="78"/>
        <v>0.15388336429675969</v>
      </c>
      <c r="K286">
        <f t="shared" si="83"/>
        <v>0.3913697672322648</v>
      </c>
      <c r="O286">
        <f t="shared" si="84"/>
        <v>0.14168710388917846</v>
      </c>
      <c r="P286">
        <f t="shared" si="85"/>
        <v>5.8468179443766984E-2</v>
      </c>
      <c r="Q286">
        <f t="shared" si="86"/>
        <v>0.98818330110563424</v>
      </c>
      <c r="R286">
        <f t="shared" si="92"/>
        <v>1</v>
      </c>
      <c r="AG286" s="8">
        <f t="shared" si="79"/>
        <v>-0.66424294124152572</v>
      </c>
      <c r="AH286" s="8">
        <f t="shared" si="80"/>
        <v>0.33574918627343164</v>
      </c>
      <c r="AI286" s="8">
        <f t="shared" si="81"/>
        <v>0.66787259183734704</v>
      </c>
      <c r="AJ286" s="8"/>
      <c r="AK286" s="8"/>
      <c r="AL286" s="8"/>
      <c r="AN286" s="8">
        <f t="shared" si="87"/>
        <v>1</v>
      </c>
      <c r="AO286" s="8">
        <f t="shared" si="88"/>
        <v>2.6735854529208285</v>
      </c>
      <c r="AP286" s="8">
        <f t="shared" si="89"/>
        <v>0.83944957911506857</v>
      </c>
      <c r="AQ286" s="8"/>
      <c r="AR286" s="8">
        <f t="shared" si="90"/>
        <v>153.18516261993614</v>
      </c>
      <c r="AS286" s="8">
        <f t="shared" si="91"/>
        <v>41.903082002673273</v>
      </c>
    </row>
    <row r="287" spans="1:45">
      <c r="A287" s="19">
        <v>8.5084999999999997</v>
      </c>
      <c r="B287" s="19">
        <v>1177.247715</v>
      </c>
      <c r="C287" s="19">
        <v>-450.13090999999997</v>
      </c>
      <c r="E287" s="9">
        <f t="shared" si="77"/>
        <v>217.24771499999997</v>
      </c>
      <c r="F287" s="9">
        <f t="shared" si="82"/>
        <v>89.869090000000028</v>
      </c>
      <c r="I287">
        <v>1</v>
      </c>
      <c r="J287">
        <f t="shared" si="78"/>
        <v>0.15357478390935392</v>
      </c>
      <c r="K287">
        <f t="shared" si="83"/>
        <v>0.39223592814990904</v>
      </c>
      <c r="O287">
        <f t="shared" si="84"/>
        <v>0.14135462487032313</v>
      </c>
      <c r="P287">
        <f t="shared" si="85"/>
        <v>5.847431584901739E-2</v>
      </c>
      <c r="Q287">
        <f t="shared" si="86"/>
        <v>0.98823055225678968</v>
      </c>
      <c r="R287">
        <f t="shared" si="92"/>
        <v>1</v>
      </c>
      <c r="AG287" s="8">
        <f t="shared" si="79"/>
        <v>-0.66411242726046826</v>
      </c>
      <c r="AH287" s="8">
        <f t="shared" si="80"/>
        <v>0.33605762865185207</v>
      </c>
      <c r="AI287" s="8">
        <f t="shared" si="81"/>
        <v>0.66784725363147468</v>
      </c>
      <c r="AJ287" s="8"/>
      <c r="AK287" s="8"/>
      <c r="AL287" s="8"/>
      <c r="AN287" s="8">
        <f t="shared" si="87"/>
        <v>1</v>
      </c>
      <c r="AO287" s="8">
        <f t="shared" si="88"/>
        <v>2.6731365049069122</v>
      </c>
      <c r="AP287" s="8">
        <f t="shared" si="89"/>
        <v>0.83948362271144217</v>
      </c>
      <c r="AQ287" s="8"/>
      <c r="AR287" s="8">
        <f t="shared" si="90"/>
        <v>153.15943979351795</v>
      </c>
      <c r="AS287" s="8">
        <f t="shared" si="91"/>
        <v>41.901131448281625</v>
      </c>
    </row>
    <row r="288" spans="1:45">
      <c r="A288" s="19">
        <v>8.5418666670000007</v>
      </c>
      <c r="B288" s="19">
        <v>1176.493254</v>
      </c>
      <c r="C288" s="19">
        <v>-450.09291669999999</v>
      </c>
      <c r="E288" s="9">
        <f t="shared" ref="E288:E351" si="93">(B288-($B$15/2))</f>
        <v>216.49325399999998</v>
      </c>
      <c r="F288" s="9">
        <f t="shared" si="82"/>
        <v>89.907083300000011</v>
      </c>
      <c r="I288">
        <v>1</v>
      </c>
      <c r="J288">
        <f t="shared" ref="J288:J351" si="94">ATAN((SQRT(E288^2+F288^2)^$B$16)/($F$24))</f>
        <v>0.15313157486916595</v>
      </c>
      <c r="K288">
        <f t="shared" si="83"/>
        <v>0.39361595242716785</v>
      </c>
      <c r="O288">
        <f t="shared" si="84"/>
        <v>0.14086928180036609</v>
      </c>
      <c r="P288">
        <f t="shared" si="85"/>
        <v>5.8501343664208082E-2</v>
      </c>
      <c r="Q288">
        <f t="shared" si="86"/>
        <v>0.98829825368384172</v>
      </c>
      <c r="R288">
        <f t="shared" si="92"/>
        <v>1</v>
      </c>
      <c r="AG288" s="8">
        <f t="shared" ref="AG288:AG351" si="95">$O288*$Z$27+$P288*$Z$31+$Q288*$Z$35</f>
        <v>-0.66391014547522098</v>
      </c>
      <c r="AH288" s="8">
        <f t="shared" ref="AH288:AH351" si="96">$O288*$AA$27+$P288*$AA$31+$Q288*$AA$35</f>
        <v>0.33650416105769532</v>
      </c>
      <c r="AI288" s="8">
        <f t="shared" ref="AI288:AI351" si="97">$AB$27*$O288+$P288*$AB$31+$AB$35*$Q288</f>
        <v>0.66782353082676515</v>
      </c>
      <c r="AJ288" s="8"/>
      <c r="AK288" s="8"/>
      <c r="AL288" s="8"/>
      <c r="AN288" s="8">
        <f t="shared" si="87"/>
        <v>0.99999999999999978</v>
      </c>
      <c r="AO288" s="8">
        <f t="shared" si="88"/>
        <v>2.6724785107036642</v>
      </c>
      <c r="AP288" s="8">
        <f t="shared" si="89"/>
        <v>0.83951549496434086</v>
      </c>
      <c r="AQ288" s="8"/>
      <c r="AR288" s="8">
        <f t="shared" si="90"/>
        <v>153.12173950272776</v>
      </c>
      <c r="AS288" s="8">
        <f t="shared" si="91"/>
        <v>41.899305302706956</v>
      </c>
    </row>
    <row r="289" spans="1:45">
      <c r="A289" s="19">
        <v>8.5752333329999999</v>
      </c>
      <c r="B289" s="19">
        <v>1175.8997440000001</v>
      </c>
      <c r="C289" s="19">
        <v>-450.0697687</v>
      </c>
      <c r="E289" s="9">
        <f t="shared" si="93"/>
        <v>215.89974400000006</v>
      </c>
      <c r="F289" s="9">
        <f t="shared" ref="F289:F352" si="98">(($C$15/2)+C289)</f>
        <v>89.930231300000003</v>
      </c>
      <c r="I289">
        <v>1</v>
      </c>
      <c r="J289">
        <f t="shared" si="94"/>
        <v>0.15278140450191538</v>
      </c>
      <c r="K289">
        <f t="shared" ref="K289:K352" si="99">ATAN2(E289,F289)</f>
        <v>0.39468062795995984</v>
      </c>
      <c r="O289">
        <f t="shared" ref="O289:O352" si="100">COS(K289)*SIN(J289)</f>
        <v>0.14048744191079157</v>
      </c>
      <c r="P289">
        <f t="shared" ref="P289:P352" si="101">SIN(K289)*SIN(J289)</f>
        <v>5.8518217352693094E-2</v>
      </c>
      <c r="Q289">
        <f t="shared" ref="Q289:Q352" si="102">COS(J289)</f>
        <v>0.98835160590916482</v>
      </c>
      <c r="R289">
        <f t="shared" si="92"/>
        <v>1</v>
      </c>
      <c r="AG289" s="8">
        <f t="shared" si="95"/>
        <v>-0.66375371785046189</v>
      </c>
      <c r="AH289" s="8">
        <f t="shared" si="96"/>
        <v>0.33685626671267266</v>
      </c>
      <c r="AI289" s="8">
        <f t="shared" si="97"/>
        <v>0.66780151064226445</v>
      </c>
      <c r="AJ289" s="8"/>
      <c r="AK289" s="8"/>
      <c r="AL289" s="8"/>
      <c r="AN289" s="8">
        <f t="shared" ref="AN289:AN352" si="103">AG289^2+AH289^2+AI289^2</f>
        <v>1.0000000000000002</v>
      </c>
      <c r="AO289" s="8">
        <f t="shared" ref="AO289:AO352" si="104">IF(ATAN2(AG289,AH289)&gt;=0,ATAN2(AG289,AH289),ATAN2(AG289,AH289)+2*PI())</f>
        <v>2.6719615587010708</v>
      </c>
      <c r="AP289" s="8">
        <f t="shared" ref="AP289:AP352" si="105">ACOS(AI289/AN289)</f>
        <v>0.83954507888363494</v>
      </c>
      <c r="AQ289" s="8"/>
      <c r="AR289" s="8">
        <f t="shared" ref="AR289:AR352" si="106">DEGREES(AO289)</f>
        <v>153.09212033476831</v>
      </c>
      <c r="AS289" s="8">
        <f t="shared" ref="AS289:AS352" si="107">90-DEGREES(AP289)</f>
        <v>41.897610268989943</v>
      </c>
    </row>
    <row r="290" spans="1:45">
      <c r="A290" s="19">
        <v>8.6085999999999991</v>
      </c>
      <c r="B290" s="19">
        <v>1175.3029839999999</v>
      </c>
      <c r="C290" s="19">
        <v>-449.98946489999997</v>
      </c>
      <c r="E290" s="9">
        <f t="shared" si="93"/>
        <v>215.30298399999992</v>
      </c>
      <c r="F290" s="9">
        <f t="shared" si="98"/>
        <v>90.010535100000027</v>
      </c>
      <c r="I290">
        <v>1</v>
      </c>
      <c r="J290">
        <f t="shared" si="94"/>
        <v>0.1524437467514046</v>
      </c>
      <c r="K290">
        <f t="shared" si="99"/>
        <v>0.39598158454595855</v>
      </c>
      <c r="O290">
        <f t="shared" si="100"/>
        <v>0.14010328494953803</v>
      </c>
      <c r="P290">
        <f t="shared" si="101"/>
        <v>5.8572210255923358E-2</v>
      </c>
      <c r="Q290">
        <f t="shared" si="102"/>
        <v>0.98840293693011883</v>
      </c>
      <c r="R290">
        <f t="shared" si="92"/>
        <v>1</v>
      </c>
      <c r="AG290" s="8">
        <f t="shared" si="95"/>
        <v>-0.66357241786504173</v>
      </c>
      <c r="AH290" s="8">
        <f t="shared" si="96"/>
        <v>0.33720300891318283</v>
      </c>
      <c r="AI290" s="8">
        <f t="shared" si="97"/>
        <v>0.66780669136258153</v>
      </c>
      <c r="AJ290" s="8"/>
      <c r="AK290" s="8"/>
      <c r="AL290" s="8"/>
      <c r="AN290" s="8">
        <f t="shared" si="103"/>
        <v>0.99999999999999978</v>
      </c>
      <c r="AO290" s="8">
        <f t="shared" si="104"/>
        <v>2.6714359203131242</v>
      </c>
      <c r="AP290" s="8">
        <f t="shared" si="105"/>
        <v>0.83953811870324835</v>
      </c>
      <c r="AQ290" s="8"/>
      <c r="AR290" s="8">
        <f t="shared" si="106"/>
        <v>153.06200347358893</v>
      </c>
      <c r="AS290" s="8">
        <f t="shared" si="107"/>
        <v>41.898009057950745</v>
      </c>
    </row>
    <row r="291" spans="1:45">
      <c r="A291" s="19">
        <v>8.6419666670000002</v>
      </c>
      <c r="B291" s="19">
        <v>1174.5321960000001</v>
      </c>
      <c r="C291" s="19">
        <v>-450.00048199999998</v>
      </c>
      <c r="E291" s="9">
        <f t="shared" si="93"/>
        <v>214.53219600000011</v>
      </c>
      <c r="F291" s="9">
        <f t="shared" si="98"/>
        <v>89.999518000000023</v>
      </c>
      <c r="I291">
        <v>1</v>
      </c>
      <c r="J291">
        <f t="shared" si="94"/>
        <v>0.15197910860746233</v>
      </c>
      <c r="K291">
        <f t="shared" si="99"/>
        <v>0.3972158190003533</v>
      </c>
      <c r="O291">
        <f t="shared" si="100"/>
        <v>0.13960737804121862</v>
      </c>
      <c r="P291">
        <f t="shared" si="101"/>
        <v>5.8567417698709684E-2</v>
      </c>
      <c r="Q291">
        <f t="shared" si="102"/>
        <v>0.98847338739116353</v>
      </c>
      <c r="R291">
        <f t="shared" si="92"/>
        <v>1</v>
      </c>
      <c r="AG291" s="8">
        <f t="shared" si="95"/>
        <v>-0.66338618037150288</v>
      </c>
      <c r="AH291" s="8">
        <f t="shared" si="96"/>
        <v>0.33766545842490692</v>
      </c>
      <c r="AI291" s="8">
        <f t="shared" si="97"/>
        <v>0.66775805040359149</v>
      </c>
      <c r="AJ291" s="8"/>
      <c r="AK291" s="8"/>
      <c r="AL291" s="8"/>
      <c r="AN291" s="8">
        <f t="shared" si="103"/>
        <v>1</v>
      </c>
      <c r="AO291" s="8">
        <f t="shared" si="104"/>
        <v>2.6707687287839148</v>
      </c>
      <c r="AP291" s="8">
        <f t="shared" si="105"/>
        <v>0.83960346501830685</v>
      </c>
      <c r="AQ291" s="8"/>
      <c r="AR291" s="8">
        <f t="shared" si="106"/>
        <v>153.02377621483834</v>
      </c>
      <c r="AS291" s="8">
        <f t="shared" si="107"/>
        <v>41.894264989891163</v>
      </c>
    </row>
    <row r="292" spans="1:45">
      <c r="A292" s="19">
        <v>8.6753333329999993</v>
      </c>
      <c r="B292" s="19">
        <v>1174.070751</v>
      </c>
      <c r="C292" s="19">
        <v>-450.05893889999999</v>
      </c>
      <c r="E292" s="9">
        <f t="shared" si="93"/>
        <v>214.07075099999997</v>
      </c>
      <c r="F292" s="9">
        <f t="shared" si="98"/>
        <v>89.941061100000013</v>
      </c>
      <c r="I292">
        <v>1</v>
      </c>
      <c r="J292">
        <f t="shared" si="94"/>
        <v>0.1516879760239945</v>
      </c>
      <c r="K292">
        <f t="shared" si="99"/>
        <v>0.39775245520332192</v>
      </c>
      <c r="O292">
        <f t="shared" si="100"/>
        <v>0.13931061143450893</v>
      </c>
      <c r="P292">
        <f t="shared" si="101"/>
        <v>5.8530855599742963E-2</v>
      </c>
      <c r="Q292">
        <f t="shared" si="102"/>
        <v>0.98851742143702526</v>
      </c>
      <c r="R292">
        <f t="shared" si="92"/>
        <v>1</v>
      </c>
      <c r="AG292" s="8">
        <f t="shared" si="95"/>
        <v>-0.6632963389685359</v>
      </c>
      <c r="AH292" s="8">
        <f t="shared" si="96"/>
        <v>0.33794890661612231</v>
      </c>
      <c r="AI292" s="8">
        <f t="shared" si="97"/>
        <v>0.66770390385851774</v>
      </c>
      <c r="AJ292" s="8"/>
      <c r="AK292" s="8"/>
      <c r="AL292" s="8"/>
      <c r="AN292" s="8">
        <f t="shared" si="103"/>
        <v>1</v>
      </c>
      <c r="AO292" s="8">
        <f t="shared" si="104"/>
        <v>2.6703746518478209</v>
      </c>
      <c r="AP292" s="8">
        <f t="shared" si="105"/>
        <v>0.83967620326462289</v>
      </c>
      <c r="AQ292" s="8"/>
      <c r="AR292" s="8">
        <f t="shared" si="106"/>
        <v>153.0011972695967</v>
      </c>
      <c r="AS292" s="8">
        <f t="shared" si="107"/>
        <v>41.890097395368073</v>
      </c>
    </row>
    <row r="293" spans="1:45">
      <c r="A293" s="19">
        <v>8.7087000000000003</v>
      </c>
      <c r="B293" s="19">
        <v>1173.3441760000001</v>
      </c>
      <c r="C293" s="19">
        <v>-449.44957829999998</v>
      </c>
      <c r="E293" s="9">
        <f t="shared" si="93"/>
        <v>213.34417600000006</v>
      </c>
      <c r="F293" s="9">
        <f t="shared" si="98"/>
        <v>90.550421700000015</v>
      </c>
      <c r="I293">
        <v>1</v>
      </c>
      <c r="J293">
        <f t="shared" si="94"/>
        <v>0.15140709761543886</v>
      </c>
      <c r="K293">
        <f t="shared" si="99"/>
        <v>0.40139074433108962</v>
      </c>
      <c r="O293">
        <f t="shared" si="100"/>
        <v>0.13884114729523464</v>
      </c>
      <c r="P293">
        <f t="shared" si="101"/>
        <v>5.8928838239743216E-2</v>
      </c>
      <c r="Q293">
        <f t="shared" si="102"/>
        <v>0.98855982512008711</v>
      </c>
      <c r="R293">
        <f t="shared" si="92"/>
        <v>1</v>
      </c>
      <c r="AG293" s="8">
        <f t="shared" si="95"/>
        <v>-0.66286066669938448</v>
      </c>
      <c r="AH293" s="8">
        <f t="shared" si="96"/>
        <v>0.33830571431293843</v>
      </c>
      <c r="AI293" s="8">
        <f t="shared" si="97"/>
        <v>0.66795582204668302</v>
      </c>
      <c r="AJ293" s="8"/>
      <c r="AK293" s="8"/>
      <c r="AL293" s="8"/>
      <c r="AN293" s="8">
        <f t="shared" si="103"/>
        <v>1</v>
      </c>
      <c r="AO293" s="8">
        <f t="shared" si="104"/>
        <v>2.6696816879550931</v>
      </c>
      <c r="AP293" s="8">
        <f t="shared" si="105"/>
        <v>0.83933774636994452</v>
      </c>
      <c r="AQ293" s="8"/>
      <c r="AR293" s="8">
        <f t="shared" si="106"/>
        <v>152.96149336318845</v>
      </c>
      <c r="AS293" s="8">
        <f t="shared" si="107"/>
        <v>41.909489546980247</v>
      </c>
    </row>
    <row r="294" spans="1:45">
      <c r="A294" s="19">
        <v>8.7420666669999996</v>
      </c>
      <c r="B294" s="19">
        <v>1172.7242659999999</v>
      </c>
      <c r="C294" s="19">
        <v>-449.05091499999997</v>
      </c>
      <c r="E294" s="9">
        <f t="shared" si="93"/>
        <v>212.72426599999994</v>
      </c>
      <c r="F294" s="9">
        <f t="shared" si="98"/>
        <v>90.949085000000025</v>
      </c>
      <c r="I294">
        <v>1</v>
      </c>
      <c r="J294">
        <f t="shared" si="94"/>
        <v>0.15113803138991908</v>
      </c>
      <c r="K294">
        <f t="shared" si="99"/>
        <v>0.40402386656214639</v>
      </c>
      <c r="O294">
        <f t="shared" si="100"/>
        <v>0.13844092185681206</v>
      </c>
      <c r="P294">
        <f t="shared" si="101"/>
        <v>5.9189651496710592E-2</v>
      </c>
      <c r="Q294">
        <f t="shared" si="102"/>
        <v>0.98860037240086751</v>
      </c>
      <c r="R294">
        <f t="shared" si="92"/>
        <v>1</v>
      </c>
      <c r="AG294" s="8">
        <f t="shared" si="95"/>
        <v>-0.66253959742089219</v>
      </c>
      <c r="AH294" s="8">
        <f t="shared" si="96"/>
        <v>0.33862552627538711</v>
      </c>
      <c r="AI294" s="8">
        <f t="shared" si="97"/>
        <v>0.66811229206180545</v>
      </c>
      <c r="AJ294" s="8"/>
      <c r="AK294" s="8"/>
      <c r="AL294" s="8"/>
      <c r="AN294" s="8">
        <f t="shared" si="103"/>
        <v>1</v>
      </c>
      <c r="AO294" s="8">
        <f t="shared" si="104"/>
        <v>2.6691026872133552</v>
      </c>
      <c r="AP294" s="8">
        <f t="shared" si="105"/>
        <v>0.83912747414744771</v>
      </c>
      <c r="AQ294" s="8"/>
      <c r="AR294" s="8">
        <f t="shared" si="106"/>
        <v>152.92831906435194</v>
      </c>
      <c r="AS294" s="8">
        <f t="shared" si="107"/>
        <v>41.92153725787815</v>
      </c>
    </row>
    <row r="295" spans="1:45">
      <c r="A295" s="19">
        <v>8.7754333330000005</v>
      </c>
      <c r="B295" s="19">
        <v>1172.0714439999999</v>
      </c>
      <c r="C295" s="19">
        <v>-449.11396380000002</v>
      </c>
      <c r="E295" s="9">
        <f t="shared" si="93"/>
        <v>212.07144399999993</v>
      </c>
      <c r="F295" s="9">
        <f t="shared" si="98"/>
        <v>90.886036199999978</v>
      </c>
      <c r="I295">
        <v>1</v>
      </c>
      <c r="J295">
        <f t="shared" si="94"/>
        <v>0.1507319026436946</v>
      </c>
      <c r="K295">
        <f t="shared" si="99"/>
        <v>0.40488491234516977</v>
      </c>
      <c r="O295">
        <f t="shared" si="100"/>
        <v>0.13802085721542257</v>
      </c>
      <c r="P295">
        <f t="shared" si="101"/>
        <v>5.9150672946028174E-2</v>
      </c>
      <c r="Q295">
        <f t="shared" si="102"/>
        <v>0.98866143894841574</v>
      </c>
      <c r="R295">
        <f t="shared" si="92"/>
        <v>1</v>
      </c>
      <c r="AG295" s="8">
        <f t="shared" si="95"/>
        <v>-0.66240388374211545</v>
      </c>
      <c r="AH295" s="8">
        <f t="shared" si="96"/>
        <v>0.3390239361808749</v>
      </c>
      <c r="AI295" s="8">
        <f t="shared" si="97"/>
        <v>0.66804480800301724</v>
      </c>
      <c r="AJ295" s="8"/>
      <c r="AK295" s="8"/>
      <c r="AL295" s="8"/>
      <c r="AN295" s="8">
        <f t="shared" si="103"/>
        <v>1</v>
      </c>
      <c r="AO295" s="8">
        <f t="shared" si="104"/>
        <v>2.6685429352241816</v>
      </c>
      <c r="AP295" s="8">
        <f t="shared" si="105"/>
        <v>0.83921816746470224</v>
      </c>
      <c r="AQ295" s="8"/>
      <c r="AR295" s="8">
        <f t="shared" si="106"/>
        <v>152.89624763779824</v>
      </c>
      <c r="AS295" s="8">
        <f t="shared" si="107"/>
        <v>41.916340913569421</v>
      </c>
    </row>
    <row r="296" spans="1:45">
      <c r="A296" s="19">
        <v>8.8087999999999997</v>
      </c>
      <c r="B296" s="19">
        <v>1171.303799</v>
      </c>
      <c r="C296" s="19">
        <v>-449.11456859999998</v>
      </c>
      <c r="E296" s="9">
        <f t="shared" si="93"/>
        <v>211.30379900000003</v>
      </c>
      <c r="F296" s="9">
        <f t="shared" si="98"/>
        <v>90.885431400000016</v>
      </c>
      <c r="I296">
        <v>1</v>
      </c>
      <c r="J296">
        <f t="shared" si="94"/>
        <v>0.15027331160450247</v>
      </c>
      <c r="K296">
        <f t="shared" si="99"/>
        <v>0.4061970973016657</v>
      </c>
      <c r="O296">
        <f t="shared" si="100"/>
        <v>0.13752660844412623</v>
      </c>
      <c r="P296">
        <f t="shared" si="101"/>
        <v>5.915258124357383E-2</v>
      </c>
      <c r="Q296">
        <f t="shared" si="102"/>
        <v>0.98873019783057015</v>
      </c>
      <c r="R296">
        <f t="shared" si="92"/>
        <v>1</v>
      </c>
      <c r="AG296" s="8">
        <f t="shared" si="95"/>
        <v>-0.66221328757296594</v>
      </c>
      <c r="AH296" s="8">
        <f t="shared" si="96"/>
        <v>0.33948299577749164</v>
      </c>
      <c r="AI296" s="8">
        <f t="shared" si="97"/>
        <v>0.668000641721057</v>
      </c>
      <c r="AJ296" s="8"/>
      <c r="AK296" s="8"/>
      <c r="AL296" s="8"/>
      <c r="AN296" s="8">
        <f t="shared" si="103"/>
        <v>1</v>
      </c>
      <c r="AO296" s="8">
        <f t="shared" si="104"/>
        <v>2.6678771068632301</v>
      </c>
      <c r="AP296" s="8">
        <f t="shared" si="105"/>
        <v>0.83927751950888763</v>
      </c>
      <c r="AQ296" s="8"/>
      <c r="AR296" s="8">
        <f t="shared" si="106"/>
        <v>152.8580984828356</v>
      </c>
      <c r="AS296" s="8">
        <f t="shared" si="107"/>
        <v>41.912940291932124</v>
      </c>
    </row>
    <row r="297" spans="1:45">
      <c r="A297" s="19">
        <v>8.8421666670000008</v>
      </c>
      <c r="B297" s="19">
        <v>1171.2186260000001</v>
      </c>
      <c r="C297" s="19">
        <v>-449.10872640000002</v>
      </c>
      <c r="E297" s="9">
        <f t="shared" si="93"/>
        <v>211.21862600000009</v>
      </c>
      <c r="F297" s="9">
        <f t="shared" si="98"/>
        <v>90.891273599999977</v>
      </c>
      <c r="I297">
        <v>1</v>
      </c>
      <c r="J297">
        <f t="shared" si="94"/>
        <v>0.15022396024391088</v>
      </c>
      <c r="K297">
        <f t="shared" si="99"/>
        <v>0.40636679149727734</v>
      </c>
      <c r="O297">
        <f t="shared" si="100"/>
        <v>0.13747174699964371</v>
      </c>
      <c r="P297">
        <f t="shared" si="101"/>
        <v>5.9156630290808657E-2</v>
      </c>
      <c r="Q297">
        <f t="shared" si="102"/>
        <v>0.9887375849382396</v>
      </c>
      <c r="R297">
        <f t="shared" si="92"/>
        <v>1</v>
      </c>
      <c r="AG297" s="8">
        <f t="shared" si="95"/>
        <v>-0.66218965025585086</v>
      </c>
      <c r="AH297" s="8">
        <f t="shared" si="96"/>
        <v>0.33953317280481266</v>
      </c>
      <c r="AI297" s="8">
        <f t="shared" si="97"/>
        <v>0.66799857159961895</v>
      </c>
      <c r="AJ297" s="8"/>
      <c r="AK297" s="8"/>
      <c r="AL297" s="8"/>
      <c r="AN297" s="8">
        <f t="shared" si="103"/>
        <v>1</v>
      </c>
      <c r="AO297" s="8">
        <f t="shared" si="104"/>
        <v>2.6678026140676927</v>
      </c>
      <c r="AP297" s="8">
        <f t="shared" si="105"/>
        <v>0.83928030132585574</v>
      </c>
      <c r="AQ297" s="8"/>
      <c r="AR297" s="8">
        <f t="shared" si="106"/>
        <v>152.85383036004717</v>
      </c>
      <c r="AS297" s="8">
        <f t="shared" si="107"/>
        <v>41.912780905560474</v>
      </c>
    </row>
    <row r="298" spans="1:45">
      <c r="A298" s="19">
        <v>8.8755333329999999</v>
      </c>
      <c r="B298" s="19">
        <v>1170.3175639999999</v>
      </c>
      <c r="C298" s="19">
        <v>-449.06151929999999</v>
      </c>
      <c r="E298" s="9">
        <f t="shared" si="93"/>
        <v>210.31756399999995</v>
      </c>
      <c r="F298" s="9">
        <f t="shared" si="98"/>
        <v>90.938480700000014</v>
      </c>
      <c r="I298">
        <v>1</v>
      </c>
      <c r="J298">
        <f t="shared" si="94"/>
        <v>0.14969832549262535</v>
      </c>
      <c r="K298">
        <f t="shared" si="99"/>
        <v>0.4081104280847444</v>
      </c>
      <c r="O298">
        <f t="shared" si="100"/>
        <v>0.13689133956129809</v>
      </c>
      <c r="P298">
        <f t="shared" si="101"/>
        <v>5.9189970651677276E-2</v>
      </c>
      <c r="Q298">
        <f t="shared" si="102"/>
        <v>0.98881611461755969</v>
      </c>
      <c r="R298">
        <f t="shared" si="92"/>
        <v>1</v>
      </c>
      <c r="AG298" s="8">
        <f t="shared" si="95"/>
        <v>-0.66194557297349876</v>
      </c>
      <c r="AH298" s="8">
        <f t="shared" si="96"/>
        <v>0.34006583942408775</v>
      </c>
      <c r="AI298" s="8">
        <f t="shared" si="97"/>
        <v>0.66796952271610199</v>
      </c>
      <c r="AJ298" s="8"/>
      <c r="AK298" s="8"/>
      <c r="AL298" s="8"/>
      <c r="AN298" s="8">
        <f t="shared" si="103"/>
        <v>1.0000000000000002</v>
      </c>
      <c r="AO298" s="8">
        <f t="shared" si="104"/>
        <v>2.6670160470480733</v>
      </c>
      <c r="AP298" s="8">
        <f t="shared" si="105"/>
        <v>0.83931933631142774</v>
      </c>
      <c r="AQ298" s="8"/>
      <c r="AR298" s="8">
        <f t="shared" si="106"/>
        <v>152.80876338951879</v>
      </c>
      <c r="AS298" s="8">
        <f t="shared" si="107"/>
        <v>41.910544365633847</v>
      </c>
    </row>
    <row r="299" spans="1:45">
      <c r="A299" s="19">
        <v>8.9088999999999992</v>
      </c>
      <c r="B299" s="19">
        <v>1169.753929</v>
      </c>
      <c r="C299" s="19">
        <v>-448.66837800000002</v>
      </c>
      <c r="E299" s="9">
        <f t="shared" si="93"/>
        <v>209.75392899999997</v>
      </c>
      <c r="F299" s="9">
        <f t="shared" si="98"/>
        <v>91.331621999999982</v>
      </c>
      <c r="I299">
        <v>1</v>
      </c>
      <c r="J299">
        <f t="shared" si="94"/>
        <v>0.1494639356126313</v>
      </c>
      <c r="K299">
        <f t="shared" si="99"/>
        <v>0.41066554209730338</v>
      </c>
      <c r="O299">
        <f t="shared" si="100"/>
        <v>0.13652715381814487</v>
      </c>
      <c r="P299">
        <f t="shared" si="101"/>
        <v>5.9447021873209646E-2</v>
      </c>
      <c r="Q299">
        <f t="shared" si="102"/>
        <v>0.98885104432402904</v>
      </c>
      <c r="R299">
        <f t="shared" si="92"/>
        <v>1</v>
      </c>
      <c r="AG299" s="8">
        <f t="shared" si="95"/>
        <v>-0.66164020943510116</v>
      </c>
      <c r="AH299" s="8">
        <f t="shared" si="96"/>
        <v>0.3403525168471877</v>
      </c>
      <c r="AI299" s="8">
        <f t="shared" si="97"/>
        <v>0.66812603416904848</v>
      </c>
      <c r="AJ299" s="8"/>
      <c r="AK299" s="8"/>
      <c r="AL299" s="8"/>
      <c r="AN299" s="8">
        <f t="shared" si="103"/>
        <v>1.0000000000000002</v>
      </c>
      <c r="AO299" s="8">
        <f t="shared" si="104"/>
        <v>2.6664857921620038</v>
      </c>
      <c r="AP299" s="8">
        <f t="shared" si="105"/>
        <v>0.83910900492085982</v>
      </c>
      <c r="AQ299" s="8"/>
      <c r="AR299" s="8">
        <f t="shared" si="106"/>
        <v>152.77838202248083</v>
      </c>
      <c r="AS299" s="8">
        <f t="shared" si="107"/>
        <v>41.922595466612506</v>
      </c>
    </row>
    <row r="300" spans="1:45">
      <c r="A300" s="19">
        <v>8.9422666670000002</v>
      </c>
      <c r="B300" s="19">
        <v>1169.2169699999999</v>
      </c>
      <c r="C300" s="19">
        <v>-448.51895910000002</v>
      </c>
      <c r="E300" s="9">
        <f t="shared" si="93"/>
        <v>209.21696999999995</v>
      </c>
      <c r="F300" s="9">
        <f t="shared" si="98"/>
        <v>91.481040899999982</v>
      </c>
      <c r="I300">
        <v>1</v>
      </c>
      <c r="J300">
        <f t="shared" si="94"/>
        <v>0.14918284034314663</v>
      </c>
      <c r="K300">
        <f t="shared" si="99"/>
        <v>0.41220428091028688</v>
      </c>
      <c r="O300">
        <f t="shared" si="100"/>
        <v>0.13618083410498613</v>
      </c>
      <c r="P300">
        <f t="shared" si="101"/>
        <v>5.9545669046609129E-2</v>
      </c>
      <c r="Q300">
        <f t="shared" si="102"/>
        <v>0.98889286260962661</v>
      </c>
      <c r="R300">
        <f t="shared" si="92"/>
        <v>1</v>
      </c>
      <c r="AG300" s="8">
        <f t="shared" si="95"/>
        <v>-0.66144364372725928</v>
      </c>
      <c r="AH300" s="8">
        <f t="shared" si="96"/>
        <v>0.34065437010925548</v>
      </c>
      <c r="AI300" s="8">
        <f t="shared" si="97"/>
        <v>0.66816682520031834</v>
      </c>
      <c r="AJ300" s="8"/>
      <c r="AK300" s="8"/>
      <c r="AL300" s="8"/>
      <c r="AN300" s="8">
        <f t="shared" si="103"/>
        <v>0.99999999999999989</v>
      </c>
      <c r="AO300" s="8">
        <f t="shared" si="104"/>
        <v>2.6660041639747374</v>
      </c>
      <c r="AP300" s="8">
        <f t="shared" si="105"/>
        <v>0.83905418046208746</v>
      </c>
      <c r="AQ300" s="8"/>
      <c r="AR300" s="8">
        <f t="shared" si="106"/>
        <v>152.75078676005592</v>
      </c>
      <c r="AS300" s="8">
        <f t="shared" si="107"/>
        <v>41.925736676714251</v>
      </c>
    </row>
    <row r="301" spans="1:45">
      <c r="A301" s="19">
        <v>8.9756333329999993</v>
      </c>
      <c r="B301" s="19">
        <v>1168.385166</v>
      </c>
      <c r="C301" s="19">
        <v>-448.22888819999997</v>
      </c>
      <c r="E301" s="9">
        <f t="shared" si="93"/>
        <v>208.38516600000003</v>
      </c>
      <c r="F301" s="9">
        <f t="shared" si="98"/>
        <v>91.771111800000028</v>
      </c>
      <c r="I301">
        <v>1</v>
      </c>
      <c r="J301">
        <f t="shared" si="94"/>
        <v>0.14876340967645979</v>
      </c>
      <c r="K301">
        <f t="shared" si="99"/>
        <v>0.41483505152230771</v>
      </c>
      <c r="O301">
        <f t="shared" si="100"/>
        <v>0.13564410788621326</v>
      </c>
      <c r="P301">
        <f t="shared" si="101"/>
        <v>5.9736548569090289E-2</v>
      </c>
      <c r="Q301">
        <f t="shared" si="102"/>
        <v>0.98895511564519756</v>
      </c>
      <c r="R301">
        <f t="shared" si="92"/>
        <v>1</v>
      </c>
      <c r="AG301" s="8">
        <f t="shared" si="95"/>
        <v>-0.66111435417811504</v>
      </c>
      <c r="AH301" s="8">
        <f t="shared" si="96"/>
        <v>0.34111441267150122</v>
      </c>
      <c r="AI301" s="8">
        <f t="shared" si="97"/>
        <v>0.66825801017827735</v>
      </c>
      <c r="AJ301" s="8"/>
      <c r="AK301" s="8"/>
      <c r="AL301" s="8"/>
      <c r="AN301" s="8">
        <f t="shared" si="103"/>
        <v>1</v>
      </c>
      <c r="AO301" s="8">
        <f t="shared" si="104"/>
        <v>2.665251730205255</v>
      </c>
      <c r="AP301" s="8">
        <f t="shared" si="105"/>
        <v>0.83893161515443915</v>
      </c>
      <c r="AQ301" s="8"/>
      <c r="AR301" s="8">
        <f t="shared" si="106"/>
        <v>152.70767548070145</v>
      </c>
      <c r="AS301" s="8">
        <f t="shared" si="107"/>
        <v>41.932759151557221</v>
      </c>
    </row>
    <row r="302" spans="1:45">
      <c r="A302" s="19">
        <v>9.0090000000000003</v>
      </c>
      <c r="B302" s="19">
        <v>1167.555417</v>
      </c>
      <c r="C302" s="19">
        <v>-448.14482459999999</v>
      </c>
      <c r="E302" s="9">
        <f t="shared" si="93"/>
        <v>207.55541700000003</v>
      </c>
      <c r="F302" s="9">
        <f t="shared" si="98"/>
        <v>91.855175400000007</v>
      </c>
      <c r="I302">
        <v>1</v>
      </c>
      <c r="J302">
        <f t="shared" si="94"/>
        <v>0.14829192810753913</v>
      </c>
      <c r="K302">
        <f t="shared" si="99"/>
        <v>0.41664740562841895</v>
      </c>
      <c r="O302">
        <f t="shared" si="100"/>
        <v>0.13510922158643052</v>
      </c>
      <c r="P302">
        <f t="shared" si="101"/>
        <v>5.979357911424224E-2</v>
      </c>
      <c r="Q302">
        <f t="shared" si="102"/>
        <v>0.9890248865114657</v>
      </c>
      <c r="R302">
        <f t="shared" si="92"/>
        <v>1</v>
      </c>
      <c r="AG302" s="8">
        <f t="shared" si="95"/>
        <v>-0.66087182178836312</v>
      </c>
      <c r="AH302" s="8">
        <f t="shared" si="96"/>
        <v>0.3415995304687266</v>
      </c>
      <c r="AI302" s="8">
        <f t="shared" si="97"/>
        <v>0.66825009985010508</v>
      </c>
      <c r="AJ302" s="8"/>
      <c r="AK302" s="8"/>
      <c r="AL302" s="8"/>
      <c r="AN302" s="8">
        <f t="shared" si="103"/>
        <v>1</v>
      </c>
      <c r="AO302" s="8">
        <f t="shared" si="104"/>
        <v>2.6645227402387994</v>
      </c>
      <c r="AP302" s="8">
        <f t="shared" si="105"/>
        <v>0.83894224827150132</v>
      </c>
      <c r="AQ302" s="8"/>
      <c r="AR302" s="8">
        <f t="shared" si="106"/>
        <v>152.66590743231617</v>
      </c>
      <c r="AS302" s="8">
        <f t="shared" si="107"/>
        <v>41.932149918826489</v>
      </c>
    </row>
    <row r="303" spans="1:45">
      <c r="A303" s="19">
        <v>9.0423666669999996</v>
      </c>
      <c r="B303" s="19">
        <v>1167.1171589999999</v>
      </c>
      <c r="C303" s="19">
        <v>-448.15607419999998</v>
      </c>
      <c r="E303" s="9">
        <f t="shared" si="93"/>
        <v>207.1171589999999</v>
      </c>
      <c r="F303" s="9">
        <f t="shared" si="98"/>
        <v>91.843925800000022</v>
      </c>
      <c r="I303">
        <v>1</v>
      </c>
      <c r="J303">
        <f t="shared" si="94"/>
        <v>0.14802840258015879</v>
      </c>
      <c r="K303">
        <f t="shared" si="99"/>
        <v>0.41738482161919793</v>
      </c>
      <c r="O303">
        <f t="shared" si="100"/>
        <v>0.13482682892238626</v>
      </c>
      <c r="P303">
        <f t="shared" si="101"/>
        <v>5.9787539241965698E-2</v>
      </c>
      <c r="Q303">
        <f t="shared" si="102"/>
        <v>0.98906378780851334</v>
      </c>
      <c r="R303">
        <f t="shared" si="92"/>
        <v>1</v>
      </c>
      <c r="AG303" s="8">
        <f t="shared" si="95"/>
        <v>-0.66076699588136911</v>
      </c>
      <c r="AH303" s="8">
        <f t="shared" si="96"/>
        <v>0.34186286598481619</v>
      </c>
      <c r="AI303" s="8">
        <f t="shared" si="97"/>
        <v>0.66821909432053661</v>
      </c>
      <c r="AJ303" s="8"/>
      <c r="AK303" s="8"/>
      <c r="AL303" s="8"/>
      <c r="AN303" s="8">
        <f t="shared" si="103"/>
        <v>0.99999999999999978</v>
      </c>
      <c r="AO303" s="8">
        <f t="shared" si="104"/>
        <v>2.6641436007319368</v>
      </c>
      <c r="AP303" s="8">
        <f t="shared" si="105"/>
        <v>0.83898392513659326</v>
      </c>
      <c r="AQ303" s="8"/>
      <c r="AR303" s="8">
        <f t="shared" si="106"/>
        <v>152.64418433872626</v>
      </c>
      <c r="AS303" s="8">
        <f t="shared" si="107"/>
        <v>41.929762010353386</v>
      </c>
    </row>
    <row r="304" spans="1:45">
      <c r="A304" s="19">
        <v>9.0757333330000005</v>
      </c>
      <c r="B304" s="19">
        <v>1166.3788509999999</v>
      </c>
      <c r="C304" s="19">
        <v>-448.12176840000001</v>
      </c>
      <c r="E304" s="9">
        <f t="shared" si="93"/>
        <v>206.37885099999994</v>
      </c>
      <c r="F304" s="9">
        <f t="shared" si="98"/>
        <v>91.878231599999992</v>
      </c>
      <c r="I304">
        <v>1</v>
      </c>
      <c r="J304">
        <f t="shared" si="94"/>
        <v>0.14759868561632059</v>
      </c>
      <c r="K304">
        <f t="shared" si="99"/>
        <v>0.41884847723667473</v>
      </c>
      <c r="O304">
        <f t="shared" si="100"/>
        <v>0.13435088566340264</v>
      </c>
      <c r="P304">
        <f t="shared" si="101"/>
        <v>5.9811951315918661E-2</v>
      </c>
      <c r="Q304">
        <f t="shared" si="102"/>
        <v>0.9891270747488623</v>
      </c>
      <c r="R304">
        <f t="shared" si="92"/>
        <v>1</v>
      </c>
      <c r="AG304" s="8">
        <f t="shared" si="95"/>
        <v>-0.66056791206418508</v>
      </c>
      <c r="AH304" s="8">
        <f t="shared" si="96"/>
        <v>0.3422996410454755</v>
      </c>
      <c r="AI304" s="8">
        <f t="shared" si="97"/>
        <v>0.668192329566347</v>
      </c>
      <c r="AJ304" s="8"/>
      <c r="AK304" s="8"/>
      <c r="AL304" s="8"/>
      <c r="AN304" s="8">
        <f t="shared" si="103"/>
        <v>1</v>
      </c>
      <c r="AO304" s="8">
        <f t="shared" si="104"/>
        <v>2.6634992191454989</v>
      </c>
      <c r="AP304" s="8">
        <f t="shared" si="105"/>
        <v>0.83901990040183694</v>
      </c>
      <c r="AQ304" s="8"/>
      <c r="AR304" s="8">
        <f t="shared" si="106"/>
        <v>152.60726399342744</v>
      </c>
      <c r="AS304" s="8">
        <f t="shared" si="107"/>
        <v>41.927700779488063</v>
      </c>
    </row>
    <row r="305" spans="1:45">
      <c r="A305" s="19">
        <v>9.1090999999999998</v>
      </c>
      <c r="B305" s="19">
        <v>1165.673137</v>
      </c>
      <c r="C305" s="19">
        <v>-448.05301200000002</v>
      </c>
      <c r="E305" s="9">
        <f t="shared" si="93"/>
        <v>205.673137</v>
      </c>
      <c r="F305" s="9">
        <f t="shared" si="98"/>
        <v>91.946987999999976</v>
      </c>
      <c r="I305">
        <v>1</v>
      </c>
      <c r="J305">
        <f t="shared" si="94"/>
        <v>0.14719774106824379</v>
      </c>
      <c r="K305">
        <f t="shared" si="99"/>
        <v>0.42040128821749728</v>
      </c>
      <c r="O305">
        <f t="shared" si="100"/>
        <v>0.13389578373553629</v>
      </c>
      <c r="P305">
        <f t="shared" si="101"/>
        <v>5.9858638808926938E-2</v>
      </c>
      <c r="Q305">
        <f t="shared" si="102"/>
        <v>0.98918595949284926</v>
      </c>
      <c r="R305">
        <f t="shared" si="92"/>
        <v>1</v>
      </c>
      <c r="AG305" s="8">
        <f t="shared" si="95"/>
        <v>-0.66036236170696494</v>
      </c>
      <c r="AH305" s="8">
        <f t="shared" si="96"/>
        <v>0.34271248800243437</v>
      </c>
      <c r="AI305" s="8">
        <f t="shared" si="97"/>
        <v>0.66818388322974454</v>
      </c>
      <c r="AJ305" s="8"/>
      <c r="AK305" s="8"/>
      <c r="AL305" s="8"/>
      <c r="AN305" s="8">
        <f t="shared" si="103"/>
        <v>1</v>
      </c>
      <c r="AO305" s="8">
        <f t="shared" si="104"/>
        <v>2.6628794214814233</v>
      </c>
      <c r="AP305" s="8">
        <f t="shared" si="105"/>
        <v>0.83903125312114324</v>
      </c>
      <c r="AQ305" s="8"/>
      <c r="AR305" s="8">
        <f t="shared" si="106"/>
        <v>152.57175220312385</v>
      </c>
      <c r="AS305" s="8">
        <f t="shared" si="107"/>
        <v>41.927050316585813</v>
      </c>
    </row>
    <row r="306" spans="1:45">
      <c r="A306" s="19">
        <v>9.1424666670000008</v>
      </c>
      <c r="B306" s="19">
        <v>1165.1783620000001</v>
      </c>
      <c r="C306" s="19">
        <v>-448.01466720000002</v>
      </c>
      <c r="E306" s="9">
        <f t="shared" si="93"/>
        <v>205.17836200000011</v>
      </c>
      <c r="F306" s="9">
        <f t="shared" si="98"/>
        <v>91.985332799999981</v>
      </c>
      <c r="I306">
        <v>1</v>
      </c>
      <c r="J306">
        <f t="shared" si="94"/>
        <v>0.14691420540152789</v>
      </c>
      <c r="K306">
        <f t="shared" si="99"/>
        <v>0.42145502354759684</v>
      </c>
      <c r="O306">
        <f t="shared" si="100"/>
        <v>0.13357670194726584</v>
      </c>
      <c r="P306">
        <f t="shared" si="101"/>
        <v>5.9884956986573715E-2</v>
      </c>
      <c r="Q306">
        <f t="shared" si="102"/>
        <v>0.98922750498740553</v>
      </c>
      <c r="R306">
        <f t="shared" si="92"/>
        <v>1</v>
      </c>
      <c r="AG306" s="8">
        <f t="shared" si="95"/>
        <v>-0.66022229839966284</v>
      </c>
      <c r="AH306" s="8">
        <f t="shared" si="96"/>
        <v>0.34300317446316808</v>
      </c>
      <c r="AI306" s="8">
        <f t="shared" si="97"/>
        <v>0.6681731355001157</v>
      </c>
      <c r="AJ306" s="8"/>
      <c r="AK306" s="8"/>
      <c r="AL306" s="8"/>
      <c r="AN306" s="8">
        <f t="shared" si="103"/>
        <v>1</v>
      </c>
      <c r="AO306" s="8">
        <f t="shared" si="104"/>
        <v>2.6624459190382614</v>
      </c>
      <c r="AP306" s="8">
        <f t="shared" si="105"/>
        <v>0.83904569897499359</v>
      </c>
      <c r="AQ306" s="8"/>
      <c r="AR306" s="8">
        <f t="shared" si="106"/>
        <v>152.54691434272206</v>
      </c>
      <c r="AS306" s="8">
        <f t="shared" si="107"/>
        <v>41.926222630128727</v>
      </c>
    </row>
    <row r="307" spans="1:45">
      <c r="A307" s="19">
        <v>9.1758333329999999</v>
      </c>
      <c r="B307" s="19">
        <v>1164.9909500000001</v>
      </c>
      <c r="C307" s="19">
        <v>-447.82947760000002</v>
      </c>
      <c r="E307" s="9">
        <f t="shared" si="93"/>
        <v>204.99095000000011</v>
      </c>
      <c r="F307" s="9">
        <f t="shared" si="98"/>
        <v>92.170522399999982</v>
      </c>
      <c r="I307">
        <v>1</v>
      </c>
      <c r="J307">
        <f t="shared" si="94"/>
        <v>0.14685233424770439</v>
      </c>
      <c r="K307">
        <f t="shared" si="99"/>
        <v>0.42254798299226926</v>
      </c>
      <c r="O307">
        <f t="shared" si="100"/>
        <v>0.13345534857729255</v>
      </c>
      <c r="P307">
        <f t="shared" si="101"/>
        <v>6.0005815844275764E-2</v>
      </c>
      <c r="Q307">
        <f t="shared" si="102"/>
        <v>0.98923656018213169</v>
      </c>
      <c r="R307">
        <f t="shared" si="92"/>
        <v>1</v>
      </c>
      <c r="AG307" s="8">
        <f t="shared" si="95"/>
        <v>-0.66009756710743483</v>
      </c>
      <c r="AH307" s="8">
        <f t="shared" si="96"/>
        <v>0.34309140005077765</v>
      </c>
      <c r="AI307" s="8">
        <f t="shared" si="97"/>
        <v>0.66825107041443843</v>
      </c>
      <c r="AJ307" s="8"/>
      <c r="AK307" s="8"/>
      <c r="AL307" s="8"/>
      <c r="AN307" s="8">
        <f t="shared" si="103"/>
        <v>0.99999999999999989</v>
      </c>
      <c r="AO307" s="8">
        <f t="shared" si="104"/>
        <v>2.6622633841076091</v>
      </c>
      <c r="AP307" s="8">
        <f t="shared" si="105"/>
        <v>0.83894094363777294</v>
      </c>
      <c r="AQ307" s="8"/>
      <c r="AR307" s="8">
        <f t="shared" si="106"/>
        <v>152.53645586158197</v>
      </c>
      <c r="AS307" s="8">
        <f t="shared" si="107"/>
        <v>41.932224668832937</v>
      </c>
    </row>
    <row r="308" spans="1:45">
      <c r="A308" s="19">
        <v>9.2091999999999992</v>
      </c>
      <c r="B308" s="19">
        <v>1164.2145929999999</v>
      </c>
      <c r="C308" s="19">
        <v>-447.90478330000002</v>
      </c>
      <c r="E308" s="9">
        <f t="shared" si="93"/>
        <v>204.21459299999992</v>
      </c>
      <c r="F308" s="9">
        <f t="shared" si="98"/>
        <v>92.09521669999998</v>
      </c>
      <c r="I308">
        <v>1</v>
      </c>
      <c r="J308">
        <f t="shared" si="94"/>
        <v>0.14637173483526889</v>
      </c>
      <c r="K308">
        <f t="shared" si="99"/>
        <v>0.42366257172610494</v>
      </c>
      <c r="O308">
        <f t="shared" si="100"/>
        <v>0.1329549747493099</v>
      </c>
      <c r="P308">
        <f t="shared" si="101"/>
        <v>5.9959070657015806E-2</v>
      </c>
      <c r="Q308">
        <f t="shared" si="102"/>
        <v>0.98930676968034403</v>
      </c>
      <c r="R308">
        <f t="shared" si="92"/>
        <v>1</v>
      </c>
      <c r="AG308" s="8">
        <f t="shared" si="95"/>
        <v>-0.65993447666569616</v>
      </c>
      <c r="AH308" s="8">
        <f t="shared" si="96"/>
        <v>0.34356483381350073</v>
      </c>
      <c r="AI308" s="8">
        <f t="shared" si="97"/>
        <v>0.66816890938944129</v>
      </c>
      <c r="AJ308" s="8"/>
      <c r="AK308" s="8"/>
      <c r="AL308" s="8"/>
      <c r="AN308" s="8">
        <f t="shared" si="103"/>
        <v>1</v>
      </c>
      <c r="AO308" s="8">
        <f t="shared" si="104"/>
        <v>2.6615976741001761</v>
      </c>
      <c r="AP308" s="8">
        <f t="shared" si="105"/>
        <v>0.8390513791723504</v>
      </c>
      <c r="AQ308" s="8"/>
      <c r="AR308" s="8">
        <f t="shared" si="106"/>
        <v>152.49831348777644</v>
      </c>
      <c r="AS308" s="8">
        <f t="shared" si="107"/>
        <v>41.925897178793377</v>
      </c>
    </row>
    <row r="309" spans="1:45">
      <c r="A309" s="19">
        <v>9.2425666670000002</v>
      </c>
      <c r="B309" s="19">
        <v>1163.475064</v>
      </c>
      <c r="C309" s="19">
        <v>-447.73233449999998</v>
      </c>
      <c r="E309" s="9">
        <f t="shared" si="93"/>
        <v>203.47506399999997</v>
      </c>
      <c r="F309" s="9">
        <f t="shared" si="98"/>
        <v>92.267665500000021</v>
      </c>
      <c r="I309">
        <v>1</v>
      </c>
      <c r="J309">
        <f t="shared" si="94"/>
        <v>0.14597959060051477</v>
      </c>
      <c r="K309">
        <f t="shared" si="99"/>
        <v>0.42572697777902302</v>
      </c>
      <c r="O309">
        <f t="shared" si="100"/>
        <v>0.13247757949541047</v>
      </c>
      <c r="P309">
        <f t="shared" si="101"/>
        <v>6.0073193986719647E-2</v>
      </c>
      <c r="Q309">
        <f t="shared" si="102"/>
        <v>0.9893638877052624</v>
      </c>
      <c r="R309">
        <f t="shared" si="92"/>
        <v>1</v>
      </c>
      <c r="AG309" s="8">
        <f t="shared" si="95"/>
        <v>-0.65967641754068951</v>
      </c>
      <c r="AH309" s="8">
        <f t="shared" si="96"/>
        <v>0.34398445588114812</v>
      </c>
      <c r="AI309" s="8">
        <f t="shared" si="97"/>
        <v>0.66820784061011462</v>
      </c>
      <c r="AJ309" s="8"/>
      <c r="AK309" s="8"/>
      <c r="AL309" s="8"/>
      <c r="AN309" s="8">
        <f t="shared" si="103"/>
        <v>1</v>
      </c>
      <c r="AO309" s="8">
        <f t="shared" si="104"/>
        <v>2.6609372096179444</v>
      </c>
      <c r="AP309" s="8">
        <f t="shared" si="105"/>
        <v>0.83899905170958944</v>
      </c>
      <c r="AQ309" s="8"/>
      <c r="AR309" s="8">
        <f t="shared" si="106"/>
        <v>152.46047166042626</v>
      </c>
      <c r="AS309" s="8">
        <f t="shared" si="107"/>
        <v>41.928895321562209</v>
      </c>
    </row>
    <row r="310" spans="1:45">
      <c r="A310" s="19">
        <v>9.2759333329999993</v>
      </c>
      <c r="B310" s="19">
        <v>1163.135237</v>
      </c>
      <c r="C310" s="19">
        <v>-447.81432749999999</v>
      </c>
      <c r="E310" s="9">
        <f t="shared" si="93"/>
        <v>203.13523699999996</v>
      </c>
      <c r="F310" s="9">
        <f t="shared" si="98"/>
        <v>92.18567250000001</v>
      </c>
      <c r="I310">
        <v>1</v>
      </c>
      <c r="J310">
        <f t="shared" si="94"/>
        <v>0.14575620709507942</v>
      </c>
      <c r="K310">
        <f t="shared" si="99"/>
        <v>0.4260213576292749</v>
      </c>
      <c r="O310">
        <f t="shared" si="100"/>
        <v>0.13225863283200553</v>
      </c>
      <c r="P310">
        <f t="shared" si="101"/>
        <v>6.0020856999561396E-2</v>
      </c>
      <c r="Q310">
        <f t="shared" si="102"/>
        <v>0.98939635675822402</v>
      </c>
      <c r="R310">
        <f t="shared" si="92"/>
        <v>1</v>
      </c>
      <c r="AG310" s="8">
        <f t="shared" si="95"/>
        <v>-0.65962548571032786</v>
      </c>
      <c r="AH310" s="8">
        <f t="shared" si="96"/>
        <v>0.34419794551059535</v>
      </c>
      <c r="AI310" s="8">
        <f t="shared" si="97"/>
        <v>0.66814818184868197</v>
      </c>
      <c r="AJ310" s="8"/>
      <c r="AK310" s="8"/>
      <c r="AL310" s="8"/>
      <c r="AN310" s="8">
        <f t="shared" si="103"/>
        <v>1.0000000000000002</v>
      </c>
      <c r="AO310" s="8">
        <f t="shared" si="104"/>
        <v>2.6606511338776242</v>
      </c>
      <c r="AP310" s="8">
        <f t="shared" si="105"/>
        <v>0.83907923806157825</v>
      </c>
      <c r="AQ310" s="8"/>
      <c r="AR310" s="8">
        <f t="shared" si="106"/>
        <v>152.44408072788482</v>
      </c>
      <c r="AS310" s="8">
        <f t="shared" si="107"/>
        <v>41.9243009820187</v>
      </c>
    </row>
    <row r="311" spans="1:45">
      <c r="A311" s="19">
        <v>9.3093000000000004</v>
      </c>
      <c r="B311" s="19">
        <v>1162.3448840000001</v>
      </c>
      <c r="C311" s="19">
        <v>-447.24748629999999</v>
      </c>
      <c r="E311" s="9">
        <f t="shared" si="93"/>
        <v>202.34488400000009</v>
      </c>
      <c r="F311" s="9">
        <f t="shared" si="98"/>
        <v>92.752513700000009</v>
      </c>
      <c r="I311">
        <v>1</v>
      </c>
      <c r="J311">
        <f t="shared" si="94"/>
        <v>0.14544138105251012</v>
      </c>
      <c r="K311">
        <f t="shared" si="99"/>
        <v>0.42980764663019477</v>
      </c>
      <c r="O311">
        <f t="shared" si="100"/>
        <v>0.13174726583959562</v>
      </c>
      <c r="P311">
        <f t="shared" si="101"/>
        <v>6.0391396303968968E-2</v>
      </c>
      <c r="Q311">
        <f t="shared" si="102"/>
        <v>0.98944203326736013</v>
      </c>
      <c r="R311">
        <f t="shared" si="92"/>
        <v>1</v>
      </c>
      <c r="AG311" s="8">
        <f t="shared" si="95"/>
        <v>-0.65918873839002978</v>
      </c>
      <c r="AH311" s="8">
        <f t="shared" si="96"/>
        <v>0.34459722599972353</v>
      </c>
      <c r="AI311" s="8">
        <f t="shared" si="97"/>
        <v>0.66837336797111857</v>
      </c>
      <c r="AJ311" s="8"/>
      <c r="AK311" s="8"/>
      <c r="AL311" s="8"/>
      <c r="AN311" s="8">
        <f t="shared" si="103"/>
        <v>0.99999999999999989</v>
      </c>
      <c r="AO311" s="8">
        <f t="shared" si="104"/>
        <v>2.6599036047924551</v>
      </c>
      <c r="AP311" s="8">
        <f t="shared" si="105"/>
        <v>0.83877653888038894</v>
      </c>
      <c r="AQ311" s="8"/>
      <c r="AR311" s="8">
        <f t="shared" si="106"/>
        <v>152.40125046624138</v>
      </c>
      <c r="AS311" s="8">
        <f t="shared" si="107"/>
        <v>41.941644367562915</v>
      </c>
    </row>
    <row r="312" spans="1:45">
      <c r="A312" s="19">
        <v>9.3426666669999996</v>
      </c>
      <c r="B312" s="19">
        <v>1161.816898</v>
      </c>
      <c r="C312" s="19">
        <v>-446.99340059999997</v>
      </c>
      <c r="E312" s="9">
        <f t="shared" si="93"/>
        <v>201.81689800000004</v>
      </c>
      <c r="F312" s="9">
        <f t="shared" si="98"/>
        <v>93.006599400000027</v>
      </c>
      <c r="I312">
        <v>1</v>
      </c>
      <c r="J312">
        <f t="shared" si="94"/>
        <v>0.14519826481429346</v>
      </c>
      <c r="K312">
        <f t="shared" si="99"/>
        <v>0.431837131309596</v>
      </c>
      <c r="O312">
        <f t="shared" si="100"/>
        <v>0.13140596070599833</v>
      </c>
      <c r="P312">
        <f t="shared" si="101"/>
        <v>6.0557969462769812E-2</v>
      </c>
      <c r="Q312">
        <f t="shared" si="102"/>
        <v>0.98947723865962667</v>
      </c>
      <c r="R312">
        <f t="shared" si="92"/>
        <v>1</v>
      </c>
      <c r="AG312" s="8">
        <f t="shared" si="95"/>
        <v>-0.6589491633641239</v>
      </c>
      <c r="AH312" s="8">
        <f t="shared" si="96"/>
        <v>0.34487989178303824</v>
      </c>
      <c r="AI312" s="8">
        <f t="shared" si="97"/>
        <v>0.66846380630924296</v>
      </c>
      <c r="AJ312" s="8"/>
      <c r="AK312" s="8"/>
      <c r="AL312" s="8"/>
      <c r="AN312" s="8">
        <f t="shared" si="103"/>
        <v>1</v>
      </c>
      <c r="AO312" s="8">
        <f t="shared" si="104"/>
        <v>2.659417561880272</v>
      </c>
      <c r="AP312" s="8">
        <f t="shared" si="105"/>
        <v>0.83865494688779263</v>
      </c>
      <c r="AQ312" s="8"/>
      <c r="AR312" s="8">
        <f t="shared" si="106"/>
        <v>152.37340225871102</v>
      </c>
      <c r="AS312" s="8">
        <f t="shared" si="107"/>
        <v>41.948611075561267</v>
      </c>
    </row>
    <row r="313" spans="1:45">
      <c r="A313" s="19">
        <v>9.3760333330000005</v>
      </c>
      <c r="B313" s="19">
        <v>1161.212213</v>
      </c>
      <c r="C313" s="19">
        <v>-447.08938540000003</v>
      </c>
      <c r="E313" s="9">
        <f t="shared" si="93"/>
        <v>201.21221300000002</v>
      </c>
      <c r="F313" s="9">
        <f t="shared" si="98"/>
        <v>92.910614599999974</v>
      </c>
      <c r="I313">
        <v>1</v>
      </c>
      <c r="J313">
        <f t="shared" si="94"/>
        <v>0.14481479701513</v>
      </c>
      <c r="K313">
        <f t="shared" si="99"/>
        <v>0.43258573718582377</v>
      </c>
      <c r="O313">
        <f t="shared" si="100"/>
        <v>0.13101609904667549</v>
      </c>
      <c r="P313">
        <f t="shared" si="101"/>
        <v>6.0497253637984146E-2</v>
      </c>
      <c r="Q313">
        <f t="shared" si="102"/>
        <v>0.98953264933141705</v>
      </c>
      <c r="R313">
        <f t="shared" si="92"/>
        <v>1</v>
      </c>
      <c r="AG313" s="8">
        <f t="shared" si="95"/>
        <v>-0.65883726171779111</v>
      </c>
      <c r="AH313" s="8">
        <f t="shared" si="96"/>
        <v>0.34525329183867748</v>
      </c>
      <c r="AI313" s="8">
        <f t="shared" si="97"/>
        <v>0.66838134851801456</v>
      </c>
      <c r="AJ313" s="8"/>
      <c r="AK313" s="8"/>
      <c r="AL313" s="8"/>
      <c r="AN313" s="8">
        <f t="shared" si="103"/>
        <v>0.99999999999999978</v>
      </c>
      <c r="AO313" s="8">
        <f t="shared" si="104"/>
        <v>2.6589030309616222</v>
      </c>
      <c r="AP313" s="8">
        <f t="shared" si="105"/>
        <v>0.83876580977718074</v>
      </c>
      <c r="AQ313" s="8"/>
      <c r="AR313" s="8">
        <f t="shared" si="106"/>
        <v>152.34392180864342</v>
      </c>
      <c r="AS313" s="8">
        <f t="shared" si="107"/>
        <v>41.942259099894706</v>
      </c>
    </row>
    <row r="314" spans="1:45">
      <c r="A314" s="19">
        <v>9.4093999999999998</v>
      </c>
      <c r="B314" s="19">
        <v>1160.4102459999999</v>
      </c>
      <c r="C314" s="19">
        <v>-447.07577190000001</v>
      </c>
      <c r="E314" s="9">
        <f t="shared" si="93"/>
        <v>200.41024599999992</v>
      </c>
      <c r="F314" s="9">
        <f t="shared" si="98"/>
        <v>92.924228099999993</v>
      </c>
      <c r="I314">
        <v>1</v>
      </c>
      <c r="J314">
        <f t="shared" si="94"/>
        <v>0.14434485010127365</v>
      </c>
      <c r="K314">
        <f t="shared" si="99"/>
        <v>0.43416360763175188</v>
      </c>
      <c r="O314">
        <f t="shared" si="100"/>
        <v>0.13049858117036656</v>
      </c>
      <c r="P314">
        <f t="shared" si="101"/>
        <v>6.050828321123617E-2</v>
      </c>
      <c r="Q314">
        <f t="shared" si="102"/>
        <v>0.98960035770777188</v>
      </c>
      <c r="R314">
        <f t="shared" si="92"/>
        <v>1</v>
      </c>
      <c r="AG314" s="8">
        <f t="shared" si="95"/>
        <v>-0.65862947648094794</v>
      </c>
      <c r="AH314" s="8">
        <f t="shared" si="96"/>
        <v>0.3457303735599036</v>
      </c>
      <c r="AI314" s="8">
        <f t="shared" si="97"/>
        <v>0.66833952562194165</v>
      </c>
      <c r="AJ314" s="8"/>
      <c r="AK314" s="8"/>
      <c r="AL314" s="8"/>
      <c r="AN314" s="8">
        <f t="shared" si="103"/>
        <v>1</v>
      </c>
      <c r="AO314" s="8">
        <f t="shared" si="104"/>
        <v>2.6582052869839345</v>
      </c>
      <c r="AP314" s="8">
        <f t="shared" si="105"/>
        <v>0.83882203562263991</v>
      </c>
      <c r="AQ314" s="8"/>
      <c r="AR314" s="8">
        <f t="shared" si="106"/>
        <v>152.30394402354122</v>
      </c>
      <c r="AS314" s="8">
        <f t="shared" si="107"/>
        <v>41.939037596250337</v>
      </c>
    </row>
    <row r="315" spans="1:45">
      <c r="A315" s="19">
        <v>9.4427666670000008</v>
      </c>
      <c r="B315" s="19">
        <v>1159.928359</v>
      </c>
      <c r="C315" s="19">
        <v>-447.0417516</v>
      </c>
      <c r="E315" s="9">
        <f t="shared" si="93"/>
        <v>199.928359</v>
      </c>
      <c r="F315" s="9">
        <f t="shared" si="98"/>
        <v>92.958248400000002</v>
      </c>
      <c r="I315">
        <v>1</v>
      </c>
      <c r="J315">
        <f t="shared" si="94"/>
        <v>0.14406970745809114</v>
      </c>
      <c r="K315">
        <f t="shared" si="99"/>
        <v>0.4352229683625411</v>
      </c>
      <c r="O315">
        <f t="shared" si="100"/>
        <v>0.13018750479743188</v>
      </c>
      <c r="P315">
        <f t="shared" si="101"/>
        <v>6.0531694803416372E-2</v>
      </c>
      <c r="Q315">
        <f t="shared" si="102"/>
        <v>0.9896398979016785</v>
      </c>
      <c r="R315">
        <f t="shared" si="92"/>
        <v>1</v>
      </c>
      <c r="AG315" s="8">
        <f t="shared" si="95"/>
        <v>-0.65849367123775537</v>
      </c>
      <c r="AH315" s="8">
        <f t="shared" si="96"/>
        <v>0.34601369847162389</v>
      </c>
      <c r="AI315" s="8">
        <f t="shared" si="97"/>
        <v>0.66832672055650377</v>
      </c>
      <c r="AJ315" s="8"/>
      <c r="AK315" s="8"/>
      <c r="AL315" s="8"/>
      <c r="AN315" s="8">
        <f t="shared" si="103"/>
        <v>1</v>
      </c>
      <c r="AO315" s="8">
        <f t="shared" si="104"/>
        <v>2.6577831920503425</v>
      </c>
      <c r="AP315" s="8">
        <f t="shared" si="105"/>
        <v>0.83883924992256276</v>
      </c>
      <c r="AQ315" s="8"/>
      <c r="AR315" s="8">
        <f t="shared" si="106"/>
        <v>152.27975976529257</v>
      </c>
      <c r="AS315" s="8">
        <f t="shared" si="107"/>
        <v>41.938051289517489</v>
      </c>
    </row>
    <row r="316" spans="1:45">
      <c r="A316" s="19">
        <v>9.4761333329999999</v>
      </c>
      <c r="B316" s="19">
        <v>1159.3329389999999</v>
      </c>
      <c r="C316" s="19">
        <v>-446.97852590000002</v>
      </c>
      <c r="E316" s="9">
        <f t="shared" si="93"/>
        <v>199.3329389999999</v>
      </c>
      <c r="F316" s="9">
        <f t="shared" si="98"/>
        <v>93.021474099999978</v>
      </c>
      <c r="I316">
        <v>1</v>
      </c>
      <c r="J316">
        <f t="shared" si="94"/>
        <v>0.14373577363170861</v>
      </c>
      <c r="K316">
        <f t="shared" si="99"/>
        <v>0.43662483595624224</v>
      </c>
      <c r="O316">
        <f t="shared" si="100"/>
        <v>0.12980304172381438</v>
      </c>
      <c r="P316">
        <f t="shared" si="101"/>
        <v>6.0574385469794434E-2</v>
      </c>
      <c r="Q316">
        <f t="shared" si="102"/>
        <v>0.98968778621553299</v>
      </c>
      <c r="R316">
        <f t="shared" si="92"/>
        <v>1</v>
      </c>
      <c r="AG316" s="8">
        <f t="shared" si="95"/>
        <v>-0.65831686824415214</v>
      </c>
      <c r="AH316" s="8">
        <f t="shared" si="96"/>
        <v>0.3463610246378962</v>
      </c>
      <c r="AI316" s="8">
        <f t="shared" si="97"/>
        <v>0.6683209869493838</v>
      </c>
      <c r="AJ316" s="8"/>
      <c r="AK316" s="8"/>
      <c r="AL316" s="8"/>
      <c r="AN316" s="8">
        <f t="shared" si="103"/>
        <v>1</v>
      </c>
      <c r="AO316" s="8">
        <f t="shared" si="104"/>
        <v>2.657259306802545</v>
      </c>
      <c r="AP316" s="8">
        <f t="shared" si="105"/>
        <v>0.8388469577260157</v>
      </c>
      <c r="AQ316" s="8"/>
      <c r="AR316" s="8">
        <f t="shared" si="106"/>
        <v>152.24974335164458</v>
      </c>
      <c r="AS316" s="8">
        <f t="shared" si="107"/>
        <v>41.937609664910319</v>
      </c>
    </row>
    <row r="317" spans="1:45">
      <c r="A317" s="19">
        <v>9.5094999999999992</v>
      </c>
      <c r="B317" s="19">
        <v>1158.6330310000001</v>
      </c>
      <c r="C317" s="19">
        <v>-446.84341089999998</v>
      </c>
      <c r="E317" s="9">
        <f t="shared" si="93"/>
        <v>198.63303100000007</v>
      </c>
      <c r="F317" s="9">
        <f t="shared" si="98"/>
        <v>93.156589100000019</v>
      </c>
      <c r="I317">
        <v>1</v>
      </c>
      <c r="J317">
        <f t="shared" si="94"/>
        <v>0.14336036892307252</v>
      </c>
      <c r="K317">
        <f t="shared" si="99"/>
        <v>0.43853200262539055</v>
      </c>
      <c r="O317">
        <f t="shared" si="100"/>
        <v>0.12935089368841465</v>
      </c>
      <c r="P317">
        <f t="shared" si="101"/>
        <v>6.0664069779257535E-2</v>
      </c>
      <c r="Q317">
        <f t="shared" si="102"/>
        <v>0.98974148995574895</v>
      </c>
      <c r="R317">
        <f t="shared" si="92"/>
        <v>1</v>
      </c>
      <c r="AG317" s="8">
        <f t="shared" si="95"/>
        <v>-0.65808335198881485</v>
      </c>
      <c r="AH317" s="8">
        <f t="shared" si="96"/>
        <v>0.34676144480572746</v>
      </c>
      <c r="AI317" s="8">
        <f t="shared" si="97"/>
        <v>0.66834332661545304</v>
      </c>
      <c r="AJ317" s="8"/>
      <c r="AK317" s="8"/>
      <c r="AL317" s="8"/>
      <c r="AN317" s="8">
        <f t="shared" si="103"/>
        <v>1.0000000000000002</v>
      </c>
      <c r="AO317" s="8">
        <f t="shared" si="104"/>
        <v>2.6566367434536451</v>
      </c>
      <c r="AP317" s="8">
        <f t="shared" si="105"/>
        <v>0.8388169257621062</v>
      </c>
      <c r="AQ317" s="8"/>
      <c r="AR317" s="8">
        <f t="shared" si="106"/>
        <v>152.21407309927309</v>
      </c>
      <c r="AS317" s="8">
        <f t="shared" si="107"/>
        <v>41.939330369692819</v>
      </c>
    </row>
    <row r="318" spans="1:45">
      <c r="A318" s="19">
        <v>9.5428666670000002</v>
      </c>
      <c r="B318" s="19">
        <v>1158.1415750000001</v>
      </c>
      <c r="C318" s="19">
        <v>-446.85270150000002</v>
      </c>
      <c r="E318" s="9">
        <f t="shared" si="93"/>
        <v>198.1415750000001</v>
      </c>
      <c r="F318" s="9">
        <f t="shared" si="98"/>
        <v>93.147298499999977</v>
      </c>
      <c r="I318">
        <v>1</v>
      </c>
      <c r="J318">
        <f t="shared" si="94"/>
        <v>0.14306820042756685</v>
      </c>
      <c r="K318">
        <f t="shared" si="99"/>
        <v>0.43944669325701974</v>
      </c>
      <c r="O318">
        <f t="shared" si="100"/>
        <v>0.12903364890496083</v>
      </c>
      <c r="P318">
        <f t="shared" si="101"/>
        <v>6.0659333161627353E-2</v>
      </c>
      <c r="Q318">
        <f t="shared" si="102"/>
        <v>0.98978318976968793</v>
      </c>
      <c r="R318">
        <f t="shared" si="92"/>
        <v>1</v>
      </c>
      <c r="AG318" s="8">
        <f t="shared" si="95"/>
        <v>-0.65796306560266338</v>
      </c>
      <c r="AH318" s="8">
        <f t="shared" si="96"/>
        <v>0.34705597805337729</v>
      </c>
      <c r="AI318" s="8">
        <f t="shared" si="97"/>
        <v>0.66830887499730174</v>
      </c>
      <c r="AJ318" s="8"/>
      <c r="AK318" s="8"/>
      <c r="AL318" s="8"/>
      <c r="AN318" s="8">
        <f t="shared" si="103"/>
        <v>1</v>
      </c>
      <c r="AO318" s="8">
        <f t="shared" si="104"/>
        <v>2.6562110774608279</v>
      </c>
      <c r="AP318" s="8">
        <f t="shared" si="105"/>
        <v>0.83886323989151124</v>
      </c>
      <c r="AQ318" s="8"/>
      <c r="AR318" s="8">
        <f t="shared" si="106"/>
        <v>152.18968423440242</v>
      </c>
      <c r="AS318" s="8">
        <f t="shared" si="107"/>
        <v>41.936676765546089</v>
      </c>
    </row>
    <row r="319" spans="1:45">
      <c r="A319" s="19">
        <v>9.5762333329999993</v>
      </c>
      <c r="B319" s="19">
        <v>1157.3920760000001</v>
      </c>
      <c r="C319" s="19">
        <v>-446.87845909999999</v>
      </c>
      <c r="E319" s="9">
        <f t="shared" si="93"/>
        <v>197.39207600000009</v>
      </c>
      <c r="F319" s="9">
        <f t="shared" si="98"/>
        <v>93.121540900000014</v>
      </c>
      <c r="I319">
        <v>1</v>
      </c>
      <c r="J319">
        <f t="shared" si="94"/>
        <v>0.14261960204898122</v>
      </c>
      <c r="K319">
        <f t="shared" si="99"/>
        <v>0.44080086941944296</v>
      </c>
      <c r="O319">
        <f t="shared" si="100"/>
        <v>0.1285498023959723</v>
      </c>
      <c r="P319">
        <f t="shared" si="101"/>
        <v>6.0644560430599292E-2</v>
      </c>
      <c r="Q319">
        <f t="shared" si="102"/>
        <v>0.98984705161663022</v>
      </c>
      <c r="R319">
        <f t="shared" si="92"/>
        <v>1</v>
      </c>
      <c r="AG319" s="8">
        <f t="shared" si="95"/>
        <v>-0.65778435151488168</v>
      </c>
      <c r="AH319" s="8">
        <f t="shared" si="96"/>
        <v>0.3475066136583953</v>
      </c>
      <c r="AI319" s="8">
        <f t="shared" si="97"/>
        <v>0.6682506269101598</v>
      </c>
      <c r="AJ319" s="8"/>
      <c r="AK319" s="8"/>
      <c r="AL319" s="8"/>
      <c r="AN319" s="8">
        <f t="shared" si="103"/>
        <v>1.0000000000000002</v>
      </c>
      <c r="AO319" s="8">
        <f t="shared" si="104"/>
        <v>2.6555632205861466</v>
      </c>
      <c r="AP319" s="8">
        <f t="shared" si="105"/>
        <v>0.83894153979694042</v>
      </c>
      <c r="AQ319" s="8"/>
      <c r="AR319" s="8">
        <f t="shared" si="106"/>
        <v>152.15256476975466</v>
      </c>
      <c r="AS319" s="8">
        <f t="shared" si="107"/>
        <v>41.932190511428722</v>
      </c>
    </row>
    <row r="320" spans="1:45">
      <c r="A320" s="19">
        <v>9.6096000000000004</v>
      </c>
      <c r="B320" s="19">
        <v>1156.6485090000001</v>
      </c>
      <c r="C320" s="19">
        <v>-446.9097036</v>
      </c>
      <c r="E320" s="9">
        <f t="shared" si="93"/>
        <v>196.6485090000001</v>
      </c>
      <c r="F320" s="9">
        <f t="shared" si="98"/>
        <v>93.0902964</v>
      </c>
      <c r="I320">
        <v>1</v>
      </c>
      <c r="J320">
        <f t="shared" si="94"/>
        <v>0.14217318470202969</v>
      </c>
      <c r="K320">
        <f t="shared" si="99"/>
        <v>0.44212916034968086</v>
      </c>
      <c r="O320">
        <f t="shared" si="100"/>
        <v>0.12806972816328638</v>
      </c>
      <c r="P320">
        <f t="shared" si="101"/>
        <v>6.0626185345690822E-2</v>
      </c>
      <c r="Q320">
        <f t="shared" si="102"/>
        <v>0.98991040522797413</v>
      </c>
      <c r="R320">
        <f t="shared" si="92"/>
        <v>1</v>
      </c>
      <c r="AG320" s="8">
        <f t="shared" si="95"/>
        <v>-0.65760927590275498</v>
      </c>
      <c r="AH320" s="8">
        <f t="shared" si="96"/>
        <v>0.34795437265592827</v>
      </c>
      <c r="AI320" s="8">
        <f t="shared" si="97"/>
        <v>0.66818993916121916</v>
      </c>
      <c r="AJ320" s="8"/>
      <c r="AK320" s="8"/>
      <c r="AL320" s="8"/>
      <c r="AN320" s="8">
        <f t="shared" si="103"/>
        <v>1</v>
      </c>
      <c r="AO320" s="8">
        <f t="shared" si="104"/>
        <v>2.6549211598805234</v>
      </c>
      <c r="AP320" s="8">
        <f t="shared" si="105"/>
        <v>0.83902311335662616</v>
      </c>
      <c r="AQ320" s="8"/>
      <c r="AR320" s="8">
        <f t="shared" si="106"/>
        <v>152.11577740113125</v>
      </c>
      <c r="AS320" s="8">
        <f t="shared" si="107"/>
        <v>41.927516690738869</v>
      </c>
    </row>
    <row r="321" spans="1:45">
      <c r="A321" s="19">
        <v>9.6429666669999996</v>
      </c>
      <c r="B321" s="19">
        <v>1156.2637999999999</v>
      </c>
      <c r="C321" s="19">
        <v>-446.88289270000001</v>
      </c>
      <c r="E321" s="9">
        <f t="shared" si="93"/>
        <v>196.26379999999995</v>
      </c>
      <c r="F321" s="9">
        <f t="shared" si="98"/>
        <v>93.117107299999986</v>
      </c>
      <c r="I321">
        <v>1</v>
      </c>
      <c r="J321">
        <f t="shared" si="94"/>
        <v>0.14195429106753182</v>
      </c>
      <c r="K321">
        <f t="shared" si="99"/>
        <v>0.44299843953641244</v>
      </c>
      <c r="O321">
        <f t="shared" si="100"/>
        <v>0.12782120706446132</v>
      </c>
      <c r="P321">
        <f t="shared" si="101"/>
        <v>6.0644607173798548E-2</v>
      </c>
      <c r="Q321">
        <f t="shared" si="102"/>
        <v>0.98994139758135169</v>
      </c>
      <c r="R321">
        <f t="shared" si="92"/>
        <v>1</v>
      </c>
      <c r="AG321" s="8">
        <f t="shared" si="95"/>
        <v>-0.65750056887449915</v>
      </c>
      <c r="AH321" s="8">
        <f t="shared" si="96"/>
        <v>0.34818048890722836</v>
      </c>
      <c r="AI321" s="8">
        <f t="shared" si="97"/>
        <v>0.66817912948103486</v>
      </c>
      <c r="AJ321" s="8"/>
      <c r="AK321" s="8"/>
      <c r="AL321" s="8"/>
      <c r="AN321" s="8">
        <f t="shared" si="103"/>
        <v>1.0000000000000002</v>
      </c>
      <c r="AO321" s="8">
        <f t="shared" si="104"/>
        <v>2.6545841927308178</v>
      </c>
      <c r="AP321" s="8">
        <f t="shared" si="105"/>
        <v>0.83903764258290947</v>
      </c>
      <c r="AQ321" s="8"/>
      <c r="AR321" s="8">
        <f t="shared" si="106"/>
        <v>152.09647060561858</v>
      </c>
      <c r="AS321" s="8">
        <f t="shared" si="107"/>
        <v>41.926684227393245</v>
      </c>
    </row>
    <row r="322" spans="1:45">
      <c r="A322" s="19">
        <v>9.6763333330000005</v>
      </c>
      <c r="B322" s="19">
        <v>1155.395426</v>
      </c>
      <c r="C322" s="19">
        <v>-446.52979979999998</v>
      </c>
      <c r="E322" s="9">
        <f t="shared" si="93"/>
        <v>195.39542600000004</v>
      </c>
      <c r="F322" s="9">
        <f t="shared" si="98"/>
        <v>93.470200200000022</v>
      </c>
      <c r="I322">
        <v>1</v>
      </c>
      <c r="J322">
        <f t="shared" si="94"/>
        <v>0.14154267308373186</v>
      </c>
      <c r="K322">
        <f t="shared" si="99"/>
        <v>0.44618973875148149</v>
      </c>
      <c r="O322">
        <f t="shared" si="100"/>
        <v>0.12725942585515321</v>
      </c>
      <c r="P322">
        <f t="shared" si="101"/>
        <v>6.0876368784693179E-2</v>
      </c>
      <c r="Q322">
        <f t="shared" si="102"/>
        <v>0.98999954861333483</v>
      </c>
      <c r="R322">
        <f t="shared" si="92"/>
        <v>1</v>
      </c>
      <c r="AG322" s="8">
        <f t="shared" si="95"/>
        <v>-0.65713205478593339</v>
      </c>
      <c r="AH322" s="8">
        <f t="shared" si="96"/>
        <v>0.34865316813871217</v>
      </c>
      <c r="AI322" s="8">
        <f t="shared" si="97"/>
        <v>0.66829516751182316</v>
      </c>
      <c r="AJ322" s="8"/>
      <c r="AK322" s="8"/>
      <c r="AL322" s="8"/>
      <c r="AN322" s="8">
        <f t="shared" si="103"/>
        <v>0.99999999999999989</v>
      </c>
      <c r="AO322" s="8">
        <f t="shared" si="104"/>
        <v>2.6537908254855083</v>
      </c>
      <c r="AP322" s="8">
        <f t="shared" si="105"/>
        <v>0.83888166665425079</v>
      </c>
      <c r="AQ322" s="8"/>
      <c r="AR322" s="8">
        <f t="shared" si="106"/>
        <v>152.05101401085841</v>
      </c>
      <c r="AS322" s="8">
        <f t="shared" si="107"/>
        <v>41.935620989811021</v>
      </c>
    </row>
    <row r="323" spans="1:45">
      <c r="A323" s="19">
        <v>9.7096999999999998</v>
      </c>
      <c r="B323" s="19">
        <v>1154.6549359999999</v>
      </c>
      <c r="C323" s="19">
        <v>-446.18364179999998</v>
      </c>
      <c r="E323" s="9">
        <f t="shared" si="93"/>
        <v>194.65493599999991</v>
      </c>
      <c r="F323" s="9">
        <f t="shared" si="98"/>
        <v>93.816358200000025</v>
      </c>
      <c r="I323">
        <v>1</v>
      </c>
      <c r="J323">
        <f t="shared" si="94"/>
        <v>0.14120552581575116</v>
      </c>
      <c r="K323">
        <f t="shared" si="99"/>
        <v>0.44911367416698117</v>
      </c>
      <c r="O323">
        <f t="shared" si="100"/>
        <v>0.12678020045572153</v>
      </c>
      <c r="P323">
        <f t="shared" si="101"/>
        <v>6.1103288429437949E-2</v>
      </c>
      <c r="Q323">
        <f t="shared" si="102"/>
        <v>0.99004705388961989</v>
      </c>
      <c r="R323">
        <f t="shared" si="92"/>
        <v>1</v>
      </c>
      <c r="AG323" s="8">
        <f t="shared" si="95"/>
        <v>-0.65679865367545109</v>
      </c>
      <c r="AH323" s="8">
        <f t="shared" si="96"/>
        <v>0.34905034764067977</v>
      </c>
      <c r="AI323" s="8">
        <f t="shared" si="97"/>
        <v>0.6684155768248039</v>
      </c>
      <c r="AJ323" s="8"/>
      <c r="AK323" s="8"/>
      <c r="AL323" s="8"/>
      <c r="AN323" s="8">
        <f t="shared" si="103"/>
        <v>0.99999999999999978</v>
      </c>
      <c r="AO323" s="8">
        <f t="shared" si="104"/>
        <v>2.6531090253340963</v>
      </c>
      <c r="AP323" s="8">
        <f t="shared" si="105"/>
        <v>0.83871979182823764</v>
      </c>
      <c r="AQ323" s="8"/>
      <c r="AR323" s="8">
        <f t="shared" si="106"/>
        <v>152.01194973971113</v>
      </c>
      <c r="AS323" s="8">
        <f t="shared" si="107"/>
        <v>41.94489573415099</v>
      </c>
    </row>
    <row r="324" spans="1:45">
      <c r="A324" s="19">
        <v>9.7430666670000008</v>
      </c>
      <c r="B324" s="19">
        <v>1154.2709279999999</v>
      </c>
      <c r="C324" s="19">
        <v>-446.11777030000002</v>
      </c>
      <c r="E324" s="9">
        <f t="shared" si="93"/>
        <v>194.27092799999991</v>
      </c>
      <c r="F324" s="9">
        <f t="shared" si="98"/>
        <v>93.882229699999982</v>
      </c>
      <c r="I324">
        <v>1</v>
      </c>
      <c r="J324">
        <f t="shared" si="94"/>
        <v>0.14099893146064552</v>
      </c>
      <c r="K324">
        <f t="shared" si="99"/>
        <v>0.45016139567312813</v>
      </c>
      <c r="O324">
        <f t="shared" si="100"/>
        <v>0.12653194754301686</v>
      </c>
      <c r="P324">
        <f t="shared" si="101"/>
        <v>6.1147087142250443E-2</v>
      </c>
      <c r="Q324">
        <f t="shared" si="102"/>
        <v>0.9900761081780477</v>
      </c>
      <c r="R324">
        <f t="shared" si="92"/>
        <v>1</v>
      </c>
      <c r="AG324" s="8">
        <f t="shared" si="95"/>
        <v>-0.65667346122020831</v>
      </c>
      <c r="AH324" s="8">
        <f t="shared" si="96"/>
        <v>0.34927093402879095</v>
      </c>
      <c r="AI324" s="8">
        <f t="shared" si="97"/>
        <v>0.6684233538497345</v>
      </c>
      <c r="AJ324" s="8"/>
      <c r="AK324" s="8"/>
      <c r="AL324" s="8"/>
      <c r="AN324" s="8">
        <f t="shared" si="103"/>
        <v>0.99999999999999978</v>
      </c>
      <c r="AO324" s="8">
        <f t="shared" si="104"/>
        <v>2.652768146699549</v>
      </c>
      <c r="AP324" s="8">
        <f t="shared" si="105"/>
        <v>0.83870933580948726</v>
      </c>
      <c r="AQ324" s="8"/>
      <c r="AR324" s="8">
        <f t="shared" si="106"/>
        <v>151.99241883262539</v>
      </c>
      <c r="AS324" s="8">
        <f t="shared" si="107"/>
        <v>41.945494819895899</v>
      </c>
    </row>
    <row r="325" spans="1:45">
      <c r="A325" s="19">
        <v>9.7764333329999999</v>
      </c>
      <c r="B325" s="19">
        <v>1153.4304340000001</v>
      </c>
      <c r="C325" s="19">
        <v>-446.1175432</v>
      </c>
      <c r="E325" s="9">
        <f t="shared" si="93"/>
        <v>193.4304340000001</v>
      </c>
      <c r="F325" s="9">
        <f t="shared" si="98"/>
        <v>93.8824568</v>
      </c>
      <c r="I325">
        <v>1</v>
      </c>
      <c r="J325">
        <f t="shared" si="94"/>
        <v>0.14050629274210291</v>
      </c>
      <c r="K325">
        <f t="shared" si="99"/>
        <v>0.45186323707987525</v>
      </c>
      <c r="O325">
        <f t="shared" si="100"/>
        <v>0.12598888952895745</v>
      </c>
      <c r="P325">
        <f t="shared" si="101"/>
        <v>6.1149356044366394E-2</v>
      </c>
      <c r="Q325">
        <f t="shared" si="102"/>
        <v>0.99014521963731128</v>
      </c>
      <c r="R325">
        <f t="shared" si="92"/>
        <v>1</v>
      </c>
      <c r="AG325" s="8">
        <f t="shared" si="95"/>
        <v>-0.65645981655338725</v>
      </c>
      <c r="AH325" s="8">
        <f t="shared" si="96"/>
        <v>0.34977224794083872</v>
      </c>
      <c r="AI325" s="8">
        <f t="shared" si="97"/>
        <v>0.66837106746260755</v>
      </c>
      <c r="AJ325" s="8"/>
      <c r="AK325" s="8"/>
      <c r="AL325" s="8"/>
      <c r="AN325" s="8">
        <f t="shared" si="103"/>
        <v>0.99999999999999989</v>
      </c>
      <c r="AO325" s="8">
        <f t="shared" si="104"/>
        <v>2.6520382362112929</v>
      </c>
      <c r="AP325" s="8">
        <f t="shared" si="105"/>
        <v>0.83877963168095671</v>
      </c>
      <c r="AQ325" s="8"/>
      <c r="AR325" s="8">
        <f t="shared" si="106"/>
        <v>151.95059804222598</v>
      </c>
      <c r="AS325" s="8">
        <f t="shared" si="107"/>
        <v>41.941467163143507</v>
      </c>
    </row>
    <row r="326" spans="1:45">
      <c r="A326" s="19">
        <v>9.8097999999999992</v>
      </c>
      <c r="B326" s="19">
        <v>1152.8175000000001</v>
      </c>
      <c r="C326" s="19">
        <v>-446.11216230000002</v>
      </c>
      <c r="E326" s="9">
        <f t="shared" si="93"/>
        <v>192.81750000000011</v>
      </c>
      <c r="F326" s="9">
        <f t="shared" si="98"/>
        <v>93.887837699999977</v>
      </c>
      <c r="I326">
        <v>1</v>
      </c>
      <c r="J326">
        <f t="shared" si="94"/>
        <v>0.14014874598674357</v>
      </c>
      <c r="K326">
        <f t="shared" si="99"/>
        <v>0.45313374307928089</v>
      </c>
      <c r="O326">
        <f t="shared" si="100"/>
        <v>0.12559279414880872</v>
      </c>
      <c r="P326">
        <f t="shared" si="101"/>
        <v>6.1154386263346704E-2</v>
      </c>
      <c r="Q326">
        <f t="shared" si="102"/>
        <v>0.99019522877998578</v>
      </c>
      <c r="R326">
        <f t="shared" si="92"/>
        <v>1</v>
      </c>
      <c r="AG326" s="8">
        <f t="shared" si="95"/>
        <v>-0.65630168833039371</v>
      </c>
      <c r="AH326" s="8">
        <f t="shared" si="96"/>
        <v>0.35013712424625826</v>
      </c>
      <c r="AI326" s="8">
        <f t="shared" si="97"/>
        <v>0.66833531114197098</v>
      </c>
      <c r="AJ326" s="8"/>
      <c r="AK326" s="8"/>
      <c r="AL326" s="8"/>
      <c r="AN326" s="8">
        <f t="shared" si="103"/>
        <v>1</v>
      </c>
      <c r="AO326" s="8">
        <f t="shared" si="104"/>
        <v>2.651505372716195</v>
      </c>
      <c r="AP326" s="8">
        <f t="shared" si="105"/>
        <v>0.83882770132571449</v>
      </c>
      <c r="AQ326" s="8"/>
      <c r="AR326" s="8">
        <f t="shared" si="106"/>
        <v>151.92006721290028</v>
      </c>
      <c r="AS326" s="8">
        <f t="shared" si="107"/>
        <v>41.938712975376191</v>
      </c>
    </row>
    <row r="327" spans="1:45">
      <c r="A327" s="19">
        <v>9.8431666670000002</v>
      </c>
      <c r="B327" s="19">
        <v>1152.3126440000001</v>
      </c>
      <c r="C327" s="19">
        <v>-445.85797209999998</v>
      </c>
      <c r="E327" s="9">
        <f t="shared" si="93"/>
        <v>192.31264400000009</v>
      </c>
      <c r="F327" s="9">
        <f t="shared" si="98"/>
        <v>94.142027900000016</v>
      </c>
      <c r="I327">
        <v>1</v>
      </c>
      <c r="J327">
        <f t="shared" si="94"/>
        <v>0.13992585569955918</v>
      </c>
      <c r="K327">
        <f t="shared" si="99"/>
        <v>0.45523330628960551</v>
      </c>
      <c r="O327">
        <f t="shared" si="100"/>
        <v>0.12526588883657913</v>
      </c>
      <c r="P327">
        <f t="shared" si="101"/>
        <v>6.1320902029569767E-2</v>
      </c>
      <c r="Q327">
        <f t="shared" si="102"/>
        <v>0.9902263398174489</v>
      </c>
      <c r="R327">
        <f t="shared" si="92"/>
        <v>1</v>
      </c>
      <c r="AG327" s="8">
        <f t="shared" si="95"/>
        <v>-0.65606632845516721</v>
      </c>
      <c r="AH327" s="8">
        <f t="shared" si="96"/>
        <v>0.35040542500435484</v>
      </c>
      <c r="AI327" s="8">
        <f t="shared" si="97"/>
        <v>0.66842577059451735</v>
      </c>
      <c r="AJ327" s="8"/>
      <c r="AK327" s="8"/>
      <c r="AL327" s="8"/>
      <c r="AN327" s="8">
        <f t="shared" si="103"/>
        <v>1.0000000000000002</v>
      </c>
      <c r="AO327" s="8">
        <f t="shared" si="104"/>
        <v>2.6510381583859681</v>
      </c>
      <c r="AP327" s="8">
        <f t="shared" si="105"/>
        <v>0.83870608653555467</v>
      </c>
      <c r="AQ327" s="8"/>
      <c r="AR327" s="8">
        <f t="shared" si="106"/>
        <v>151.89329780365026</v>
      </c>
      <c r="AS327" s="8">
        <f t="shared" si="107"/>
        <v>41.945680989578719</v>
      </c>
    </row>
    <row r="328" spans="1:45">
      <c r="A328" s="19">
        <v>9.8765333329999994</v>
      </c>
      <c r="B328" s="19">
        <v>1151.843488</v>
      </c>
      <c r="C328" s="19">
        <v>-445.3629454</v>
      </c>
      <c r="E328" s="9">
        <f t="shared" si="93"/>
        <v>191.84348799999998</v>
      </c>
      <c r="F328" s="9">
        <f t="shared" si="98"/>
        <v>94.637054599999999</v>
      </c>
      <c r="I328">
        <v>1</v>
      </c>
      <c r="J328">
        <f t="shared" si="94"/>
        <v>0.13979378100269502</v>
      </c>
      <c r="K328">
        <f t="shared" si="99"/>
        <v>0.45827603257261174</v>
      </c>
      <c r="O328">
        <f t="shared" si="100"/>
        <v>0.12496143633553601</v>
      </c>
      <c r="P328">
        <f t="shared" si="101"/>
        <v>6.1643907732643742E-2</v>
      </c>
      <c r="Q328">
        <f t="shared" si="102"/>
        <v>0.99024475159851721</v>
      </c>
      <c r="R328">
        <f t="shared" si="92"/>
        <v>1</v>
      </c>
      <c r="AG328" s="8">
        <f t="shared" si="95"/>
        <v>-0.65573865485313731</v>
      </c>
      <c r="AH328" s="8">
        <f t="shared" si="96"/>
        <v>0.35062130966174271</v>
      </c>
      <c r="AI328" s="8">
        <f t="shared" si="97"/>
        <v>0.6686340656461367</v>
      </c>
      <c r="AJ328" s="8"/>
      <c r="AK328" s="8"/>
      <c r="AL328" s="8"/>
      <c r="AN328" s="8">
        <f t="shared" si="103"/>
        <v>0.99999999999999978</v>
      </c>
      <c r="AO328" s="8">
        <f t="shared" si="104"/>
        <v>2.6505744660348376</v>
      </c>
      <c r="AP328" s="8">
        <f t="shared" si="105"/>
        <v>0.83842600157431624</v>
      </c>
      <c r="AQ328" s="8"/>
      <c r="AR328" s="8">
        <f t="shared" si="106"/>
        <v>151.86673018893796</v>
      </c>
      <c r="AS328" s="8">
        <f t="shared" si="107"/>
        <v>41.961728675762764</v>
      </c>
    </row>
    <row r="329" spans="1:45">
      <c r="A329" s="19">
        <v>9.9099000000000004</v>
      </c>
      <c r="B329" s="19">
        <v>1151.3329550000001</v>
      </c>
      <c r="C329" s="19">
        <v>-445.22932639999999</v>
      </c>
      <c r="E329" s="9">
        <f t="shared" si="93"/>
        <v>191.33295500000008</v>
      </c>
      <c r="F329" s="9">
        <f t="shared" si="98"/>
        <v>94.770673600000009</v>
      </c>
      <c r="I329">
        <v>1</v>
      </c>
      <c r="J329">
        <f t="shared" si="94"/>
        <v>0.13953418936952719</v>
      </c>
      <c r="K329">
        <f t="shared" si="99"/>
        <v>0.45989507002076929</v>
      </c>
      <c r="O329">
        <f t="shared" si="100"/>
        <v>0.12463111404154124</v>
      </c>
      <c r="P329">
        <f t="shared" si="101"/>
        <v>6.1732045215291208E-2</v>
      </c>
      <c r="Q329">
        <f t="shared" si="102"/>
        <v>0.9902808894481917</v>
      </c>
      <c r="R329">
        <f t="shared" si="92"/>
        <v>1</v>
      </c>
      <c r="AG329" s="8">
        <f t="shared" si="95"/>
        <v>-0.65555237450496517</v>
      </c>
      <c r="AH329" s="8">
        <f t="shared" si="96"/>
        <v>0.35090847086426352</v>
      </c>
      <c r="AI329" s="8">
        <f t="shared" si="97"/>
        <v>0.66866608210421918</v>
      </c>
      <c r="AJ329" s="8"/>
      <c r="AK329" s="8"/>
      <c r="AL329" s="8"/>
      <c r="AN329" s="8">
        <f t="shared" si="103"/>
        <v>1.0000000000000002</v>
      </c>
      <c r="AO329" s="8">
        <f t="shared" si="104"/>
        <v>2.6501157694847741</v>
      </c>
      <c r="AP329" s="8">
        <f t="shared" si="105"/>
        <v>0.83838294423295623</v>
      </c>
      <c r="AQ329" s="8"/>
      <c r="AR329" s="8">
        <f t="shared" si="106"/>
        <v>151.84044881254212</v>
      </c>
      <c r="AS329" s="8">
        <f t="shared" si="107"/>
        <v>41.964195679699749</v>
      </c>
    </row>
    <row r="330" spans="1:45">
      <c r="A330" s="19">
        <v>9.9432666669999996</v>
      </c>
      <c r="B330" s="19">
        <v>1150.348669</v>
      </c>
      <c r="C330" s="19">
        <v>-445.16887869999999</v>
      </c>
      <c r="E330" s="9">
        <f t="shared" si="93"/>
        <v>190.34866899999997</v>
      </c>
      <c r="F330" s="9">
        <f t="shared" si="98"/>
        <v>94.831121300000007</v>
      </c>
      <c r="I330">
        <v>1</v>
      </c>
      <c r="J330">
        <f t="shared" si="94"/>
        <v>0.13897736890209206</v>
      </c>
      <c r="K330">
        <f t="shared" si="99"/>
        <v>0.46220410775538667</v>
      </c>
      <c r="O330">
        <f t="shared" si="100"/>
        <v>0.12399467067265788</v>
      </c>
      <c r="P330">
        <f t="shared" si="101"/>
        <v>6.1773763467252697E-2</v>
      </c>
      <c r="Q330">
        <f t="shared" si="102"/>
        <v>0.9903581795450932</v>
      </c>
      <c r="R330">
        <f t="shared" si="92"/>
        <v>1</v>
      </c>
      <c r="AG330" s="8">
        <f t="shared" si="95"/>
        <v>-0.65527595943466244</v>
      </c>
      <c r="AH330" s="8">
        <f t="shared" si="96"/>
        <v>0.35148749431563914</v>
      </c>
      <c r="AI330" s="8">
        <f t="shared" si="97"/>
        <v>0.66863290251579466</v>
      </c>
      <c r="AJ330" s="8"/>
      <c r="AK330" s="8"/>
      <c r="AL330" s="8"/>
      <c r="AN330" s="8">
        <f t="shared" si="103"/>
        <v>1</v>
      </c>
      <c r="AO330" s="8">
        <f t="shared" si="104"/>
        <v>2.6492538236068581</v>
      </c>
      <c r="AP330" s="8">
        <f t="shared" si="105"/>
        <v>0.83842756577905519</v>
      </c>
      <c r="AQ330" s="8"/>
      <c r="AR330" s="8">
        <f t="shared" si="106"/>
        <v>151.79106295156882</v>
      </c>
      <c r="AS330" s="8">
        <f t="shared" si="107"/>
        <v>41.961639053432926</v>
      </c>
    </row>
    <row r="331" spans="1:45">
      <c r="A331" s="19">
        <v>9.9766333330000005</v>
      </c>
      <c r="B331" s="19">
        <v>1149.4982419999999</v>
      </c>
      <c r="C331" s="19">
        <v>-445.1171377</v>
      </c>
      <c r="E331" s="9">
        <f t="shared" si="93"/>
        <v>189.49824199999989</v>
      </c>
      <c r="F331" s="9">
        <f t="shared" si="98"/>
        <v>94.882862299999999</v>
      </c>
      <c r="I331">
        <v>1</v>
      </c>
      <c r="J331">
        <f t="shared" si="94"/>
        <v>0.13849667959962778</v>
      </c>
      <c r="K331">
        <f t="shared" si="99"/>
        <v>0.46421206190148923</v>
      </c>
      <c r="O331">
        <f t="shared" si="100"/>
        <v>0.12344469168708549</v>
      </c>
      <c r="P331">
        <f t="shared" si="101"/>
        <v>6.1809468834078653E-2</v>
      </c>
      <c r="Q331">
        <f t="shared" si="102"/>
        <v>0.99042465521448397</v>
      </c>
      <c r="R331">
        <f t="shared" si="92"/>
        <v>1</v>
      </c>
      <c r="AG331" s="8">
        <f t="shared" si="95"/>
        <v>-0.65503710486365341</v>
      </c>
      <c r="AH331" s="8">
        <f t="shared" si="96"/>
        <v>0.35198776494986012</v>
      </c>
      <c r="AI331" s="8">
        <f t="shared" si="97"/>
        <v>0.6686037724822117</v>
      </c>
      <c r="AJ331" s="8"/>
      <c r="AK331" s="8"/>
      <c r="AL331" s="8"/>
      <c r="AN331" s="8">
        <f t="shared" si="103"/>
        <v>1</v>
      </c>
      <c r="AO331" s="8">
        <f t="shared" si="104"/>
        <v>2.6485091448631635</v>
      </c>
      <c r="AP331" s="8">
        <f t="shared" si="105"/>
        <v>0.83846673980829889</v>
      </c>
      <c r="AQ331" s="8"/>
      <c r="AR331" s="8">
        <f t="shared" si="106"/>
        <v>151.74839600246202</v>
      </c>
      <c r="AS331" s="8">
        <f t="shared" si="107"/>
        <v>41.959394546890742</v>
      </c>
    </row>
    <row r="332" spans="1:45">
      <c r="A332" s="19">
        <v>10.01</v>
      </c>
      <c r="B332" s="19">
        <v>1149.229435</v>
      </c>
      <c r="C332" s="19">
        <v>-445.10610889999998</v>
      </c>
      <c r="E332" s="9">
        <f t="shared" si="93"/>
        <v>189.22943499999997</v>
      </c>
      <c r="F332" s="9">
        <f t="shared" si="98"/>
        <v>94.893891100000019</v>
      </c>
      <c r="I332">
        <v>1</v>
      </c>
      <c r="J332">
        <f t="shared" si="94"/>
        <v>0.13834329166878384</v>
      </c>
      <c r="K332">
        <f t="shared" si="99"/>
        <v>0.4648271667998336</v>
      </c>
      <c r="O332">
        <f t="shared" si="100"/>
        <v>0.12327084715933218</v>
      </c>
      <c r="P332">
        <f t="shared" si="101"/>
        <v>6.1817287284837152E-2</v>
      </c>
      <c r="Q332">
        <f t="shared" si="102"/>
        <v>0.99044581943353394</v>
      </c>
      <c r="R332">
        <f t="shared" si="92"/>
        <v>1</v>
      </c>
      <c r="AG332" s="8">
        <f t="shared" si="95"/>
        <v>-0.6549638022249098</v>
      </c>
      <c r="AH332" s="8">
        <f t="shared" si="96"/>
        <v>0.35214656743250072</v>
      </c>
      <c r="AI332" s="8">
        <f t="shared" si="97"/>
        <v>0.66859196287466438</v>
      </c>
      <c r="AJ332" s="8"/>
      <c r="AK332" s="8"/>
      <c r="AL332" s="8"/>
      <c r="AN332" s="8">
        <f t="shared" si="103"/>
        <v>1.0000000000000002</v>
      </c>
      <c r="AO332" s="8">
        <f t="shared" si="104"/>
        <v>2.6482743734763323</v>
      </c>
      <c r="AP332" s="8">
        <f t="shared" si="105"/>
        <v>0.83848262095926618</v>
      </c>
      <c r="AQ332" s="8"/>
      <c r="AR332" s="8">
        <f t="shared" si="106"/>
        <v>151.73494459284618</v>
      </c>
      <c r="AS332" s="8">
        <f t="shared" si="107"/>
        <v>41.958484623966505</v>
      </c>
    </row>
    <row r="333" spans="1:45">
      <c r="A333" s="19">
        <v>10.043366669999999</v>
      </c>
      <c r="B333" s="19">
        <v>1148.433125</v>
      </c>
      <c r="C333" s="19">
        <v>-445.10795839999997</v>
      </c>
      <c r="E333" s="9">
        <f t="shared" si="93"/>
        <v>188.43312500000002</v>
      </c>
      <c r="F333" s="9">
        <f t="shared" si="98"/>
        <v>94.892041600000027</v>
      </c>
      <c r="I333">
        <v>1</v>
      </c>
      <c r="J333">
        <f t="shared" si="94"/>
        <v>0.13787905618908905</v>
      </c>
      <c r="K333">
        <f t="shared" si="99"/>
        <v>0.46651126721559794</v>
      </c>
      <c r="O333">
        <f t="shared" si="100"/>
        <v>0.1227558854551955</v>
      </c>
      <c r="P333">
        <f t="shared" si="101"/>
        <v>6.1817987624305695E-2</v>
      </c>
      <c r="Q333">
        <f t="shared" si="102"/>
        <v>0.99050973190180824</v>
      </c>
      <c r="R333">
        <f t="shared" si="92"/>
        <v>1</v>
      </c>
      <c r="AG333" s="8">
        <f t="shared" si="95"/>
        <v>-0.65476105050955091</v>
      </c>
      <c r="AH333" s="8">
        <f t="shared" si="96"/>
        <v>0.35262142609302971</v>
      </c>
      <c r="AI333" s="8">
        <f t="shared" si="97"/>
        <v>0.66854027297968166</v>
      </c>
      <c r="AJ333" s="8"/>
      <c r="AK333" s="8"/>
      <c r="AL333" s="8"/>
      <c r="AN333" s="8">
        <f t="shared" si="103"/>
        <v>1</v>
      </c>
      <c r="AO333" s="8">
        <f t="shared" si="104"/>
        <v>2.6475828721954038</v>
      </c>
      <c r="AP333" s="8">
        <f t="shared" si="105"/>
        <v>0.83855212907058807</v>
      </c>
      <c r="AQ333" s="8"/>
      <c r="AR333" s="8">
        <f t="shared" si="106"/>
        <v>151.69532448792106</v>
      </c>
      <c r="AS333" s="8">
        <f t="shared" si="107"/>
        <v>41.954502102545838</v>
      </c>
    </row>
    <row r="334" spans="1:45">
      <c r="A334" s="19">
        <v>10.07673333</v>
      </c>
      <c r="B334" s="19">
        <v>1147.9609889999999</v>
      </c>
      <c r="C334" s="19">
        <v>-445.1179788</v>
      </c>
      <c r="E334" s="9">
        <f t="shared" si="93"/>
        <v>187.96098899999993</v>
      </c>
      <c r="F334" s="9">
        <f t="shared" si="98"/>
        <v>94.882021199999997</v>
      </c>
      <c r="I334">
        <v>1</v>
      </c>
      <c r="J334">
        <f t="shared" si="94"/>
        <v>0.13760135196123255</v>
      </c>
      <c r="K334">
        <f t="shared" si="99"/>
        <v>0.4674773228267351</v>
      </c>
      <c r="O334">
        <f t="shared" si="100"/>
        <v>0.12245054779351901</v>
      </c>
      <c r="P334">
        <f t="shared" si="101"/>
        <v>6.1812589588450657E-2</v>
      </c>
      <c r="Q334">
        <f t="shared" si="102"/>
        <v>0.99054786210129031</v>
      </c>
      <c r="R334">
        <f t="shared" si="92"/>
        <v>1</v>
      </c>
      <c r="AG334" s="8">
        <f t="shared" si="95"/>
        <v>-0.65464450366439431</v>
      </c>
      <c r="AH334" s="8">
        <f t="shared" si="96"/>
        <v>0.35290409977388576</v>
      </c>
      <c r="AI334" s="8">
        <f t="shared" si="97"/>
        <v>0.66850525067854338</v>
      </c>
      <c r="AJ334" s="8"/>
      <c r="AK334" s="8"/>
      <c r="AL334" s="8"/>
      <c r="AN334" s="8">
        <f t="shared" si="103"/>
        <v>1</v>
      </c>
      <c r="AO334" s="8">
        <f t="shared" si="104"/>
        <v>2.6471739227941375</v>
      </c>
      <c r="AP334" s="8">
        <f t="shared" si="105"/>
        <v>0.83859922157145561</v>
      </c>
      <c r="AQ334" s="8"/>
      <c r="AR334" s="8">
        <f t="shared" si="106"/>
        <v>151.67189341319411</v>
      </c>
      <c r="AS334" s="8">
        <f t="shared" si="107"/>
        <v>41.951803900999408</v>
      </c>
    </row>
    <row r="335" spans="1:45">
      <c r="A335" s="19">
        <v>10.110099999999999</v>
      </c>
      <c r="B335" s="19">
        <v>1147.3470420000001</v>
      </c>
      <c r="C335" s="19">
        <v>-444.9837205</v>
      </c>
      <c r="E335" s="9">
        <f t="shared" si="93"/>
        <v>187.3470420000001</v>
      </c>
      <c r="F335" s="9">
        <f t="shared" si="98"/>
        <v>95.016279499999996</v>
      </c>
      <c r="I335">
        <v>1</v>
      </c>
      <c r="J335">
        <f t="shared" si="94"/>
        <v>0.13728380294607104</v>
      </c>
      <c r="K335">
        <f t="shared" si="99"/>
        <v>0.46936493599075435</v>
      </c>
      <c r="O335">
        <f t="shared" si="100"/>
        <v>0.12205311430568754</v>
      </c>
      <c r="P335">
        <f t="shared" si="101"/>
        <v>6.1901339348152867E-2</v>
      </c>
      <c r="Q335">
        <f t="shared" si="102"/>
        <v>0.99059136957435057</v>
      </c>
      <c r="R335">
        <f t="shared" si="92"/>
        <v>1</v>
      </c>
      <c r="AG335" s="8">
        <f t="shared" si="95"/>
        <v>-0.6544308701438174</v>
      </c>
      <c r="AH335" s="8">
        <f t="shared" si="96"/>
        <v>0.35325260124552371</v>
      </c>
      <c r="AI335" s="8">
        <f t="shared" si="97"/>
        <v>0.6685303552689863</v>
      </c>
      <c r="AJ335" s="8"/>
      <c r="AK335" s="8"/>
      <c r="AL335" s="8"/>
      <c r="AN335" s="8">
        <f t="shared" si="103"/>
        <v>1</v>
      </c>
      <c r="AO335" s="8">
        <f t="shared" si="104"/>
        <v>2.6466251150855822</v>
      </c>
      <c r="AP335" s="8">
        <f t="shared" si="105"/>
        <v>0.83856546505568019</v>
      </c>
      <c r="AQ335" s="8"/>
      <c r="AR335" s="8">
        <f t="shared" si="106"/>
        <v>151.64044904772965</v>
      </c>
      <c r="AS335" s="8">
        <f t="shared" si="107"/>
        <v>41.953738006884407</v>
      </c>
    </row>
    <row r="336" spans="1:45">
      <c r="A336" s="19">
        <v>10.14346667</v>
      </c>
      <c r="B336" s="19">
        <v>1146.6990000000001</v>
      </c>
      <c r="C336" s="19">
        <v>-444.63478020000002</v>
      </c>
      <c r="E336" s="9">
        <f t="shared" si="93"/>
        <v>186.69900000000007</v>
      </c>
      <c r="F336" s="9">
        <f t="shared" si="98"/>
        <v>95.365219799999977</v>
      </c>
      <c r="I336">
        <v>1</v>
      </c>
      <c r="J336">
        <f t="shared" si="94"/>
        <v>0.1370105218751512</v>
      </c>
      <c r="K336">
        <f t="shared" si="99"/>
        <v>0.47224755891574016</v>
      </c>
      <c r="O336">
        <f t="shared" si="100"/>
        <v>0.12163308451043481</v>
      </c>
      <c r="P336">
        <f t="shared" si="101"/>
        <v>6.2129769518259791E-2</v>
      </c>
      <c r="Q336">
        <f t="shared" si="102"/>
        <v>0.99062873191326595</v>
      </c>
      <c r="R336">
        <f t="shared" si="92"/>
        <v>1</v>
      </c>
      <c r="AG336" s="8">
        <f t="shared" si="95"/>
        <v>-0.65411802159378618</v>
      </c>
      <c r="AH336" s="8">
        <f t="shared" si="96"/>
        <v>0.35359359565845538</v>
      </c>
      <c r="AI336" s="8">
        <f t="shared" si="97"/>
        <v>0.66865625169855092</v>
      </c>
      <c r="AJ336" s="8"/>
      <c r="AK336" s="8"/>
      <c r="AL336" s="8"/>
      <c r="AN336" s="8">
        <f t="shared" si="103"/>
        <v>1</v>
      </c>
      <c r="AO336" s="8">
        <f t="shared" si="104"/>
        <v>2.6460217116097704</v>
      </c>
      <c r="AP336" s="8">
        <f t="shared" si="105"/>
        <v>0.83839616483374213</v>
      </c>
      <c r="AQ336" s="8"/>
      <c r="AR336" s="8">
        <f t="shared" si="106"/>
        <v>151.60587657522211</v>
      </c>
      <c r="AS336" s="8">
        <f t="shared" si="107"/>
        <v>41.963438195072087</v>
      </c>
    </row>
    <row r="337" spans="1:45">
      <c r="A337" s="19">
        <v>10.176833329999999</v>
      </c>
      <c r="B337" s="19">
        <v>1146.0177759999999</v>
      </c>
      <c r="C337" s="19">
        <v>-444.5719393</v>
      </c>
      <c r="E337" s="9">
        <f t="shared" si="93"/>
        <v>186.01777599999991</v>
      </c>
      <c r="F337" s="9">
        <f t="shared" si="98"/>
        <v>95.428060700000003</v>
      </c>
      <c r="I337">
        <v>1</v>
      </c>
      <c r="J337">
        <f t="shared" si="94"/>
        <v>0.13663390149928811</v>
      </c>
      <c r="K337">
        <f t="shared" si="99"/>
        <v>0.4739974469507876</v>
      </c>
      <c r="O337">
        <f t="shared" si="100"/>
        <v>0.12119221161032621</v>
      </c>
      <c r="P337">
        <f t="shared" si="101"/>
        <v>6.2172218024569112E-2</v>
      </c>
      <c r="Q337">
        <f t="shared" si="102"/>
        <v>0.9906801013197466</v>
      </c>
      <c r="R337">
        <f t="shared" si="92"/>
        <v>1</v>
      </c>
      <c r="AG337" s="8">
        <f t="shared" si="95"/>
        <v>-0.65391694812505741</v>
      </c>
      <c r="AH337" s="8">
        <f t="shared" si="96"/>
        <v>0.3539913259775252</v>
      </c>
      <c r="AI337" s="8">
        <f t="shared" si="97"/>
        <v>0.66864248002014082</v>
      </c>
      <c r="AJ337" s="8"/>
      <c r="AK337" s="8"/>
      <c r="AL337" s="8"/>
      <c r="AN337" s="8">
        <f t="shared" si="103"/>
        <v>1</v>
      </c>
      <c r="AO337" s="8">
        <f t="shared" si="104"/>
        <v>2.6454225868641887</v>
      </c>
      <c r="AP337" s="8">
        <f t="shared" si="105"/>
        <v>0.83841468566290545</v>
      </c>
      <c r="AQ337" s="8"/>
      <c r="AR337" s="8">
        <f t="shared" si="106"/>
        <v>151.57154925589842</v>
      </c>
      <c r="AS337" s="8">
        <f t="shared" si="107"/>
        <v>41.962377029727946</v>
      </c>
    </row>
    <row r="338" spans="1:45">
      <c r="A338" s="19">
        <v>10.2102</v>
      </c>
      <c r="B338" s="19">
        <v>1145.3543729999999</v>
      </c>
      <c r="C338" s="19">
        <v>-444.21872259999998</v>
      </c>
      <c r="E338" s="9">
        <f t="shared" si="93"/>
        <v>185.3543729999999</v>
      </c>
      <c r="F338" s="9">
        <f t="shared" si="98"/>
        <v>95.781277400000022</v>
      </c>
      <c r="I338">
        <v>1</v>
      </c>
      <c r="J338">
        <f t="shared" si="94"/>
        <v>0.13635480198443956</v>
      </c>
      <c r="K338">
        <f t="shared" si="99"/>
        <v>0.47695510758877696</v>
      </c>
      <c r="O338">
        <f t="shared" si="100"/>
        <v>0.12076215250915051</v>
      </c>
      <c r="P338">
        <f t="shared" si="101"/>
        <v>6.2403454753668326E-2</v>
      </c>
      <c r="Q338">
        <f t="shared" si="102"/>
        <v>0.99071807864607153</v>
      </c>
      <c r="R338">
        <f t="shared" si="92"/>
        <v>1</v>
      </c>
      <c r="AG338" s="8">
        <f t="shared" si="95"/>
        <v>-0.65359805586931097</v>
      </c>
      <c r="AH338" s="8">
        <f t="shared" si="96"/>
        <v>0.3543407882241979</v>
      </c>
      <c r="AI338" s="8">
        <f t="shared" si="97"/>
        <v>0.66876915835324768</v>
      </c>
      <c r="AJ338" s="8"/>
      <c r="AK338" s="8"/>
      <c r="AL338" s="8"/>
      <c r="AN338" s="8">
        <f t="shared" si="103"/>
        <v>1</v>
      </c>
      <c r="AO338" s="8">
        <f t="shared" si="104"/>
        <v>2.6448050320179046</v>
      </c>
      <c r="AP338" s="8">
        <f t="shared" si="105"/>
        <v>0.83824431078881756</v>
      </c>
      <c r="AQ338" s="8"/>
      <c r="AR338" s="8">
        <f t="shared" si="106"/>
        <v>151.5361659695885</v>
      </c>
      <c r="AS338" s="8">
        <f t="shared" si="107"/>
        <v>41.972138790948257</v>
      </c>
    </row>
    <row r="339" spans="1:45">
      <c r="A339" s="19">
        <v>10.24356667</v>
      </c>
      <c r="B339" s="19">
        <v>1144.656923</v>
      </c>
      <c r="C339" s="19">
        <v>-444.10980210000002</v>
      </c>
      <c r="E339" s="9">
        <f t="shared" si="93"/>
        <v>184.65692300000001</v>
      </c>
      <c r="F339" s="9">
        <f t="shared" si="98"/>
        <v>95.890197899999976</v>
      </c>
      <c r="I339">
        <v>1</v>
      </c>
      <c r="J339">
        <f t="shared" si="94"/>
        <v>0.13598371622187325</v>
      </c>
      <c r="K339">
        <f t="shared" si="99"/>
        <v>0.478958989486228</v>
      </c>
      <c r="O339">
        <f t="shared" si="100"/>
        <v>0.12031058009157526</v>
      </c>
      <c r="P339">
        <f t="shared" si="101"/>
        <v>6.2475888512693076E-2</v>
      </c>
      <c r="Q339">
        <f t="shared" si="102"/>
        <v>0.9907684531072728</v>
      </c>
      <c r="R339">
        <f t="shared" si="92"/>
        <v>1</v>
      </c>
      <c r="AG339" s="8">
        <f t="shared" si="95"/>
        <v>-0.65337312871875874</v>
      </c>
      <c r="AH339" s="8">
        <f t="shared" si="96"/>
        <v>0.35474211134925565</v>
      </c>
      <c r="AI339" s="8">
        <f t="shared" si="97"/>
        <v>0.66877618760219981</v>
      </c>
      <c r="AJ339" s="8"/>
      <c r="AK339" s="8"/>
      <c r="AL339" s="8"/>
      <c r="AN339" s="8">
        <f t="shared" si="103"/>
        <v>1.0000000000000002</v>
      </c>
      <c r="AO339" s="8">
        <f t="shared" si="104"/>
        <v>2.644186290883686</v>
      </c>
      <c r="AP339" s="8">
        <f t="shared" si="105"/>
        <v>0.83823485609965742</v>
      </c>
      <c r="AQ339" s="8"/>
      <c r="AR339" s="8">
        <f t="shared" si="106"/>
        <v>151.50071471398664</v>
      </c>
      <c r="AS339" s="8">
        <f t="shared" si="107"/>
        <v>41.972680504733738</v>
      </c>
    </row>
    <row r="340" spans="1:45">
      <c r="A340" s="19">
        <v>10.27693333</v>
      </c>
      <c r="B340" s="19">
        <v>1144.178942</v>
      </c>
      <c r="C340" s="19">
        <v>-444.07444770000001</v>
      </c>
      <c r="E340" s="9">
        <f t="shared" si="93"/>
        <v>184.17894200000001</v>
      </c>
      <c r="F340" s="9">
        <f t="shared" si="98"/>
        <v>95.925552299999993</v>
      </c>
      <c r="I340">
        <v>1</v>
      </c>
      <c r="J340">
        <f t="shared" si="94"/>
        <v>0.13571786552155193</v>
      </c>
      <c r="K340">
        <f t="shared" si="99"/>
        <v>0.48017084411208144</v>
      </c>
      <c r="O340">
        <f t="shared" si="100"/>
        <v>0.12000116526252601</v>
      </c>
      <c r="P340">
        <f t="shared" si="101"/>
        <v>6.2499968397317543E-2</v>
      </c>
      <c r="Q340">
        <f t="shared" si="102"/>
        <v>0.99080445814800922</v>
      </c>
      <c r="R340">
        <f t="shared" si="92"/>
        <v>1</v>
      </c>
      <c r="AG340" s="8">
        <f t="shared" si="95"/>
        <v>-0.6532354399927347</v>
      </c>
      <c r="AH340" s="8">
        <f t="shared" si="96"/>
        <v>0.35502221114355315</v>
      </c>
      <c r="AI340" s="8">
        <f t="shared" si="97"/>
        <v>0.6687620574855011</v>
      </c>
      <c r="AJ340" s="8"/>
      <c r="AK340" s="8"/>
      <c r="AL340" s="8"/>
      <c r="AN340" s="8">
        <f t="shared" si="103"/>
        <v>1</v>
      </c>
      <c r="AO340" s="8">
        <f t="shared" si="104"/>
        <v>2.6437668343979039</v>
      </c>
      <c r="AP340" s="8">
        <f t="shared" si="105"/>
        <v>0.83825386172717364</v>
      </c>
      <c r="AQ340" s="8"/>
      <c r="AR340" s="8">
        <f t="shared" si="106"/>
        <v>151.47668162766192</v>
      </c>
      <c r="AS340" s="8">
        <f t="shared" si="107"/>
        <v>41.971591562490062</v>
      </c>
    </row>
    <row r="341" spans="1:45">
      <c r="A341" s="19">
        <v>10.3103</v>
      </c>
      <c r="B341" s="19">
        <v>1143.4028929999999</v>
      </c>
      <c r="C341" s="19">
        <v>-444.02288750000002</v>
      </c>
      <c r="E341" s="9">
        <f t="shared" si="93"/>
        <v>183.40289299999995</v>
      </c>
      <c r="F341" s="9">
        <f t="shared" si="98"/>
        <v>95.977112499999976</v>
      </c>
      <c r="I341">
        <v>1</v>
      </c>
      <c r="J341">
        <f t="shared" si="94"/>
        <v>0.13528486056739472</v>
      </c>
      <c r="K341">
        <f t="shared" si="99"/>
        <v>0.48212357035273545</v>
      </c>
      <c r="O341">
        <f t="shared" si="100"/>
        <v>0.11949876012686049</v>
      </c>
      <c r="P341">
        <f t="shared" si="101"/>
        <v>6.2535250980507731E-2</v>
      </c>
      <c r="Q341">
        <f t="shared" si="102"/>
        <v>0.99086295152909409</v>
      </c>
      <c r="R341">
        <f t="shared" si="92"/>
        <v>1</v>
      </c>
      <c r="AG341" s="8">
        <f t="shared" si="95"/>
        <v>-0.65301420275076094</v>
      </c>
      <c r="AH341" s="8">
        <f t="shared" si="96"/>
        <v>0.35547769011260344</v>
      </c>
      <c r="AI341" s="8">
        <f t="shared" si="97"/>
        <v>0.6687361683339671</v>
      </c>
      <c r="AJ341" s="8"/>
      <c r="AK341" s="8"/>
      <c r="AL341" s="8"/>
      <c r="AN341" s="8">
        <f t="shared" si="103"/>
        <v>1</v>
      </c>
      <c r="AO341" s="8">
        <f t="shared" si="104"/>
        <v>2.6430864862911299</v>
      </c>
      <c r="AP341" s="8">
        <f t="shared" si="105"/>
        <v>0.83828868292998704</v>
      </c>
      <c r="AQ341" s="8"/>
      <c r="AR341" s="8">
        <f t="shared" si="106"/>
        <v>151.43770055254407</v>
      </c>
      <c r="AS341" s="8">
        <f t="shared" si="107"/>
        <v>41.969596454531285</v>
      </c>
    </row>
    <row r="342" spans="1:45">
      <c r="A342" s="19">
        <v>10.343666669999999</v>
      </c>
      <c r="B342" s="19">
        <v>1142.8845710000001</v>
      </c>
      <c r="C342" s="19">
        <v>-443.95012409999998</v>
      </c>
      <c r="E342" s="9">
        <f t="shared" si="93"/>
        <v>182.88457100000005</v>
      </c>
      <c r="F342" s="9">
        <f t="shared" si="98"/>
        <v>96.049875900000018</v>
      </c>
      <c r="I342">
        <v>1</v>
      </c>
      <c r="J342">
        <f t="shared" si="94"/>
        <v>0.13500754375253321</v>
      </c>
      <c r="K342">
        <f t="shared" si="99"/>
        <v>0.48359905681470661</v>
      </c>
      <c r="O342">
        <f t="shared" si="100"/>
        <v>0.11916308274793422</v>
      </c>
      <c r="P342">
        <f t="shared" si="101"/>
        <v>6.2583733812080364E-2</v>
      </c>
      <c r="Q342">
        <f t="shared" si="102"/>
        <v>0.99090031586035321</v>
      </c>
      <c r="R342">
        <f t="shared" si="92"/>
        <v>1</v>
      </c>
      <c r="AG342" s="8">
        <f t="shared" si="95"/>
        <v>-0.65285019759254914</v>
      </c>
      <c r="AH342" s="8">
        <f t="shared" si="96"/>
        <v>0.35577690118405758</v>
      </c>
      <c r="AI342" s="8">
        <f t="shared" si="97"/>
        <v>0.66873718012926353</v>
      </c>
      <c r="AJ342" s="8"/>
      <c r="AK342" s="8"/>
      <c r="AL342" s="8"/>
      <c r="AN342" s="8">
        <f t="shared" si="103"/>
        <v>1.0000000000000002</v>
      </c>
      <c r="AO342" s="8">
        <f t="shared" si="104"/>
        <v>2.6426275621345758</v>
      </c>
      <c r="AP342" s="8">
        <f t="shared" si="105"/>
        <v>0.8382873220743019</v>
      </c>
      <c r="AQ342" s="8"/>
      <c r="AR342" s="8">
        <f t="shared" si="106"/>
        <v>151.41140613525693</v>
      </c>
      <c r="AS342" s="8">
        <f t="shared" si="107"/>
        <v>41.969674425818567</v>
      </c>
    </row>
    <row r="343" spans="1:45">
      <c r="A343" s="19">
        <v>10.37703333</v>
      </c>
      <c r="B343" s="19">
        <v>1142.387954</v>
      </c>
      <c r="C343" s="19">
        <v>-444.00622449999997</v>
      </c>
      <c r="E343" s="9">
        <f t="shared" si="93"/>
        <v>182.38795400000004</v>
      </c>
      <c r="F343" s="9">
        <f t="shared" si="98"/>
        <v>95.993775500000027</v>
      </c>
      <c r="I343">
        <v>1</v>
      </c>
      <c r="J343">
        <f t="shared" si="94"/>
        <v>0.1347038675328201</v>
      </c>
      <c r="K343">
        <f t="shared" si="99"/>
        <v>0.48447842493461113</v>
      </c>
      <c r="O343">
        <f t="shared" si="100"/>
        <v>0.11884171384758803</v>
      </c>
      <c r="P343">
        <f t="shared" si="101"/>
        <v>6.2548345704457026E-2</v>
      </c>
      <c r="Q343">
        <f t="shared" si="102"/>
        <v>0.99094114431655511</v>
      </c>
      <c r="R343">
        <f t="shared" si="92"/>
        <v>1</v>
      </c>
      <c r="AG343" s="8">
        <f t="shared" si="95"/>
        <v>-0.6527459712709498</v>
      </c>
      <c r="AH343" s="8">
        <f t="shared" si="96"/>
        <v>0.3560798734101519</v>
      </c>
      <c r="AI343" s="8">
        <f t="shared" si="97"/>
        <v>0.668677665801509</v>
      </c>
      <c r="AJ343" s="8"/>
      <c r="AK343" s="8"/>
      <c r="AL343" s="8"/>
      <c r="AN343" s="8">
        <f t="shared" si="103"/>
        <v>1</v>
      </c>
      <c r="AO343" s="8">
        <f t="shared" si="104"/>
        <v>2.6422026998062931</v>
      </c>
      <c r="AP343" s="8">
        <f t="shared" si="105"/>
        <v>0.83836736548414648</v>
      </c>
      <c r="AQ343" s="8"/>
      <c r="AR343" s="8">
        <f t="shared" si="106"/>
        <v>151.38706331697222</v>
      </c>
      <c r="AS343" s="8">
        <f t="shared" si="107"/>
        <v>41.965088276256637</v>
      </c>
    </row>
    <row r="344" spans="1:45">
      <c r="A344" s="19">
        <v>10.410399999999999</v>
      </c>
      <c r="B344" s="19">
        <v>1141.5300649999999</v>
      </c>
      <c r="C344" s="19">
        <v>-443.4399861</v>
      </c>
      <c r="E344" s="9">
        <f t="shared" si="93"/>
        <v>181.53006499999992</v>
      </c>
      <c r="F344" s="9">
        <f t="shared" si="98"/>
        <v>96.560013900000001</v>
      </c>
      <c r="I344">
        <v>1</v>
      </c>
      <c r="J344">
        <f t="shared" si="94"/>
        <v>0.13438204814856416</v>
      </c>
      <c r="K344">
        <f t="shared" si="99"/>
        <v>0.4888586606356331</v>
      </c>
      <c r="O344">
        <f t="shared" si="100"/>
        <v>0.11828504136468124</v>
      </c>
      <c r="P344">
        <f t="shared" si="101"/>
        <v>6.2918532190993831E-2</v>
      </c>
      <c r="Q344">
        <f t="shared" si="102"/>
        <v>0.99098431233611695</v>
      </c>
      <c r="R344">
        <f t="shared" si="92"/>
        <v>1</v>
      </c>
      <c r="AG344" s="8">
        <f t="shared" si="95"/>
        <v>-0.65228643070788406</v>
      </c>
      <c r="AH344" s="8">
        <f t="shared" si="96"/>
        <v>0.35651715010836843</v>
      </c>
      <c r="AI344" s="8">
        <f t="shared" si="97"/>
        <v>0.66889306618694744</v>
      </c>
      <c r="AJ344" s="8"/>
      <c r="AK344" s="8"/>
      <c r="AL344" s="8"/>
      <c r="AN344" s="8">
        <f t="shared" si="103"/>
        <v>1</v>
      </c>
      <c r="AO344" s="8">
        <f t="shared" si="104"/>
        <v>2.6413902471378163</v>
      </c>
      <c r="AP344" s="8">
        <f t="shared" si="105"/>
        <v>0.83807763680832525</v>
      </c>
      <c r="AQ344" s="8"/>
      <c r="AR344" s="8">
        <f t="shared" si="106"/>
        <v>151.34051320801436</v>
      </c>
      <c r="AS344" s="8">
        <f t="shared" si="107"/>
        <v>41.981688506585108</v>
      </c>
    </row>
    <row r="345" spans="1:45">
      <c r="A345" s="19">
        <v>10.44376667</v>
      </c>
      <c r="B345" s="19">
        <v>1140.811942</v>
      </c>
      <c r="C345" s="19">
        <v>-443.15842029999999</v>
      </c>
      <c r="E345" s="9">
        <f t="shared" si="93"/>
        <v>180.81194200000004</v>
      </c>
      <c r="F345" s="9">
        <f t="shared" si="98"/>
        <v>96.841579700000011</v>
      </c>
      <c r="I345">
        <v>1</v>
      </c>
      <c r="J345">
        <f t="shared" si="94"/>
        <v>0.13405533078050896</v>
      </c>
      <c r="K345">
        <f t="shared" si="99"/>
        <v>0.49171479922668077</v>
      </c>
      <c r="O345">
        <f t="shared" si="100"/>
        <v>0.11781943603360215</v>
      </c>
      <c r="P345">
        <f t="shared" si="101"/>
        <v>6.3103245165394728E-2</v>
      </c>
      <c r="Q345">
        <f t="shared" si="102"/>
        <v>0.99102803236957937</v>
      </c>
      <c r="R345">
        <f t="shared" si="92"/>
        <v>1</v>
      </c>
      <c r="AG345" s="8">
        <f t="shared" si="95"/>
        <v>-0.65198260481541137</v>
      </c>
      <c r="AH345" s="8">
        <f t="shared" si="96"/>
        <v>0.35690805932526959</v>
      </c>
      <c r="AI345" s="8">
        <f t="shared" si="97"/>
        <v>0.66898080705411955</v>
      </c>
      <c r="AJ345" s="8"/>
      <c r="AK345" s="8"/>
      <c r="AL345" s="8"/>
      <c r="AN345" s="8">
        <f t="shared" si="103"/>
        <v>1.0000000000000002</v>
      </c>
      <c r="AO345" s="8">
        <f t="shared" si="104"/>
        <v>2.6407327112485035</v>
      </c>
      <c r="AP345" s="8">
        <f t="shared" si="105"/>
        <v>0.83795959751649352</v>
      </c>
      <c r="AQ345" s="8"/>
      <c r="AR345" s="8">
        <f t="shared" si="106"/>
        <v>151.30283917667833</v>
      </c>
      <c r="AS345" s="8">
        <f t="shared" si="107"/>
        <v>41.988451659823781</v>
      </c>
    </row>
    <row r="346" spans="1:45">
      <c r="A346" s="19">
        <v>10.477133329999999</v>
      </c>
      <c r="B346" s="19">
        <v>1140.309992</v>
      </c>
      <c r="C346" s="19">
        <v>-443.11747150000002</v>
      </c>
      <c r="E346" s="9">
        <f t="shared" si="93"/>
        <v>180.30999199999997</v>
      </c>
      <c r="F346" s="9">
        <f t="shared" si="98"/>
        <v>96.882528499999978</v>
      </c>
      <c r="I346">
        <v>1</v>
      </c>
      <c r="J346">
        <f t="shared" si="94"/>
        <v>0.13377945483760487</v>
      </c>
      <c r="K346">
        <f t="shared" si="99"/>
        <v>0.49304895081169753</v>
      </c>
      <c r="O346">
        <f t="shared" si="100"/>
        <v>0.11749430035432577</v>
      </c>
      <c r="P346">
        <f t="shared" si="101"/>
        <v>6.3130971148096585E-2</v>
      </c>
      <c r="Q346">
        <f t="shared" si="102"/>
        <v>0.99106486662889315</v>
      </c>
      <c r="R346">
        <f t="shared" si="92"/>
        <v>1</v>
      </c>
      <c r="AG346" s="8">
        <f t="shared" si="95"/>
        <v>-0.65183581254104717</v>
      </c>
      <c r="AH346" s="8">
        <f t="shared" si="96"/>
        <v>0.35720149851745198</v>
      </c>
      <c r="AI346" s="8">
        <f t="shared" si="97"/>
        <v>0.66896723607800079</v>
      </c>
      <c r="AJ346" s="8"/>
      <c r="AK346" s="8"/>
      <c r="AL346" s="8"/>
      <c r="AN346" s="8">
        <f t="shared" si="103"/>
        <v>1</v>
      </c>
      <c r="AO346" s="8">
        <f t="shared" si="104"/>
        <v>2.6402915887537928</v>
      </c>
      <c r="AP346" s="8">
        <f t="shared" si="105"/>
        <v>0.83797785560293836</v>
      </c>
      <c r="AQ346" s="8"/>
      <c r="AR346" s="8">
        <f t="shared" si="106"/>
        <v>151.27756471948314</v>
      </c>
      <c r="AS346" s="8">
        <f t="shared" si="107"/>
        <v>41.987405548528507</v>
      </c>
    </row>
    <row r="347" spans="1:45">
      <c r="A347" s="19">
        <v>10.5105</v>
      </c>
      <c r="B347" s="19">
        <v>1139.555554</v>
      </c>
      <c r="C347" s="19">
        <v>-443.09999549999998</v>
      </c>
      <c r="E347" s="9">
        <f t="shared" si="93"/>
        <v>179.55555400000003</v>
      </c>
      <c r="F347" s="9">
        <f t="shared" si="98"/>
        <v>96.900004500000023</v>
      </c>
      <c r="I347">
        <v>1</v>
      </c>
      <c r="J347">
        <f t="shared" si="94"/>
        <v>0.13335157557886276</v>
      </c>
      <c r="K347">
        <f t="shared" si="99"/>
        <v>0.4948745337117777</v>
      </c>
      <c r="O347">
        <f t="shared" si="100"/>
        <v>0.11700566170310088</v>
      </c>
      <c r="P347">
        <f t="shared" si="101"/>
        <v>6.3143962372536541E-2</v>
      </c>
      <c r="Q347">
        <f t="shared" si="102"/>
        <v>0.99112184677027237</v>
      </c>
      <c r="R347">
        <f t="shared" ref="R347:R410" si="108">SQRT(O347^2+P347^2+Q347^2)</f>
        <v>1</v>
      </c>
      <c r="AG347" s="8">
        <f t="shared" si="95"/>
        <v>-0.65163361141974163</v>
      </c>
      <c r="AH347" s="8">
        <f t="shared" si="96"/>
        <v>0.35764821986129025</v>
      </c>
      <c r="AI347" s="8">
        <f t="shared" si="97"/>
        <v>0.6689255469019818</v>
      </c>
      <c r="AJ347" s="8"/>
      <c r="AK347" s="8"/>
      <c r="AL347" s="8"/>
      <c r="AN347" s="8">
        <f t="shared" si="103"/>
        <v>1</v>
      </c>
      <c r="AO347" s="8">
        <f t="shared" si="104"/>
        <v>2.6396338358379192</v>
      </c>
      <c r="AP347" s="8">
        <f t="shared" si="105"/>
        <v>0.83803394140761245</v>
      </c>
      <c r="AQ347" s="8"/>
      <c r="AR347" s="8">
        <f t="shared" si="106"/>
        <v>151.23987825344116</v>
      </c>
      <c r="AS347" s="8">
        <f t="shared" si="107"/>
        <v>41.984192068630087</v>
      </c>
    </row>
    <row r="348" spans="1:45">
      <c r="A348" s="19">
        <v>10.54386667</v>
      </c>
      <c r="B348" s="19">
        <v>1139.0489319999999</v>
      </c>
      <c r="C348" s="19">
        <v>-443.13161789999998</v>
      </c>
      <c r="E348" s="9">
        <f t="shared" si="93"/>
        <v>179.04893199999992</v>
      </c>
      <c r="F348" s="9">
        <f t="shared" si="98"/>
        <v>96.868382100000019</v>
      </c>
      <c r="I348">
        <v>1</v>
      </c>
      <c r="J348">
        <f t="shared" si="94"/>
        <v>0.13305101423901822</v>
      </c>
      <c r="K348">
        <f t="shared" si="99"/>
        <v>0.49591974543099326</v>
      </c>
      <c r="O348">
        <f t="shared" si="100"/>
        <v>0.11667758753800024</v>
      </c>
      <c r="P348">
        <f t="shared" si="101"/>
        <v>6.3124471092277798E-2</v>
      </c>
      <c r="Q348">
        <f t="shared" si="102"/>
        <v>0.99116176364689956</v>
      </c>
      <c r="R348">
        <f t="shared" si="108"/>
        <v>1</v>
      </c>
      <c r="AG348" s="8">
        <f t="shared" si="95"/>
        <v>-0.65151600512260932</v>
      </c>
      <c r="AH348" s="8">
        <f t="shared" si="96"/>
        <v>0.35795380677985655</v>
      </c>
      <c r="AI348" s="8">
        <f t="shared" si="97"/>
        <v>0.66887664578820893</v>
      </c>
      <c r="AJ348" s="8"/>
      <c r="AK348" s="8"/>
      <c r="AL348" s="8"/>
      <c r="AN348" s="8">
        <f t="shared" si="103"/>
        <v>0.99999999999999978</v>
      </c>
      <c r="AO348" s="8">
        <f t="shared" si="104"/>
        <v>2.6391973448577861</v>
      </c>
      <c r="AP348" s="8">
        <f t="shared" si="105"/>
        <v>0.83809972605931737</v>
      </c>
      <c r="AQ348" s="8"/>
      <c r="AR348" s="8">
        <f t="shared" si="106"/>
        <v>151.21486916248401</v>
      </c>
      <c r="AS348" s="8">
        <f t="shared" si="107"/>
        <v>41.980422885730654</v>
      </c>
    </row>
    <row r="349" spans="1:45">
      <c r="A349" s="19">
        <v>10.57723333</v>
      </c>
      <c r="B349" s="19">
        <v>1138.3626139999999</v>
      </c>
      <c r="C349" s="19">
        <v>-443.08179740000003</v>
      </c>
      <c r="E349" s="9">
        <f t="shared" si="93"/>
        <v>178.36261399999989</v>
      </c>
      <c r="F349" s="9">
        <f t="shared" si="98"/>
        <v>96.918202599999972</v>
      </c>
      <c r="I349">
        <v>1</v>
      </c>
      <c r="J349">
        <f t="shared" si="94"/>
        <v>0.13267290173153973</v>
      </c>
      <c r="K349">
        <f t="shared" si="99"/>
        <v>0.49774441966889488</v>
      </c>
      <c r="O349">
        <f t="shared" si="100"/>
        <v>0.11623290681666604</v>
      </c>
      <c r="P349">
        <f t="shared" si="101"/>
        <v>6.3158327628258251E-2</v>
      </c>
      <c r="Q349">
        <f t="shared" si="102"/>
        <v>0.99121185274599588</v>
      </c>
      <c r="R349">
        <f t="shared" si="108"/>
        <v>1</v>
      </c>
      <c r="AG349" s="8">
        <f t="shared" si="95"/>
        <v>-0.65131751748282352</v>
      </c>
      <c r="AH349" s="8">
        <f t="shared" si="96"/>
        <v>0.35835570172876707</v>
      </c>
      <c r="AI349" s="8">
        <f t="shared" si="97"/>
        <v>0.66885475438131925</v>
      </c>
      <c r="AJ349" s="8"/>
      <c r="AK349" s="8"/>
      <c r="AL349" s="8"/>
      <c r="AN349" s="8">
        <f t="shared" si="103"/>
        <v>1.0000000000000002</v>
      </c>
      <c r="AO349" s="8">
        <f t="shared" si="104"/>
        <v>2.6385949576546679</v>
      </c>
      <c r="AP349" s="8">
        <f t="shared" si="105"/>
        <v>0.83812917440445944</v>
      </c>
      <c r="AQ349" s="8"/>
      <c r="AR349" s="8">
        <f t="shared" si="106"/>
        <v>151.18035491811264</v>
      </c>
      <c r="AS349" s="8">
        <f t="shared" si="107"/>
        <v>41.978735619840371</v>
      </c>
    </row>
    <row r="350" spans="1:45">
      <c r="A350" s="19">
        <v>10.6106</v>
      </c>
      <c r="B350" s="19">
        <v>1137.9175929999999</v>
      </c>
      <c r="C350" s="19">
        <v>-443.01712359999999</v>
      </c>
      <c r="E350" s="9">
        <f t="shared" si="93"/>
        <v>177.9175929999999</v>
      </c>
      <c r="F350" s="9">
        <f t="shared" si="98"/>
        <v>96.982876400000009</v>
      </c>
      <c r="I350">
        <v>1</v>
      </c>
      <c r="J350">
        <f t="shared" si="94"/>
        <v>0.13243805522130433</v>
      </c>
      <c r="K350">
        <f t="shared" si="99"/>
        <v>0.49907341718930431</v>
      </c>
      <c r="O350">
        <f t="shared" si="100"/>
        <v>0.11594447442192932</v>
      </c>
      <c r="P350">
        <f t="shared" si="101"/>
        <v>6.320133069766147E-2</v>
      </c>
      <c r="Q350">
        <f t="shared" si="102"/>
        <v>0.99124289185298442</v>
      </c>
      <c r="R350">
        <f t="shared" si="108"/>
        <v>1</v>
      </c>
      <c r="AG350" s="8">
        <f t="shared" si="95"/>
        <v>-0.65117509841073229</v>
      </c>
      <c r="AH350" s="8">
        <f t="shared" si="96"/>
        <v>0.35861206306578614</v>
      </c>
      <c r="AI350" s="8">
        <f t="shared" si="97"/>
        <v>0.66885602294774449</v>
      </c>
      <c r="AJ350" s="8"/>
      <c r="AK350" s="8"/>
      <c r="AL350" s="8"/>
      <c r="AN350" s="8">
        <f t="shared" si="103"/>
        <v>1</v>
      </c>
      <c r="AO350" s="8">
        <f t="shared" si="104"/>
        <v>2.6382004652316065</v>
      </c>
      <c r="AP350" s="8">
        <f t="shared" si="105"/>
        <v>0.83812746794877635</v>
      </c>
      <c r="AQ350" s="8"/>
      <c r="AR350" s="8">
        <f t="shared" si="106"/>
        <v>151.15775216722133</v>
      </c>
      <c r="AS350" s="8">
        <f t="shared" si="107"/>
        <v>41.978833392548935</v>
      </c>
    </row>
    <row r="351" spans="1:45">
      <c r="A351" s="19">
        <v>10.643966669999999</v>
      </c>
      <c r="B351" s="19">
        <v>1137.314192</v>
      </c>
      <c r="C351" s="19">
        <v>-442.91043000000002</v>
      </c>
      <c r="E351" s="9">
        <f t="shared" si="93"/>
        <v>177.31419200000005</v>
      </c>
      <c r="F351" s="9">
        <f t="shared" si="98"/>
        <v>97.089569999999981</v>
      </c>
      <c r="I351">
        <v>1</v>
      </c>
      <c r="J351">
        <f t="shared" si="94"/>
        <v>0.13212594045336504</v>
      </c>
      <c r="K351">
        <f t="shared" si="99"/>
        <v>0.50096540501557718</v>
      </c>
      <c r="O351">
        <f t="shared" si="100"/>
        <v>0.11555332066101967</v>
      </c>
      <c r="P351">
        <f t="shared" si="101"/>
        <v>6.3271992436175165E-2</v>
      </c>
      <c r="Q351">
        <f t="shared" si="102"/>
        <v>0.99128405871241976</v>
      </c>
      <c r="R351">
        <f t="shared" si="108"/>
        <v>1</v>
      </c>
      <c r="AG351" s="8">
        <f t="shared" si="95"/>
        <v>-0.65097388872982553</v>
      </c>
      <c r="AH351" s="8">
        <f t="shared" si="96"/>
        <v>0.35895715464846023</v>
      </c>
      <c r="AI351" s="8">
        <f t="shared" si="97"/>
        <v>0.668866770978085</v>
      </c>
      <c r="AJ351" s="8"/>
      <c r="AK351" s="8"/>
      <c r="AL351" s="8"/>
      <c r="AN351" s="8">
        <f t="shared" si="103"/>
        <v>0.99999999999999978</v>
      </c>
      <c r="AO351" s="8">
        <f t="shared" si="104"/>
        <v>2.6376632626372172</v>
      </c>
      <c r="AP351" s="8">
        <f t="shared" si="105"/>
        <v>0.83811300976159087</v>
      </c>
      <c r="AQ351" s="8"/>
      <c r="AR351" s="8">
        <f t="shared" si="106"/>
        <v>151.12697272581934</v>
      </c>
      <c r="AS351" s="8">
        <f t="shared" si="107"/>
        <v>41.979661785654081</v>
      </c>
    </row>
    <row r="352" spans="1:45">
      <c r="A352" s="19">
        <v>10.67733333</v>
      </c>
      <c r="B352" s="19">
        <v>1136.5308930000001</v>
      </c>
      <c r="C352" s="19">
        <v>-442.71455850000001</v>
      </c>
      <c r="E352" s="9">
        <f t="shared" ref="E352:E415" si="109">(B352-($B$15/2))</f>
        <v>176.53089300000011</v>
      </c>
      <c r="F352" s="9">
        <f t="shared" si="98"/>
        <v>97.28544149999999</v>
      </c>
      <c r="I352">
        <v>1</v>
      </c>
      <c r="J352">
        <f t="shared" ref="J352:J415" si="110">ATAN((SQRT(E352^2+F352^2)^$B$16)/($F$24))</f>
        <v>0.13173951584561006</v>
      </c>
      <c r="K352">
        <f t="shared" si="99"/>
        <v>0.50368416068578303</v>
      </c>
      <c r="O352">
        <f t="shared" si="100"/>
        <v>0.11504537922858184</v>
      </c>
      <c r="P352">
        <f t="shared" si="101"/>
        <v>6.3401030383885879E-2</v>
      </c>
      <c r="Q352">
        <f t="shared" si="102"/>
        <v>0.99133489299248079</v>
      </c>
      <c r="R352">
        <f t="shared" si="108"/>
        <v>1</v>
      </c>
      <c r="AG352" s="8">
        <f t="shared" ref="AG352:AG415" si="111">$O352*$Z$27+$P352*$Z$31+$Q352*$Z$35</f>
        <v>-0.65068834315512625</v>
      </c>
      <c r="AH352" s="8">
        <f t="shared" ref="AH352:AH415" si="112">$O352*$AA$27+$P352*$AA$31+$Q352*$AA$35</f>
        <v>0.35939760359674566</v>
      </c>
      <c r="AI352" s="8">
        <f t="shared" ref="AI352:AI415" si="113">$AB$27*$O352+$P352*$AB$31+$AB$35*$Q352</f>
        <v>0.66890809728314193</v>
      </c>
      <c r="AJ352" s="8"/>
      <c r="AK352" s="8"/>
      <c r="AL352" s="8"/>
      <c r="AN352" s="8">
        <f t="shared" si="103"/>
        <v>1</v>
      </c>
      <c r="AO352" s="8">
        <f t="shared" si="104"/>
        <v>2.6369589073176201</v>
      </c>
      <c r="AP352" s="8">
        <f t="shared" si="105"/>
        <v>0.83805741610709616</v>
      </c>
      <c r="AQ352" s="8"/>
      <c r="AR352" s="8">
        <f t="shared" si="106"/>
        <v>151.08661613872886</v>
      </c>
      <c r="AS352" s="8">
        <f t="shared" si="107"/>
        <v>41.982847067424331</v>
      </c>
    </row>
    <row r="353" spans="1:45">
      <c r="A353" s="19">
        <v>10.710699999999999</v>
      </c>
      <c r="B353" s="19">
        <v>1136.1478090000001</v>
      </c>
      <c r="C353" s="19">
        <v>-442.86275599999999</v>
      </c>
      <c r="E353" s="9">
        <f t="shared" si="109"/>
        <v>176.14780900000005</v>
      </c>
      <c r="F353" s="9">
        <f t="shared" ref="F353:F416" si="114">(($C$15/2)+C353)</f>
        <v>97.13724400000001</v>
      </c>
      <c r="I353">
        <v>1</v>
      </c>
      <c r="J353">
        <f t="shared" si="110"/>
        <v>0.13147391636607389</v>
      </c>
      <c r="K353">
        <f t="shared" ref="K353:K416" si="115">ATAN2(E353,F353)</f>
        <v>0.50395810081938885</v>
      </c>
      <c r="O353">
        <f t="shared" ref="O353:O416" si="116">COS(K353)*SIN(J353)</f>
        <v>0.11479743845662968</v>
      </c>
      <c r="P353">
        <f t="shared" ref="P353:P416" si="117">SIN(K353)*SIN(J353)</f>
        <v>6.3305395924263902E-2</v>
      </c>
      <c r="Q353">
        <f t="shared" ref="Q353:Q416" si="118">COS(J353)</f>
        <v>0.99136974685062307</v>
      </c>
      <c r="R353">
        <f t="shared" si="108"/>
        <v>1</v>
      </c>
      <c r="AG353" s="8">
        <f t="shared" si="111"/>
        <v>-0.65065146842686439</v>
      </c>
      <c r="AH353" s="8">
        <f t="shared" si="112"/>
        <v>0.35964473426631205</v>
      </c>
      <c r="AI353" s="8">
        <f t="shared" si="113"/>
        <v>0.66881113309250384</v>
      </c>
      <c r="AJ353" s="8"/>
      <c r="AK353" s="8"/>
      <c r="AL353" s="8"/>
      <c r="AN353" s="8">
        <f t="shared" ref="AN353:AN416" si="119">AG353^2+AH353^2+AI353^2</f>
        <v>1</v>
      </c>
      <c r="AO353" s="8">
        <f t="shared" ref="AO353:AO416" si="120">IF(ATAN2(AG353,AH353)&gt;=0,ATAN2(AG353,AH353),ATAN2(AG353,AH353)+2*PI())</f>
        <v>2.636643942978337</v>
      </c>
      <c r="AP353" s="8">
        <f t="shared" ref="AP353:AP416" si="121">ACOS(AI353/AN353)</f>
        <v>0.83818785148494246</v>
      </c>
      <c r="AQ353" s="8"/>
      <c r="AR353" s="8">
        <f t="shared" ref="AR353:AR416" si="122">DEGREES(AO353)</f>
        <v>151.06857001139079</v>
      </c>
      <c r="AS353" s="8">
        <f t="shared" ref="AS353:AS416" si="123">90-DEGREES(AP353)</f>
        <v>41.975373670774545</v>
      </c>
    </row>
    <row r="354" spans="1:45">
      <c r="A354" s="19">
        <v>10.74406667</v>
      </c>
      <c r="B354" s="19">
        <v>1135.513735</v>
      </c>
      <c r="C354" s="19">
        <v>-442.8574964</v>
      </c>
      <c r="E354" s="9">
        <f t="shared" si="109"/>
        <v>175.513735</v>
      </c>
      <c r="F354" s="9">
        <f t="shared" si="114"/>
        <v>97.142503599999998</v>
      </c>
      <c r="I354">
        <v>1</v>
      </c>
      <c r="J354">
        <f t="shared" si="110"/>
        <v>0.1311133951984752</v>
      </c>
      <c r="K354">
        <f t="shared" si="115"/>
        <v>0.50550741237856933</v>
      </c>
      <c r="O354">
        <f t="shared" si="116"/>
        <v>0.11438650535456674</v>
      </c>
      <c r="P354">
        <f t="shared" si="117"/>
        <v>6.3310096547130171E-2</v>
      </c>
      <c r="Q354">
        <f t="shared" si="118"/>
        <v>0.99141694511843137</v>
      </c>
      <c r="R354">
        <f t="shared" si="108"/>
        <v>1</v>
      </c>
      <c r="AG354" s="8">
        <f t="shared" si="111"/>
        <v>-0.650484731217715</v>
      </c>
      <c r="AH354" s="8">
        <f t="shared" si="112"/>
        <v>0.36002114888500381</v>
      </c>
      <c r="AI354" s="8">
        <f t="shared" si="113"/>
        <v>0.66877080289747926</v>
      </c>
      <c r="AJ354" s="8"/>
      <c r="AK354" s="8"/>
      <c r="AL354" s="8"/>
      <c r="AN354" s="8">
        <f t="shared" si="119"/>
        <v>1</v>
      </c>
      <c r="AO354" s="8">
        <f t="shared" si="120"/>
        <v>2.63609234063127</v>
      </c>
      <c r="AP354" s="8">
        <f t="shared" si="121"/>
        <v>0.83824209880230582</v>
      </c>
      <c r="AQ354" s="8"/>
      <c r="AR354" s="8">
        <f t="shared" si="122"/>
        <v>151.03696552493435</v>
      </c>
      <c r="AS354" s="8">
        <f t="shared" si="123"/>
        <v>41.972265528439721</v>
      </c>
    </row>
    <row r="355" spans="1:45">
      <c r="A355" s="19">
        <v>10.777433329999999</v>
      </c>
      <c r="B355" s="19">
        <v>1135.0132679999999</v>
      </c>
      <c r="C355" s="19">
        <v>-442.8385682</v>
      </c>
      <c r="E355" s="9">
        <f t="shared" si="109"/>
        <v>175.01326799999993</v>
      </c>
      <c r="F355" s="9">
        <f t="shared" si="114"/>
        <v>97.161431800000003</v>
      </c>
      <c r="I355">
        <v>1</v>
      </c>
      <c r="J355">
        <f t="shared" si="110"/>
        <v>0.13083372660782394</v>
      </c>
      <c r="K355">
        <f t="shared" si="115"/>
        <v>0.50680084517899371</v>
      </c>
      <c r="O355">
        <f t="shared" si="116"/>
        <v>0.11406210180559259</v>
      </c>
      <c r="P355">
        <f t="shared" si="117"/>
        <v>6.3323411145883801E-2</v>
      </c>
      <c r="Q355">
        <f t="shared" si="118"/>
        <v>0.99145346967598025</v>
      </c>
      <c r="R355">
        <f t="shared" si="108"/>
        <v>1</v>
      </c>
      <c r="AG355" s="8">
        <f t="shared" si="111"/>
        <v>-0.65034681567537178</v>
      </c>
      <c r="AH355" s="8">
        <f t="shared" si="112"/>
        <v>0.36031629649779123</v>
      </c>
      <c r="AI355" s="8">
        <f t="shared" si="113"/>
        <v>0.66874598003952102</v>
      </c>
      <c r="AJ355" s="8"/>
      <c r="AK355" s="8"/>
      <c r="AL355" s="8"/>
      <c r="AN355" s="8">
        <f t="shared" si="119"/>
        <v>0.99999999999999956</v>
      </c>
      <c r="AO355" s="8">
        <f t="shared" si="120"/>
        <v>2.6356551878567145</v>
      </c>
      <c r="AP355" s="8">
        <f t="shared" si="121"/>
        <v>0.83827548620293613</v>
      </c>
      <c r="AQ355" s="8"/>
      <c r="AR355" s="8">
        <f t="shared" si="122"/>
        <v>151.01191851594987</v>
      </c>
      <c r="AS355" s="8">
        <f t="shared" si="123"/>
        <v>41.97035257129469</v>
      </c>
    </row>
    <row r="356" spans="1:45">
      <c r="A356" s="19">
        <v>10.8108</v>
      </c>
      <c r="B356" s="19">
        <v>1134.393677</v>
      </c>
      <c r="C356" s="19">
        <v>-442.72226169999999</v>
      </c>
      <c r="E356" s="9">
        <f t="shared" si="109"/>
        <v>174.39367700000003</v>
      </c>
      <c r="F356" s="9">
        <f t="shared" si="114"/>
        <v>97.27773830000001</v>
      </c>
      <c r="I356">
        <v>1</v>
      </c>
      <c r="J356">
        <f t="shared" si="110"/>
        <v>0.13051729119199865</v>
      </c>
      <c r="K356">
        <f t="shared" si="115"/>
        <v>0.50881609845555653</v>
      </c>
      <c r="O356">
        <f t="shared" si="116"/>
        <v>0.11366026373419909</v>
      </c>
      <c r="P356">
        <f t="shared" si="117"/>
        <v>6.3400311185848782E-2</v>
      </c>
      <c r="Q356">
        <f t="shared" si="118"/>
        <v>0.99149470245151072</v>
      </c>
      <c r="R356">
        <f t="shared" si="108"/>
        <v>1</v>
      </c>
      <c r="AG356" s="8">
        <f t="shared" si="111"/>
        <v>-0.65013682265889405</v>
      </c>
      <c r="AH356" s="8">
        <f t="shared" si="112"/>
        <v>0.36066956908502545</v>
      </c>
      <c r="AI356" s="8">
        <f t="shared" si="113"/>
        <v>0.66875972797337291</v>
      </c>
      <c r="AJ356" s="8"/>
      <c r="AK356" s="8"/>
      <c r="AL356" s="8"/>
      <c r="AN356" s="8">
        <f t="shared" si="119"/>
        <v>1</v>
      </c>
      <c r="AO356" s="8">
        <f t="shared" si="120"/>
        <v>2.6351026726449964</v>
      </c>
      <c r="AP356" s="8">
        <f t="shared" si="121"/>
        <v>0.83825699499209338</v>
      </c>
      <c r="AQ356" s="8"/>
      <c r="AR356" s="8">
        <f t="shared" si="122"/>
        <v>150.98026172620166</v>
      </c>
      <c r="AS356" s="8">
        <f t="shared" si="123"/>
        <v>41.971412039634068</v>
      </c>
    </row>
    <row r="357" spans="1:45">
      <c r="A357" s="19">
        <v>10.84416667</v>
      </c>
      <c r="B357" s="19">
        <v>1133.5109970000001</v>
      </c>
      <c r="C357" s="19">
        <v>-442.38275160000001</v>
      </c>
      <c r="E357" s="9">
        <f t="shared" si="109"/>
        <v>173.51099700000009</v>
      </c>
      <c r="F357" s="9">
        <f t="shared" si="114"/>
        <v>97.617248399999994</v>
      </c>
      <c r="I357">
        <v>1</v>
      </c>
      <c r="J357">
        <f t="shared" si="110"/>
        <v>0.1301229710943205</v>
      </c>
      <c r="K357">
        <f t="shared" si="115"/>
        <v>0.51246525286161215</v>
      </c>
      <c r="O357">
        <f t="shared" si="116"/>
        <v>0.11308739902155805</v>
      </c>
      <c r="P357">
        <f t="shared" si="117"/>
        <v>6.3622945588845542E-2</v>
      </c>
      <c r="Q357">
        <f t="shared" si="118"/>
        <v>0.99154594496530402</v>
      </c>
      <c r="R357">
        <f t="shared" si="108"/>
        <v>1</v>
      </c>
      <c r="AG357" s="8">
        <f t="shared" si="111"/>
        <v>-0.64976417809492404</v>
      </c>
      <c r="AH357" s="8">
        <f t="shared" si="112"/>
        <v>0.36115012167225308</v>
      </c>
      <c r="AI357" s="8">
        <f t="shared" si="113"/>
        <v>0.66886254378664733</v>
      </c>
      <c r="AJ357" s="8"/>
      <c r="AK357" s="8"/>
      <c r="AL357" s="8"/>
      <c r="AN357" s="8">
        <f t="shared" si="119"/>
        <v>1</v>
      </c>
      <c r="AO357" s="8">
        <f t="shared" si="120"/>
        <v>2.6342942172811101</v>
      </c>
      <c r="AP357" s="8">
        <f t="shared" si="121"/>
        <v>0.8381186961770849</v>
      </c>
      <c r="AQ357" s="8"/>
      <c r="AR357" s="8">
        <f t="shared" si="122"/>
        <v>150.93394064592627</v>
      </c>
      <c r="AS357" s="8">
        <f t="shared" si="123"/>
        <v>41.979335978045711</v>
      </c>
    </row>
    <row r="358" spans="1:45">
      <c r="A358" s="19">
        <v>10.87753333</v>
      </c>
      <c r="B358" s="19">
        <v>1132.976866</v>
      </c>
      <c r="C358" s="19">
        <v>-442.18010140000001</v>
      </c>
      <c r="E358" s="9">
        <f t="shared" si="109"/>
        <v>172.97686599999997</v>
      </c>
      <c r="F358" s="9">
        <f t="shared" si="114"/>
        <v>97.819898599999988</v>
      </c>
      <c r="I358">
        <v>1</v>
      </c>
      <c r="J358">
        <f t="shared" si="110"/>
        <v>0.12988429075635419</v>
      </c>
      <c r="K358">
        <f t="shared" si="115"/>
        <v>0.51467195722049341</v>
      </c>
      <c r="O358">
        <f t="shared" si="116"/>
        <v>0.11274071965002314</v>
      </c>
      <c r="P358">
        <f t="shared" si="117"/>
        <v>6.3755842149760586E-2</v>
      </c>
      <c r="Q358">
        <f t="shared" si="118"/>
        <v>0.9915768869455206</v>
      </c>
      <c r="R358">
        <f t="shared" si="108"/>
        <v>1</v>
      </c>
      <c r="AG358" s="8">
        <f t="shared" si="111"/>
        <v>-0.6495397330548216</v>
      </c>
      <c r="AH358" s="8">
        <f t="shared" si="112"/>
        <v>0.36144122097854869</v>
      </c>
      <c r="AI358" s="8">
        <f t="shared" si="113"/>
        <v>0.66892329826416352</v>
      </c>
      <c r="AJ358" s="8"/>
      <c r="AK358" s="8"/>
      <c r="AL358" s="8"/>
      <c r="AN358" s="8">
        <f t="shared" si="119"/>
        <v>1</v>
      </c>
      <c r="AO358" s="8">
        <f t="shared" si="120"/>
        <v>2.6338052325878776</v>
      </c>
      <c r="AP358" s="8">
        <f t="shared" si="121"/>
        <v>0.83803696649275694</v>
      </c>
      <c r="AQ358" s="8"/>
      <c r="AR358" s="8">
        <f t="shared" si="122"/>
        <v>150.90592388675753</v>
      </c>
      <c r="AS358" s="8">
        <f t="shared" si="123"/>
        <v>41.984018744018641</v>
      </c>
    </row>
    <row r="359" spans="1:45">
      <c r="A359" s="19">
        <v>10.9109</v>
      </c>
      <c r="B359" s="19">
        <v>1132.344812</v>
      </c>
      <c r="C359" s="19">
        <v>-442.03313159999999</v>
      </c>
      <c r="E359" s="9">
        <f t="shared" si="109"/>
        <v>172.34481200000005</v>
      </c>
      <c r="F359" s="9">
        <f t="shared" si="114"/>
        <v>97.96686840000001</v>
      </c>
      <c r="I359">
        <v>1</v>
      </c>
      <c r="J359">
        <f t="shared" si="110"/>
        <v>0.12957270131826723</v>
      </c>
      <c r="K359">
        <f t="shared" si="115"/>
        <v>0.51688671011231779</v>
      </c>
      <c r="O359">
        <f t="shared" si="116"/>
        <v>0.11233063206364266</v>
      </c>
      <c r="P359">
        <f t="shared" si="117"/>
        <v>6.3852692291472626E-2</v>
      </c>
      <c r="Q359">
        <f t="shared" si="118"/>
        <v>0.99161719568960327</v>
      </c>
      <c r="R359">
        <f t="shared" si="108"/>
        <v>1</v>
      </c>
      <c r="AG359" s="8">
        <f t="shared" si="111"/>
        <v>-0.64931316750727075</v>
      </c>
      <c r="AH359" s="8">
        <f t="shared" si="112"/>
        <v>0.36179773631370682</v>
      </c>
      <c r="AI359" s="8">
        <f t="shared" si="113"/>
        <v>0.66895052769240904</v>
      </c>
      <c r="AJ359" s="8"/>
      <c r="AK359" s="8"/>
      <c r="AL359" s="8"/>
      <c r="AN359" s="8">
        <f t="shared" si="119"/>
        <v>1</v>
      </c>
      <c r="AO359" s="8">
        <f t="shared" si="120"/>
        <v>2.6332379063584446</v>
      </c>
      <c r="AP359" s="8">
        <f t="shared" si="121"/>
        <v>0.83800033427754306</v>
      </c>
      <c r="AQ359" s="8"/>
      <c r="AR359" s="8">
        <f t="shared" si="122"/>
        <v>150.87341848820395</v>
      </c>
      <c r="AS359" s="8">
        <f t="shared" si="123"/>
        <v>41.986117615344611</v>
      </c>
    </row>
    <row r="360" spans="1:45">
      <c r="A360" s="19">
        <v>10.944266669999999</v>
      </c>
      <c r="B360" s="19">
        <v>1131.7095039999999</v>
      </c>
      <c r="C360" s="19">
        <v>-441.76040080000001</v>
      </c>
      <c r="E360" s="9">
        <f t="shared" si="109"/>
        <v>171.70950399999992</v>
      </c>
      <c r="F360" s="9">
        <f t="shared" si="114"/>
        <v>98.239599199999986</v>
      </c>
      <c r="I360">
        <v>1</v>
      </c>
      <c r="J360">
        <f t="shared" si="110"/>
        <v>0.12930063757851495</v>
      </c>
      <c r="K360">
        <f t="shared" si="115"/>
        <v>0.51967226962193425</v>
      </c>
      <c r="O360">
        <f t="shared" si="116"/>
        <v>0.11191816001291652</v>
      </c>
      <c r="P360">
        <f t="shared" si="117"/>
        <v>6.4031372327942829E-2</v>
      </c>
      <c r="Q360">
        <f t="shared" si="118"/>
        <v>0.99165231246497054</v>
      </c>
      <c r="R360">
        <f t="shared" si="108"/>
        <v>1</v>
      </c>
      <c r="AG360" s="8">
        <f t="shared" si="111"/>
        <v>-0.6490325855830501</v>
      </c>
      <c r="AH360" s="8">
        <f t="shared" si="112"/>
        <v>0.3621397270821643</v>
      </c>
      <c r="AI360" s="8">
        <f t="shared" si="113"/>
        <v>0.66903775746981298</v>
      </c>
      <c r="AJ360" s="8"/>
      <c r="AK360" s="8"/>
      <c r="AL360" s="8"/>
      <c r="AN360" s="8">
        <f t="shared" si="119"/>
        <v>1</v>
      </c>
      <c r="AO360" s="8">
        <f t="shared" si="120"/>
        <v>2.6326521974471158</v>
      </c>
      <c r="AP360" s="8">
        <f t="shared" si="121"/>
        <v>0.83788297443468862</v>
      </c>
      <c r="AQ360" s="8"/>
      <c r="AR360" s="8">
        <f t="shared" si="122"/>
        <v>150.83985983956163</v>
      </c>
      <c r="AS360" s="8">
        <f t="shared" si="123"/>
        <v>41.992841839024486</v>
      </c>
    </row>
    <row r="361" spans="1:45">
      <c r="A361" s="19">
        <v>10.97763333</v>
      </c>
      <c r="B361" s="19">
        <v>1131.1610439999999</v>
      </c>
      <c r="C361" s="19">
        <v>-441.93468539999998</v>
      </c>
      <c r="E361" s="9">
        <f t="shared" si="109"/>
        <v>171.16104399999995</v>
      </c>
      <c r="F361" s="9">
        <f t="shared" si="114"/>
        <v>98.065314600000022</v>
      </c>
      <c r="I361">
        <v>1</v>
      </c>
      <c r="J361">
        <f t="shared" si="110"/>
        <v>0.12893337689110576</v>
      </c>
      <c r="K361">
        <f t="shared" si="115"/>
        <v>0.5202861032108026</v>
      </c>
      <c r="O361">
        <f t="shared" si="116"/>
        <v>0.11156282324389302</v>
      </c>
      <c r="P361">
        <f t="shared" si="117"/>
        <v>6.3919003433261179E-2</v>
      </c>
      <c r="Q361">
        <f t="shared" si="118"/>
        <v>0.99169960041836791</v>
      </c>
      <c r="R361">
        <f t="shared" si="108"/>
        <v>1</v>
      </c>
      <c r="AG361" s="8">
        <f t="shared" si="111"/>
        <v>-0.64896307844488377</v>
      </c>
      <c r="AH361" s="8">
        <f t="shared" si="112"/>
        <v>0.36248837974059905</v>
      </c>
      <c r="AI361" s="8">
        <f t="shared" si="113"/>
        <v>0.66891636051779668</v>
      </c>
      <c r="AJ361" s="8"/>
      <c r="AK361" s="8"/>
      <c r="AL361" s="8"/>
      <c r="AN361" s="8">
        <f t="shared" si="119"/>
        <v>1</v>
      </c>
      <c r="AO361" s="8">
        <f t="shared" si="120"/>
        <v>2.6321970444351384</v>
      </c>
      <c r="AP361" s="8">
        <f t="shared" si="121"/>
        <v>0.83804629976848422</v>
      </c>
      <c r="AQ361" s="8"/>
      <c r="AR361" s="8">
        <f t="shared" si="122"/>
        <v>150.81378149294264</v>
      </c>
      <c r="AS361" s="8">
        <f t="shared" si="123"/>
        <v>41.983483986710432</v>
      </c>
    </row>
    <row r="362" spans="1:45">
      <c r="A362" s="19">
        <v>11.010999999999999</v>
      </c>
      <c r="B362" s="19">
        <v>1130.391987</v>
      </c>
      <c r="C362" s="19">
        <v>-442.00409780000001</v>
      </c>
      <c r="E362" s="9">
        <f t="shared" si="109"/>
        <v>170.39198699999997</v>
      </c>
      <c r="F362" s="9">
        <f t="shared" si="114"/>
        <v>97.995902199999989</v>
      </c>
      <c r="I362">
        <v>1</v>
      </c>
      <c r="J362">
        <f t="shared" si="110"/>
        <v>0.12847535725755757</v>
      </c>
      <c r="K362">
        <f t="shared" si="115"/>
        <v>0.52192473455703692</v>
      </c>
      <c r="O362">
        <f t="shared" si="116"/>
        <v>0.11106417828378855</v>
      </c>
      <c r="P362">
        <f t="shared" si="117"/>
        <v>6.3875271042067888E-2</v>
      </c>
      <c r="Q362">
        <f t="shared" si="118"/>
        <v>0.99175838693274943</v>
      </c>
      <c r="R362">
        <f t="shared" si="108"/>
        <v>1</v>
      </c>
      <c r="AG362" s="8">
        <f t="shared" si="111"/>
        <v>-0.6487916656728473</v>
      </c>
      <c r="AH362" s="8">
        <f t="shared" si="112"/>
        <v>0.36295438838083416</v>
      </c>
      <c r="AI362" s="8">
        <f t="shared" si="113"/>
        <v>0.66882993840627902</v>
      </c>
      <c r="AJ362" s="8"/>
      <c r="AK362" s="8"/>
      <c r="AL362" s="8"/>
      <c r="AN362" s="8">
        <f t="shared" si="119"/>
        <v>1</v>
      </c>
      <c r="AO362" s="8">
        <f t="shared" si="120"/>
        <v>2.6315373415334822</v>
      </c>
      <c r="AP362" s="8">
        <f t="shared" si="121"/>
        <v>0.83816255593842148</v>
      </c>
      <c r="AQ362" s="8"/>
      <c r="AR362" s="8">
        <f t="shared" si="122"/>
        <v>150.7759833009452</v>
      </c>
      <c r="AS362" s="8">
        <f t="shared" si="123"/>
        <v>41.976822998830677</v>
      </c>
    </row>
    <row r="363" spans="1:45">
      <c r="A363" s="19">
        <v>11.04436667</v>
      </c>
      <c r="B363" s="19">
        <v>1129.758259</v>
      </c>
      <c r="C363" s="19">
        <v>-442.00776839999997</v>
      </c>
      <c r="E363" s="9">
        <f t="shared" si="109"/>
        <v>169.75825899999995</v>
      </c>
      <c r="F363" s="9">
        <f t="shared" si="114"/>
        <v>97.992231600000025</v>
      </c>
      <c r="I363">
        <v>1</v>
      </c>
      <c r="J363">
        <f t="shared" si="110"/>
        <v>0.12811563586244468</v>
      </c>
      <c r="K363">
        <f t="shared" si="115"/>
        <v>0.52352037410796737</v>
      </c>
      <c r="O363">
        <f t="shared" si="116"/>
        <v>0.11065313349887342</v>
      </c>
      <c r="P363">
        <f t="shared" si="117"/>
        <v>6.3874049775023492E-2</v>
      </c>
      <c r="Q363">
        <f t="shared" si="118"/>
        <v>0.99180441106713091</v>
      </c>
      <c r="R363">
        <f t="shared" si="108"/>
        <v>1</v>
      </c>
      <c r="AG363" s="8">
        <f t="shared" si="111"/>
        <v>-0.64862771089633742</v>
      </c>
      <c r="AH363" s="8">
        <f t="shared" si="112"/>
        <v>0.3633313652588126</v>
      </c>
      <c r="AI363" s="8">
        <f t="shared" si="113"/>
        <v>0.66878427887962855</v>
      </c>
      <c r="AJ363" s="8"/>
      <c r="AK363" s="8"/>
      <c r="AL363" s="8"/>
      <c r="AN363" s="8">
        <f t="shared" si="119"/>
        <v>1</v>
      </c>
      <c r="AO363" s="8">
        <f t="shared" si="120"/>
        <v>2.6309871530033995</v>
      </c>
      <c r="AP363" s="8">
        <f t="shared" si="121"/>
        <v>0.83822397282986494</v>
      </c>
      <c r="AQ363" s="8"/>
      <c r="AR363" s="8">
        <f t="shared" si="122"/>
        <v>150.74445982023497</v>
      </c>
      <c r="AS363" s="8">
        <f t="shared" si="123"/>
        <v>41.973304070160154</v>
      </c>
    </row>
    <row r="364" spans="1:45">
      <c r="A364" s="19">
        <v>11.077733329999999</v>
      </c>
      <c r="B364" s="19">
        <v>1129.2233189999999</v>
      </c>
      <c r="C364" s="19">
        <v>-442.06851999999998</v>
      </c>
      <c r="E364" s="9">
        <f t="shared" si="109"/>
        <v>169.22331899999995</v>
      </c>
      <c r="F364" s="9">
        <f t="shared" si="114"/>
        <v>97.931480000000022</v>
      </c>
      <c r="I364">
        <v>1</v>
      </c>
      <c r="J364">
        <f t="shared" si="110"/>
        <v>0.12779336531166111</v>
      </c>
      <c r="K364">
        <f t="shared" si="115"/>
        <v>0.5246190935195727</v>
      </c>
      <c r="O364">
        <f t="shared" si="116"/>
        <v>0.11030623739319063</v>
      </c>
      <c r="P364">
        <f t="shared" si="117"/>
        <v>6.3835487596993104E-2</v>
      </c>
      <c r="Q364">
        <f t="shared" si="118"/>
        <v>0.99184553460476454</v>
      </c>
      <c r="R364">
        <f t="shared" si="108"/>
        <v>1</v>
      </c>
      <c r="AG364" s="8">
        <f t="shared" si="111"/>
        <v>-0.64851353791370059</v>
      </c>
      <c r="AH364" s="8">
        <f t="shared" si="112"/>
        <v>0.36365706930138969</v>
      </c>
      <c r="AI364" s="8">
        <f t="shared" si="113"/>
        <v>0.66871797275815714</v>
      </c>
      <c r="AJ364" s="8"/>
      <c r="AK364" s="8"/>
      <c r="AL364" s="8"/>
      <c r="AN364" s="8">
        <f t="shared" si="119"/>
        <v>0.99999999999999989</v>
      </c>
      <c r="AO364" s="8">
        <f t="shared" si="120"/>
        <v>2.6305299241014883</v>
      </c>
      <c r="AP364" s="8">
        <f t="shared" si="121"/>
        <v>0.83831315553348995</v>
      </c>
      <c r="AQ364" s="8"/>
      <c r="AR364" s="8">
        <f t="shared" si="122"/>
        <v>150.71826253388406</v>
      </c>
      <c r="AS364" s="8">
        <f t="shared" si="123"/>
        <v>41.968194277636869</v>
      </c>
    </row>
    <row r="365" spans="1:45">
      <c r="A365" s="19">
        <v>11.1111</v>
      </c>
      <c r="B365" s="19">
        <v>1128.5335339999999</v>
      </c>
      <c r="C365" s="19">
        <v>-441.9962372</v>
      </c>
      <c r="E365" s="9">
        <f t="shared" si="109"/>
        <v>168.53353399999992</v>
      </c>
      <c r="F365" s="9">
        <f t="shared" si="114"/>
        <v>98.003762800000004</v>
      </c>
      <c r="I365">
        <v>1</v>
      </c>
      <c r="J365">
        <f t="shared" si="110"/>
        <v>0.12742742744167812</v>
      </c>
      <c r="K365">
        <f t="shared" si="115"/>
        <v>0.52671218917514151</v>
      </c>
      <c r="O365">
        <f t="shared" si="116"/>
        <v>0.10985861399833988</v>
      </c>
      <c r="P365">
        <f t="shared" si="117"/>
        <v>6.3883770145293853E-2</v>
      </c>
      <c r="Q365">
        <f t="shared" si="118"/>
        <v>0.99189210544412898</v>
      </c>
      <c r="R365">
        <f t="shared" si="108"/>
        <v>1</v>
      </c>
      <c r="AG365" s="8">
        <f t="shared" si="111"/>
        <v>-0.64830266946718262</v>
      </c>
      <c r="AH365" s="8">
        <f t="shared" si="112"/>
        <v>0.36405734856660021</v>
      </c>
      <c r="AI365" s="8">
        <f t="shared" si="113"/>
        <v>0.66870464011877628</v>
      </c>
      <c r="AJ365" s="8"/>
      <c r="AK365" s="8"/>
      <c r="AL365" s="8"/>
      <c r="AN365" s="8">
        <f t="shared" si="119"/>
        <v>1</v>
      </c>
      <c r="AO365" s="8">
        <f t="shared" si="120"/>
        <v>2.6299216480109253</v>
      </c>
      <c r="AP365" s="8">
        <f t="shared" si="121"/>
        <v>0.83833108726473471</v>
      </c>
      <c r="AQ365" s="8"/>
      <c r="AR365" s="8">
        <f t="shared" si="122"/>
        <v>150.68341088111609</v>
      </c>
      <c r="AS365" s="8">
        <f t="shared" si="123"/>
        <v>41.967166865117186</v>
      </c>
    </row>
    <row r="366" spans="1:45">
      <c r="A366" s="19">
        <v>11.14446667</v>
      </c>
      <c r="B366" s="19">
        <v>1128.196072</v>
      </c>
      <c r="C366" s="19">
        <v>-441.95785710000001</v>
      </c>
      <c r="E366" s="9">
        <f t="shared" si="109"/>
        <v>168.19607199999996</v>
      </c>
      <c r="F366" s="9">
        <f t="shared" si="114"/>
        <v>98.042142899999988</v>
      </c>
      <c r="I366">
        <v>1</v>
      </c>
      <c r="J366">
        <f t="shared" si="110"/>
        <v>0.12724958815913179</v>
      </c>
      <c r="K366">
        <f t="shared" si="115"/>
        <v>0.52775396708689748</v>
      </c>
      <c r="O366">
        <f t="shared" si="116"/>
        <v>0.10963960314709495</v>
      </c>
      <c r="P366">
        <f t="shared" si="117"/>
        <v>6.3909350030759177E-2</v>
      </c>
      <c r="Q366">
        <f t="shared" si="118"/>
        <v>0.99191469008196131</v>
      </c>
      <c r="R366">
        <f t="shared" si="108"/>
        <v>1</v>
      </c>
      <c r="AG366" s="8">
        <f t="shared" si="111"/>
        <v>-0.64819818290342546</v>
      </c>
      <c r="AH366" s="8">
        <f t="shared" si="112"/>
        <v>0.36425276207121193</v>
      </c>
      <c r="AI366" s="8">
        <f t="shared" si="113"/>
        <v>0.66869951473303058</v>
      </c>
      <c r="AJ366" s="8"/>
      <c r="AK366" s="8"/>
      <c r="AL366" s="8"/>
      <c r="AN366" s="8">
        <f t="shared" si="119"/>
        <v>1</v>
      </c>
      <c r="AO366" s="8">
        <f t="shared" si="120"/>
        <v>2.629623683073552</v>
      </c>
      <c r="AP366" s="8">
        <f t="shared" si="121"/>
        <v>0.8383379805745359</v>
      </c>
      <c r="AQ366" s="8"/>
      <c r="AR366" s="8">
        <f t="shared" si="122"/>
        <v>150.6663387477617</v>
      </c>
      <c r="AS366" s="8">
        <f t="shared" si="123"/>
        <v>41.966771907558702</v>
      </c>
    </row>
    <row r="367" spans="1:45">
      <c r="A367" s="19">
        <v>11.17783333</v>
      </c>
      <c r="B367" s="19">
        <v>1127.332465</v>
      </c>
      <c r="C367" s="19">
        <v>-441.61000810000002</v>
      </c>
      <c r="E367" s="9">
        <f t="shared" si="109"/>
        <v>167.33246499999996</v>
      </c>
      <c r="F367" s="9">
        <f t="shared" si="114"/>
        <v>98.389991899999984</v>
      </c>
      <c r="I367">
        <v>1</v>
      </c>
      <c r="J367">
        <f t="shared" si="110"/>
        <v>0.12687763900189969</v>
      </c>
      <c r="K367">
        <f t="shared" si="115"/>
        <v>0.53154259193228204</v>
      </c>
      <c r="O367">
        <f t="shared" si="116"/>
        <v>0.10907864321913842</v>
      </c>
      <c r="P367">
        <f t="shared" si="117"/>
        <v>6.4137266027808892E-2</v>
      </c>
      <c r="Q367">
        <f t="shared" si="118"/>
        <v>0.99196182421499968</v>
      </c>
      <c r="R367">
        <f t="shared" si="108"/>
        <v>1</v>
      </c>
      <c r="AG367" s="8">
        <f t="shared" si="111"/>
        <v>-0.64782533203160741</v>
      </c>
      <c r="AH367" s="8">
        <f t="shared" si="112"/>
        <v>0.36472017608738644</v>
      </c>
      <c r="AI367" s="8">
        <f t="shared" si="113"/>
        <v>0.66880604986268133</v>
      </c>
      <c r="AJ367" s="8"/>
      <c r="AK367" s="8"/>
      <c r="AL367" s="8"/>
      <c r="AN367" s="8">
        <f t="shared" si="119"/>
        <v>0.99999999999999989</v>
      </c>
      <c r="AO367" s="8">
        <f t="shared" si="120"/>
        <v>2.6288298824817469</v>
      </c>
      <c r="AP367" s="8">
        <f t="shared" si="121"/>
        <v>0.83819468897882621</v>
      </c>
      <c r="AQ367" s="8"/>
      <c r="AR367" s="8">
        <f t="shared" si="122"/>
        <v>150.62085732407627</v>
      </c>
      <c r="AS367" s="8">
        <f t="shared" si="123"/>
        <v>41.974981911232561</v>
      </c>
    </row>
    <row r="368" spans="1:45">
      <c r="A368" s="19">
        <v>11.2112</v>
      </c>
      <c r="B368" s="19">
        <v>1126.478899</v>
      </c>
      <c r="C368" s="19">
        <v>-441.200783</v>
      </c>
      <c r="E368" s="9">
        <f t="shared" si="109"/>
        <v>166.47889899999996</v>
      </c>
      <c r="F368" s="9">
        <f t="shared" si="114"/>
        <v>98.799216999999999</v>
      </c>
      <c r="I368">
        <v>1</v>
      </c>
      <c r="J368">
        <f t="shared" si="110"/>
        <v>0.12653359050543109</v>
      </c>
      <c r="K368">
        <f t="shared" si="115"/>
        <v>0.53559968478053599</v>
      </c>
      <c r="O368">
        <f t="shared" si="116"/>
        <v>0.10852403830058982</v>
      </c>
      <c r="P368">
        <f t="shared" si="117"/>
        <v>6.4405099229880705E-2</v>
      </c>
      <c r="Q368">
        <f t="shared" si="118"/>
        <v>0.99200530054235159</v>
      </c>
      <c r="R368">
        <f t="shared" si="108"/>
        <v>1</v>
      </c>
      <c r="AG368" s="8">
        <f t="shared" si="111"/>
        <v>-0.64742896249997028</v>
      </c>
      <c r="AH368" s="8">
        <f t="shared" si="112"/>
        <v>0.36517347948032797</v>
      </c>
      <c r="AI368" s="8">
        <f t="shared" si="113"/>
        <v>0.66894250007040412</v>
      </c>
      <c r="AJ368" s="8"/>
      <c r="AK368" s="8"/>
      <c r="AL368" s="8"/>
      <c r="AN368" s="8">
        <f t="shared" si="119"/>
        <v>1</v>
      </c>
      <c r="AO368" s="8">
        <f t="shared" si="120"/>
        <v>2.6280368681333695</v>
      </c>
      <c r="AP368" s="8">
        <f t="shared" si="121"/>
        <v>0.83801113410016559</v>
      </c>
      <c r="AQ368" s="8"/>
      <c r="AR368" s="8">
        <f t="shared" si="122"/>
        <v>150.57542094882095</v>
      </c>
      <c r="AS368" s="8">
        <f t="shared" si="123"/>
        <v>41.985498831088847</v>
      </c>
    </row>
    <row r="369" spans="1:45">
      <c r="A369" s="19">
        <v>11.244566669999999</v>
      </c>
      <c r="B369" s="19">
        <v>1126.0588319999999</v>
      </c>
      <c r="C369" s="19">
        <v>-441.15016070000001</v>
      </c>
      <c r="E369" s="9">
        <f t="shared" si="109"/>
        <v>166.05883199999994</v>
      </c>
      <c r="F369" s="9">
        <f t="shared" si="114"/>
        <v>98.849839299999985</v>
      </c>
      <c r="I369">
        <v>1</v>
      </c>
      <c r="J369">
        <f t="shared" si="110"/>
        <v>0.12631463339881471</v>
      </c>
      <c r="K369">
        <f t="shared" si="115"/>
        <v>0.53693429315995445</v>
      </c>
      <c r="O369">
        <f t="shared" si="116"/>
        <v>0.10825134201445091</v>
      </c>
      <c r="P369">
        <f t="shared" si="117"/>
        <v>6.4438775301862969E-2</v>
      </c>
      <c r="Q369">
        <f t="shared" si="118"/>
        <v>0.99203290831991375</v>
      </c>
      <c r="R369">
        <f t="shared" si="108"/>
        <v>1</v>
      </c>
      <c r="AG369" s="8">
        <f t="shared" si="111"/>
        <v>-0.64729742907155696</v>
      </c>
      <c r="AH369" s="8">
        <f t="shared" si="112"/>
        <v>0.36541623589583427</v>
      </c>
      <c r="AI369" s="8">
        <f t="shared" si="113"/>
        <v>0.66893722639801778</v>
      </c>
      <c r="AJ369" s="8"/>
      <c r="AK369" s="8"/>
      <c r="AL369" s="8"/>
      <c r="AN369" s="8">
        <f t="shared" si="119"/>
        <v>1.0000000000000002</v>
      </c>
      <c r="AO369" s="8">
        <f t="shared" si="120"/>
        <v>2.6276654783928004</v>
      </c>
      <c r="AP369" s="8">
        <f t="shared" si="121"/>
        <v>0.8380182288871032</v>
      </c>
      <c r="AQ369" s="8"/>
      <c r="AR369" s="8">
        <f t="shared" si="122"/>
        <v>150.55414188413187</v>
      </c>
      <c r="AS369" s="8">
        <f t="shared" si="123"/>
        <v>41.98509232974078</v>
      </c>
    </row>
    <row r="370" spans="1:45">
      <c r="A370" s="19">
        <v>11.27793333</v>
      </c>
      <c r="B370" s="19">
        <v>1125.3520920000001</v>
      </c>
      <c r="C370" s="19">
        <v>-441.09108520000001</v>
      </c>
      <c r="E370" s="9">
        <f t="shared" si="109"/>
        <v>165.35209200000008</v>
      </c>
      <c r="F370" s="9">
        <f t="shared" si="114"/>
        <v>98.908914799999991</v>
      </c>
      <c r="I370">
        <v>1</v>
      </c>
      <c r="J370">
        <f t="shared" si="110"/>
        <v>0.12593799026305411</v>
      </c>
      <c r="K370">
        <f t="shared" si="115"/>
        <v>0.53907395660816071</v>
      </c>
      <c r="O370">
        <f t="shared" si="116"/>
        <v>0.1077925552948043</v>
      </c>
      <c r="P370">
        <f t="shared" si="117"/>
        <v>6.4478438335863808E-2</v>
      </c>
      <c r="Q370">
        <f t="shared" si="118"/>
        <v>0.99208028708002494</v>
      </c>
      <c r="R370">
        <f t="shared" si="108"/>
        <v>1</v>
      </c>
      <c r="AG370" s="8">
        <f t="shared" si="111"/>
        <v>-0.64708702573206944</v>
      </c>
      <c r="AH370" s="8">
        <f t="shared" si="112"/>
        <v>0.36582802582324925</v>
      </c>
      <c r="AI370" s="8">
        <f t="shared" si="113"/>
        <v>0.66891571715088893</v>
      </c>
      <c r="AJ370" s="8"/>
      <c r="AK370" s="8"/>
      <c r="AL370" s="8"/>
      <c r="AN370" s="8">
        <f t="shared" si="119"/>
        <v>0.99999999999999989</v>
      </c>
      <c r="AO370" s="8">
        <f t="shared" si="120"/>
        <v>2.6270439179422569</v>
      </c>
      <c r="AP370" s="8">
        <f t="shared" si="121"/>
        <v>0.83804716527910839</v>
      </c>
      <c r="AQ370" s="8"/>
      <c r="AR370" s="8">
        <f t="shared" si="122"/>
        <v>150.51852909360349</v>
      </c>
      <c r="AS370" s="8">
        <f t="shared" si="123"/>
        <v>41.983434396604544</v>
      </c>
    </row>
    <row r="371" spans="1:45">
      <c r="A371" s="19">
        <v>11.311299999999999</v>
      </c>
      <c r="B371" s="19">
        <v>1124.6449239999999</v>
      </c>
      <c r="C371" s="19">
        <v>-441.0858657</v>
      </c>
      <c r="E371" s="9">
        <f t="shared" si="109"/>
        <v>164.64492399999995</v>
      </c>
      <c r="F371" s="9">
        <f t="shared" si="114"/>
        <v>98.914134300000001</v>
      </c>
      <c r="I371">
        <v>1</v>
      </c>
      <c r="J371">
        <f t="shared" si="110"/>
        <v>0.12554354121904365</v>
      </c>
      <c r="K371">
        <f t="shared" si="115"/>
        <v>0.54098728433802934</v>
      </c>
      <c r="O371">
        <f t="shared" si="116"/>
        <v>0.10733353716013866</v>
      </c>
      <c r="P371">
        <f t="shared" si="117"/>
        <v>6.4483032040222502E-2</v>
      </c>
      <c r="Q371">
        <f t="shared" si="118"/>
        <v>0.992129754810122</v>
      </c>
      <c r="R371">
        <f t="shared" si="108"/>
        <v>1</v>
      </c>
      <c r="AG371" s="8">
        <f t="shared" si="111"/>
        <v>-0.64689909267750434</v>
      </c>
      <c r="AH371" s="8">
        <f t="shared" si="112"/>
        <v>0.36624705826446652</v>
      </c>
      <c r="AI371" s="8">
        <f t="shared" si="113"/>
        <v>0.66886819045731738</v>
      </c>
      <c r="AJ371" s="8"/>
      <c r="AK371" s="8"/>
      <c r="AL371" s="8"/>
      <c r="AN371" s="8">
        <f t="shared" si="119"/>
        <v>1</v>
      </c>
      <c r="AO371" s="8">
        <f t="shared" si="120"/>
        <v>2.6264288043468351</v>
      </c>
      <c r="AP371" s="8">
        <f t="shared" si="121"/>
        <v>0.83811110027241786</v>
      </c>
      <c r="AQ371" s="8"/>
      <c r="AR371" s="8">
        <f t="shared" si="122"/>
        <v>150.48328568066469</v>
      </c>
      <c r="AS371" s="8">
        <f t="shared" si="123"/>
        <v>41.979771191324716</v>
      </c>
    </row>
    <row r="372" spans="1:45">
      <c r="A372" s="19">
        <v>11.344666670000001</v>
      </c>
      <c r="B372" s="19">
        <v>1124.1885830000001</v>
      </c>
      <c r="C372" s="19">
        <v>-441.1082437</v>
      </c>
      <c r="E372" s="9">
        <f t="shared" si="109"/>
        <v>164.18858300000011</v>
      </c>
      <c r="F372" s="9">
        <f t="shared" si="114"/>
        <v>98.891756299999997</v>
      </c>
      <c r="I372">
        <v>1</v>
      </c>
      <c r="J372">
        <f t="shared" si="110"/>
        <v>0.12528055229799184</v>
      </c>
      <c r="K372">
        <f t="shared" si="115"/>
        <v>0.54211330833214633</v>
      </c>
      <c r="O372">
        <f t="shared" si="116"/>
        <v>0.10703734737109415</v>
      </c>
      <c r="P372">
        <f t="shared" si="117"/>
        <v>6.446922847991618E-2</v>
      </c>
      <c r="Q372">
        <f t="shared" si="118"/>
        <v>0.99216265039909868</v>
      </c>
      <c r="R372">
        <f t="shared" si="108"/>
        <v>1</v>
      </c>
      <c r="AG372" s="8">
        <f t="shared" si="111"/>
        <v>-0.64678860663300308</v>
      </c>
      <c r="AH372" s="8">
        <f t="shared" si="112"/>
        <v>0.36652080290407152</v>
      </c>
      <c r="AI372" s="8">
        <f t="shared" si="113"/>
        <v>0.66882508877007085</v>
      </c>
      <c r="AJ372" s="8"/>
      <c r="AK372" s="8"/>
      <c r="AL372" s="8"/>
      <c r="AN372" s="8">
        <f t="shared" si="119"/>
        <v>1</v>
      </c>
      <c r="AO372" s="8">
        <f t="shared" si="120"/>
        <v>2.6260351507725885</v>
      </c>
      <c r="AP372" s="8">
        <f t="shared" si="121"/>
        <v>0.83816907937300344</v>
      </c>
      <c r="AQ372" s="8"/>
      <c r="AR372" s="8">
        <f t="shared" si="122"/>
        <v>150.46073099227013</v>
      </c>
      <c r="AS372" s="8">
        <f t="shared" si="123"/>
        <v>41.976449233561198</v>
      </c>
    </row>
    <row r="373" spans="1:45">
      <c r="A373" s="19">
        <v>11.378033329999999</v>
      </c>
      <c r="B373" s="19">
        <v>1123.5821880000001</v>
      </c>
      <c r="C373" s="19">
        <v>-440.77861799999999</v>
      </c>
      <c r="E373" s="9">
        <f t="shared" si="109"/>
        <v>163.58218800000009</v>
      </c>
      <c r="F373" s="9">
        <f t="shared" si="114"/>
        <v>99.221382000000006</v>
      </c>
      <c r="I373">
        <v>1</v>
      </c>
      <c r="J373">
        <f t="shared" si="110"/>
        <v>0.12505291075261696</v>
      </c>
      <c r="K373">
        <f t="shared" si="115"/>
        <v>0.54522447020443676</v>
      </c>
      <c r="O373">
        <f t="shared" si="116"/>
        <v>0.10664314212604585</v>
      </c>
      <c r="P373">
        <f t="shared" si="117"/>
        <v>6.468479283678906E-2</v>
      </c>
      <c r="Q373">
        <f t="shared" si="118"/>
        <v>0.99219106920650402</v>
      </c>
      <c r="R373">
        <f t="shared" si="108"/>
        <v>1</v>
      </c>
      <c r="AG373" s="8">
        <f t="shared" si="111"/>
        <v>-0.64649002323823634</v>
      </c>
      <c r="AH373" s="8">
        <f t="shared" si="112"/>
        <v>0.36683747960995916</v>
      </c>
      <c r="AI373" s="8">
        <f t="shared" si="113"/>
        <v>0.66894014187133177</v>
      </c>
      <c r="AJ373" s="8"/>
      <c r="AK373" s="8"/>
      <c r="AL373" s="8"/>
      <c r="AN373" s="8">
        <f t="shared" si="119"/>
        <v>1</v>
      </c>
      <c r="AO373" s="8">
        <f t="shared" si="120"/>
        <v>2.6254664533768013</v>
      </c>
      <c r="AP373" s="8">
        <f t="shared" si="121"/>
        <v>0.83801430664261356</v>
      </c>
      <c r="AQ373" s="8"/>
      <c r="AR373" s="8">
        <f t="shared" si="122"/>
        <v>150.42814703167144</v>
      </c>
      <c r="AS373" s="8">
        <f t="shared" si="123"/>
        <v>41.985317057796252</v>
      </c>
    </row>
    <row r="374" spans="1:45">
      <c r="A374" s="19">
        <v>11.4114</v>
      </c>
      <c r="B374" s="19">
        <v>1122.970548</v>
      </c>
      <c r="C374" s="19">
        <v>-440.32046150000002</v>
      </c>
      <c r="E374" s="9">
        <f t="shared" si="109"/>
        <v>162.97054800000001</v>
      </c>
      <c r="F374" s="9">
        <f t="shared" si="114"/>
        <v>99.679538499999978</v>
      </c>
      <c r="I374">
        <v>1</v>
      </c>
      <c r="J374">
        <f t="shared" si="110"/>
        <v>0.12486734478384511</v>
      </c>
      <c r="K374">
        <f t="shared" si="115"/>
        <v>0.54893542881186974</v>
      </c>
      <c r="O374">
        <f t="shared" si="116"/>
        <v>0.10624529742504747</v>
      </c>
      <c r="P374">
        <f t="shared" si="117"/>
        <v>6.4984025304522908E-2</v>
      </c>
      <c r="Q374">
        <f t="shared" si="118"/>
        <v>0.99221419725293403</v>
      </c>
      <c r="R374">
        <f t="shared" si="108"/>
        <v>1</v>
      </c>
      <c r="AG374" s="8">
        <f t="shared" si="111"/>
        <v>-0.64613565395904338</v>
      </c>
      <c r="AH374" s="8">
        <f t="shared" si="112"/>
        <v>0.36714035142296109</v>
      </c>
      <c r="AI374" s="8">
        <f t="shared" si="113"/>
        <v>0.66911634193161362</v>
      </c>
      <c r="AJ374" s="8"/>
      <c r="AK374" s="8"/>
      <c r="AL374" s="8"/>
      <c r="AN374" s="8">
        <f t="shared" si="119"/>
        <v>1</v>
      </c>
      <c r="AO374" s="8">
        <f t="shared" si="120"/>
        <v>2.6248766654423514</v>
      </c>
      <c r="AP374" s="8">
        <f t="shared" si="121"/>
        <v>0.83777723547158101</v>
      </c>
      <c r="AQ374" s="8"/>
      <c r="AR374" s="8">
        <f t="shared" si="122"/>
        <v>150.39435467221972</v>
      </c>
      <c r="AS374" s="8">
        <f t="shared" si="123"/>
        <v>41.998900235340642</v>
      </c>
    </row>
    <row r="375" spans="1:45">
      <c r="A375" s="19">
        <v>11.44476667</v>
      </c>
      <c r="B375" s="19">
        <v>1122.302162</v>
      </c>
      <c r="C375" s="19">
        <v>-440.23453510000002</v>
      </c>
      <c r="E375" s="9">
        <f t="shared" si="109"/>
        <v>162.30216199999995</v>
      </c>
      <c r="F375" s="9">
        <f t="shared" si="114"/>
        <v>99.765464899999984</v>
      </c>
      <c r="I375">
        <v>1</v>
      </c>
      <c r="J375">
        <f t="shared" si="110"/>
        <v>0.12452441578685862</v>
      </c>
      <c r="K375">
        <f t="shared" si="115"/>
        <v>0.55115077824888359</v>
      </c>
      <c r="O375">
        <f t="shared" si="116"/>
        <v>0.10581119397095082</v>
      </c>
      <c r="P375">
        <f t="shared" si="117"/>
        <v>6.5041049534115186E-2</v>
      </c>
      <c r="Q375">
        <f t="shared" si="118"/>
        <v>0.99225684835426686</v>
      </c>
      <c r="R375">
        <f t="shared" si="108"/>
        <v>1</v>
      </c>
      <c r="AG375" s="8">
        <f t="shared" si="111"/>
        <v>-0.64592336710805975</v>
      </c>
      <c r="AH375" s="8">
        <f t="shared" si="112"/>
        <v>0.36752558950978625</v>
      </c>
      <c r="AI375" s="8">
        <f t="shared" si="113"/>
        <v>0.66910981526149405</v>
      </c>
      <c r="AJ375" s="8"/>
      <c r="AK375" s="8"/>
      <c r="AL375" s="8"/>
      <c r="AN375" s="8">
        <f t="shared" si="119"/>
        <v>0.99999999999999989</v>
      </c>
      <c r="AO375" s="8">
        <f t="shared" si="120"/>
        <v>2.6242848449864518</v>
      </c>
      <c r="AP375" s="8">
        <f t="shared" si="121"/>
        <v>0.83778601778600481</v>
      </c>
      <c r="AQ375" s="8"/>
      <c r="AR375" s="8">
        <f t="shared" si="122"/>
        <v>150.36044585786715</v>
      </c>
      <c r="AS375" s="8">
        <f t="shared" si="123"/>
        <v>41.998397045789801</v>
      </c>
    </row>
    <row r="376" spans="1:45">
      <c r="A376" s="19">
        <v>11.47813333</v>
      </c>
      <c r="B376" s="19">
        <v>1121.446733</v>
      </c>
      <c r="C376" s="19">
        <v>-440.19812580000001</v>
      </c>
      <c r="E376" s="9">
        <f t="shared" si="109"/>
        <v>161.44673299999999</v>
      </c>
      <c r="F376" s="9">
        <f t="shared" si="114"/>
        <v>99.801874199999986</v>
      </c>
      <c r="I376">
        <v>1</v>
      </c>
      <c r="J376">
        <f t="shared" si="110"/>
        <v>0.12406110730497082</v>
      </c>
      <c r="K376">
        <f t="shared" si="115"/>
        <v>0.55367432781599268</v>
      </c>
      <c r="O376">
        <f t="shared" si="116"/>
        <v>0.10525567370049101</v>
      </c>
      <c r="P376">
        <f t="shared" si="117"/>
        <v>6.5066126209519834E-2</v>
      </c>
      <c r="Q376">
        <f t="shared" si="118"/>
        <v>0.99231428608780126</v>
      </c>
      <c r="R376">
        <f t="shared" si="108"/>
        <v>1</v>
      </c>
      <c r="AG376" s="8">
        <f t="shared" si="111"/>
        <v>-0.64568254603152031</v>
      </c>
      <c r="AH376" s="8">
        <f t="shared" si="112"/>
        <v>0.36802819773364082</v>
      </c>
      <c r="AI376" s="8">
        <f t="shared" si="113"/>
        <v>0.66906598734592837</v>
      </c>
      <c r="AJ376" s="8"/>
      <c r="AK376" s="8"/>
      <c r="AL376" s="8"/>
      <c r="AN376" s="8">
        <f t="shared" si="119"/>
        <v>1</v>
      </c>
      <c r="AO376" s="8">
        <f t="shared" si="120"/>
        <v>2.6235368124847307</v>
      </c>
      <c r="AP376" s="8">
        <f t="shared" si="121"/>
        <v>0.83784499101247323</v>
      </c>
      <c r="AQ376" s="8"/>
      <c r="AR376" s="8">
        <f t="shared" si="122"/>
        <v>150.31758675257993</v>
      </c>
      <c r="AS376" s="8">
        <f t="shared" si="123"/>
        <v>41.995018128808894</v>
      </c>
    </row>
    <row r="377" spans="1:45">
      <c r="A377" s="19">
        <v>11.5115</v>
      </c>
      <c r="B377" s="19">
        <v>1121.0898090000001</v>
      </c>
      <c r="C377" s="19">
        <v>-440.16403819999999</v>
      </c>
      <c r="E377" s="9">
        <f t="shared" si="109"/>
        <v>161.08980900000006</v>
      </c>
      <c r="F377" s="9">
        <f t="shared" si="114"/>
        <v>99.835961800000007</v>
      </c>
      <c r="I377">
        <v>1</v>
      </c>
      <c r="J377">
        <f t="shared" si="110"/>
        <v>0.12387452185023393</v>
      </c>
      <c r="K377">
        <f t="shared" si="115"/>
        <v>0.55481760223400478</v>
      </c>
      <c r="O377">
        <f t="shared" si="116"/>
        <v>0.10502383660081059</v>
      </c>
      <c r="P377">
        <f t="shared" si="117"/>
        <v>6.5088883052608015E-2</v>
      </c>
      <c r="Q377">
        <f t="shared" si="118"/>
        <v>0.99233735747910357</v>
      </c>
      <c r="R377">
        <f t="shared" si="108"/>
        <v>1</v>
      </c>
      <c r="AG377" s="8">
        <f t="shared" si="111"/>
        <v>-0.64557402241086115</v>
      </c>
      <c r="AH377" s="8">
        <f t="shared" si="112"/>
        <v>0.36823540529526749</v>
      </c>
      <c r="AI377" s="8">
        <f t="shared" si="113"/>
        <v>0.66905670004513895</v>
      </c>
      <c r="AJ377" s="8"/>
      <c r="AK377" s="8"/>
      <c r="AL377" s="8"/>
      <c r="AN377" s="8">
        <f t="shared" si="119"/>
        <v>1</v>
      </c>
      <c r="AO377" s="8">
        <f t="shared" si="120"/>
        <v>2.6232222874818305</v>
      </c>
      <c r="AP377" s="8">
        <f t="shared" si="121"/>
        <v>0.83785748725980413</v>
      </c>
      <c r="AQ377" s="8"/>
      <c r="AR377" s="8">
        <f t="shared" si="122"/>
        <v>150.29956579736242</v>
      </c>
      <c r="AS377" s="8">
        <f t="shared" si="123"/>
        <v>41.994302146577084</v>
      </c>
    </row>
    <row r="378" spans="1:45">
      <c r="A378" s="19">
        <v>11.544866669999999</v>
      </c>
      <c r="B378" s="19">
        <v>1120.4327780000001</v>
      </c>
      <c r="C378" s="19">
        <v>-440.12384700000001</v>
      </c>
      <c r="E378" s="9">
        <f t="shared" si="109"/>
        <v>160.4327780000001</v>
      </c>
      <c r="F378" s="9">
        <f t="shared" si="114"/>
        <v>99.876152999999988</v>
      </c>
      <c r="I378">
        <v>1</v>
      </c>
      <c r="J378">
        <f t="shared" si="110"/>
        <v>0.1235236712128534</v>
      </c>
      <c r="K378">
        <f t="shared" si="115"/>
        <v>0.55682985907227556</v>
      </c>
      <c r="O378">
        <f t="shared" si="116"/>
        <v>0.10459707506134881</v>
      </c>
      <c r="P378">
        <f t="shared" si="117"/>
        <v>6.5116079160455295E-2</v>
      </c>
      <c r="Q378">
        <f t="shared" si="118"/>
        <v>0.99238064679002069</v>
      </c>
      <c r="R378">
        <f t="shared" si="108"/>
        <v>1</v>
      </c>
      <c r="AG378" s="8">
        <f t="shared" si="111"/>
        <v>-0.64538367963109955</v>
      </c>
      <c r="AH378" s="8">
        <f t="shared" si="112"/>
        <v>0.36861975391368973</v>
      </c>
      <c r="AI378" s="8">
        <f t="shared" si="113"/>
        <v>0.6690286862986019</v>
      </c>
      <c r="AJ378" s="8"/>
      <c r="AK378" s="8"/>
      <c r="AL378" s="8"/>
      <c r="AN378" s="8">
        <f t="shared" si="119"/>
        <v>1</v>
      </c>
      <c r="AO378" s="8">
        <f t="shared" si="120"/>
        <v>2.6226462069355314</v>
      </c>
      <c r="AP378" s="8">
        <f t="shared" si="121"/>
        <v>0.83789517945965697</v>
      </c>
      <c r="AQ378" s="8"/>
      <c r="AR378" s="8">
        <f t="shared" si="122"/>
        <v>150.26655881339988</v>
      </c>
      <c r="AS378" s="8">
        <f t="shared" si="123"/>
        <v>41.992142542604952</v>
      </c>
    </row>
    <row r="379" spans="1:45">
      <c r="A379" s="19">
        <v>11.57823333</v>
      </c>
      <c r="B379" s="19">
        <v>1120.117082</v>
      </c>
      <c r="C379" s="19">
        <v>-440.03750860000002</v>
      </c>
      <c r="E379" s="9">
        <f t="shared" si="109"/>
        <v>160.11708199999998</v>
      </c>
      <c r="F379" s="9">
        <f t="shared" si="114"/>
        <v>99.962491399999976</v>
      </c>
      <c r="I379">
        <v>1</v>
      </c>
      <c r="J379">
        <f t="shared" si="110"/>
        <v>0.12337845328803861</v>
      </c>
      <c r="K379">
        <f t="shared" si="115"/>
        <v>0.55810206465251611</v>
      </c>
      <c r="O379">
        <f t="shared" si="116"/>
        <v>0.10439190406084131</v>
      </c>
      <c r="P379">
        <f t="shared" si="117"/>
        <v>6.51727765805242E-2</v>
      </c>
      <c r="Q379">
        <f t="shared" si="118"/>
        <v>0.99239852859591504</v>
      </c>
      <c r="R379">
        <f t="shared" si="108"/>
        <v>1</v>
      </c>
      <c r="AG379" s="8">
        <f t="shared" si="111"/>
        <v>-0.64526387096325111</v>
      </c>
      <c r="AH379" s="8">
        <f t="shared" si="112"/>
        <v>0.36879561690390811</v>
      </c>
      <c r="AI379" s="8">
        <f t="shared" si="113"/>
        <v>0.66904733000138839</v>
      </c>
      <c r="AJ379" s="8"/>
      <c r="AK379" s="8"/>
      <c r="AL379" s="8"/>
      <c r="AN379" s="8">
        <f t="shared" si="119"/>
        <v>1</v>
      </c>
      <c r="AO379" s="8">
        <f t="shared" si="120"/>
        <v>2.6223607863496352</v>
      </c>
      <c r="AP379" s="8">
        <f t="shared" si="121"/>
        <v>0.8378700946969716</v>
      </c>
      <c r="AQ379" s="8"/>
      <c r="AR379" s="8">
        <f t="shared" si="122"/>
        <v>150.25020541844188</v>
      </c>
      <c r="AS379" s="8">
        <f t="shared" si="123"/>
        <v>41.993579793636911</v>
      </c>
    </row>
    <row r="380" spans="1:45">
      <c r="A380" s="19">
        <v>11.611599999999999</v>
      </c>
      <c r="B380" s="19">
        <v>1119.424761</v>
      </c>
      <c r="C380" s="19">
        <v>-439.8245804</v>
      </c>
      <c r="E380" s="9">
        <f t="shared" si="109"/>
        <v>159.42476099999999</v>
      </c>
      <c r="F380" s="9">
        <f t="shared" si="114"/>
        <v>100.1754196</v>
      </c>
      <c r="I380">
        <v>1</v>
      </c>
      <c r="J380">
        <f t="shared" si="110"/>
        <v>0.12306888077034453</v>
      </c>
      <c r="K380">
        <f t="shared" si="115"/>
        <v>0.56100859491540167</v>
      </c>
      <c r="O380">
        <f t="shared" si="116"/>
        <v>0.10394190333847023</v>
      </c>
      <c r="P380">
        <f t="shared" si="117"/>
        <v>6.5312462854837813E-2</v>
      </c>
      <c r="Q380">
        <f t="shared" si="118"/>
        <v>0.99243657879292801</v>
      </c>
      <c r="R380">
        <f t="shared" si="108"/>
        <v>1</v>
      </c>
      <c r="AG380" s="8">
        <f t="shared" si="111"/>
        <v>-0.64499105915624455</v>
      </c>
      <c r="AH380" s="8">
        <f t="shared" si="112"/>
        <v>0.36917813589930615</v>
      </c>
      <c r="AI380" s="8">
        <f t="shared" si="113"/>
        <v>0.66909942279336887</v>
      </c>
      <c r="AJ380" s="8"/>
      <c r="AK380" s="8"/>
      <c r="AL380" s="8"/>
      <c r="AN380" s="8">
        <f t="shared" si="119"/>
        <v>1.0000000000000002</v>
      </c>
      <c r="AO380" s="8">
        <f t="shared" si="120"/>
        <v>2.6217317589453755</v>
      </c>
      <c r="AP380" s="8">
        <f t="shared" si="121"/>
        <v>0.83780000179096292</v>
      </c>
      <c r="AQ380" s="8"/>
      <c r="AR380" s="8">
        <f t="shared" si="122"/>
        <v>150.21416480297972</v>
      </c>
      <c r="AS380" s="8">
        <f t="shared" si="123"/>
        <v>41.997595821325014</v>
      </c>
    </row>
    <row r="381" spans="1:45">
      <c r="A381" s="19">
        <v>11.644966670000001</v>
      </c>
      <c r="B381" s="19">
        <v>1118.9055149999999</v>
      </c>
      <c r="C381" s="19">
        <v>-439.90528139999998</v>
      </c>
      <c r="E381" s="9">
        <f t="shared" si="109"/>
        <v>158.90551499999992</v>
      </c>
      <c r="F381" s="9">
        <f t="shared" si="114"/>
        <v>100.09471860000002</v>
      </c>
      <c r="I381">
        <v>1</v>
      </c>
      <c r="J381">
        <f t="shared" si="110"/>
        <v>0.12275356437380852</v>
      </c>
      <c r="K381">
        <f t="shared" si="115"/>
        <v>0.56211576047179235</v>
      </c>
      <c r="O381">
        <f t="shared" si="116"/>
        <v>0.10360474222858333</v>
      </c>
      <c r="P381">
        <f t="shared" si="117"/>
        <v>6.5260714953761012E-2</v>
      </c>
      <c r="Q381">
        <f t="shared" si="118"/>
        <v>0.99247523720819997</v>
      </c>
      <c r="R381">
        <f t="shared" si="108"/>
        <v>1</v>
      </c>
      <c r="AG381" s="8">
        <f t="shared" si="111"/>
        <v>-0.64488789304420591</v>
      </c>
      <c r="AH381" s="8">
        <f t="shared" si="112"/>
        <v>0.3694965411119045</v>
      </c>
      <c r="AI381" s="8">
        <f t="shared" si="113"/>
        <v>0.66902310237490581</v>
      </c>
      <c r="AJ381" s="8"/>
      <c r="AK381" s="8"/>
      <c r="AL381" s="8"/>
      <c r="AN381" s="8">
        <f t="shared" si="119"/>
        <v>1</v>
      </c>
      <c r="AO381" s="8">
        <f t="shared" si="120"/>
        <v>2.6212910019966102</v>
      </c>
      <c r="AP381" s="8">
        <f t="shared" si="121"/>
        <v>0.8379026924171048</v>
      </c>
      <c r="AQ381" s="8"/>
      <c r="AR381" s="8">
        <f t="shared" si="122"/>
        <v>150.18891129002441</v>
      </c>
      <c r="AS381" s="8">
        <f t="shared" si="123"/>
        <v>41.991712081851524</v>
      </c>
    </row>
    <row r="382" spans="1:45">
      <c r="A382" s="19">
        <v>11.678333329999999</v>
      </c>
      <c r="B382" s="19">
        <v>1118.363327</v>
      </c>
      <c r="C382" s="19">
        <v>-439.96309000000002</v>
      </c>
      <c r="E382" s="9">
        <f t="shared" si="109"/>
        <v>158.36332700000003</v>
      </c>
      <c r="F382" s="9">
        <f t="shared" si="114"/>
        <v>100.03690999999998</v>
      </c>
      <c r="I382">
        <v>1</v>
      </c>
      <c r="J382">
        <f t="shared" si="110"/>
        <v>0.12243369463861807</v>
      </c>
      <c r="K382">
        <f t="shared" si="115"/>
        <v>0.56339735864778873</v>
      </c>
      <c r="O382">
        <f t="shared" si="116"/>
        <v>0.10325261634331045</v>
      </c>
      <c r="P382">
        <f t="shared" si="117"/>
        <v>6.5223892955976304E-2</v>
      </c>
      <c r="Q382">
        <f t="shared" si="118"/>
        <v>0.99251435304781788</v>
      </c>
      <c r="R382">
        <f t="shared" si="108"/>
        <v>1</v>
      </c>
      <c r="AG382" s="8">
        <f t="shared" si="111"/>
        <v>-0.64476891011609094</v>
      </c>
      <c r="AH382" s="8">
        <f t="shared" si="112"/>
        <v>0.36982550977218237</v>
      </c>
      <c r="AI382" s="8">
        <f t="shared" si="113"/>
        <v>0.66895601116176073</v>
      </c>
      <c r="AJ382" s="8"/>
      <c r="AK382" s="8"/>
      <c r="AL382" s="8"/>
      <c r="AN382" s="8">
        <f t="shared" si="119"/>
        <v>1.0000000000000002</v>
      </c>
      <c r="AO382" s="8">
        <f t="shared" si="120"/>
        <v>2.6208274119542323</v>
      </c>
      <c r="AP382" s="8">
        <f t="shared" si="121"/>
        <v>0.83799295712641386</v>
      </c>
      <c r="AQ382" s="8"/>
      <c r="AR382" s="8">
        <f t="shared" si="122"/>
        <v>150.16234953717188</v>
      </c>
      <c r="AS382" s="8">
        <f t="shared" si="123"/>
        <v>41.986540294969146</v>
      </c>
    </row>
    <row r="383" spans="1:45">
      <c r="A383" s="19">
        <v>11.7117</v>
      </c>
      <c r="B383" s="19">
        <v>1117.40164</v>
      </c>
      <c r="C383" s="19">
        <v>-439.75246700000002</v>
      </c>
      <c r="E383" s="9">
        <f t="shared" si="109"/>
        <v>157.40164000000004</v>
      </c>
      <c r="F383" s="9">
        <f t="shared" si="114"/>
        <v>100.24753299999998</v>
      </c>
      <c r="I383">
        <v>1</v>
      </c>
      <c r="J383">
        <f t="shared" si="110"/>
        <v>0.12197663161667191</v>
      </c>
      <c r="K383">
        <f t="shared" si="115"/>
        <v>0.56710378656716731</v>
      </c>
      <c r="O383">
        <f t="shared" si="116"/>
        <v>0.1026275205689491</v>
      </c>
      <c r="P383">
        <f t="shared" si="117"/>
        <v>6.5362443205444973E-2</v>
      </c>
      <c r="Q383">
        <f t="shared" si="118"/>
        <v>0.99257006958707195</v>
      </c>
      <c r="R383">
        <f t="shared" si="108"/>
        <v>1</v>
      </c>
      <c r="AG383" s="8">
        <f t="shared" si="111"/>
        <v>-0.64442538915363912</v>
      </c>
      <c r="AH383" s="8">
        <f t="shared" si="112"/>
        <v>0.37036779940796949</v>
      </c>
      <c r="AI383" s="8">
        <f t="shared" si="113"/>
        <v>0.66898700359265495</v>
      </c>
      <c r="AJ383" s="8"/>
      <c r="AK383" s="8"/>
      <c r="AL383" s="8"/>
      <c r="AN383" s="8">
        <f t="shared" si="119"/>
        <v>1</v>
      </c>
      <c r="AO383" s="8">
        <f t="shared" si="120"/>
        <v>2.6199645809827321</v>
      </c>
      <c r="AP383" s="8">
        <f t="shared" si="121"/>
        <v>0.83795126073295656</v>
      </c>
      <c r="AQ383" s="8"/>
      <c r="AR383" s="8">
        <f t="shared" si="122"/>
        <v>150.11291296407174</v>
      </c>
      <c r="AS383" s="8">
        <f t="shared" si="123"/>
        <v>41.988929322335167</v>
      </c>
    </row>
    <row r="384" spans="1:45">
      <c r="A384" s="19">
        <v>11.74506667</v>
      </c>
      <c r="B384" s="19">
        <v>1116.8803150000001</v>
      </c>
      <c r="C384" s="19">
        <v>-439.53561710000002</v>
      </c>
      <c r="E384" s="9">
        <f t="shared" si="109"/>
        <v>156.88031500000011</v>
      </c>
      <c r="F384" s="9">
        <f t="shared" si="114"/>
        <v>100.46438289999998</v>
      </c>
      <c r="I384">
        <v>1</v>
      </c>
      <c r="J384">
        <f t="shared" si="110"/>
        <v>0.1217657305969831</v>
      </c>
      <c r="K384">
        <f t="shared" si="115"/>
        <v>0.56958890310990795</v>
      </c>
      <c r="O384">
        <f t="shared" si="116"/>
        <v>0.10228848330998871</v>
      </c>
      <c r="P384">
        <f t="shared" si="117"/>
        <v>6.5504390104742946E-2</v>
      </c>
      <c r="Q384">
        <f t="shared" si="118"/>
        <v>0.99259570876522929</v>
      </c>
      <c r="R384">
        <f t="shared" si="108"/>
        <v>1</v>
      </c>
      <c r="AG384" s="8">
        <f t="shared" si="111"/>
        <v>-0.64419567669396571</v>
      </c>
      <c r="AH384" s="8">
        <f t="shared" si="112"/>
        <v>0.37064822480715615</v>
      </c>
      <c r="AI384" s="8">
        <f t="shared" si="113"/>
        <v>0.66905293032472968</v>
      </c>
      <c r="AJ384" s="8"/>
      <c r="AK384" s="8"/>
      <c r="AL384" s="8"/>
      <c r="AN384" s="8">
        <f t="shared" si="119"/>
        <v>1.0000000000000002</v>
      </c>
      <c r="AO384" s="8">
        <f t="shared" si="120"/>
        <v>2.6194834342656876</v>
      </c>
      <c r="AP384" s="8">
        <f t="shared" si="121"/>
        <v>0.83786255945323895</v>
      </c>
      <c r="AQ384" s="8"/>
      <c r="AR384" s="8">
        <f t="shared" si="122"/>
        <v>150.0853452878585</v>
      </c>
      <c r="AS384" s="8">
        <f t="shared" si="123"/>
        <v>41.994011531300394</v>
      </c>
    </row>
    <row r="385" spans="1:45">
      <c r="A385" s="19">
        <v>11.77843333</v>
      </c>
      <c r="B385" s="19">
        <v>1116.3384980000001</v>
      </c>
      <c r="C385" s="19">
        <v>-439.22093330000001</v>
      </c>
      <c r="E385" s="9">
        <f t="shared" si="109"/>
        <v>156.33849800000007</v>
      </c>
      <c r="F385" s="9">
        <f t="shared" si="114"/>
        <v>100.77906669999999</v>
      </c>
      <c r="I385">
        <v>1</v>
      </c>
      <c r="J385">
        <f t="shared" si="110"/>
        <v>0.12157895264792033</v>
      </c>
      <c r="K385">
        <f t="shared" si="115"/>
        <v>0.57258449560856628</v>
      </c>
      <c r="O385">
        <f t="shared" si="116"/>
        <v>0.10193597328122</v>
      </c>
      <c r="P385">
        <f t="shared" si="117"/>
        <v>6.5710061065301278E-2</v>
      </c>
      <c r="Q385">
        <f t="shared" si="118"/>
        <v>0.99261837844460887</v>
      </c>
      <c r="R385">
        <f t="shared" si="108"/>
        <v>1</v>
      </c>
      <c r="AG385" s="8">
        <f t="shared" si="111"/>
        <v>-0.64391910014253506</v>
      </c>
      <c r="AH385" s="8">
        <f t="shared" si="112"/>
        <v>0.37092787905307634</v>
      </c>
      <c r="AI385" s="8">
        <f t="shared" si="113"/>
        <v>0.66916418090989771</v>
      </c>
      <c r="AJ385" s="8"/>
      <c r="AK385" s="8"/>
      <c r="AL385" s="8"/>
      <c r="AN385" s="8">
        <f t="shared" si="119"/>
        <v>1</v>
      </c>
      <c r="AO385" s="8">
        <f t="shared" si="120"/>
        <v>2.6189716329186656</v>
      </c>
      <c r="AP385" s="8">
        <f t="shared" si="121"/>
        <v>0.83771286102353792</v>
      </c>
      <c r="AQ385" s="8"/>
      <c r="AR385" s="8">
        <f t="shared" si="122"/>
        <v>150.05602123072504</v>
      </c>
      <c r="AS385" s="8">
        <f t="shared" si="123"/>
        <v>42.002588619521994</v>
      </c>
    </row>
    <row r="386" spans="1:45">
      <c r="A386" s="19">
        <v>11.8118</v>
      </c>
      <c r="B386" s="19">
        <v>1115.6345289999999</v>
      </c>
      <c r="C386" s="19">
        <v>-439.13679550000001</v>
      </c>
      <c r="E386" s="9">
        <f t="shared" si="109"/>
        <v>155.63452899999993</v>
      </c>
      <c r="F386" s="9">
        <f t="shared" si="114"/>
        <v>100.86320449999999</v>
      </c>
      <c r="I386">
        <v>1</v>
      </c>
      <c r="J386">
        <f t="shared" si="110"/>
        <v>0.12122232662696214</v>
      </c>
      <c r="K386">
        <f t="shared" si="115"/>
        <v>0.57502239462485472</v>
      </c>
      <c r="O386">
        <f t="shared" si="116"/>
        <v>0.10147840521570937</v>
      </c>
      <c r="P386">
        <f t="shared" si="117"/>
        <v>6.5765850312085733E-2</v>
      </c>
      <c r="Q386">
        <f t="shared" si="118"/>
        <v>0.99266156680290818</v>
      </c>
      <c r="R386">
        <f t="shared" si="108"/>
        <v>1</v>
      </c>
      <c r="AG386" s="8">
        <f t="shared" si="111"/>
        <v>-0.64369682145831342</v>
      </c>
      <c r="AH386" s="8">
        <f t="shared" si="112"/>
        <v>0.3713338478480771</v>
      </c>
      <c r="AI386" s="8">
        <f t="shared" si="113"/>
        <v>0.66915287900957665</v>
      </c>
      <c r="AJ386" s="8"/>
      <c r="AK386" s="8"/>
      <c r="AL386" s="8"/>
      <c r="AN386" s="8">
        <f t="shared" si="119"/>
        <v>0.99999999999999978</v>
      </c>
      <c r="AO386" s="8">
        <f t="shared" si="120"/>
        <v>2.6183489532409272</v>
      </c>
      <c r="AP386" s="8">
        <f t="shared" si="121"/>
        <v>0.83772806974508707</v>
      </c>
      <c r="AQ386" s="8"/>
      <c r="AR386" s="8">
        <f t="shared" si="122"/>
        <v>150.02034431320206</v>
      </c>
      <c r="AS386" s="8">
        <f t="shared" si="123"/>
        <v>42.001717223965443</v>
      </c>
    </row>
    <row r="387" spans="1:45">
      <c r="A387" s="19">
        <v>11.845166669999999</v>
      </c>
      <c r="B387" s="19">
        <v>1115.1848649999999</v>
      </c>
      <c r="C387" s="19">
        <v>-439.05521709999999</v>
      </c>
      <c r="E387" s="9">
        <f t="shared" si="109"/>
        <v>155.18486499999995</v>
      </c>
      <c r="F387" s="9">
        <f t="shared" si="114"/>
        <v>100.94478290000001</v>
      </c>
      <c r="I387">
        <v>1</v>
      </c>
      <c r="J387">
        <f t="shared" si="110"/>
        <v>0.12100481931710234</v>
      </c>
      <c r="K387">
        <f t="shared" si="115"/>
        <v>0.57671317799128452</v>
      </c>
      <c r="O387">
        <f t="shared" si="116"/>
        <v>0.10118607247052105</v>
      </c>
      <c r="P387">
        <f t="shared" si="117"/>
        <v>6.5819602433783861E-2</v>
      </c>
      <c r="Q387">
        <f t="shared" si="118"/>
        <v>0.99268784553526646</v>
      </c>
      <c r="R387">
        <f t="shared" si="108"/>
        <v>1</v>
      </c>
      <c r="AG387" s="8">
        <f t="shared" si="111"/>
        <v>-0.6435430010760661</v>
      </c>
      <c r="AH387" s="8">
        <f t="shared" si="112"/>
        <v>0.37158946664186776</v>
      </c>
      <c r="AI387" s="8">
        <f t="shared" si="113"/>
        <v>0.66915893033480667</v>
      </c>
      <c r="AJ387" s="8"/>
      <c r="AK387" s="8"/>
      <c r="AL387" s="8"/>
      <c r="AN387" s="8">
        <f t="shared" si="119"/>
        <v>1</v>
      </c>
      <c r="AO387" s="8">
        <f t="shared" si="120"/>
        <v>2.6179475632859655</v>
      </c>
      <c r="AP387" s="8">
        <f t="shared" si="121"/>
        <v>0.83771992663419093</v>
      </c>
      <c r="AQ387" s="8"/>
      <c r="AR387" s="8">
        <f t="shared" si="122"/>
        <v>149.99734636284381</v>
      </c>
      <c r="AS387" s="8">
        <f t="shared" si="123"/>
        <v>42.002183789851898</v>
      </c>
    </row>
    <row r="388" spans="1:45">
      <c r="A388" s="19">
        <v>11.87853333</v>
      </c>
      <c r="B388" s="19">
        <v>1114.4211580000001</v>
      </c>
      <c r="C388" s="19">
        <v>-438.86796470000002</v>
      </c>
      <c r="E388" s="9">
        <f t="shared" si="109"/>
        <v>154.4211580000001</v>
      </c>
      <c r="F388" s="9">
        <f t="shared" si="114"/>
        <v>101.13203529999998</v>
      </c>
      <c r="I388">
        <v>1</v>
      </c>
      <c r="J388">
        <f t="shared" si="110"/>
        <v>0.1206536261579348</v>
      </c>
      <c r="K388">
        <f t="shared" si="115"/>
        <v>0.5798194883961173</v>
      </c>
      <c r="O388">
        <f t="shared" si="116"/>
        <v>0.10068947585674932</v>
      </c>
      <c r="P388">
        <f t="shared" si="117"/>
        <v>6.5942593350344261E-2</v>
      </c>
      <c r="Q388">
        <f t="shared" si="118"/>
        <v>0.99273017675193309</v>
      </c>
      <c r="R388">
        <f t="shared" si="108"/>
        <v>1</v>
      </c>
      <c r="AG388" s="8">
        <f t="shared" si="111"/>
        <v>-0.64326103271116297</v>
      </c>
      <c r="AH388" s="8">
        <f t="shared" si="112"/>
        <v>0.37201713371583311</v>
      </c>
      <c r="AI388" s="8">
        <f t="shared" si="113"/>
        <v>0.66919242077090524</v>
      </c>
      <c r="AJ388" s="8"/>
      <c r="AK388" s="8"/>
      <c r="AL388" s="8"/>
      <c r="AN388" s="8">
        <f t="shared" si="119"/>
        <v>1.0000000000000002</v>
      </c>
      <c r="AO388" s="8">
        <f t="shared" si="120"/>
        <v>2.6172594141320582</v>
      </c>
      <c r="AP388" s="8">
        <f t="shared" si="121"/>
        <v>0.83767485834606659</v>
      </c>
      <c r="AQ388" s="8"/>
      <c r="AR388" s="8">
        <f t="shared" si="122"/>
        <v>149.95791832064941</v>
      </c>
      <c r="AS388" s="8">
        <f t="shared" si="123"/>
        <v>42.0047660125513</v>
      </c>
    </row>
    <row r="389" spans="1:45">
      <c r="A389" s="19">
        <v>11.911899999999999</v>
      </c>
      <c r="B389" s="19">
        <v>1113.8265839999999</v>
      </c>
      <c r="C389" s="19">
        <v>-438.9296377</v>
      </c>
      <c r="E389" s="9">
        <f t="shared" si="109"/>
        <v>153.82658399999991</v>
      </c>
      <c r="F389" s="9">
        <f t="shared" si="114"/>
        <v>101.0703623</v>
      </c>
      <c r="I389">
        <v>1</v>
      </c>
      <c r="J389">
        <f t="shared" si="110"/>
        <v>0.12030647219811784</v>
      </c>
      <c r="K389">
        <f t="shared" si="115"/>
        <v>0.58130899641084699</v>
      </c>
      <c r="O389">
        <f t="shared" si="116"/>
        <v>0.10030311329062225</v>
      </c>
      <c r="P389">
        <f t="shared" si="117"/>
        <v>6.5903251157817699E-2</v>
      </c>
      <c r="Q389">
        <f t="shared" si="118"/>
        <v>0.99277190076625266</v>
      </c>
      <c r="R389">
        <f t="shared" si="108"/>
        <v>1</v>
      </c>
      <c r="AG389" s="8">
        <f t="shared" si="111"/>
        <v>-0.64312907406355002</v>
      </c>
      <c r="AH389" s="8">
        <f t="shared" si="112"/>
        <v>0.3723773383827535</v>
      </c>
      <c r="AI389" s="8">
        <f t="shared" si="113"/>
        <v>0.66911890718551448</v>
      </c>
      <c r="AJ389" s="8"/>
      <c r="AK389" s="8"/>
      <c r="AL389" s="8"/>
      <c r="AN389" s="8">
        <f t="shared" si="119"/>
        <v>1</v>
      </c>
      <c r="AO389" s="8">
        <f t="shared" si="120"/>
        <v>2.616750937295973</v>
      </c>
      <c r="AP389" s="8">
        <f t="shared" si="121"/>
        <v>0.83777378363626498</v>
      </c>
      <c r="AQ389" s="8"/>
      <c r="AR389" s="8">
        <f t="shared" si="122"/>
        <v>149.92878474396159</v>
      </c>
      <c r="AS389" s="8">
        <f t="shared" si="123"/>
        <v>41.999098010935825</v>
      </c>
    </row>
    <row r="390" spans="1:45">
      <c r="A390" s="19">
        <v>11.945266670000001</v>
      </c>
      <c r="B390" s="19">
        <v>1113.209024</v>
      </c>
      <c r="C390" s="19">
        <v>-439.04176949999999</v>
      </c>
      <c r="E390" s="9">
        <f t="shared" si="109"/>
        <v>153.209024</v>
      </c>
      <c r="F390" s="9">
        <f t="shared" si="114"/>
        <v>100.95823050000001</v>
      </c>
      <c r="I390">
        <v>1</v>
      </c>
      <c r="J390">
        <f t="shared" si="110"/>
        <v>0.11992886274098551</v>
      </c>
      <c r="K390">
        <f t="shared" si="115"/>
        <v>0.58264645925937986</v>
      </c>
      <c r="O390">
        <f t="shared" si="116"/>
        <v>9.9901844945618559E-2</v>
      </c>
      <c r="P390">
        <f t="shared" si="117"/>
        <v>6.5831066774467664E-2</v>
      </c>
      <c r="Q390">
        <f t="shared" si="118"/>
        <v>0.99281714934009735</v>
      </c>
      <c r="R390">
        <f t="shared" si="108"/>
        <v>1</v>
      </c>
      <c r="AG390" s="8">
        <f t="shared" si="111"/>
        <v>-0.64301222421973081</v>
      </c>
      <c r="AH390" s="8">
        <f t="shared" si="112"/>
        <v>0.3727577534679517</v>
      </c>
      <c r="AI390" s="8">
        <f t="shared" si="113"/>
        <v>0.66901938442284348</v>
      </c>
      <c r="AJ390" s="8"/>
      <c r="AK390" s="8"/>
      <c r="AL390" s="8"/>
      <c r="AN390" s="8">
        <f t="shared" si="119"/>
        <v>1</v>
      </c>
      <c r="AO390" s="8">
        <f t="shared" si="120"/>
        <v>2.6162292208313946</v>
      </c>
      <c r="AP390" s="8">
        <f t="shared" si="121"/>
        <v>0.8379076947523475</v>
      </c>
      <c r="AQ390" s="8"/>
      <c r="AR390" s="8">
        <f t="shared" si="122"/>
        <v>149.89889259243876</v>
      </c>
      <c r="AS390" s="8">
        <f t="shared" si="123"/>
        <v>41.991425469154414</v>
      </c>
    </row>
    <row r="391" spans="1:45">
      <c r="A391" s="19">
        <v>11.978633329999999</v>
      </c>
      <c r="B391" s="19">
        <v>1112.464831</v>
      </c>
      <c r="C391" s="19">
        <v>-438.97430600000001</v>
      </c>
      <c r="E391" s="9">
        <f t="shared" si="109"/>
        <v>152.464831</v>
      </c>
      <c r="F391" s="9">
        <f t="shared" si="114"/>
        <v>101.02569399999999</v>
      </c>
      <c r="I391">
        <v>1</v>
      </c>
      <c r="J391">
        <f t="shared" si="110"/>
        <v>0.11954720139186045</v>
      </c>
      <c r="K391">
        <f t="shared" si="115"/>
        <v>0.58519331292981813</v>
      </c>
      <c r="O391">
        <f t="shared" si="116"/>
        <v>9.9417982099087351E-2</v>
      </c>
      <c r="P391">
        <f t="shared" si="117"/>
        <v>6.5875983148139083E-2</v>
      </c>
      <c r="Q391">
        <f t="shared" si="118"/>
        <v>0.99286273959677407</v>
      </c>
      <c r="R391">
        <f t="shared" si="108"/>
        <v>1</v>
      </c>
      <c r="AG391" s="8">
        <f t="shared" si="111"/>
        <v>-0.64278564856886722</v>
      </c>
      <c r="AH391" s="8">
        <f t="shared" si="112"/>
        <v>0.37318944392730735</v>
      </c>
      <c r="AI391" s="8">
        <f t="shared" si="113"/>
        <v>0.66899644911996947</v>
      </c>
      <c r="AJ391" s="8"/>
      <c r="AK391" s="8"/>
      <c r="AL391" s="8"/>
      <c r="AN391" s="8">
        <f t="shared" si="119"/>
        <v>1</v>
      </c>
      <c r="AO391" s="8">
        <f t="shared" si="120"/>
        <v>2.6155738597123599</v>
      </c>
      <c r="AP391" s="8">
        <f t="shared" si="121"/>
        <v>0.83793855266022421</v>
      </c>
      <c r="AQ391" s="8"/>
      <c r="AR391" s="8">
        <f t="shared" si="122"/>
        <v>149.86134316626109</v>
      </c>
      <c r="AS391" s="8">
        <f t="shared" si="123"/>
        <v>41.98965744126847</v>
      </c>
    </row>
    <row r="392" spans="1:45">
      <c r="A392" s="19">
        <v>12.012</v>
      </c>
      <c r="B392" s="19">
        <v>1111.9006489999999</v>
      </c>
      <c r="C392" s="19">
        <v>-438.96282159999998</v>
      </c>
      <c r="E392" s="9">
        <f t="shared" si="109"/>
        <v>151.90064899999993</v>
      </c>
      <c r="F392" s="9">
        <f t="shared" si="114"/>
        <v>101.03717840000002</v>
      </c>
      <c r="I392">
        <v>1</v>
      </c>
      <c r="J392">
        <f t="shared" si="110"/>
        <v>0.11924399845195613</v>
      </c>
      <c r="K392">
        <f t="shared" si="115"/>
        <v>0.58695397570374097</v>
      </c>
      <c r="O392">
        <f t="shared" si="116"/>
        <v>9.9051183637165058E-2</v>
      </c>
      <c r="P392">
        <f t="shared" si="117"/>
        <v>6.5884195872523338E-2</v>
      </c>
      <c r="Q392">
        <f t="shared" si="118"/>
        <v>0.9928988547451888</v>
      </c>
      <c r="R392">
        <f t="shared" si="108"/>
        <v>1</v>
      </c>
      <c r="AG392" s="8">
        <f t="shared" si="111"/>
        <v>-0.64263053525194325</v>
      </c>
      <c r="AH392" s="8">
        <f t="shared" si="112"/>
        <v>0.37352188851752011</v>
      </c>
      <c r="AI392" s="8">
        <f t="shared" si="113"/>
        <v>0.66895993449541225</v>
      </c>
      <c r="AJ392" s="8"/>
      <c r="AK392" s="8"/>
      <c r="AL392" s="8"/>
      <c r="AN392" s="8">
        <f t="shared" si="119"/>
        <v>1</v>
      </c>
      <c r="AO392" s="8">
        <f t="shared" si="120"/>
        <v>2.6150822888205556</v>
      </c>
      <c r="AP392" s="8">
        <f t="shared" si="121"/>
        <v>0.83798767886401326</v>
      </c>
      <c r="AQ392" s="8"/>
      <c r="AR392" s="8">
        <f t="shared" si="122"/>
        <v>149.83317822882921</v>
      </c>
      <c r="AS392" s="8">
        <f t="shared" si="123"/>
        <v>41.986842717127857</v>
      </c>
    </row>
    <row r="393" spans="1:45">
      <c r="A393" s="19">
        <v>12.04536667</v>
      </c>
      <c r="B393" s="19">
        <v>1111.3069949999999</v>
      </c>
      <c r="C393" s="19">
        <v>-438.94077240000001</v>
      </c>
      <c r="E393" s="9">
        <f t="shared" si="109"/>
        <v>151.30699499999992</v>
      </c>
      <c r="F393" s="9">
        <f t="shared" si="114"/>
        <v>101.05922759999999</v>
      </c>
      <c r="I393">
        <v>1</v>
      </c>
      <c r="J393">
        <f t="shared" si="110"/>
        <v>0.11892896187919109</v>
      </c>
      <c r="K393">
        <f t="shared" si="115"/>
        <v>0.58886183948177606</v>
      </c>
      <c r="O393">
        <f t="shared" si="116"/>
        <v>9.8665184773122833E-2</v>
      </c>
      <c r="P393">
        <f t="shared" si="117"/>
        <v>6.5899315257586605E-2</v>
      </c>
      <c r="Q393">
        <f t="shared" si="118"/>
        <v>0.99293628273030021</v>
      </c>
      <c r="R393">
        <f t="shared" si="108"/>
        <v>1</v>
      </c>
      <c r="AG393" s="8">
        <f t="shared" si="111"/>
        <v>-0.64246300944990575</v>
      </c>
      <c r="AH393" s="8">
        <f t="shared" si="112"/>
        <v>0.37387034365845573</v>
      </c>
      <c r="AI393" s="8">
        <f t="shared" si="113"/>
        <v>0.66892618996513986</v>
      </c>
      <c r="AJ393" s="8"/>
      <c r="AK393" s="8"/>
      <c r="AL393" s="8"/>
      <c r="AN393" s="8">
        <f t="shared" si="119"/>
        <v>0.99999999999999989</v>
      </c>
      <c r="AO393" s="8">
        <f t="shared" si="120"/>
        <v>2.6145637465405556</v>
      </c>
      <c r="AP393" s="8">
        <f t="shared" si="121"/>
        <v>0.83803307629532264</v>
      </c>
      <c r="AQ393" s="8"/>
      <c r="AR393" s="8">
        <f t="shared" si="122"/>
        <v>149.80346794468613</v>
      </c>
      <c r="AS393" s="8">
        <f t="shared" si="123"/>
        <v>41.984241635913101</v>
      </c>
    </row>
    <row r="394" spans="1:45">
      <c r="A394" s="19">
        <v>12.07873333</v>
      </c>
      <c r="B394" s="19">
        <v>1110.4557420000001</v>
      </c>
      <c r="C394" s="19">
        <v>-438.89902899999998</v>
      </c>
      <c r="E394" s="9">
        <f t="shared" si="109"/>
        <v>150.4557420000001</v>
      </c>
      <c r="F394" s="9">
        <f t="shared" si="114"/>
        <v>101.10097100000002</v>
      </c>
      <c r="I394">
        <v>1</v>
      </c>
      <c r="J394">
        <f t="shared" si="110"/>
        <v>0.11848165187825505</v>
      </c>
      <c r="K394">
        <f t="shared" si="115"/>
        <v>0.59166161692308505</v>
      </c>
      <c r="O394">
        <f t="shared" si="116"/>
        <v>9.8111633583693944E-2</v>
      </c>
      <c r="P394">
        <f t="shared" si="117"/>
        <v>6.5927569728164062E-2</v>
      </c>
      <c r="Q394">
        <f t="shared" si="118"/>
        <v>0.99298925618824152</v>
      </c>
      <c r="R394">
        <f t="shared" si="108"/>
        <v>1</v>
      </c>
      <c r="AG394" s="8">
        <f t="shared" si="111"/>
        <v>-0.64221833520239779</v>
      </c>
      <c r="AH394" s="8">
        <f t="shared" si="112"/>
        <v>0.37436858783889054</v>
      </c>
      <c r="AI394" s="8">
        <f t="shared" si="113"/>
        <v>0.66888247874299689</v>
      </c>
      <c r="AJ394" s="8"/>
      <c r="AK394" s="8"/>
      <c r="AL394" s="8"/>
      <c r="AN394" s="8">
        <f t="shared" si="119"/>
        <v>1.0000000000000002</v>
      </c>
      <c r="AO394" s="8">
        <f t="shared" si="120"/>
        <v>2.6138188957877291</v>
      </c>
      <c r="AP394" s="8">
        <f t="shared" si="121"/>
        <v>0.83809187943033014</v>
      </c>
      <c r="AQ394" s="8"/>
      <c r="AR394" s="8">
        <f t="shared" si="122"/>
        <v>149.76079114018202</v>
      </c>
      <c r="AS394" s="8">
        <f t="shared" si="123"/>
        <v>41.980872464455032</v>
      </c>
    </row>
    <row r="395" spans="1:45">
      <c r="A395" s="19">
        <v>12.1121</v>
      </c>
      <c r="B395" s="19">
        <v>1109.948065</v>
      </c>
      <c r="C395" s="19">
        <v>-438.88079629999999</v>
      </c>
      <c r="E395" s="9">
        <f t="shared" si="109"/>
        <v>149.94806500000004</v>
      </c>
      <c r="F395" s="9">
        <f t="shared" si="114"/>
        <v>101.11920370000001</v>
      </c>
      <c r="I395">
        <v>1</v>
      </c>
      <c r="J395">
        <f t="shared" si="110"/>
        <v>0.11821287563029698</v>
      </c>
      <c r="K395">
        <f t="shared" si="115"/>
        <v>0.59331090126112773</v>
      </c>
      <c r="O395">
        <f t="shared" si="116"/>
        <v>9.7781484834896029E-2</v>
      </c>
      <c r="P395">
        <f t="shared" si="117"/>
        <v>6.5940069870913706E-2</v>
      </c>
      <c r="Q395">
        <f t="shared" si="118"/>
        <v>0.99302099092058571</v>
      </c>
      <c r="R395">
        <f t="shared" si="108"/>
        <v>1</v>
      </c>
      <c r="AG395" s="8">
        <f t="shared" si="111"/>
        <v>-0.64207513224545565</v>
      </c>
      <c r="AH395" s="8">
        <f t="shared" si="112"/>
        <v>0.37466656793569286</v>
      </c>
      <c r="AI395" s="8">
        <f t="shared" si="113"/>
        <v>0.66885311348850696</v>
      </c>
      <c r="AJ395" s="8"/>
      <c r="AK395" s="8"/>
      <c r="AL395" s="8"/>
      <c r="AN395" s="8">
        <f t="shared" si="119"/>
        <v>1</v>
      </c>
      <c r="AO395" s="8">
        <f t="shared" si="120"/>
        <v>2.6133755878925973</v>
      </c>
      <c r="AP395" s="8">
        <f t="shared" si="121"/>
        <v>0.83813138170387946</v>
      </c>
      <c r="AQ395" s="8"/>
      <c r="AR395" s="8">
        <f t="shared" si="122"/>
        <v>149.73539146876615</v>
      </c>
      <c r="AS395" s="8">
        <f t="shared" si="123"/>
        <v>41.97860915089948</v>
      </c>
    </row>
    <row r="396" spans="1:45">
      <c r="A396" s="19">
        <v>12.145466669999999</v>
      </c>
      <c r="B396" s="19">
        <v>1109.348567</v>
      </c>
      <c r="C396" s="19">
        <v>-438.75071739999998</v>
      </c>
      <c r="E396" s="9">
        <f t="shared" si="109"/>
        <v>149.348567</v>
      </c>
      <c r="F396" s="9">
        <f t="shared" si="114"/>
        <v>101.24928260000002</v>
      </c>
      <c r="I396">
        <v>1</v>
      </c>
      <c r="J396">
        <f t="shared" si="110"/>
        <v>0.11793571410140598</v>
      </c>
      <c r="K396">
        <f t="shared" si="115"/>
        <v>0.59576627557638095</v>
      </c>
      <c r="O396">
        <f t="shared" si="116"/>
        <v>9.7391468213985755E-2</v>
      </c>
      <c r="P396">
        <f t="shared" si="117"/>
        <v>6.6025516589166611E-2</v>
      </c>
      <c r="Q396">
        <f t="shared" si="118"/>
        <v>0.99305364058456469</v>
      </c>
      <c r="R396">
        <f t="shared" si="108"/>
        <v>1</v>
      </c>
      <c r="AG396" s="8">
        <f t="shared" si="111"/>
        <v>-0.64186005069218499</v>
      </c>
      <c r="AH396" s="8">
        <f t="shared" si="112"/>
        <v>0.37500409026398518</v>
      </c>
      <c r="AI396" s="8">
        <f t="shared" si="113"/>
        <v>0.66887039672174653</v>
      </c>
      <c r="AJ396" s="8"/>
      <c r="AK396" s="8"/>
      <c r="AL396" s="8"/>
      <c r="AN396" s="8">
        <f t="shared" si="119"/>
        <v>1</v>
      </c>
      <c r="AO396" s="8">
        <f t="shared" si="120"/>
        <v>2.6128376116177106</v>
      </c>
      <c r="AP396" s="8">
        <f t="shared" si="121"/>
        <v>0.83810813239012094</v>
      </c>
      <c r="AQ396" s="8"/>
      <c r="AR396" s="8">
        <f t="shared" si="122"/>
        <v>149.70456769873698</v>
      </c>
      <c r="AS396" s="8">
        <f t="shared" si="123"/>
        <v>41.979941238454423</v>
      </c>
    </row>
    <row r="397" spans="1:45">
      <c r="A397" s="19">
        <v>12.17883333</v>
      </c>
      <c r="B397" s="19">
        <v>1109.05126</v>
      </c>
      <c r="C397" s="19">
        <v>-438.93906509999999</v>
      </c>
      <c r="E397" s="9">
        <f t="shared" si="109"/>
        <v>149.05125999999996</v>
      </c>
      <c r="F397" s="9">
        <f t="shared" si="114"/>
        <v>101.06093490000001</v>
      </c>
      <c r="I397">
        <v>1</v>
      </c>
      <c r="J397">
        <f t="shared" si="110"/>
        <v>0.11770562922391332</v>
      </c>
      <c r="K397">
        <f t="shared" si="115"/>
        <v>0.59582698603879047</v>
      </c>
      <c r="O397">
        <f t="shared" si="116"/>
        <v>9.7198342138801741E-2</v>
      </c>
      <c r="P397">
        <f t="shared" si="117"/>
        <v>6.5903202208940553E-2</v>
      </c>
      <c r="Q397">
        <f t="shared" si="118"/>
        <v>0.99308068666351368</v>
      </c>
      <c r="R397">
        <f t="shared" si="108"/>
        <v>1</v>
      </c>
      <c r="AG397" s="8">
        <f t="shared" si="111"/>
        <v>-0.64186022971661394</v>
      </c>
      <c r="AH397" s="8">
        <f t="shared" si="112"/>
        <v>0.37520479103056792</v>
      </c>
      <c r="AI397" s="8">
        <f t="shared" si="113"/>
        <v>0.66875766185954344</v>
      </c>
      <c r="AJ397" s="8"/>
      <c r="AK397" s="8"/>
      <c r="AL397" s="8"/>
      <c r="AN397" s="8">
        <f t="shared" si="119"/>
        <v>1</v>
      </c>
      <c r="AO397" s="8">
        <f t="shared" si="120"/>
        <v>2.6126046506698337</v>
      </c>
      <c r="AP397" s="8">
        <f t="shared" si="121"/>
        <v>0.83825977397087204</v>
      </c>
      <c r="AQ397" s="8"/>
      <c r="AR397" s="8">
        <f t="shared" si="122"/>
        <v>149.69122001963225</v>
      </c>
      <c r="AS397" s="8">
        <f t="shared" si="123"/>
        <v>41.971252815878692</v>
      </c>
    </row>
    <row r="398" spans="1:45">
      <c r="A398" s="19">
        <v>12.212199999999999</v>
      </c>
      <c r="B398" s="19">
        <v>1108.422106</v>
      </c>
      <c r="C398" s="19">
        <v>-438.97575840000002</v>
      </c>
      <c r="E398" s="9">
        <f t="shared" si="109"/>
        <v>148.42210599999999</v>
      </c>
      <c r="F398" s="9">
        <f t="shared" si="114"/>
        <v>101.02424159999998</v>
      </c>
      <c r="I398">
        <v>1</v>
      </c>
      <c r="J398">
        <f t="shared" si="110"/>
        <v>0.11735173567556641</v>
      </c>
      <c r="K398">
        <f t="shared" si="115"/>
        <v>0.59762438351948499</v>
      </c>
      <c r="O398">
        <f t="shared" si="116"/>
        <v>9.6789194323819147E-2</v>
      </c>
      <c r="P398">
        <f t="shared" si="117"/>
        <v>6.5880044524087633E-2</v>
      </c>
      <c r="Q398">
        <f t="shared" si="118"/>
        <v>0.99312218361873794</v>
      </c>
      <c r="R398">
        <f t="shared" si="108"/>
        <v>1</v>
      </c>
      <c r="AG398" s="8">
        <f t="shared" si="111"/>
        <v>-0.64170755949873781</v>
      </c>
      <c r="AH398" s="8">
        <f t="shared" si="112"/>
        <v>0.37558177102253398</v>
      </c>
      <c r="AI398" s="8">
        <f t="shared" si="113"/>
        <v>0.66869256116525677</v>
      </c>
      <c r="AJ398" s="8"/>
      <c r="AK398" s="8"/>
      <c r="AL398" s="8"/>
      <c r="AN398" s="8">
        <f t="shared" si="119"/>
        <v>0.99999999999999989</v>
      </c>
      <c r="AO398" s="8">
        <f t="shared" si="120"/>
        <v>2.6120633202845571</v>
      </c>
      <c r="AP398" s="8">
        <f t="shared" si="121"/>
        <v>0.83834733260170191</v>
      </c>
      <c r="AQ398" s="8"/>
      <c r="AR398" s="8">
        <f t="shared" si="122"/>
        <v>149.66020407323373</v>
      </c>
      <c r="AS398" s="8">
        <f t="shared" si="123"/>
        <v>41.966236075872196</v>
      </c>
    </row>
    <row r="399" spans="1:45">
      <c r="A399" s="19">
        <v>12.245566670000001</v>
      </c>
      <c r="B399" s="19">
        <v>1107.880776</v>
      </c>
      <c r="C399" s="19">
        <v>-439.06431980000002</v>
      </c>
      <c r="E399" s="9">
        <f t="shared" si="109"/>
        <v>147.88077599999997</v>
      </c>
      <c r="F399" s="9">
        <f t="shared" si="114"/>
        <v>100.93568019999998</v>
      </c>
      <c r="I399">
        <v>1</v>
      </c>
      <c r="J399">
        <f t="shared" si="110"/>
        <v>0.11702651220990018</v>
      </c>
      <c r="K399">
        <f t="shared" si="115"/>
        <v>0.5989167157911548</v>
      </c>
      <c r="O399">
        <f t="shared" si="116"/>
        <v>9.6437199725485034E-2</v>
      </c>
      <c r="P399">
        <f t="shared" si="117"/>
        <v>6.5822986693517785E-2</v>
      </c>
      <c r="Q399">
        <f t="shared" si="118"/>
        <v>0.99316020909612157</v>
      </c>
      <c r="R399">
        <f t="shared" si="108"/>
        <v>1</v>
      </c>
      <c r="AG399" s="8">
        <f t="shared" si="111"/>
        <v>-0.64160019759008369</v>
      </c>
      <c r="AH399" s="8">
        <f t="shared" si="112"/>
        <v>0.37591360238706684</v>
      </c>
      <c r="AI399" s="8">
        <f t="shared" si="113"/>
        <v>0.66860911599584394</v>
      </c>
      <c r="AJ399" s="8"/>
      <c r="AK399" s="8"/>
      <c r="AL399" s="8"/>
      <c r="AN399" s="8">
        <f t="shared" si="119"/>
        <v>1</v>
      </c>
      <c r="AO399" s="8">
        <f t="shared" si="120"/>
        <v>2.6116052643832752</v>
      </c>
      <c r="AP399" s="8">
        <f t="shared" si="121"/>
        <v>0.83845955396182947</v>
      </c>
      <c r="AQ399" s="8"/>
      <c r="AR399" s="8">
        <f t="shared" si="122"/>
        <v>149.63395940330921</v>
      </c>
      <c r="AS399" s="8">
        <f t="shared" si="123"/>
        <v>41.959806265565668</v>
      </c>
    </row>
    <row r="400" spans="1:45">
      <c r="A400" s="19">
        <v>12.278933329999999</v>
      </c>
      <c r="B400" s="19">
        <v>1107.4158150000001</v>
      </c>
      <c r="C400" s="19">
        <v>-439.07526419999999</v>
      </c>
      <c r="E400" s="9">
        <f t="shared" si="109"/>
        <v>147.41581500000007</v>
      </c>
      <c r="F400" s="9">
        <f t="shared" si="114"/>
        <v>100.92473580000001</v>
      </c>
      <c r="I400">
        <v>1</v>
      </c>
      <c r="J400">
        <f t="shared" si="110"/>
        <v>0.11677137558275301</v>
      </c>
      <c r="K400">
        <f t="shared" si="115"/>
        <v>0.60033331751961017</v>
      </c>
      <c r="O400">
        <f t="shared" si="116"/>
        <v>9.613476953714549E-2</v>
      </c>
      <c r="P400">
        <f t="shared" si="117"/>
        <v>6.5816386231899837E-2</v>
      </c>
      <c r="Q400">
        <f t="shared" si="118"/>
        <v>0.99318996641599899</v>
      </c>
      <c r="R400">
        <f t="shared" si="108"/>
        <v>1</v>
      </c>
      <c r="AG400" s="8">
        <f t="shared" si="111"/>
        <v>-0.64148039134286161</v>
      </c>
      <c r="AH400" s="8">
        <f t="shared" si="112"/>
        <v>0.37619000581853501</v>
      </c>
      <c r="AI400" s="8">
        <f t="shared" si="113"/>
        <v>0.66856861057400818</v>
      </c>
      <c r="AJ400" s="8"/>
      <c r="AK400" s="8"/>
      <c r="AL400" s="8"/>
      <c r="AN400" s="8">
        <f t="shared" si="119"/>
        <v>1</v>
      </c>
      <c r="AO400" s="8">
        <f t="shared" si="120"/>
        <v>2.6112031274003686</v>
      </c>
      <c r="AP400" s="8">
        <f t="shared" si="121"/>
        <v>0.83851402365640781</v>
      </c>
      <c r="AQ400" s="8"/>
      <c r="AR400" s="8">
        <f t="shared" si="122"/>
        <v>149.61091865140253</v>
      </c>
      <c r="AS400" s="8">
        <f t="shared" si="123"/>
        <v>41.956685381954962</v>
      </c>
    </row>
    <row r="401" spans="1:45">
      <c r="A401" s="19">
        <v>12.3123</v>
      </c>
      <c r="B401" s="19">
        <v>1106.680163</v>
      </c>
      <c r="C401" s="19">
        <v>-438.4738413</v>
      </c>
      <c r="E401" s="9">
        <f t="shared" si="109"/>
        <v>146.68016299999999</v>
      </c>
      <c r="F401" s="9">
        <f t="shared" si="114"/>
        <v>101.5261587</v>
      </c>
      <c r="I401">
        <v>1</v>
      </c>
      <c r="J401">
        <f t="shared" si="110"/>
        <v>0.1165980600589831</v>
      </c>
      <c r="K401">
        <f t="shared" si="115"/>
        <v>0.60544489542120361</v>
      </c>
      <c r="O401">
        <f t="shared" si="116"/>
        <v>9.5655550041490886E-2</v>
      </c>
      <c r="P401">
        <f t="shared" si="117"/>
        <v>6.6208956653860507E-2</v>
      </c>
      <c r="Q401">
        <f t="shared" si="118"/>
        <v>0.99321014382912298</v>
      </c>
      <c r="R401">
        <f t="shared" si="108"/>
        <v>1</v>
      </c>
      <c r="AG401" s="8">
        <f t="shared" si="111"/>
        <v>-0.6410291578468903</v>
      </c>
      <c r="AH401" s="8">
        <f t="shared" si="112"/>
        <v>0.37654564127729667</v>
      </c>
      <c r="AI401" s="8">
        <f t="shared" si="113"/>
        <v>0.66880116538862</v>
      </c>
      <c r="AJ401" s="8"/>
      <c r="AK401" s="8"/>
      <c r="AL401" s="8"/>
      <c r="AN401" s="8">
        <f t="shared" si="119"/>
        <v>1.0000000000000002</v>
      </c>
      <c r="AO401" s="8">
        <f t="shared" si="120"/>
        <v>2.6104834472102696</v>
      </c>
      <c r="AP401" s="8">
        <f t="shared" si="121"/>
        <v>0.83820125908509202</v>
      </c>
      <c r="AQ401" s="8"/>
      <c r="AR401" s="8">
        <f t="shared" si="122"/>
        <v>149.56968401391069</v>
      </c>
      <c r="AS401" s="8">
        <f t="shared" si="123"/>
        <v>41.974605471872579</v>
      </c>
    </row>
    <row r="402" spans="1:45">
      <c r="A402" s="19">
        <v>12.34566667</v>
      </c>
      <c r="B402" s="19">
        <v>1105.959918</v>
      </c>
      <c r="C402" s="19">
        <v>-438.13078890000003</v>
      </c>
      <c r="E402" s="9">
        <f t="shared" si="109"/>
        <v>145.95991800000002</v>
      </c>
      <c r="F402" s="9">
        <f t="shared" si="114"/>
        <v>101.86921109999997</v>
      </c>
      <c r="I402">
        <v>1</v>
      </c>
      <c r="J402">
        <f t="shared" si="110"/>
        <v>0.11633923625217382</v>
      </c>
      <c r="K402">
        <f t="shared" si="115"/>
        <v>0.60933261242553693</v>
      </c>
      <c r="O402">
        <f t="shared" si="116"/>
        <v>9.5186620699778984E-2</v>
      </c>
      <c r="P402">
        <f t="shared" si="117"/>
        <v>6.643321050619809E-2</v>
      </c>
      <c r="Q402">
        <f t="shared" si="118"/>
        <v>0.9932402205819072</v>
      </c>
      <c r="R402">
        <f t="shared" si="108"/>
        <v>1</v>
      </c>
      <c r="AG402" s="8">
        <f t="shared" si="111"/>
        <v>-0.64069107554153182</v>
      </c>
      <c r="AH402" s="8">
        <f t="shared" si="112"/>
        <v>0.37692613213930987</v>
      </c>
      <c r="AI402" s="8">
        <f t="shared" si="113"/>
        <v>0.66891078376113422</v>
      </c>
      <c r="AJ402" s="8"/>
      <c r="AK402" s="8"/>
      <c r="AL402" s="8"/>
      <c r="AN402" s="8">
        <f t="shared" si="119"/>
        <v>1.0000000000000002</v>
      </c>
      <c r="AO402" s="8">
        <f t="shared" si="120"/>
        <v>2.609811735474568</v>
      </c>
      <c r="AP402" s="8">
        <f t="shared" si="121"/>
        <v>0.8380538020625391</v>
      </c>
      <c r="AQ402" s="8"/>
      <c r="AR402" s="8">
        <f t="shared" si="122"/>
        <v>149.53119776640557</v>
      </c>
      <c r="AS402" s="8">
        <f t="shared" si="123"/>
        <v>41.983054136924423</v>
      </c>
    </row>
    <row r="403" spans="1:45">
      <c r="A403" s="19">
        <v>12.37903333</v>
      </c>
      <c r="B403" s="19">
        <v>1105.45847</v>
      </c>
      <c r="C403" s="19">
        <v>-437.97076670000001</v>
      </c>
      <c r="E403" s="9">
        <f t="shared" si="109"/>
        <v>145.45847000000003</v>
      </c>
      <c r="F403" s="9">
        <f t="shared" si="114"/>
        <v>102.02923329999999</v>
      </c>
      <c r="I403">
        <v>1</v>
      </c>
      <c r="J403">
        <f t="shared" si="110"/>
        <v>0.11613045701615196</v>
      </c>
      <c r="K403">
        <f t="shared" si="115"/>
        <v>0.61168642759680547</v>
      </c>
      <c r="O403">
        <f t="shared" si="116"/>
        <v>9.4860215450716115E-2</v>
      </c>
      <c r="P403">
        <f t="shared" si="117"/>
        <v>6.6537995711830153E-2</v>
      </c>
      <c r="Q403">
        <f t="shared" si="118"/>
        <v>0.99326443339691584</v>
      </c>
      <c r="R403">
        <f t="shared" si="108"/>
        <v>1</v>
      </c>
      <c r="AG403" s="8">
        <f t="shared" si="111"/>
        <v>-0.64048892613511821</v>
      </c>
      <c r="AH403" s="8">
        <f t="shared" si="112"/>
        <v>0.37720138736237674</v>
      </c>
      <c r="AI403" s="8">
        <f t="shared" si="113"/>
        <v>0.66894921247444605</v>
      </c>
      <c r="AJ403" s="8"/>
      <c r="AK403" s="8"/>
      <c r="AL403" s="8"/>
      <c r="AN403" s="8">
        <f t="shared" si="119"/>
        <v>1.0000000000000002</v>
      </c>
      <c r="AO403" s="8">
        <f t="shared" si="120"/>
        <v>2.6093546602871696</v>
      </c>
      <c r="AP403" s="8">
        <f t="shared" si="121"/>
        <v>0.8380021036905051</v>
      </c>
      <c r="AQ403" s="8"/>
      <c r="AR403" s="8">
        <f t="shared" si="122"/>
        <v>149.5050092872475</v>
      </c>
      <c r="AS403" s="8">
        <f t="shared" si="123"/>
        <v>41.986016235449668</v>
      </c>
    </row>
    <row r="404" spans="1:45">
      <c r="A404" s="19">
        <v>12.4124</v>
      </c>
      <c r="B404" s="19">
        <v>1105.1505569999999</v>
      </c>
      <c r="C404" s="19">
        <v>-437.82298580000003</v>
      </c>
      <c r="E404" s="9">
        <f t="shared" si="109"/>
        <v>145.15055699999994</v>
      </c>
      <c r="F404" s="9">
        <f t="shared" si="114"/>
        <v>102.17701419999997</v>
      </c>
      <c r="I404">
        <v>1</v>
      </c>
      <c r="J404">
        <f t="shared" si="110"/>
        <v>0.11602121938428996</v>
      </c>
      <c r="K404">
        <f t="shared" si="115"/>
        <v>0.61336412929123973</v>
      </c>
      <c r="O404">
        <f t="shared" si="116"/>
        <v>9.4659726806773897E-2</v>
      </c>
      <c r="P404">
        <f t="shared" si="117"/>
        <v>6.6634592729147166E-2</v>
      </c>
      <c r="Q404">
        <f t="shared" si="118"/>
        <v>0.99327708479189614</v>
      </c>
      <c r="R404">
        <f t="shared" si="108"/>
        <v>1</v>
      </c>
      <c r="AG404" s="8">
        <f t="shared" si="111"/>
        <v>-0.64034381243549299</v>
      </c>
      <c r="AH404" s="8">
        <f t="shared" si="112"/>
        <v>0.37736384210642132</v>
      </c>
      <c r="AI404" s="8">
        <f t="shared" si="113"/>
        <v>0.66899651160993234</v>
      </c>
      <c r="AJ404" s="8"/>
      <c r="AK404" s="8"/>
      <c r="AL404" s="8"/>
      <c r="AN404" s="8">
        <f t="shared" si="119"/>
        <v>1.0000000000000002</v>
      </c>
      <c r="AO404" s="8">
        <f t="shared" si="120"/>
        <v>2.6090672491519413</v>
      </c>
      <c r="AP404" s="8">
        <f t="shared" si="121"/>
        <v>0.8379384685853456</v>
      </c>
      <c r="AQ404" s="8"/>
      <c r="AR404" s="8">
        <f t="shared" si="122"/>
        <v>149.48854184221386</v>
      </c>
      <c r="AS404" s="8">
        <f t="shared" si="123"/>
        <v>41.989662258404181</v>
      </c>
    </row>
    <row r="405" spans="1:45">
      <c r="A405" s="19">
        <v>12.445766669999999</v>
      </c>
      <c r="B405" s="19">
        <v>1104.3421470000001</v>
      </c>
      <c r="C405" s="19">
        <v>-437.88690509999998</v>
      </c>
      <c r="E405" s="9">
        <f t="shared" si="109"/>
        <v>144.34214700000007</v>
      </c>
      <c r="F405" s="9">
        <f t="shared" si="114"/>
        <v>102.11309490000002</v>
      </c>
      <c r="I405">
        <v>1</v>
      </c>
      <c r="J405">
        <f t="shared" si="110"/>
        <v>0.11556496153078266</v>
      </c>
      <c r="K405">
        <f t="shared" si="115"/>
        <v>0.61570037181762871</v>
      </c>
      <c r="O405">
        <f t="shared" si="116"/>
        <v>9.4133813503469402E-2</v>
      </c>
      <c r="P405">
        <f t="shared" si="117"/>
        <v>6.6593820525467654E-2</v>
      </c>
      <c r="Q405">
        <f t="shared" si="118"/>
        <v>0.9933297983163073</v>
      </c>
      <c r="R405">
        <f t="shared" si="108"/>
        <v>1</v>
      </c>
      <c r="AG405" s="8">
        <f t="shared" si="111"/>
        <v>-0.64015383748175203</v>
      </c>
      <c r="AH405" s="8">
        <f t="shared" si="112"/>
        <v>0.37785001021099041</v>
      </c>
      <c r="AI405" s="8">
        <f t="shared" si="113"/>
        <v>0.66890390501247721</v>
      </c>
      <c r="AJ405" s="8"/>
      <c r="AK405" s="8"/>
      <c r="AL405" s="8"/>
      <c r="AN405" s="8">
        <f t="shared" si="119"/>
        <v>1</v>
      </c>
      <c r="AO405" s="8">
        <f t="shared" si="120"/>
        <v>2.6083740354767349</v>
      </c>
      <c r="AP405" s="8">
        <f t="shared" si="121"/>
        <v>0.83806305582941654</v>
      </c>
      <c r="AQ405" s="8"/>
      <c r="AR405" s="8">
        <f t="shared" si="122"/>
        <v>149.44882362432378</v>
      </c>
      <c r="AS405" s="8">
        <f t="shared" si="123"/>
        <v>41.982523935137749</v>
      </c>
    </row>
    <row r="406" spans="1:45">
      <c r="A406" s="19">
        <v>12.47913333</v>
      </c>
      <c r="B406" s="19">
        <v>1103.479834</v>
      </c>
      <c r="C406" s="19">
        <v>-437.94788039999997</v>
      </c>
      <c r="E406" s="9">
        <f t="shared" si="109"/>
        <v>143.47983399999998</v>
      </c>
      <c r="F406" s="9">
        <f t="shared" si="114"/>
        <v>102.05211960000003</v>
      </c>
      <c r="I406">
        <v>1</v>
      </c>
      <c r="J406">
        <f t="shared" si="110"/>
        <v>0.11508168252851179</v>
      </c>
      <c r="K406">
        <f t="shared" si="115"/>
        <v>0.61824612548942404</v>
      </c>
      <c r="O406">
        <f t="shared" si="116"/>
        <v>9.3572770850634451E-2</v>
      </c>
      <c r="P406">
        <f t="shared" si="117"/>
        <v>6.6554994774752421E-2</v>
      </c>
      <c r="Q406">
        <f t="shared" si="118"/>
        <v>0.99338540820059729</v>
      </c>
      <c r="R406">
        <f t="shared" si="108"/>
        <v>1</v>
      </c>
      <c r="AG406" s="8">
        <f t="shared" si="111"/>
        <v>-0.63994794414801981</v>
      </c>
      <c r="AH406" s="8">
        <f t="shared" si="112"/>
        <v>0.37836755079283779</v>
      </c>
      <c r="AI406" s="8">
        <f t="shared" si="113"/>
        <v>0.66880836215447559</v>
      </c>
      <c r="AJ406" s="8"/>
      <c r="AK406" s="8"/>
      <c r="AL406" s="8"/>
      <c r="AN406" s="8">
        <f t="shared" si="119"/>
        <v>0.99999999999999989</v>
      </c>
      <c r="AO406" s="8">
        <f t="shared" si="120"/>
        <v>2.6076337547474004</v>
      </c>
      <c r="AP406" s="8">
        <f t="shared" si="121"/>
        <v>0.8381915787014933</v>
      </c>
      <c r="AQ406" s="8"/>
      <c r="AR406" s="8">
        <f t="shared" si="122"/>
        <v>149.40640866287805</v>
      </c>
      <c r="AS406" s="8">
        <f t="shared" si="123"/>
        <v>41.975160116996854</v>
      </c>
    </row>
    <row r="407" spans="1:45">
      <c r="A407" s="19">
        <v>12.512499999999999</v>
      </c>
      <c r="B407" s="19">
        <v>1102.9130789999999</v>
      </c>
      <c r="C407" s="19">
        <v>-437.96655529999998</v>
      </c>
      <c r="E407" s="9">
        <f t="shared" si="109"/>
        <v>142.91307899999993</v>
      </c>
      <c r="F407" s="9">
        <f t="shared" si="114"/>
        <v>102.03344470000002</v>
      </c>
      <c r="I407">
        <v>1</v>
      </c>
      <c r="J407">
        <f t="shared" si="110"/>
        <v>0.11477257525147527</v>
      </c>
      <c r="K407">
        <f t="shared" si="115"/>
        <v>0.62003017502329971</v>
      </c>
      <c r="O407">
        <f t="shared" si="116"/>
        <v>9.3203973833467985E-2</v>
      </c>
      <c r="P407">
        <f t="shared" si="117"/>
        <v>6.654340230090075E-2</v>
      </c>
      <c r="Q407">
        <f t="shared" si="118"/>
        <v>0.99342085486055243</v>
      </c>
      <c r="R407">
        <f t="shared" si="108"/>
        <v>1</v>
      </c>
      <c r="AG407" s="8">
        <f t="shared" si="111"/>
        <v>-0.63980345506755165</v>
      </c>
      <c r="AH407" s="8">
        <f t="shared" si="112"/>
        <v>0.37870482287917268</v>
      </c>
      <c r="AI407" s="8">
        <f t="shared" si="113"/>
        <v>0.66875570727409717</v>
      </c>
      <c r="AJ407" s="8"/>
      <c r="AK407" s="8"/>
      <c r="AL407" s="8"/>
      <c r="AN407" s="8">
        <f t="shared" si="119"/>
        <v>1</v>
      </c>
      <c r="AO407" s="8">
        <f t="shared" si="120"/>
        <v>2.6071443543517629</v>
      </c>
      <c r="AP407" s="8">
        <f t="shared" si="121"/>
        <v>0.83826240293457532</v>
      </c>
      <c r="AQ407" s="8"/>
      <c r="AR407" s="8">
        <f t="shared" si="122"/>
        <v>149.37836808571598</v>
      </c>
      <c r="AS407" s="8">
        <f t="shared" si="123"/>
        <v>41.971102187353999</v>
      </c>
    </row>
    <row r="408" spans="1:45">
      <c r="A408" s="19">
        <v>12.545866670000001</v>
      </c>
      <c r="B408" s="19">
        <v>1102.3683820000001</v>
      </c>
      <c r="C408" s="19">
        <v>-437.93705619999997</v>
      </c>
      <c r="E408" s="9">
        <f t="shared" si="109"/>
        <v>142.36838200000011</v>
      </c>
      <c r="F408" s="9">
        <f t="shared" si="114"/>
        <v>102.06294380000003</v>
      </c>
      <c r="I408">
        <v>1</v>
      </c>
      <c r="J408">
        <f t="shared" si="110"/>
        <v>0.11449391947115085</v>
      </c>
      <c r="K408">
        <f t="shared" si="115"/>
        <v>0.62197402338929686</v>
      </c>
      <c r="O408">
        <f t="shared" si="116"/>
        <v>9.2849462041117659E-2</v>
      </c>
      <c r="P408">
        <f t="shared" si="117"/>
        <v>6.6563160253958781E-2</v>
      </c>
      <c r="Q408">
        <f t="shared" si="118"/>
        <v>0.99345272816359054</v>
      </c>
      <c r="R408">
        <f t="shared" si="108"/>
        <v>1</v>
      </c>
      <c r="AG408" s="8">
        <f t="shared" si="111"/>
        <v>-0.639644436394463</v>
      </c>
      <c r="AH408" s="8">
        <f t="shared" si="112"/>
        <v>0.37902265478739561</v>
      </c>
      <c r="AI408" s="8">
        <f t="shared" si="113"/>
        <v>0.668727763852769</v>
      </c>
      <c r="AJ408" s="8"/>
      <c r="AK408" s="8"/>
      <c r="AL408" s="8"/>
      <c r="AN408" s="8">
        <f t="shared" si="119"/>
        <v>1.0000000000000004</v>
      </c>
      <c r="AO408" s="8">
        <f t="shared" si="120"/>
        <v>2.6066675480992272</v>
      </c>
      <c r="AP408" s="8">
        <f t="shared" si="121"/>
        <v>0.83829998681815365</v>
      </c>
      <c r="AQ408" s="8"/>
      <c r="AR408" s="8">
        <f t="shared" si="122"/>
        <v>149.35104909980024</v>
      </c>
      <c r="AS408" s="8">
        <f t="shared" si="123"/>
        <v>41.968948789447253</v>
      </c>
    </row>
    <row r="409" spans="1:45">
      <c r="A409" s="19">
        <v>12.579233329999999</v>
      </c>
      <c r="B409" s="19">
        <v>1101.963438</v>
      </c>
      <c r="C409" s="19">
        <v>-437.91395619999997</v>
      </c>
      <c r="E409" s="9">
        <f t="shared" si="109"/>
        <v>141.963438</v>
      </c>
      <c r="F409" s="9">
        <f t="shared" si="114"/>
        <v>102.08604380000003</v>
      </c>
      <c r="I409">
        <v>1</v>
      </c>
      <c r="J409">
        <f t="shared" si="110"/>
        <v>0.114287479972997</v>
      </c>
      <c r="K409">
        <f t="shared" si="115"/>
        <v>0.62343070009192947</v>
      </c>
      <c r="O409">
        <f t="shared" si="116"/>
        <v>9.258589377193932E-2</v>
      </c>
      <c r="P409">
        <f t="shared" si="117"/>
        <v>6.6578604604266817E-2</v>
      </c>
      <c r="Q409">
        <f t="shared" si="118"/>
        <v>0.99347629145511063</v>
      </c>
      <c r="R409">
        <f t="shared" si="108"/>
        <v>1</v>
      </c>
      <c r="AG409" s="8">
        <f t="shared" si="111"/>
        <v>-0.63952566829999968</v>
      </c>
      <c r="AH409" s="8">
        <f t="shared" si="112"/>
        <v>0.37925875917423957</v>
      </c>
      <c r="AI409" s="8">
        <f t="shared" si="113"/>
        <v>0.66870749448099875</v>
      </c>
      <c r="AJ409" s="8"/>
      <c r="AK409" s="8"/>
      <c r="AL409" s="8"/>
      <c r="AN409" s="8">
        <f t="shared" si="119"/>
        <v>1</v>
      </c>
      <c r="AO409" s="8">
        <f t="shared" si="120"/>
        <v>2.6063129302871739</v>
      </c>
      <c r="AP409" s="8">
        <f t="shared" si="121"/>
        <v>0.83832724831504002</v>
      </c>
      <c r="AQ409" s="8"/>
      <c r="AR409" s="8">
        <f t="shared" si="122"/>
        <v>149.33073099582941</v>
      </c>
      <c r="AS409" s="8">
        <f t="shared" si="123"/>
        <v>41.96738682073245</v>
      </c>
    </row>
    <row r="410" spans="1:45">
      <c r="A410" s="19">
        <v>12.6126</v>
      </c>
      <c r="B410" s="19">
        <v>1101.3363979999999</v>
      </c>
      <c r="C410" s="19">
        <v>-437.71997249999998</v>
      </c>
      <c r="E410" s="9">
        <f t="shared" si="109"/>
        <v>141.33639799999992</v>
      </c>
      <c r="F410" s="9">
        <f t="shared" si="114"/>
        <v>102.28002750000002</v>
      </c>
      <c r="I410">
        <v>1</v>
      </c>
      <c r="J410">
        <f t="shared" si="110"/>
        <v>0.11402895645669822</v>
      </c>
      <c r="K410">
        <f t="shared" si="115"/>
        <v>0.62643176408058165</v>
      </c>
      <c r="O410">
        <f t="shared" si="116"/>
        <v>9.2177597451706381E-2</v>
      </c>
      <c r="P410">
        <f t="shared" si="117"/>
        <v>6.67055856499503E-2</v>
      </c>
      <c r="Q410">
        <f t="shared" si="118"/>
        <v>0.99350573997895364</v>
      </c>
      <c r="R410">
        <f t="shared" si="108"/>
        <v>1</v>
      </c>
      <c r="AG410" s="8">
        <f t="shared" si="111"/>
        <v>-0.63927474437261733</v>
      </c>
      <c r="AH410" s="8">
        <f t="shared" si="112"/>
        <v>0.37960338157750789</v>
      </c>
      <c r="AI410" s="8">
        <f t="shared" si="113"/>
        <v>0.66875187768128597</v>
      </c>
      <c r="AJ410" s="8"/>
      <c r="AK410" s="8"/>
      <c r="AL410" s="8"/>
      <c r="AN410" s="8">
        <f t="shared" si="119"/>
        <v>0.99999999999999989</v>
      </c>
      <c r="AO410" s="8">
        <f t="shared" si="120"/>
        <v>2.6057420915724334</v>
      </c>
      <c r="AP410" s="8">
        <f t="shared" si="121"/>
        <v>0.83826755380955587</v>
      </c>
      <c r="AQ410" s="8"/>
      <c r="AR410" s="8">
        <f t="shared" si="122"/>
        <v>149.2980243466921</v>
      </c>
      <c r="AS410" s="8">
        <f t="shared" si="123"/>
        <v>41.970807063956812</v>
      </c>
    </row>
    <row r="411" spans="1:45">
      <c r="A411" s="19">
        <v>12.64596667</v>
      </c>
      <c r="B411" s="19">
        <v>1100.6302559999999</v>
      </c>
      <c r="C411" s="19">
        <v>-437.72066139999998</v>
      </c>
      <c r="E411" s="9">
        <f t="shared" si="109"/>
        <v>140.63025599999992</v>
      </c>
      <c r="F411" s="9">
        <f t="shared" si="114"/>
        <v>102.27933860000002</v>
      </c>
      <c r="I411">
        <v>1</v>
      </c>
      <c r="J411">
        <f t="shared" si="110"/>
        <v>0.11365462877819529</v>
      </c>
      <c r="K411">
        <f t="shared" si="115"/>
        <v>0.62880925657491538</v>
      </c>
      <c r="O411">
        <f t="shared" si="116"/>
        <v>9.1717975175006183E-2</v>
      </c>
      <c r="P411">
        <f t="shared" si="117"/>
        <v>6.6705800767587739E-2</v>
      </c>
      <c r="Q411">
        <f t="shared" si="118"/>
        <v>0.99354826212607905</v>
      </c>
      <c r="R411">
        <f t="shared" ref="R411:R474" si="124">SQRT(O411^2+P411^2+Q411^2)</f>
        <v>1</v>
      </c>
      <c r="AG411" s="8">
        <f t="shared" si="111"/>
        <v>-0.63908473089068385</v>
      </c>
      <c r="AH411" s="8">
        <f t="shared" si="112"/>
        <v>0.38002040069237453</v>
      </c>
      <c r="AI411" s="8">
        <f t="shared" si="113"/>
        <v>0.66869664407711027</v>
      </c>
      <c r="AJ411" s="8"/>
      <c r="AK411" s="8"/>
      <c r="AL411" s="8"/>
      <c r="AN411" s="8">
        <f t="shared" si="119"/>
        <v>1</v>
      </c>
      <c r="AO411" s="8">
        <f t="shared" si="120"/>
        <v>2.6051293658977732</v>
      </c>
      <c r="AP411" s="8">
        <f t="shared" si="121"/>
        <v>0.83834184140099433</v>
      </c>
      <c r="AQ411" s="8"/>
      <c r="AR411" s="8">
        <f t="shared" si="122"/>
        <v>149.26291775153479</v>
      </c>
      <c r="AS411" s="8">
        <f t="shared" si="123"/>
        <v>41.966550698497201</v>
      </c>
    </row>
    <row r="412" spans="1:45">
      <c r="A412" s="19">
        <v>12.67933333</v>
      </c>
      <c r="B412" s="19">
        <v>1100.1247390000001</v>
      </c>
      <c r="C412" s="19">
        <v>-437.90993040000001</v>
      </c>
      <c r="E412" s="9">
        <f t="shared" si="109"/>
        <v>140.12473900000009</v>
      </c>
      <c r="F412" s="9">
        <f t="shared" si="114"/>
        <v>102.09006959999999</v>
      </c>
      <c r="I412">
        <v>1</v>
      </c>
      <c r="J412">
        <f t="shared" si="110"/>
        <v>0.11331423986798134</v>
      </c>
      <c r="K412">
        <f t="shared" si="115"/>
        <v>0.62964139871214542</v>
      </c>
      <c r="O412">
        <f t="shared" si="116"/>
        <v>9.1389088887804212E-2</v>
      </c>
      <c r="P412">
        <f t="shared" si="117"/>
        <v>6.6582949676263173E-2</v>
      </c>
      <c r="Q412">
        <f t="shared" si="118"/>
        <v>0.99358680810720568</v>
      </c>
      <c r="R412">
        <f t="shared" si="124"/>
        <v>1</v>
      </c>
      <c r="AG412" s="8">
        <f t="shared" si="111"/>
        <v>-0.63902846984055428</v>
      </c>
      <c r="AH412" s="8">
        <f t="shared" si="112"/>
        <v>0.38034387920454116</v>
      </c>
      <c r="AI412" s="8">
        <f t="shared" si="113"/>
        <v>0.66856648755743153</v>
      </c>
      <c r="AJ412" s="8"/>
      <c r="AK412" s="8"/>
      <c r="AL412" s="8"/>
      <c r="AN412" s="8">
        <f t="shared" si="119"/>
        <v>1</v>
      </c>
      <c r="AO412" s="8">
        <f t="shared" si="120"/>
        <v>2.6047168185931868</v>
      </c>
      <c r="AP412" s="8">
        <f t="shared" si="121"/>
        <v>0.83851687851087808</v>
      </c>
      <c r="AQ412" s="8"/>
      <c r="AR412" s="8">
        <f t="shared" si="122"/>
        <v>149.23928053213248</v>
      </c>
      <c r="AS412" s="8">
        <f t="shared" si="123"/>
        <v>41.956521810842695</v>
      </c>
    </row>
    <row r="413" spans="1:45">
      <c r="A413" s="19">
        <v>12.7127</v>
      </c>
      <c r="B413" s="19">
        <v>1099.398183</v>
      </c>
      <c r="C413" s="19">
        <v>-437.9549485</v>
      </c>
      <c r="E413" s="9">
        <f t="shared" si="109"/>
        <v>139.39818300000002</v>
      </c>
      <c r="F413" s="9">
        <f t="shared" si="114"/>
        <v>102.0450515</v>
      </c>
      <c r="I413">
        <v>1</v>
      </c>
      <c r="J413">
        <f t="shared" si="110"/>
        <v>0.11291282892024221</v>
      </c>
      <c r="K413">
        <f t="shared" si="115"/>
        <v>0.63190730192965794</v>
      </c>
      <c r="O413">
        <f t="shared" si="116"/>
        <v>9.0916154332106799E-2</v>
      </c>
      <c r="P413">
        <f t="shared" si="117"/>
        <v>6.6554265280500721E-2</v>
      </c>
      <c r="Q413">
        <f t="shared" si="118"/>
        <v>0.99363211635616588</v>
      </c>
      <c r="R413">
        <f t="shared" si="124"/>
        <v>1</v>
      </c>
      <c r="AG413" s="8">
        <f t="shared" si="111"/>
        <v>-0.63885145690504597</v>
      </c>
      <c r="AH413" s="8">
        <f t="shared" si="112"/>
        <v>0.3807787022823369</v>
      </c>
      <c r="AI413" s="8">
        <f t="shared" si="113"/>
        <v>0.66848814192809702</v>
      </c>
      <c r="AJ413" s="8"/>
      <c r="AK413" s="8"/>
      <c r="AL413" s="8"/>
      <c r="AN413" s="8">
        <f t="shared" si="119"/>
        <v>1</v>
      </c>
      <c r="AO413" s="8">
        <f t="shared" si="120"/>
        <v>2.6040926853547242</v>
      </c>
      <c r="AP413" s="8">
        <f t="shared" si="121"/>
        <v>0.83862222601251601</v>
      </c>
      <c r="AQ413" s="8"/>
      <c r="AR413" s="8">
        <f t="shared" si="122"/>
        <v>149.20352033171474</v>
      </c>
      <c r="AS413" s="8">
        <f t="shared" si="123"/>
        <v>41.95048584361659</v>
      </c>
    </row>
    <row r="414" spans="1:45">
      <c r="A414" s="19">
        <v>12.746066669999999</v>
      </c>
      <c r="B414" s="19">
        <v>1098.735504</v>
      </c>
      <c r="C414" s="19">
        <v>-437.99969779999998</v>
      </c>
      <c r="E414" s="9">
        <f t="shared" si="109"/>
        <v>138.73550399999999</v>
      </c>
      <c r="F414" s="9">
        <f t="shared" si="114"/>
        <v>102.00030220000002</v>
      </c>
      <c r="I414">
        <v>1</v>
      </c>
      <c r="J414">
        <f t="shared" si="110"/>
        <v>0.11254576891196799</v>
      </c>
      <c r="K414">
        <f t="shared" si="115"/>
        <v>0.63397079666399192</v>
      </c>
      <c r="O414">
        <f t="shared" si="116"/>
        <v>9.0484770023497793E-2</v>
      </c>
      <c r="P414">
        <f t="shared" si="117"/>
        <v>6.652568103183075E-2</v>
      </c>
      <c r="Q414">
        <f t="shared" si="118"/>
        <v>0.99367340719023256</v>
      </c>
      <c r="R414">
        <f t="shared" si="124"/>
        <v>1</v>
      </c>
      <c r="AG414" s="8">
        <f t="shared" si="111"/>
        <v>-0.63869143789876925</v>
      </c>
      <c r="AH414" s="8">
        <f t="shared" si="112"/>
        <v>0.38117572368880653</v>
      </c>
      <c r="AI414" s="8">
        <f t="shared" si="113"/>
        <v>0.66841477753346912</v>
      </c>
      <c r="AJ414" s="8"/>
      <c r="AK414" s="8"/>
      <c r="AL414" s="8"/>
      <c r="AN414" s="8">
        <f t="shared" si="119"/>
        <v>0.99999999999999978</v>
      </c>
      <c r="AO414" s="8">
        <f t="shared" si="120"/>
        <v>2.6035240210240933</v>
      </c>
      <c r="AP414" s="8">
        <f t="shared" si="121"/>
        <v>0.8387208664502116</v>
      </c>
      <c r="AQ414" s="8"/>
      <c r="AR414" s="8">
        <f t="shared" si="122"/>
        <v>149.17093826560995</v>
      </c>
      <c r="AS414" s="8">
        <f t="shared" si="123"/>
        <v>41.944834162847314</v>
      </c>
    </row>
    <row r="415" spans="1:45">
      <c r="A415" s="19">
        <v>12.77943333</v>
      </c>
      <c r="B415" s="19">
        <v>1098.260321</v>
      </c>
      <c r="C415" s="19">
        <v>-437.84798890000002</v>
      </c>
      <c r="E415" s="9">
        <f t="shared" si="109"/>
        <v>138.26032099999998</v>
      </c>
      <c r="F415" s="9">
        <f t="shared" si="114"/>
        <v>102.15201109999998</v>
      </c>
      <c r="I415">
        <v>1</v>
      </c>
      <c r="J415">
        <f t="shared" si="110"/>
        <v>0.1123543010437339</v>
      </c>
      <c r="K415">
        <f t="shared" si="115"/>
        <v>0.6363192219585343</v>
      </c>
      <c r="O415">
        <f t="shared" si="116"/>
        <v>9.0175267272678314E-2</v>
      </c>
      <c r="P415">
        <f t="shared" si="117"/>
        <v>6.6624935026616205E-2</v>
      </c>
      <c r="Q415">
        <f t="shared" si="118"/>
        <v>0.99369489241164977</v>
      </c>
      <c r="R415">
        <f t="shared" si="124"/>
        <v>1</v>
      </c>
      <c r="AG415" s="8">
        <f t="shared" si="111"/>
        <v>-0.63849887653117876</v>
      </c>
      <c r="AH415" s="8">
        <f t="shared" si="112"/>
        <v>0.38143604502461426</v>
      </c>
      <c r="AI415" s="8">
        <f t="shared" si="113"/>
        <v>0.66845024364151662</v>
      </c>
      <c r="AJ415" s="8"/>
      <c r="AK415" s="8"/>
      <c r="AL415" s="8"/>
      <c r="AN415" s="8">
        <f t="shared" si="119"/>
        <v>0.99999999999999989</v>
      </c>
      <c r="AO415" s="8">
        <f t="shared" si="120"/>
        <v>2.6030907860088348</v>
      </c>
      <c r="AP415" s="8">
        <f t="shared" si="121"/>
        <v>0.83867318238858113</v>
      </c>
      <c r="AQ415" s="8"/>
      <c r="AR415" s="8">
        <f t="shared" si="122"/>
        <v>149.14611572769837</v>
      </c>
      <c r="AS415" s="8">
        <f t="shared" si="123"/>
        <v>41.947566258328777</v>
      </c>
    </row>
    <row r="416" spans="1:45">
      <c r="A416" s="19">
        <v>12.812799999999999</v>
      </c>
      <c r="B416" s="19">
        <v>1097.3760339999999</v>
      </c>
      <c r="C416" s="19">
        <v>-437.4036375</v>
      </c>
      <c r="E416" s="9">
        <f t="shared" ref="E416:E479" si="125">(B416-($B$15/2))</f>
        <v>137.37603399999989</v>
      </c>
      <c r="F416" s="9">
        <f t="shared" si="114"/>
        <v>102.5963625</v>
      </c>
      <c r="I416">
        <v>1</v>
      </c>
      <c r="J416">
        <f t="shared" ref="J416:J479" si="126">ATAN((SQRT(E416^2+F416^2)^$B$16)/($F$24))</f>
        <v>0.11206307295306257</v>
      </c>
      <c r="K416">
        <f t="shared" si="115"/>
        <v>0.64146837419092051</v>
      </c>
      <c r="O416">
        <f t="shared" si="116"/>
        <v>8.9599141640556365E-2</v>
      </c>
      <c r="P416">
        <f t="shared" si="117"/>
        <v>6.6915208918051694E-2</v>
      </c>
      <c r="Q416">
        <f t="shared" si="118"/>
        <v>0.99372750220205186</v>
      </c>
      <c r="R416">
        <f t="shared" si="124"/>
        <v>1</v>
      </c>
      <c r="AG416" s="8">
        <f t="shared" ref="AG416:AG479" si="127">$O416*$Z$27+$P416*$Z$31+$Q416*$Z$35</f>
        <v>-0.63807179087070731</v>
      </c>
      <c r="AH416" s="8">
        <f t="shared" ref="AH416:AH479" si="128">$O416*$AA$27+$P416*$AA$31+$Q416*$AA$35</f>
        <v>0.38189891101257062</v>
      </c>
      <c r="AI416" s="8">
        <f t="shared" ref="AI416:AI479" si="129">$AB$27*$O416+$P416*$AB$31+$AB$35*$Q416</f>
        <v>0.66859375667325893</v>
      </c>
      <c r="AJ416" s="8"/>
      <c r="AK416" s="8"/>
      <c r="AL416" s="8"/>
      <c r="AN416" s="8">
        <f t="shared" si="119"/>
        <v>1</v>
      </c>
      <c r="AO416" s="8">
        <f t="shared" si="120"/>
        <v>2.6022618883411628</v>
      </c>
      <c r="AP416" s="8">
        <f t="shared" si="121"/>
        <v>0.83848020873568629</v>
      </c>
      <c r="AQ416" s="8"/>
      <c r="AR416" s="8">
        <f t="shared" si="122"/>
        <v>149.09862338969251</v>
      </c>
      <c r="AS416" s="8">
        <f t="shared" si="123"/>
        <v>41.958622834196873</v>
      </c>
    </row>
    <row r="417" spans="1:45">
      <c r="A417" s="19">
        <v>12.846166670000001</v>
      </c>
      <c r="B417" s="19">
        <v>1096.9143509999999</v>
      </c>
      <c r="C417" s="19">
        <v>-437.17294959999998</v>
      </c>
      <c r="E417" s="9">
        <f t="shared" si="125"/>
        <v>136.9143509999999</v>
      </c>
      <c r="F417" s="9">
        <f t="shared" ref="F417:F480" si="130">(($C$15/2)+C417)</f>
        <v>102.82705040000002</v>
      </c>
      <c r="I417">
        <v>1</v>
      </c>
      <c r="J417">
        <f t="shared" si="126"/>
        <v>0.11191169282430545</v>
      </c>
      <c r="K417">
        <f t="shared" ref="K417:K480" si="131">ATAN2(E417,F417)</f>
        <v>0.6441612221761942</v>
      </c>
      <c r="O417">
        <f t="shared" ref="O417:O480" si="132">COS(K417)*SIN(J417)</f>
        <v>8.929833861712802E-2</v>
      </c>
      <c r="P417">
        <f t="shared" ref="P417:P480" si="133">SIN(K417)*SIN(J417)</f>
        <v>6.7065904330362677E-2</v>
      </c>
      <c r="Q417">
        <f t="shared" ref="Q417:Q480" si="134">COS(J417)</f>
        <v>0.99374441945430381</v>
      </c>
      <c r="R417">
        <f t="shared" si="124"/>
        <v>1</v>
      </c>
      <c r="AG417" s="8">
        <f t="shared" si="127"/>
        <v>-0.6378492552396029</v>
      </c>
      <c r="AH417" s="8">
        <f t="shared" si="128"/>
        <v>0.38214067663222429</v>
      </c>
      <c r="AI417" s="8">
        <f t="shared" si="129"/>
        <v>0.6686679526142626</v>
      </c>
      <c r="AJ417" s="8"/>
      <c r="AK417" s="8"/>
      <c r="AL417" s="8"/>
      <c r="AN417" s="8">
        <f t="shared" ref="AN417:AN480" si="135">AG417^2+AH417^2+AI417^2</f>
        <v>1</v>
      </c>
      <c r="AO417" s="8">
        <f t="shared" ref="AO417:AO480" si="136">IF(ATAN2(AG417,AH417)&gt;=0,ATAN2(AG417,AH417),ATAN2(AG417,AH417)+2*PI())</f>
        <v>2.6018291956981017</v>
      </c>
      <c r="AP417" s="8">
        <f t="shared" ref="AP417:AP480" si="137">ACOS(AI417/AN417)</f>
        <v>0.83838042862552775</v>
      </c>
      <c r="AQ417" s="8"/>
      <c r="AR417" s="8">
        <f t="shared" ref="AR417:AR480" si="138">DEGREES(AO417)</f>
        <v>149.07383192741875</v>
      </c>
      <c r="AS417" s="8">
        <f t="shared" ref="AS417:AS480" si="139">90-DEGREES(AP417)</f>
        <v>41.964339813388314</v>
      </c>
    </row>
    <row r="418" spans="1:45">
      <c r="A418" s="19">
        <v>12.879533329999999</v>
      </c>
      <c r="B418" s="19">
        <v>1096.346108</v>
      </c>
      <c r="C418" s="19">
        <v>-436.97990299999998</v>
      </c>
      <c r="E418" s="9">
        <f t="shared" si="125"/>
        <v>136.34610799999996</v>
      </c>
      <c r="F418" s="9">
        <f t="shared" si="130"/>
        <v>103.02009700000002</v>
      </c>
      <c r="I418">
        <v>1</v>
      </c>
      <c r="J418">
        <f t="shared" si="126"/>
        <v>0.11169061018141967</v>
      </c>
      <c r="K418">
        <f t="shared" si="131"/>
        <v>0.64706137555469845</v>
      </c>
      <c r="O418">
        <f t="shared" si="132"/>
        <v>8.8928170478079202E-2</v>
      </c>
      <c r="P418">
        <f t="shared" si="133"/>
        <v>6.7192154459475004E-2</v>
      </c>
      <c r="Q418">
        <f t="shared" si="134"/>
        <v>0.99376908528818486</v>
      </c>
      <c r="R418">
        <f t="shared" si="124"/>
        <v>1</v>
      </c>
      <c r="AG418" s="8">
        <f t="shared" si="127"/>
        <v>-0.63761372215939971</v>
      </c>
      <c r="AH418" s="8">
        <f t="shared" si="128"/>
        <v>0.3824502333670855</v>
      </c>
      <c r="AI418" s="8">
        <f t="shared" si="129"/>
        <v>0.6687156049558719</v>
      </c>
      <c r="AJ418" s="8"/>
      <c r="AK418" s="8"/>
      <c r="AL418" s="8"/>
      <c r="AN418" s="8">
        <f t="shared" si="135"/>
        <v>1</v>
      </c>
      <c r="AO418" s="8">
        <f t="shared" si="136"/>
        <v>2.6013092415719985</v>
      </c>
      <c r="AP418" s="8">
        <f t="shared" si="137"/>
        <v>0.83831634012992151</v>
      </c>
      <c r="AQ418" s="8"/>
      <c r="AR418" s="8">
        <f t="shared" si="138"/>
        <v>149.04404075045264</v>
      </c>
      <c r="AS418" s="8">
        <f t="shared" si="139"/>
        <v>41.968011813701892</v>
      </c>
    </row>
    <row r="419" spans="1:45">
      <c r="A419" s="19">
        <v>12.9129</v>
      </c>
      <c r="B419" s="19">
        <v>1095.8327180000001</v>
      </c>
      <c r="C419" s="19">
        <v>-436.97249099999999</v>
      </c>
      <c r="E419" s="9">
        <f t="shared" si="125"/>
        <v>135.83271800000011</v>
      </c>
      <c r="F419" s="9">
        <f t="shared" si="130"/>
        <v>103.02750900000001</v>
      </c>
      <c r="I419">
        <v>1</v>
      </c>
      <c r="J419">
        <f t="shared" si="126"/>
        <v>0.11142557213104406</v>
      </c>
      <c r="K419">
        <f t="shared" si="131"/>
        <v>0.64891143787325167</v>
      </c>
      <c r="O419">
        <f t="shared" si="132"/>
        <v>8.8593854358817226E-2</v>
      </c>
      <c r="P419">
        <f t="shared" si="133"/>
        <v>6.7197390008037136E-2</v>
      </c>
      <c r="Q419">
        <f t="shared" si="134"/>
        <v>0.99379859113703539</v>
      </c>
      <c r="R419">
        <f t="shared" si="124"/>
        <v>1</v>
      </c>
      <c r="AG419" s="8">
        <f t="shared" si="127"/>
        <v>-0.63747152381066297</v>
      </c>
      <c r="AH419" s="8">
        <f t="shared" si="128"/>
        <v>0.38275201005093074</v>
      </c>
      <c r="AI419" s="8">
        <f t="shared" si="129"/>
        <v>0.66867851403531997</v>
      </c>
      <c r="AJ419" s="8"/>
      <c r="AK419" s="8"/>
      <c r="AL419" s="8"/>
      <c r="AN419" s="8">
        <f t="shared" si="135"/>
        <v>1</v>
      </c>
      <c r="AO419" s="8">
        <f t="shared" si="136"/>
        <v>2.6008628215211442</v>
      </c>
      <c r="AP419" s="8">
        <f t="shared" si="137"/>
        <v>0.83836622469804978</v>
      </c>
      <c r="AQ419" s="8"/>
      <c r="AR419" s="8">
        <f t="shared" si="138"/>
        <v>149.01846276564865</v>
      </c>
      <c r="AS419" s="8">
        <f t="shared" si="139"/>
        <v>41.965153638485312</v>
      </c>
    </row>
    <row r="420" spans="1:45">
      <c r="A420" s="19">
        <v>12.94626667</v>
      </c>
      <c r="B420" s="19">
        <v>1095.314202</v>
      </c>
      <c r="C420" s="19">
        <v>-436.86415490000002</v>
      </c>
      <c r="E420" s="9">
        <f t="shared" si="125"/>
        <v>135.31420200000002</v>
      </c>
      <c r="F420" s="9">
        <f t="shared" si="130"/>
        <v>103.13584509999998</v>
      </c>
      <c r="I420">
        <v>1</v>
      </c>
      <c r="J420">
        <f t="shared" si="126"/>
        <v>0.11119827921878145</v>
      </c>
      <c r="K420">
        <f t="shared" si="131"/>
        <v>0.65126050529062141</v>
      </c>
      <c r="O420">
        <f t="shared" si="132"/>
        <v>8.8256106946059287E-2</v>
      </c>
      <c r="P420">
        <f t="shared" si="133"/>
        <v>6.7268387505383956E-2</v>
      </c>
      <c r="Q420">
        <f t="shared" si="134"/>
        <v>0.9938238393342913</v>
      </c>
      <c r="R420">
        <f t="shared" si="124"/>
        <v>1</v>
      </c>
      <c r="AG420" s="8">
        <f t="shared" si="127"/>
        <v>-0.6372851454430305</v>
      </c>
      <c r="AH420" s="8">
        <f t="shared" si="128"/>
        <v>0.38304338214936151</v>
      </c>
      <c r="AI420" s="8">
        <f t="shared" si="129"/>
        <v>0.66868932307106088</v>
      </c>
      <c r="AJ420" s="8"/>
      <c r="AK420" s="8"/>
      <c r="AL420" s="8"/>
      <c r="AN420" s="8">
        <f t="shared" si="135"/>
        <v>1</v>
      </c>
      <c r="AO420" s="8">
        <f t="shared" si="136"/>
        <v>2.6003978262695515</v>
      </c>
      <c r="AP420" s="8">
        <f t="shared" si="137"/>
        <v>0.83835168756870904</v>
      </c>
      <c r="AQ420" s="8"/>
      <c r="AR420" s="8">
        <f t="shared" si="138"/>
        <v>148.99182050023879</v>
      </c>
      <c r="AS420" s="8">
        <f t="shared" si="139"/>
        <v>41.965986554642768</v>
      </c>
    </row>
    <row r="421" spans="1:45">
      <c r="A421" s="19">
        <v>12.97963333</v>
      </c>
      <c r="B421" s="19">
        <v>1094.554997</v>
      </c>
      <c r="C421" s="19">
        <v>-436.89984199999998</v>
      </c>
      <c r="E421" s="9">
        <f t="shared" si="125"/>
        <v>134.55499699999996</v>
      </c>
      <c r="F421" s="9">
        <f t="shared" si="130"/>
        <v>103.10015800000002</v>
      </c>
      <c r="I421">
        <v>1</v>
      </c>
      <c r="J421">
        <f t="shared" si="126"/>
        <v>0.11078915939319547</v>
      </c>
      <c r="K421">
        <f t="shared" si="131"/>
        <v>0.65380803594422054</v>
      </c>
      <c r="O421">
        <f t="shared" si="132"/>
        <v>8.7761702341399295E-2</v>
      </c>
      <c r="P421">
        <f t="shared" si="133"/>
        <v>6.7245703091556239E-2</v>
      </c>
      <c r="Q421">
        <f t="shared" si="134"/>
        <v>0.99386915588414448</v>
      </c>
      <c r="R421">
        <f t="shared" si="124"/>
        <v>1</v>
      </c>
      <c r="AG421" s="8">
        <f t="shared" si="127"/>
        <v>-0.63709436181867574</v>
      </c>
      <c r="AH421" s="8">
        <f t="shared" si="128"/>
        <v>0.38349571415510264</v>
      </c>
      <c r="AI421" s="8">
        <f t="shared" si="129"/>
        <v>0.66861185404053536</v>
      </c>
      <c r="AJ421" s="8"/>
      <c r="AK421" s="8"/>
      <c r="AL421" s="8"/>
      <c r="AN421" s="8">
        <f t="shared" si="135"/>
        <v>1</v>
      </c>
      <c r="AO421" s="8">
        <f t="shared" si="136"/>
        <v>2.5997442926744521</v>
      </c>
      <c r="AP421" s="8">
        <f t="shared" si="137"/>
        <v>0.83845587187804271</v>
      </c>
      <c r="AQ421" s="8"/>
      <c r="AR421" s="8">
        <f t="shared" si="138"/>
        <v>148.95437578346957</v>
      </c>
      <c r="AS421" s="8">
        <f t="shared" si="139"/>
        <v>41.960017233426463</v>
      </c>
    </row>
    <row r="422" spans="1:45">
      <c r="A422" s="19">
        <v>13.013</v>
      </c>
      <c r="B422" s="19">
        <v>1094.09366</v>
      </c>
      <c r="C422" s="19">
        <v>-437.03602280000001</v>
      </c>
      <c r="E422" s="9">
        <f t="shared" si="125"/>
        <v>134.09366</v>
      </c>
      <c r="F422" s="9">
        <f t="shared" si="130"/>
        <v>102.96397719999999</v>
      </c>
      <c r="I422">
        <v>1</v>
      </c>
      <c r="J422">
        <f t="shared" si="126"/>
        <v>0.11049522613357797</v>
      </c>
      <c r="K422">
        <f t="shared" si="131"/>
        <v>0.65482832746207609</v>
      </c>
      <c r="O422">
        <f t="shared" si="132"/>
        <v>8.7461338078371864E-2</v>
      </c>
      <c r="P422">
        <f t="shared" si="133"/>
        <v>6.7157293042661159E-2</v>
      </c>
      <c r="Q422">
        <f t="shared" si="134"/>
        <v>0.99390161099211571</v>
      </c>
      <c r="R422">
        <f t="shared" si="124"/>
        <v>1</v>
      </c>
      <c r="AG422" s="8">
        <f t="shared" si="127"/>
        <v>-0.6370268121665783</v>
      </c>
      <c r="AH422" s="8">
        <f t="shared" si="128"/>
        <v>0.38378573199628491</v>
      </c>
      <c r="AI422" s="8">
        <f t="shared" si="129"/>
        <v>0.66850979985110381</v>
      </c>
      <c r="AJ422" s="8"/>
      <c r="AK422" s="8"/>
      <c r="AL422" s="8"/>
      <c r="AN422" s="8">
        <f t="shared" si="135"/>
        <v>1.0000000000000002</v>
      </c>
      <c r="AO422" s="8">
        <f t="shared" si="136"/>
        <v>2.5993633457009779</v>
      </c>
      <c r="AP422" s="8">
        <f t="shared" si="137"/>
        <v>0.83859310466992787</v>
      </c>
      <c r="AQ422" s="8"/>
      <c r="AR422" s="8">
        <f t="shared" si="138"/>
        <v>148.9325491296712</v>
      </c>
      <c r="AS422" s="8">
        <f t="shared" si="139"/>
        <v>41.952154373640646</v>
      </c>
    </row>
    <row r="423" spans="1:45">
      <c r="A423" s="19">
        <v>13.046366669999999</v>
      </c>
      <c r="B423" s="19">
        <v>1093.4237270000001</v>
      </c>
      <c r="C423" s="19">
        <v>-437.0254529</v>
      </c>
      <c r="E423" s="9">
        <f t="shared" si="125"/>
        <v>133.4237270000001</v>
      </c>
      <c r="F423" s="9">
        <f t="shared" si="130"/>
        <v>102.9745471</v>
      </c>
      <c r="I423">
        <v>1</v>
      </c>
      <c r="J423">
        <f t="shared" si="126"/>
        <v>0.11015186494621317</v>
      </c>
      <c r="K423">
        <f t="shared" si="131"/>
        <v>0.65729889375159578</v>
      </c>
      <c r="O423">
        <f t="shared" si="132"/>
        <v>8.7024986990936679E-2</v>
      </c>
      <c r="P423">
        <f t="shared" si="133"/>
        <v>6.716465521739691E-2</v>
      </c>
      <c r="Q423">
        <f t="shared" si="134"/>
        <v>0.99393941501922312</v>
      </c>
      <c r="R423">
        <f t="shared" si="124"/>
        <v>1</v>
      </c>
      <c r="AG423" s="8">
        <f t="shared" si="127"/>
        <v>-0.63684044112644722</v>
      </c>
      <c r="AH423" s="8">
        <f t="shared" si="128"/>
        <v>0.38417918614707924</v>
      </c>
      <c r="AI423" s="8">
        <f t="shared" si="129"/>
        <v>0.66846137171660114</v>
      </c>
      <c r="AJ423" s="8"/>
      <c r="AK423" s="8"/>
      <c r="AL423" s="8"/>
      <c r="AN423" s="8">
        <f t="shared" si="135"/>
        <v>1</v>
      </c>
      <c r="AO423" s="8">
        <f t="shared" si="136"/>
        <v>2.5987808982775071</v>
      </c>
      <c r="AP423" s="8">
        <f t="shared" si="137"/>
        <v>0.83865822030829096</v>
      </c>
      <c r="AQ423" s="8"/>
      <c r="AR423" s="8">
        <f t="shared" si="138"/>
        <v>148.89917735051807</v>
      </c>
      <c r="AS423" s="8">
        <f t="shared" si="139"/>
        <v>41.948423522382143</v>
      </c>
    </row>
    <row r="424" spans="1:45">
      <c r="A424" s="19">
        <v>13.07973333</v>
      </c>
      <c r="B424" s="19">
        <v>1092.9226160000001</v>
      </c>
      <c r="C424" s="19">
        <v>-437.07301000000001</v>
      </c>
      <c r="E424" s="9">
        <f t="shared" si="125"/>
        <v>132.92261600000006</v>
      </c>
      <c r="F424" s="9">
        <f t="shared" si="130"/>
        <v>102.92698999999999</v>
      </c>
      <c r="I424">
        <v>1</v>
      </c>
      <c r="J424">
        <f t="shared" si="126"/>
        <v>0.10987322407954779</v>
      </c>
      <c r="K424">
        <f t="shared" si="131"/>
        <v>0.6588961468166239</v>
      </c>
      <c r="O424">
        <f t="shared" si="132"/>
        <v>8.6698616359514993E-2</v>
      </c>
      <c r="P424">
        <f t="shared" si="133"/>
        <v>6.7134005390396712E-2</v>
      </c>
      <c r="Q424">
        <f t="shared" si="134"/>
        <v>0.99397000721429607</v>
      </c>
      <c r="R424">
        <f t="shared" si="124"/>
        <v>1</v>
      </c>
      <c r="AG424" s="8">
        <f t="shared" si="127"/>
        <v>-0.63672442786934758</v>
      </c>
      <c r="AH424" s="8">
        <f t="shared" si="128"/>
        <v>0.38448080994400335</v>
      </c>
      <c r="AI424" s="8">
        <f t="shared" si="129"/>
        <v>0.66839846629032229</v>
      </c>
      <c r="AJ424" s="8"/>
      <c r="AK424" s="8"/>
      <c r="AL424" s="8"/>
      <c r="AN424" s="8">
        <f t="shared" si="135"/>
        <v>1</v>
      </c>
      <c r="AO424" s="8">
        <f t="shared" si="136"/>
        <v>2.5983531045294268</v>
      </c>
      <c r="AP424" s="8">
        <f t="shared" si="137"/>
        <v>0.83874279617516434</v>
      </c>
      <c r="AQ424" s="8"/>
      <c r="AR424" s="8">
        <f t="shared" si="138"/>
        <v>148.87466657425099</v>
      </c>
      <c r="AS424" s="8">
        <f t="shared" si="139"/>
        <v>41.943577682161639</v>
      </c>
    </row>
    <row r="425" spans="1:45">
      <c r="A425" s="19">
        <v>13.113099999999999</v>
      </c>
      <c r="B425" s="19">
        <v>1092.333539</v>
      </c>
      <c r="C425" s="19">
        <v>-436.71061659999998</v>
      </c>
      <c r="E425" s="9">
        <f t="shared" si="125"/>
        <v>132.33353899999997</v>
      </c>
      <c r="F425" s="9">
        <f t="shared" si="130"/>
        <v>103.28938340000002</v>
      </c>
      <c r="I425">
        <v>1</v>
      </c>
      <c r="J425">
        <f t="shared" si="126"/>
        <v>0.10971433958420543</v>
      </c>
      <c r="K425">
        <f t="shared" si="131"/>
        <v>0.66275143812061388</v>
      </c>
      <c r="O425">
        <f t="shared" si="132"/>
        <v>8.6314656690313629E-2</v>
      </c>
      <c r="P425">
        <f t="shared" si="133"/>
        <v>6.7370582962533662E-2</v>
      </c>
      <c r="Q425">
        <f t="shared" si="134"/>
        <v>0.99398741671699331</v>
      </c>
      <c r="R425">
        <f t="shared" si="124"/>
        <v>1</v>
      </c>
      <c r="AG425" s="8">
        <f t="shared" si="127"/>
        <v>-0.63641090689098845</v>
      </c>
      <c r="AH425" s="8">
        <f t="shared" si="128"/>
        <v>0.38477979601839152</v>
      </c>
      <c r="AI425" s="8">
        <f t="shared" si="129"/>
        <v>0.66852499292564582</v>
      </c>
      <c r="AJ425" s="8"/>
      <c r="AK425" s="8"/>
      <c r="AL425" s="8"/>
      <c r="AN425" s="8">
        <f t="shared" si="135"/>
        <v>1.0000000000000002</v>
      </c>
      <c r="AO425" s="8">
        <f t="shared" si="136"/>
        <v>2.5977910335764265</v>
      </c>
      <c r="AP425" s="8">
        <f t="shared" si="137"/>
        <v>0.83857267553727488</v>
      </c>
      <c r="AQ425" s="8"/>
      <c r="AR425" s="8">
        <f t="shared" si="138"/>
        <v>148.84246228085718</v>
      </c>
      <c r="AS425" s="8">
        <f t="shared" si="139"/>
        <v>41.953324876720778</v>
      </c>
    </row>
    <row r="426" spans="1:45">
      <c r="A426" s="19">
        <v>13.146466670000001</v>
      </c>
      <c r="B426" s="19">
        <v>1091.3566880000001</v>
      </c>
      <c r="C426" s="19">
        <v>-436.28693529999998</v>
      </c>
      <c r="E426" s="9">
        <f t="shared" si="125"/>
        <v>131.35668800000008</v>
      </c>
      <c r="F426" s="9">
        <f t="shared" si="130"/>
        <v>103.71306470000002</v>
      </c>
      <c r="I426">
        <v>1</v>
      </c>
      <c r="J426">
        <f t="shared" si="126"/>
        <v>0.10938250247266609</v>
      </c>
      <c r="K426">
        <f t="shared" si="131"/>
        <v>0.66833826755739667</v>
      </c>
      <c r="O426">
        <f t="shared" si="132"/>
        <v>8.567804166501021E-2</v>
      </c>
      <c r="P426">
        <f t="shared" si="133"/>
        <v>6.7647353278064509E-2</v>
      </c>
      <c r="Q426">
        <f t="shared" si="134"/>
        <v>0.99402369628239828</v>
      </c>
      <c r="R426">
        <f t="shared" si="124"/>
        <v>1</v>
      </c>
      <c r="AG426" s="8">
        <f t="shared" si="127"/>
        <v>-0.63596577716509239</v>
      </c>
      <c r="AH426" s="8">
        <f t="shared" si="128"/>
        <v>0.38529896739687997</v>
      </c>
      <c r="AI426" s="8">
        <f t="shared" si="129"/>
        <v>0.66864956142788146</v>
      </c>
      <c r="AJ426" s="8"/>
      <c r="AK426" s="8"/>
      <c r="AL426" s="8"/>
      <c r="AN426" s="8">
        <f t="shared" si="135"/>
        <v>1</v>
      </c>
      <c r="AO426" s="8">
        <f t="shared" si="136"/>
        <v>2.5968838157680425</v>
      </c>
      <c r="AP426" s="8">
        <f t="shared" si="137"/>
        <v>0.83840516227668282</v>
      </c>
      <c r="AQ426" s="8"/>
      <c r="AR426" s="8">
        <f t="shared" si="138"/>
        <v>148.79048252933765</v>
      </c>
      <c r="AS426" s="8">
        <f t="shared" si="139"/>
        <v>41.962922679565175</v>
      </c>
    </row>
    <row r="427" spans="1:45">
      <c r="A427" s="19">
        <v>13.179833329999999</v>
      </c>
      <c r="B427" s="19">
        <v>1090.717324</v>
      </c>
      <c r="C427" s="19">
        <v>-436.23874230000001</v>
      </c>
      <c r="E427" s="9">
        <f t="shared" si="125"/>
        <v>130.71732399999996</v>
      </c>
      <c r="F427" s="9">
        <f t="shared" si="130"/>
        <v>103.76125769999999</v>
      </c>
      <c r="I427">
        <v>1</v>
      </c>
      <c r="J427">
        <f t="shared" si="126"/>
        <v>0.1090738192201556</v>
      </c>
      <c r="K427">
        <f t="shared" si="131"/>
        <v>0.67093889507358007</v>
      </c>
      <c r="O427">
        <f t="shared" si="132"/>
        <v>8.5261494860269849E-2</v>
      </c>
      <c r="P427">
        <f t="shared" si="133"/>
        <v>6.7679169595635899E-2</v>
      </c>
      <c r="Q427">
        <f t="shared" si="134"/>
        <v>0.99405734618131425</v>
      </c>
      <c r="R427">
        <f t="shared" si="124"/>
        <v>1</v>
      </c>
      <c r="AG427" s="8">
        <f t="shared" si="127"/>
        <v>-0.63577128886868572</v>
      </c>
      <c r="AH427" s="8">
        <f t="shared" si="128"/>
        <v>0.38566913048082846</v>
      </c>
      <c r="AI427" s="8">
        <f t="shared" si="129"/>
        <v>0.66862111097721977</v>
      </c>
      <c r="AJ427" s="8"/>
      <c r="AK427" s="8"/>
      <c r="AL427" s="8"/>
      <c r="AN427" s="8">
        <f t="shared" si="135"/>
        <v>0.99999999999999978</v>
      </c>
      <c r="AO427" s="8">
        <f t="shared" si="136"/>
        <v>2.5963225349313666</v>
      </c>
      <c r="AP427" s="8">
        <f t="shared" si="137"/>
        <v>0.83844342319019971</v>
      </c>
      <c r="AQ427" s="8"/>
      <c r="AR427" s="8">
        <f t="shared" si="138"/>
        <v>148.75832350627456</v>
      </c>
      <c r="AS427" s="8">
        <f t="shared" si="139"/>
        <v>41.960730490700342</v>
      </c>
    </row>
    <row r="428" spans="1:45">
      <c r="A428" s="19">
        <v>13.213200000000001</v>
      </c>
      <c r="B428" s="19">
        <v>1090.2429090000001</v>
      </c>
      <c r="C428" s="19">
        <v>-436.26105660000002</v>
      </c>
      <c r="E428" s="9">
        <f t="shared" si="125"/>
        <v>130.24290900000005</v>
      </c>
      <c r="F428" s="9">
        <f t="shared" si="130"/>
        <v>103.73894339999998</v>
      </c>
      <c r="I428">
        <v>1</v>
      </c>
      <c r="J428">
        <f t="shared" si="126"/>
        <v>0.10882154623736794</v>
      </c>
      <c r="K428">
        <f t="shared" si="131"/>
        <v>0.67260534015439366</v>
      </c>
      <c r="O428">
        <f t="shared" si="132"/>
        <v>8.495243464018358E-2</v>
      </c>
      <c r="P428">
        <f t="shared" si="133"/>
        <v>6.7664918393600976E-2</v>
      </c>
      <c r="Q428">
        <f t="shared" si="134"/>
        <v>0.99408477639861914</v>
      </c>
      <c r="R428">
        <f t="shared" si="124"/>
        <v>1</v>
      </c>
      <c r="AG428" s="8">
        <f t="shared" si="127"/>
        <v>-0.63565149495765616</v>
      </c>
      <c r="AH428" s="8">
        <f t="shared" si="128"/>
        <v>0.38595147725770335</v>
      </c>
      <c r="AI428" s="8">
        <f t="shared" si="129"/>
        <v>0.66857208598676432</v>
      </c>
      <c r="AJ428" s="8"/>
      <c r="AK428" s="8"/>
      <c r="AL428" s="8"/>
      <c r="AN428" s="8">
        <f t="shared" si="135"/>
        <v>1</v>
      </c>
      <c r="AO428" s="8">
        <f t="shared" si="136"/>
        <v>2.5959143657918213</v>
      </c>
      <c r="AP428" s="8">
        <f t="shared" si="137"/>
        <v>0.83850935019727002</v>
      </c>
      <c r="AQ428" s="8"/>
      <c r="AR428" s="8">
        <f t="shared" si="138"/>
        <v>148.73493713725114</v>
      </c>
      <c r="AS428" s="8">
        <f t="shared" si="139"/>
        <v>41.956953151439286</v>
      </c>
    </row>
    <row r="429" spans="1:45">
      <c r="A429" s="19">
        <v>13.24656667</v>
      </c>
      <c r="B429" s="19">
        <v>1089.57545</v>
      </c>
      <c r="C429" s="19">
        <v>-436.16651330000002</v>
      </c>
      <c r="E429" s="9">
        <f t="shared" si="125"/>
        <v>129.57545000000005</v>
      </c>
      <c r="F429" s="9">
        <f t="shared" si="130"/>
        <v>103.83348669999998</v>
      </c>
      <c r="I429">
        <v>1</v>
      </c>
      <c r="J429">
        <f t="shared" si="126"/>
        <v>0.10851868006025055</v>
      </c>
      <c r="K429">
        <f t="shared" si="131"/>
        <v>0.67555511095252896</v>
      </c>
      <c r="O429">
        <f t="shared" si="132"/>
        <v>8.4517518852714205E-2</v>
      </c>
      <c r="P429">
        <f t="shared" si="133"/>
        <v>6.7726939553058044E-2</v>
      </c>
      <c r="Q429">
        <f t="shared" si="134"/>
        <v>0.99411762416011795</v>
      </c>
      <c r="R429">
        <f t="shared" si="124"/>
        <v>1</v>
      </c>
      <c r="AG429" s="8">
        <f t="shared" si="127"/>
        <v>-0.63542952063020197</v>
      </c>
      <c r="AH429" s="8">
        <f t="shared" si="128"/>
        <v>0.38633190960948804</v>
      </c>
      <c r="AI429" s="8">
        <f t="shared" si="129"/>
        <v>0.66856337016707557</v>
      </c>
      <c r="AJ429" s="8"/>
      <c r="AK429" s="8"/>
      <c r="AL429" s="8"/>
      <c r="AN429" s="8">
        <f t="shared" si="135"/>
        <v>1</v>
      </c>
      <c r="AO429" s="8">
        <f t="shared" si="136"/>
        <v>2.5953221713066075</v>
      </c>
      <c r="AP429" s="8">
        <f t="shared" si="137"/>
        <v>0.83852107050245273</v>
      </c>
      <c r="AQ429" s="8"/>
      <c r="AR429" s="8">
        <f t="shared" si="138"/>
        <v>148.70100689259746</v>
      </c>
      <c r="AS429" s="8">
        <f t="shared" si="139"/>
        <v>41.95628162741771</v>
      </c>
    </row>
    <row r="430" spans="1:45">
      <c r="A430" s="19">
        <v>13.27993333</v>
      </c>
      <c r="B430" s="19">
        <v>1089.0869809999999</v>
      </c>
      <c r="C430" s="19">
        <v>-436.17736989999997</v>
      </c>
      <c r="E430" s="9">
        <f t="shared" si="125"/>
        <v>129.08698099999992</v>
      </c>
      <c r="F430" s="9">
        <f t="shared" si="130"/>
        <v>103.82263010000003</v>
      </c>
      <c r="I430">
        <v>1</v>
      </c>
      <c r="J430">
        <f t="shared" si="126"/>
        <v>0.10826476362132967</v>
      </c>
      <c r="K430">
        <f t="shared" si="131"/>
        <v>0.67734785648205953</v>
      </c>
      <c r="O430">
        <f t="shared" si="132"/>
        <v>8.4199265863912826E-2</v>
      </c>
      <c r="P430">
        <f t="shared" si="133"/>
        <v>6.7720146266962308E-2</v>
      </c>
      <c r="Q430">
        <f t="shared" si="134"/>
        <v>0.99414509273926377</v>
      </c>
      <c r="R430">
        <f t="shared" si="124"/>
        <v>1</v>
      </c>
      <c r="AG430" s="8">
        <f t="shared" si="127"/>
        <v>-0.63530089155490532</v>
      </c>
      <c r="AH430" s="8">
        <f t="shared" si="128"/>
        <v>0.38662092580200208</v>
      </c>
      <c r="AI430" s="8">
        <f t="shared" si="129"/>
        <v>0.66851853895127333</v>
      </c>
      <c r="AJ430" s="8"/>
      <c r="AK430" s="8"/>
      <c r="AL430" s="8"/>
      <c r="AN430" s="8">
        <f t="shared" si="135"/>
        <v>1</v>
      </c>
      <c r="AO430" s="8">
        <f t="shared" si="136"/>
        <v>2.5949002534293428</v>
      </c>
      <c r="AP430" s="8">
        <f t="shared" si="137"/>
        <v>0.83858135381990895</v>
      </c>
      <c r="AQ430" s="8"/>
      <c r="AR430" s="8">
        <f t="shared" si="138"/>
        <v>148.67683277892908</v>
      </c>
      <c r="AS430" s="8">
        <f t="shared" si="139"/>
        <v>41.952827647752422</v>
      </c>
    </row>
    <row r="431" spans="1:45">
      <c r="A431" s="19">
        <v>13.3133</v>
      </c>
      <c r="B431" s="19">
        <v>1088.4696610000001</v>
      </c>
      <c r="C431" s="19">
        <v>-436.04791130000001</v>
      </c>
      <c r="E431" s="9">
        <f t="shared" si="125"/>
        <v>128.46966100000009</v>
      </c>
      <c r="F431" s="9">
        <f t="shared" si="130"/>
        <v>103.95208869999999</v>
      </c>
      <c r="I431">
        <v>1</v>
      </c>
      <c r="J431">
        <f t="shared" si="126"/>
        <v>0.10800332067466145</v>
      </c>
      <c r="K431">
        <f t="shared" si="131"/>
        <v>0.68029941872078337</v>
      </c>
      <c r="O431">
        <f t="shared" si="132"/>
        <v>8.3796964589109055E-2</v>
      </c>
      <c r="P431">
        <f t="shared" si="133"/>
        <v>6.7804876481754053E-2</v>
      </c>
      <c r="Q431">
        <f t="shared" si="134"/>
        <v>0.99417330855889796</v>
      </c>
      <c r="R431">
        <f t="shared" si="124"/>
        <v>1</v>
      </c>
      <c r="AG431" s="8">
        <f t="shared" si="127"/>
        <v>-0.63507760217291886</v>
      </c>
      <c r="AH431" s="8">
        <f t="shared" si="128"/>
        <v>0.38696707955317178</v>
      </c>
      <c r="AI431" s="8">
        <f t="shared" si="129"/>
        <v>0.66853041707942129</v>
      </c>
      <c r="AJ431" s="8"/>
      <c r="AK431" s="8"/>
      <c r="AL431" s="8"/>
      <c r="AN431" s="8">
        <f t="shared" si="135"/>
        <v>1</v>
      </c>
      <c r="AO431" s="8">
        <f t="shared" si="136"/>
        <v>2.594346548890766</v>
      </c>
      <c r="AP431" s="8">
        <f t="shared" si="137"/>
        <v>0.83856538194192998</v>
      </c>
      <c r="AQ431" s="8"/>
      <c r="AR431" s="8">
        <f t="shared" si="138"/>
        <v>148.64510784577138</v>
      </c>
      <c r="AS431" s="8">
        <f t="shared" si="139"/>
        <v>41.953742768951514</v>
      </c>
    </row>
    <row r="432" spans="1:45">
      <c r="A432" s="19">
        <v>13.346666669999999</v>
      </c>
      <c r="B432" s="19">
        <v>1088.0942729999999</v>
      </c>
      <c r="C432" s="19">
        <v>-435.94960479999997</v>
      </c>
      <c r="E432" s="9">
        <f t="shared" si="125"/>
        <v>128.09427299999993</v>
      </c>
      <c r="F432" s="9">
        <f t="shared" si="130"/>
        <v>104.05039520000003</v>
      </c>
      <c r="I432">
        <v>1</v>
      </c>
      <c r="J432">
        <f t="shared" si="126"/>
        <v>0.10785288440070262</v>
      </c>
      <c r="K432">
        <f t="shared" si="131"/>
        <v>0.68219333157957518</v>
      </c>
      <c r="O432">
        <f t="shared" si="132"/>
        <v>8.3552309886857384E-2</v>
      </c>
      <c r="P432">
        <f t="shared" si="133"/>
        <v>6.7869161204423115E-2</v>
      </c>
      <c r="Q432">
        <f t="shared" si="134"/>
        <v>0.99418951335747785</v>
      </c>
      <c r="R432">
        <f t="shared" si="124"/>
        <v>1</v>
      </c>
      <c r="AG432" s="8">
        <f t="shared" si="127"/>
        <v>-0.63493347321782523</v>
      </c>
      <c r="AH432" s="8">
        <f t="shared" si="128"/>
        <v>0.38717493480716186</v>
      </c>
      <c r="AI432" s="8">
        <f t="shared" si="129"/>
        <v>0.66854697250426565</v>
      </c>
      <c r="AJ432" s="8"/>
      <c r="AK432" s="8"/>
      <c r="AL432" s="8"/>
      <c r="AN432" s="8">
        <f t="shared" si="135"/>
        <v>1</v>
      </c>
      <c r="AO432" s="8">
        <f t="shared" si="136"/>
        <v>2.5940070220142881</v>
      </c>
      <c r="AP432" s="8">
        <f t="shared" si="137"/>
        <v>0.83854312037290946</v>
      </c>
      <c r="AQ432" s="8"/>
      <c r="AR432" s="8">
        <f t="shared" si="138"/>
        <v>148.62565438871795</v>
      </c>
      <c r="AS432" s="8">
        <f t="shared" si="139"/>
        <v>41.955018262901731</v>
      </c>
    </row>
    <row r="433" spans="1:45">
      <c r="A433" s="19">
        <v>13.38003333</v>
      </c>
      <c r="B433" s="19">
        <v>1087.434591</v>
      </c>
      <c r="C433" s="19">
        <v>-435.40748239999999</v>
      </c>
      <c r="E433" s="9">
        <f t="shared" si="125"/>
        <v>127.43459099999995</v>
      </c>
      <c r="F433" s="9">
        <f t="shared" si="130"/>
        <v>104.59251760000001</v>
      </c>
      <c r="I433">
        <v>1</v>
      </c>
      <c r="J433">
        <f t="shared" si="126"/>
        <v>0.10774277728016224</v>
      </c>
      <c r="K433">
        <f t="shared" si="131"/>
        <v>0.68726864773276342</v>
      </c>
      <c r="O433">
        <f t="shared" si="132"/>
        <v>8.3122161049702811E-2</v>
      </c>
      <c r="P433">
        <f t="shared" si="133"/>
        <v>6.8222890067117486E-2</v>
      </c>
      <c r="Q433">
        <f t="shared" si="134"/>
        <v>0.99420135969194756</v>
      </c>
      <c r="R433">
        <f t="shared" si="124"/>
        <v>1</v>
      </c>
      <c r="AG433" s="8">
        <f t="shared" si="127"/>
        <v>-0.63452361161314907</v>
      </c>
      <c r="AH433" s="8">
        <f t="shared" si="128"/>
        <v>0.38749095181152049</v>
      </c>
      <c r="AI433" s="8">
        <f t="shared" si="129"/>
        <v>0.66875298023231833</v>
      </c>
      <c r="AJ433" s="8"/>
      <c r="AK433" s="8"/>
      <c r="AL433" s="8"/>
      <c r="AN433" s="8">
        <f t="shared" si="135"/>
        <v>1</v>
      </c>
      <c r="AO433" s="8">
        <f t="shared" si="136"/>
        <v>2.5933571155712705</v>
      </c>
      <c r="AP433" s="8">
        <f t="shared" si="137"/>
        <v>0.83826607085994775</v>
      </c>
      <c r="AQ433" s="8"/>
      <c r="AR433" s="8">
        <f t="shared" si="138"/>
        <v>148.58841749245465</v>
      </c>
      <c r="AS433" s="8">
        <f t="shared" si="139"/>
        <v>41.970892030710594</v>
      </c>
    </row>
    <row r="434" spans="1:45">
      <c r="A434" s="19">
        <v>13.413399999999999</v>
      </c>
      <c r="B434" s="19">
        <v>1086.772168</v>
      </c>
      <c r="C434" s="19">
        <v>-435.18677880000001</v>
      </c>
      <c r="E434" s="9">
        <f t="shared" si="125"/>
        <v>126.77216799999997</v>
      </c>
      <c r="F434" s="9">
        <f t="shared" si="130"/>
        <v>104.81322119999999</v>
      </c>
      <c r="I434">
        <v>1</v>
      </c>
      <c r="J434">
        <f t="shared" si="126"/>
        <v>0.10749980443562224</v>
      </c>
      <c r="K434">
        <f t="shared" si="131"/>
        <v>0.69086072402956511</v>
      </c>
      <c r="O434">
        <f t="shared" si="132"/>
        <v>8.2690388240831997E-2</v>
      </c>
      <c r="P434">
        <f t="shared" si="133"/>
        <v>6.8367103683201216E-2</v>
      </c>
      <c r="Q434">
        <f t="shared" si="134"/>
        <v>0.99422745829440407</v>
      </c>
      <c r="R434">
        <f t="shared" si="124"/>
        <v>1</v>
      </c>
      <c r="AG434" s="8">
        <f t="shared" si="127"/>
        <v>-0.63424901521307331</v>
      </c>
      <c r="AH434" s="8">
        <f t="shared" si="128"/>
        <v>0.3878512859755025</v>
      </c>
      <c r="AI434" s="8">
        <f t="shared" si="129"/>
        <v>0.66880458032851109</v>
      </c>
      <c r="AJ434" s="8"/>
      <c r="AK434" s="8"/>
      <c r="AL434" s="8"/>
      <c r="AN434" s="8">
        <f t="shared" si="135"/>
        <v>1.0000000000000002</v>
      </c>
      <c r="AO434" s="8">
        <f t="shared" si="136"/>
        <v>2.5927509585310191</v>
      </c>
      <c r="AP434" s="8">
        <f t="shared" si="137"/>
        <v>0.83819666565338491</v>
      </c>
      <c r="AQ434" s="8"/>
      <c r="AR434" s="8">
        <f t="shared" si="138"/>
        <v>148.55368725232611</v>
      </c>
      <c r="AS434" s="8">
        <f t="shared" si="139"/>
        <v>41.974868656122872</v>
      </c>
    </row>
    <row r="435" spans="1:45">
      <c r="A435" s="19">
        <v>13.446766670000001</v>
      </c>
      <c r="B435" s="19">
        <v>1086.144235</v>
      </c>
      <c r="C435" s="19">
        <v>-435.1363288</v>
      </c>
      <c r="E435" s="9">
        <f t="shared" si="125"/>
        <v>126.14423499999998</v>
      </c>
      <c r="F435" s="9">
        <f t="shared" si="130"/>
        <v>104.8636712</v>
      </c>
      <c r="I435">
        <v>1</v>
      </c>
      <c r="J435">
        <f t="shared" si="126"/>
        <v>0.10720425703353959</v>
      </c>
      <c r="K435">
        <f t="shared" si="131"/>
        <v>0.69353692858335181</v>
      </c>
      <c r="O435">
        <f t="shared" si="132"/>
        <v>8.2281163390090645E-2</v>
      </c>
      <c r="P435">
        <f t="shared" si="133"/>
        <v>6.8400310673666087E-2</v>
      </c>
      <c r="Q435">
        <f t="shared" si="134"/>
        <v>0.99425912500259161</v>
      </c>
      <c r="R435">
        <f t="shared" si="124"/>
        <v>1</v>
      </c>
      <c r="AG435" s="8">
        <f t="shared" si="127"/>
        <v>-0.63405587337754898</v>
      </c>
      <c r="AH435" s="8">
        <f t="shared" si="128"/>
        <v>0.38821394649039265</v>
      </c>
      <c r="AI435" s="8">
        <f t="shared" si="129"/>
        <v>0.66877730313295469</v>
      </c>
      <c r="AJ435" s="8"/>
      <c r="AK435" s="8"/>
      <c r="AL435" s="8"/>
      <c r="AN435" s="8">
        <f t="shared" si="135"/>
        <v>0.99999999999999989</v>
      </c>
      <c r="AO435" s="8">
        <f t="shared" si="136"/>
        <v>2.592199272089899</v>
      </c>
      <c r="AP435" s="8">
        <f t="shared" si="137"/>
        <v>0.8382333556479622</v>
      </c>
      <c r="AQ435" s="8"/>
      <c r="AR435" s="8">
        <f t="shared" si="138"/>
        <v>148.52207794763535</v>
      </c>
      <c r="AS435" s="8">
        <f t="shared" si="139"/>
        <v>41.97276647428324</v>
      </c>
    </row>
    <row r="436" spans="1:45">
      <c r="A436" s="19">
        <v>13.480133329999999</v>
      </c>
      <c r="B436" s="19">
        <v>1085.3227059999999</v>
      </c>
      <c r="C436" s="19">
        <v>-435.15213010000002</v>
      </c>
      <c r="E436" s="9">
        <f t="shared" si="125"/>
        <v>125.32270599999993</v>
      </c>
      <c r="F436" s="9">
        <f t="shared" si="130"/>
        <v>104.84786989999998</v>
      </c>
      <c r="I436">
        <v>1</v>
      </c>
      <c r="J436">
        <f t="shared" si="126"/>
        <v>0.10678435073686289</v>
      </c>
      <c r="K436">
        <f t="shared" si="131"/>
        <v>0.69667663509498334</v>
      </c>
      <c r="O436">
        <f t="shared" si="132"/>
        <v>8.1745783682935461E-2</v>
      </c>
      <c r="P436">
        <f t="shared" si="133"/>
        <v>6.8390410373535687E-2</v>
      </c>
      <c r="Q436">
        <f t="shared" si="134"/>
        <v>0.99430396691303713</v>
      </c>
      <c r="R436">
        <f t="shared" si="124"/>
        <v>1</v>
      </c>
      <c r="AG436" s="8">
        <f t="shared" si="127"/>
        <v>-0.63383768706103094</v>
      </c>
      <c r="AH436" s="8">
        <f t="shared" si="128"/>
        <v>0.38869923137805157</v>
      </c>
      <c r="AI436" s="8">
        <f t="shared" si="129"/>
        <v>0.66870224613592744</v>
      </c>
      <c r="AJ436" s="8"/>
      <c r="AK436" s="8"/>
      <c r="AL436" s="8"/>
      <c r="AN436" s="8">
        <f t="shared" si="135"/>
        <v>1</v>
      </c>
      <c r="AO436" s="8">
        <f t="shared" si="136"/>
        <v>2.5914894133937603</v>
      </c>
      <c r="AP436" s="8">
        <f t="shared" si="137"/>
        <v>0.83833430702096678</v>
      </c>
      <c r="AQ436" s="8"/>
      <c r="AR436" s="8">
        <f t="shared" si="138"/>
        <v>148.48140604029592</v>
      </c>
      <c r="AS436" s="8">
        <f t="shared" si="139"/>
        <v>41.966982386674026</v>
      </c>
    </row>
    <row r="437" spans="1:45">
      <c r="A437" s="19">
        <v>13.513500000000001</v>
      </c>
      <c r="B437" s="19">
        <v>1084.5474260000001</v>
      </c>
      <c r="C437" s="19">
        <v>-435.13657549999999</v>
      </c>
      <c r="E437" s="9">
        <f t="shared" si="125"/>
        <v>124.54742600000009</v>
      </c>
      <c r="F437" s="9">
        <f t="shared" si="130"/>
        <v>104.86342450000001</v>
      </c>
      <c r="I437">
        <v>1</v>
      </c>
      <c r="J437">
        <f t="shared" si="126"/>
        <v>0.10640189239043621</v>
      </c>
      <c r="K437">
        <f t="shared" si="131"/>
        <v>0.69980539899337968</v>
      </c>
      <c r="O437">
        <f t="shared" si="132"/>
        <v>8.1240498776615142E-2</v>
      </c>
      <c r="P437">
        <f t="shared" si="133"/>
        <v>6.8400907055308546E-2</v>
      </c>
      <c r="Q437">
        <f t="shared" si="134"/>
        <v>0.99434465718509191</v>
      </c>
      <c r="R437">
        <f t="shared" si="124"/>
        <v>1</v>
      </c>
      <c r="AG437" s="8">
        <f t="shared" si="127"/>
        <v>-0.63361870345898175</v>
      </c>
      <c r="AH437" s="8">
        <f t="shared" si="128"/>
        <v>0.38915304020355757</v>
      </c>
      <c r="AI437" s="8">
        <f t="shared" si="129"/>
        <v>0.66864583295440294</v>
      </c>
      <c r="AJ437" s="8"/>
      <c r="AK437" s="8"/>
      <c r="AL437" s="8"/>
      <c r="AN437" s="8">
        <f t="shared" si="135"/>
        <v>1</v>
      </c>
      <c r="AO437" s="8">
        <f t="shared" si="136"/>
        <v>2.5908151924499139</v>
      </c>
      <c r="AP437" s="8">
        <f t="shared" si="137"/>
        <v>0.8384101765007248</v>
      </c>
      <c r="AQ437" s="8"/>
      <c r="AR437" s="8">
        <f t="shared" si="138"/>
        <v>148.4427760257542</v>
      </c>
      <c r="AS437" s="8">
        <f t="shared" si="139"/>
        <v>41.962635385690035</v>
      </c>
    </row>
    <row r="438" spans="1:45">
      <c r="A438" s="19">
        <v>13.54686667</v>
      </c>
      <c r="B438" s="19">
        <v>1084.0940479999999</v>
      </c>
      <c r="C438" s="19">
        <v>-435.15996360000003</v>
      </c>
      <c r="E438" s="9">
        <f t="shared" si="125"/>
        <v>124.09404799999993</v>
      </c>
      <c r="F438" s="9">
        <f t="shared" si="130"/>
        <v>104.84003639999997</v>
      </c>
      <c r="I438">
        <v>1</v>
      </c>
      <c r="J438">
        <f t="shared" si="126"/>
        <v>0.10616497723271874</v>
      </c>
      <c r="K438">
        <f t="shared" si="131"/>
        <v>0.70149275921758425</v>
      </c>
      <c r="O438">
        <f t="shared" si="132"/>
        <v>8.0945012733634261E-2</v>
      </c>
      <c r="P438">
        <f t="shared" si="133"/>
        <v>6.8385859097711776E-2</v>
      </c>
      <c r="Q438">
        <f t="shared" si="134"/>
        <v>0.99436978996197367</v>
      </c>
      <c r="R438">
        <f t="shared" si="124"/>
        <v>1</v>
      </c>
      <c r="AG438" s="8">
        <f t="shared" si="127"/>
        <v>-0.63350433309315723</v>
      </c>
      <c r="AH438" s="8">
        <f t="shared" si="128"/>
        <v>0.38942271392598288</v>
      </c>
      <c r="AI438" s="8">
        <f t="shared" si="129"/>
        <v>0.66859719550018759</v>
      </c>
      <c r="AJ438" s="8"/>
      <c r="AK438" s="8"/>
      <c r="AL438" s="8"/>
      <c r="AN438" s="8">
        <f t="shared" si="135"/>
        <v>0.99999999999999989</v>
      </c>
      <c r="AO438" s="8">
        <f t="shared" si="136"/>
        <v>2.5904256821179032</v>
      </c>
      <c r="AP438" s="8">
        <f t="shared" si="137"/>
        <v>0.83847558433377745</v>
      </c>
      <c r="AQ438" s="8"/>
      <c r="AR438" s="8">
        <f t="shared" si="138"/>
        <v>148.42045872765325</v>
      </c>
      <c r="AS438" s="8">
        <f t="shared" si="139"/>
        <v>41.958887792909024</v>
      </c>
    </row>
    <row r="439" spans="1:45">
      <c r="A439" s="19">
        <v>13.58023333</v>
      </c>
      <c r="B439" s="19">
        <v>1083.4376279999999</v>
      </c>
      <c r="C439" s="19">
        <v>-435.09082319999999</v>
      </c>
      <c r="E439" s="9">
        <f t="shared" si="125"/>
        <v>123.4376279999999</v>
      </c>
      <c r="F439" s="9">
        <f t="shared" si="130"/>
        <v>104.90917680000001</v>
      </c>
      <c r="I439">
        <v>1</v>
      </c>
      <c r="J439">
        <f t="shared" si="126"/>
        <v>0.10586617701934241</v>
      </c>
      <c r="K439">
        <f t="shared" si="131"/>
        <v>0.70443382730987147</v>
      </c>
      <c r="O439">
        <f t="shared" si="132"/>
        <v>8.0517134467209789E-2</v>
      </c>
      <c r="P439">
        <f t="shared" si="133"/>
        <v>6.8431210418673102E-2</v>
      </c>
      <c r="Q439">
        <f t="shared" si="134"/>
        <v>0.99440140813346822</v>
      </c>
      <c r="R439">
        <f t="shared" si="124"/>
        <v>1</v>
      </c>
      <c r="AG439" s="8">
        <f t="shared" si="127"/>
        <v>-0.63329499293027847</v>
      </c>
      <c r="AH439" s="8">
        <f t="shared" si="128"/>
        <v>0.38979936361079653</v>
      </c>
      <c r="AI439" s="8">
        <f t="shared" si="129"/>
        <v>0.66857603012526279</v>
      </c>
      <c r="AJ439" s="8"/>
      <c r="AK439" s="8"/>
      <c r="AL439" s="8"/>
      <c r="AN439" s="8">
        <f t="shared" si="135"/>
        <v>0.99999999999999978</v>
      </c>
      <c r="AO439" s="8">
        <f t="shared" si="136"/>
        <v>2.5898467748753773</v>
      </c>
      <c r="AP439" s="8">
        <f t="shared" si="137"/>
        <v>0.83850404640918186</v>
      </c>
      <c r="AQ439" s="8"/>
      <c r="AR439" s="8">
        <f t="shared" si="138"/>
        <v>148.38728978592698</v>
      </c>
      <c r="AS439" s="8">
        <f t="shared" si="139"/>
        <v>41.957257036112168</v>
      </c>
    </row>
    <row r="440" spans="1:45">
      <c r="A440" s="19">
        <v>13.6136</v>
      </c>
      <c r="B440" s="19">
        <v>1083.117471</v>
      </c>
      <c r="C440" s="19">
        <v>-435.03141970000001</v>
      </c>
      <c r="E440" s="9">
        <f t="shared" si="125"/>
        <v>123.11747100000002</v>
      </c>
      <c r="F440" s="9">
        <f t="shared" si="130"/>
        <v>104.96858029999999</v>
      </c>
      <c r="I440">
        <v>1</v>
      </c>
      <c r="J440">
        <f t="shared" si="126"/>
        <v>0.1057316882884283</v>
      </c>
      <c r="K440">
        <f t="shared" si="131"/>
        <v>0.70599509355113332</v>
      </c>
      <c r="O440">
        <f t="shared" si="132"/>
        <v>8.0308427885691813E-2</v>
      </c>
      <c r="P440">
        <f t="shared" si="133"/>
        <v>6.8470068405531145E-2</v>
      </c>
      <c r="Q440">
        <f t="shared" si="134"/>
        <v>0.99441561036775283</v>
      </c>
      <c r="R440">
        <f t="shared" si="124"/>
        <v>1</v>
      </c>
      <c r="AG440" s="8">
        <f t="shared" si="127"/>
        <v>-0.63318196378108738</v>
      </c>
      <c r="AH440" s="8">
        <f t="shared" si="128"/>
        <v>0.38997961548200433</v>
      </c>
      <c r="AI440" s="8">
        <f t="shared" si="129"/>
        <v>0.66857796871481923</v>
      </c>
      <c r="AJ440" s="8"/>
      <c r="AK440" s="8"/>
      <c r="AL440" s="8"/>
      <c r="AN440" s="8">
        <f t="shared" si="135"/>
        <v>1</v>
      </c>
      <c r="AO440" s="8">
        <f t="shared" si="136"/>
        <v>2.5895606809729852</v>
      </c>
      <c r="AP440" s="8">
        <f t="shared" si="137"/>
        <v>0.83850143952690226</v>
      </c>
      <c r="AQ440" s="8"/>
      <c r="AR440" s="8">
        <f t="shared" si="138"/>
        <v>148.37089781277547</v>
      </c>
      <c r="AS440" s="8">
        <f t="shared" si="139"/>
        <v>41.957406399464475</v>
      </c>
    </row>
    <row r="441" spans="1:45">
      <c r="A441" s="19">
        <v>13.646966669999999</v>
      </c>
      <c r="B441" s="19">
        <v>1082.368375</v>
      </c>
      <c r="C441" s="19">
        <v>-434.92589820000001</v>
      </c>
      <c r="E441" s="9">
        <f t="shared" si="125"/>
        <v>122.36837500000001</v>
      </c>
      <c r="F441" s="9">
        <f t="shared" si="130"/>
        <v>105.07410179999999</v>
      </c>
      <c r="I441">
        <v>1</v>
      </c>
      <c r="J441">
        <f t="shared" si="126"/>
        <v>0.10540373373710672</v>
      </c>
      <c r="K441">
        <f t="shared" si="131"/>
        <v>0.70950619264996062</v>
      </c>
      <c r="O441">
        <f t="shared" si="132"/>
        <v>7.9820099581930537E-2</v>
      </c>
      <c r="P441">
        <f t="shared" si="133"/>
        <v>6.8539157026134445E-2</v>
      </c>
      <c r="Q441">
        <f t="shared" si="134"/>
        <v>0.99445016750809467</v>
      </c>
      <c r="R441">
        <f t="shared" si="124"/>
        <v>1</v>
      </c>
      <c r="AG441" s="8">
        <f t="shared" si="127"/>
        <v>-0.63293157283343338</v>
      </c>
      <c r="AH441" s="8">
        <f t="shared" si="128"/>
        <v>0.39040576258072451</v>
      </c>
      <c r="AI441" s="8">
        <f t="shared" si="129"/>
        <v>0.66856635022588384</v>
      </c>
      <c r="AJ441" s="8"/>
      <c r="AK441" s="8"/>
      <c r="AL441" s="8"/>
      <c r="AN441" s="8">
        <f t="shared" si="135"/>
        <v>1</v>
      </c>
      <c r="AO441" s="8">
        <f t="shared" si="136"/>
        <v>2.5888961808606759</v>
      </c>
      <c r="AP441" s="8">
        <f t="shared" si="137"/>
        <v>0.83851706318256236</v>
      </c>
      <c r="AQ441" s="8"/>
      <c r="AR441" s="8">
        <f t="shared" si="138"/>
        <v>148.33282476085418</v>
      </c>
      <c r="AS441" s="8">
        <f t="shared" si="139"/>
        <v>41.956511229934591</v>
      </c>
    </row>
    <row r="442" spans="1:45">
      <c r="A442" s="19">
        <v>13.68033333</v>
      </c>
      <c r="B442" s="19">
        <v>1081.44479</v>
      </c>
      <c r="C442" s="19">
        <v>-434.94882050000001</v>
      </c>
      <c r="E442" s="9">
        <f t="shared" si="125"/>
        <v>121.44479000000001</v>
      </c>
      <c r="F442" s="9">
        <f t="shared" si="130"/>
        <v>105.05117949999999</v>
      </c>
      <c r="I442">
        <v>1</v>
      </c>
      <c r="J442">
        <f t="shared" si="126"/>
        <v>0.10493555743824344</v>
      </c>
      <c r="K442">
        <f t="shared" si="131"/>
        <v>0.71314490077918136</v>
      </c>
      <c r="O442">
        <f t="shared" si="132"/>
        <v>7.9218048573149791E-2</v>
      </c>
      <c r="P442">
        <f t="shared" si="133"/>
        <v>6.8524548811831898E-2</v>
      </c>
      <c r="Q442">
        <f t="shared" si="134"/>
        <v>0.99449931472595643</v>
      </c>
      <c r="R442">
        <f t="shared" si="124"/>
        <v>1</v>
      </c>
      <c r="AG442" s="8">
        <f t="shared" si="127"/>
        <v>-0.63268750158782094</v>
      </c>
      <c r="AH442" s="8">
        <f t="shared" si="128"/>
        <v>0.39095147427089039</v>
      </c>
      <c r="AI442" s="8">
        <f t="shared" si="129"/>
        <v>0.66847847392416337</v>
      </c>
      <c r="AJ442" s="8"/>
      <c r="AK442" s="8"/>
      <c r="AL442" s="8"/>
      <c r="AN442" s="8">
        <f t="shared" si="135"/>
        <v>1</v>
      </c>
      <c r="AO442" s="8">
        <f t="shared" si="136"/>
        <v>2.5880993941480304</v>
      </c>
      <c r="AP442" s="8">
        <f t="shared" si="137"/>
        <v>0.83863522540885616</v>
      </c>
      <c r="AQ442" s="8"/>
      <c r="AR442" s="8">
        <f t="shared" si="138"/>
        <v>148.28717224504749</v>
      </c>
      <c r="AS442" s="8">
        <f t="shared" si="139"/>
        <v>41.949741033070083</v>
      </c>
    </row>
    <row r="443" spans="1:45">
      <c r="A443" s="19">
        <v>13.713699999999999</v>
      </c>
      <c r="B443" s="19">
        <v>1081.0091</v>
      </c>
      <c r="C443" s="19">
        <v>-434.79397169999999</v>
      </c>
      <c r="E443" s="9">
        <f t="shared" si="125"/>
        <v>121.00909999999999</v>
      </c>
      <c r="F443" s="9">
        <f t="shared" si="130"/>
        <v>105.20602830000001</v>
      </c>
      <c r="I443">
        <v>1</v>
      </c>
      <c r="J443">
        <f t="shared" si="126"/>
        <v>0.10478636339361079</v>
      </c>
      <c r="K443">
        <f t="shared" si="131"/>
        <v>0.71565287569807412</v>
      </c>
      <c r="O443">
        <f t="shared" si="132"/>
        <v>7.8933968686428005E-2</v>
      </c>
      <c r="P443">
        <f t="shared" si="133"/>
        <v>6.8625659916945581E-2</v>
      </c>
      <c r="Q443">
        <f t="shared" si="134"/>
        <v>0.9945149307015827</v>
      </c>
      <c r="R443">
        <f t="shared" si="124"/>
        <v>1</v>
      </c>
      <c r="AG443" s="8">
        <f t="shared" si="127"/>
        <v>-0.6325020661818499</v>
      </c>
      <c r="AH443" s="8">
        <f t="shared" si="128"/>
        <v>0.39118674019429278</v>
      </c>
      <c r="AI443" s="8">
        <f t="shared" si="129"/>
        <v>0.66851632034816766</v>
      </c>
      <c r="AJ443" s="8"/>
      <c r="AK443" s="8"/>
      <c r="AL443" s="8"/>
      <c r="AN443" s="8">
        <f t="shared" si="135"/>
        <v>1.0000000000000002</v>
      </c>
      <c r="AO443" s="8">
        <f t="shared" si="136"/>
        <v>2.5876992105160572</v>
      </c>
      <c r="AP443" s="8">
        <f t="shared" si="137"/>
        <v>0.83858433703037416</v>
      </c>
      <c r="AQ443" s="8"/>
      <c r="AR443" s="8">
        <f t="shared" si="138"/>
        <v>148.2642434119052</v>
      </c>
      <c r="AS443" s="8">
        <f t="shared" si="139"/>
        <v>41.952656722383367</v>
      </c>
    </row>
    <row r="444" spans="1:45">
      <c r="A444" s="19">
        <v>13.747066670000001</v>
      </c>
      <c r="B444" s="19">
        <v>1080.3348129999999</v>
      </c>
      <c r="C444" s="19">
        <v>-434.817925</v>
      </c>
      <c r="E444" s="9">
        <f t="shared" si="125"/>
        <v>120.33481299999994</v>
      </c>
      <c r="F444" s="9">
        <f t="shared" si="130"/>
        <v>105.182075</v>
      </c>
      <c r="I444">
        <v>1</v>
      </c>
      <c r="J444">
        <f t="shared" si="126"/>
        <v>0.10444301923838016</v>
      </c>
      <c r="K444">
        <f t="shared" si="131"/>
        <v>0.71830785986599754</v>
      </c>
      <c r="O444">
        <f t="shared" si="132"/>
        <v>7.84943931458668E-2</v>
      </c>
      <c r="P444">
        <f t="shared" si="133"/>
        <v>6.861026282517306E-2</v>
      </c>
      <c r="Q444">
        <f t="shared" si="134"/>
        <v>0.9945507840626957</v>
      </c>
      <c r="R444">
        <f t="shared" si="124"/>
        <v>1</v>
      </c>
      <c r="AG444" s="8">
        <f t="shared" si="127"/>
        <v>-0.6323267086575669</v>
      </c>
      <c r="AH444" s="8">
        <f t="shared" si="128"/>
        <v>0.39158598285358737</v>
      </c>
      <c r="AI444" s="8">
        <f t="shared" si="129"/>
        <v>0.66844846589013762</v>
      </c>
      <c r="AJ444" s="8"/>
      <c r="AK444" s="8"/>
      <c r="AL444" s="8"/>
      <c r="AN444" s="8">
        <f t="shared" si="135"/>
        <v>1</v>
      </c>
      <c r="AO444" s="8">
        <f t="shared" si="136"/>
        <v>2.5871186623338369</v>
      </c>
      <c r="AP444" s="8">
        <f t="shared" si="137"/>
        <v>0.83867557261791181</v>
      </c>
      <c r="AQ444" s="8"/>
      <c r="AR444" s="8">
        <f t="shared" si="138"/>
        <v>148.23098045126</v>
      </c>
      <c r="AS444" s="8">
        <f t="shared" si="139"/>
        <v>41.947429308276064</v>
      </c>
    </row>
    <row r="445" spans="1:45">
      <c r="A445" s="19">
        <v>13.780433329999999</v>
      </c>
      <c r="B445" s="19">
        <v>1079.9052750000001</v>
      </c>
      <c r="C445" s="19">
        <v>-434.86177629999997</v>
      </c>
      <c r="E445" s="9">
        <f t="shared" si="125"/>
        <v>119.90527500000007</v>
      </c>
      <c r="F445" s="9">
        <f t="shared" si="130"/>
        <v>105.13822370000003</v>
      </c>
      <c r="I445">
        <v>1</v>
      </c>
      <c r="J445">
        <f t="shared" si="126"/>
        <v>0.10421232735373136</v>
      </c>
      <c r="K445">
        <f t="shared" si="131"/>
        <v>0.71987344804530062</v>
      </c>
      <c r="O445">
        <f t="shared" si="132"/>
        <v>7.8214369954239152E-2</v>
      </c>
      <c r="P445">
        <f t="shared" si="133"/>
        <v>6.8581802800613656E-2</v>
      </c>
      <c r="Q445">
        <f t="shared" si="134"/>
        <v>0.99457480797438214</v>
      </c>
      <c r="R445">
        <f t="shared" si="124"/>
        <v>1</v>
      </c>
      <c r="AG445" s="8">
        <f t="shared" si="127"/>
        <v>-0.63222705631277831</v>
      </c>
      <c r="AH445" s="8">
        <f t="shared" si="128"/>
        <v>0.39184409307638279</v>
      </c>
      <c r="AI445" s="8">
        <f t="shared" si="129"/>
        <v>0.66839146911613556</v>
      </c>
      <c r="AJ445" s="8"/>
      <c r="AK445" s="8"/>
      <c r="AL445" s="8"/>
      <c r="AN445" s="8">
        <f t="shared" si="135"/>
        <v>0.99999999999999978</v>
      </c>
      <c r="AO445" s="8">
        <f t="shared" si="136"/>
        <v>2.5867531036509019</v>
      </c>
      <c r="AP445" s="8">
        <f t="shared" si="137"/>
        <v>0.83875220342533197</v>
      </c>
      <c r="AQ445" s="8"/>
      <c r="AR445" s="8">
        <f t="shared" si="138"/>
        <v>148.21003548156347</v>
      </c>
      <c r="AS445" s="8">
        <f t="shared" si="139"/>
        <v>41.943038686430206</v>
      </c>
    </row>
    <row r="446" spans="1:45">
      <c r="A446" s="19">
        <v>13.813800000000001</v>
      </c>
      <c r="B446" s="19">
        <v>1079.495322</v>
      </c>
      <c r="C446" s="19">
        <v>-435.01185220000002</v>
      </c>
      <c r="E446" s="9">
        <f t="shared" si="125"/>
        <v>119.49532199999999</v>
      </c>
      <c r="F446" s="9">
        <f t="shared" si="130"/>
        <v>104.98814779999998</v>
      </c>
      <c r="I446">
        <v>1</v>
      </c>
      <c r="J446">
        <f t="shared" si="126"/>
        <v>0.10394556788343362</v>
      </c>
      <c r="K446">
        <f t="shared" si="131"/>
        <v>0.72086321573057643</v>
      </c>
      <c r="O446">
        <f t="shared" si="132"/>
        <v>7.7947136642967943E-2</v>
      </c>
      <c r="P446">
        <f t="shared" si="133"/>
        <v>6.8484065865429558E-2</v>
      </c>
      <c r="Q446">
        <f t="shared" si="134"/>
        <v>0.99460252192104459</v>
      </c>
      <c r="R446">
        <f t="shared" si="124"/>
        <v>1</v>
      </c>
      <c r="AG446" s="8">
        <f t="shared" si="127"/>
        <v>-0.63217777028965916</v>
      </c>
      <c r="AH446" s="8">
        <f t="shared" si="128"/>
        <v>0.39210486396786026</v>
      </c>
      <c r="AI446" s="8">
        <f t="shared" si="129"/>
        <v>0.66828515051910342</v>
      </c>
      <c r="AJ446" s="8"/>
      <c r="AK446" s="8"/>
      <c r="AL446" s="8"/>
      <c r="AN446" s="8">
        <f t="shared" si="135"/>
        <v>1</v>
      </c>
      <c r="AO446" s="8">
        <f t="shared" si="136"/>
        <v>2.5864202446242568</v>
      </c>
      <c r="AP446" s="8">
        <f t="shared" si="137"/>
        <v>0.83889513215120803</v>
      </c>
      <c r="AQ446" s="8"/>
      <c r="AR446" s="8">
        <f t="shared" si="138"/>
        <v>148.19096406416386</v>
      </c>
      <c r="AS446" s="8">
        <f t="shared" si="139"/>
        <v>41.934849473666326</v>
      </c>
    </row>
    <row r="447" spans="1:45">
      <c r="A447" s="19">
        <v>13.84716667</v>
      </c>
      <c r="B447" s="19">
        <v>1078.9937179999999</v>
      </c>
      <c r="C447" s="19">
        <v>-434.3764511</v>
      </c>
      <c r="E447" s="9">
        <f t="shared" si="125"/>
        <v>118.99371799999994</v>
      </c>
      <c r="F447" s="9">
        <f t="shared" si="130"/>
        <v>105.6235489</v>
      </c>
      <c r="I447">
        <v>1</v>
      </c>
      <c r="J447">
        <f t="shared" si="126"/>
        <v>0.10397480372057352</v>
      </c>
      <c r="K447">
        <f t="shared" si="131"/>
        <v>0.72594408845508873</v>
      </c>
      <c r="O447">
        <f t="shared" si="132"/>
        <v>7.7619919853554709E-2</v>
      </c>
      <c r="P447">
        <f t="shared" si="133"/>
        <v>6.8898522863753364E-2</v>
      </c>
      <c r="Q447">
        <f t="shared" si="134"/>
        <v>0.99459948802979015</v>
      </c>
      <c r="R447">
        <f t="shared" si="124"/>
        <v>1</v>
      </c>
      <c r="AG447" s="8">
        <f t="shared" si="127"/>
        <v>-0.63177021856071824</v>
      </c>
      <c r="AH447" s="8">
        <f t="shared" si="128"/>
        <v>0.39231446162052869</v>
      </c>
      <c r="AI447" s="8">
        <f t="shared" si="129"/>
        <v>0.6685474958020089</v>
      </c>
      <c r="AJ447" s="8"/>
      <c r="AK447" s="8"/>
      <c r="AL447" s="8"/>
      <c r="AN447" s="8">
        <f t="shared" si="135"/>
        <v>1</v>
      </c>
      <c r="AO447" s="8">
        <f t="shared" si="136"/>
        <v>2.5858918721310711</v>
      </c>
      <c r="AP447" s="8">
        <f t="shared" si="137"/>
        <v>0.83854241670331531</v>
      </c>
      <c r="AQ447" s="8"/>
      <c r="AR447" s="8">
        <f t="shared" si="138"/>
        <v>148.16069055029351</v>
      </c>
      <c r="AS447" s="8">
        <f t="shared" si="139"/>
        <v>41.955058580199648</v>
      </c>
    </row>
    <row r="448" spans="1:45">
      <c r="A448" s="19">
        <v>13.88053333</v>
      </c>
      <c r="B448" s="19">
        <v>1078.2659450000001</v>
      </c>
      <c r="C448" s="19">
        <v>-434.07115770000001</v>
      </c>
      <c r="E448" s="9">
        <f t="shared" si="125"/>
        <v>118.2659450000001</v>
      </c>
      <c r="F448" s="9">
        <f t="shared" si="130"/>
        <v>105.92884229999999</v>
      </c>
      <c r="I448">
        <v>1</v>
      </c>
      <c r="J448">
        <f t="shared" si="126"/>
        <v>0.10375199596887433</v>
      </c>
      <c r="K448">
        <f t="shared" si="131"/>
        <v>0.73042510796789895</v>
      </c>
      <c r="O448">
        <f t="shared" si="132"/>
        <v>7.7145332914261816E-2</v>
      </c>
      <c r="P448">
        <f t="shared" si="133"/>
        <v>6.909779315132375E-2</v>
      </c>
      <c r="Q448">
        <f t="shared" si="134"/>
        <v>0.9946225880157582</v>
      </c>
      <c r="R448">
        <f t="shared" si="124"/>
        <v>1</v>
      </c>
      <c r="AG448" s="8">
        <f t="shared" si="127"/>
        <v>-0.63144012953604745</v>
      </c>
      <c r="AH448" s="8">
        <f t="shared" si="128"/>
        <v>0.39270084472171357</v>
      </c>
      <c r="AI448" s="8">
        <f t="shared" si="129"/>
        <v>0.6686324920061486</v>
      </c>
      <c r="AJ448" s="8"/>
      <c r="AK448" s="8"/>
      <c r="AL448" s="8"/>
      <c r="AN448" s="8">
        <f t="shared" si="135"/>
        <v>1.0000000000000002</v>
      </c>
      <c r="AO448" s="8">
        <f t="shared" si="136"/>
        <v>2.5852162617060377</v>
      </c>
      <c r="AP448" s="8">
        <f t="shared" si="137"/>
        <v>0.83842811784145066</v>
      </c>
      <c r="AQ448" s="8"/>
      <c r="AR448" s="8">
        <f t="shared" si="138"/>
        <v>148.12198092434406</v>
      </c>
      <c r="AS448" s="8">
        <f t="shared" si="139"/>
        <v>41.96160742258764</v>
      </c>
    </row>
    <row r="449" spans="1:45">
      <c r="A449" s="19">
        <v>13.9139</v>
      </c>
      <c r="B449" s="19">
        <v>1077.4765560000001</v>
      </c>
      <c r="C449" s="19">
        <v>-434.06742459999998</v>
      </c>
      <c r="E449" s="9">
        <f t="shared" si="125"/>
        <v>117.47655600000007</v>
      </c>
      <c r="F449" s="9">
        <f t="shared" si="130"/>
        <v>105.93257540000002</v>
      </c>
      <c r="I449">
        <v>1</v>
      </c>
      <c r="J449">
        <f t="shared" si="126"/>
        <v>0.10336888775628539</v>
      </c>
      <c r="K449">
        <f t="shared" si="131"/>
        <v>0.73377214946401781</v>
      </c>
      <c r="O449">
        <f t="shared" si="132"/>
        <v>7.6630635690364435E-2</v>
      </c>
      <c r="P449">
        <f t="shared" si="133"/>
        <v>6.9100430499677373E-2</v>
      </c>
      <c r="Q449">
        <f t="shared" si="134"/>
        <v>0.99466219199206019</v>
      </c>
      <c r="R449">
        <f t="shared" si="124"/>
        <v>1</v>
      </c>
      <c r="AG449" s="8">
        <f t="shared" si="127"/>
        <v>-0.63122076484463208</v>
      </c>
      <c r="AH449" s="8">
        <f t="shared" si="128"/>
        <v>0.39316362344175043</v>
      </c>
      <c r="AI449" s="8">
        <f t="shared" si="129"/>
        <v>0.66856765643509208</v>
      </c>
      <c r="AJ449" s="8"/>
      <c r="AK449" s="8"/>
      <c r="AL449" s="8"/>
      <c r="AN449" s="8">
        <f t="shared" si="135"/>
        <v>1.0000000000000002</v>
      </c>
      <c r="AO449" s="8">
        <f t="shared" si="136"/>
        <v>2.5845320309348052</v>
      </c>
      <c r="AP449" s="8">
        <f t="shared" si="137"/>
        <v>0.83851530670323127</v>
      </c>
      <c r="AQ449" s="8"/>
      <c r="AR449" s="8">
        <f t="shared" si="138"/>
        <v>148.08277738893946</v>
      </c>
      <c r="AS449" s="8">
        <f t="shared" si="139"/>
        <v>41.956611868787064</v>
      </c>
    </row>
    <row r="450" spans="1:45">
      <c r="A450" s="19">
        <v>13.947266669999999</v>
      </c>
      <c r="B450" s="19">
        <v>1076.9847500000001</v>
      </c>
      <c r="C450" s="19">
        <v>-434.09867020000002</v>
      </c>
      <c r="E450" s="9">
        <f t="shared" si="125"/>
        <v>116.98475000000008</v>
      </c>
      <c r="F450" s="9">
        <f t="shared" si="130"/>
        <v>105.90132979999998</v>
      </c>
      <c r="I450">
        <v>1</v>
      </c>
      <c r="J450">
        <f t="shared" si="126"/>
        <v>0.10311601962592541</v>
      </c>
      <c r="K450">
        <f t="shared" si="131"/>
        <v>0.7357122512064378</v>
      </c>
      <c r="O450">
        <f t="shared" si="132"/>
        <v>7.6309963364664404E-2</v>
      </c>
      <c r="P450">
        <f t="shared" si="133"/>
        <v>6.9080171537805032E-2</v>
      </c>
      <c r="Q450">
        <f t="shared" si="134"/>
        <v>0.9946882523643229</v>
      </c>
      <c r="R450">
        <f t="shared" si="124"/>
        <v>1</v>
      </c>
      <c r="AG450" s="8">
        <f t="shared" si="127"/>
        <v>-0.63109824765672473</v>
      </c>
      <c r="AH450" s="8">
        <f t="shared" si="128"/>
        <v>0.3934563858291576</v>
      </c>
      <c r="AI450" s="8">
        <f t="shared" si="129"/>
        <v>0.66851108760802802</v>
      </c>
      <c r="AJ450" s="8"/>
      <c r="AK450" s="8"/>
      <c r="AL450" s="8"/>
      <c r="AN450" s="8">
        <f t="shared" si="135"/>
        <v>1</v>
      </c>
      <c r="AO450" s="8">
        <f t="shared" si="136"/>
        <v>2.5841107944178545</v>
      </c>
      <c r="AP450" s="8">
        <f t="shared" si="137"/>
        <v>0.83859137312205212</v>
      </c>
      <c r="AQ450" s="8"/>
      <c r="AR450" s="8">
        <f t="shared" si="138"/>
        <v>148.0586423143414</v>
      </c>
      <c r="AS450" s="8">
        <f t="shared" si="139"/>
        <v>41.952253584025954</v>
      </c>
    </row>
    <row r="451" spans="1:45">
      <c r="A451" s="19">
        <v>13.98063333</v>
      </c>
      <c r="B451" s="19">
        <v>1076.4221150000001</v>
      </c>
      <c r="C451" s="19">
        <v>-433.91472750000003</v>
      </c>
      <c r="E451" s="9">
        <f t="shared" si="125"/>
        <v>116.42211500000008</v>
      </c>
      <c r="F451" s="9">
        <f t="shared" si="130"/>
        <v>106.08527249999997</v>
      </c>
      <c r="I451">
        <v>1</v>
      </c>
      <c r="J451">
        <f t="shared" si="126"/>
        <v>0.10292411994151712</v>
      </c>
      <c r="K451">
        <f t="shared" si="131"/>
        <v>0.73897536374360462</v>
      </c>
      <c r="O451">
        <f t="shared" si="132"/>
        <v>7.5943048769835347E-2</v>
      </c>
      <c r="P451">
        <f t="shared" si="133"/>
        <v>6.9200246218072622E-2</v>
      </c>
      <c r="Q451">
        <f t="shared" si="134"/>
        <v>0.9947079869322959</v>
      </c>
      <c r="R451">
        <f t="shared" si="124"/>
        <v>1</v>
      </c>
      <c r="AG451" s="8">
        <f t="shared" si="127"/>
        <v>-0.63086483453561215</v>
      </c>
      <c r="AH451" s="8">
        <f t="shared" si="128"/>
        <v>0.39376186241847877</v>
      </c>
      <c r="AI451" s="8">
        <f t="shared" si="129"/>
        <v>0.66855153597242278</v>
      </c>
      <c r="AJ451" s="8"/>
      <c r="AK451" s="8"/>
      <c r="AL451" s="8"/>
      <c r="AN451" s="8">
        <f t="shared" si="135"/>
        <v>1</v>
      </c>
      <c r="AO451" s="8">
        <f t="shared" si="136"/>
        <v>2.5835961656113922</v>
      </c>
      <c r="AP451" s="8">
        <f t="shared" si="137"/>
        <v>0.8385369839397423</v>
      </c>
      <c r="AQ451" s="8"/>
      <c r="AR451" s="8">
        <f t="shared" si="138"/>
        <v>148.02915625571524</v>
      </c>
      <c r="AS451" s="8">
        <f t="shared" si="139"/>
        <v>41.95536985462347</v>
      </c>
    </row>
    <row r="452" spans="1:45">
      <c r="A452" s="19">
        <v>14.013999999999999</v>
      </c>
      <c r="B452" s="19">
        <v>1075.5126399999999</v>
      </c>
      <c r="C452" s="19">
        <v>-433.8055493</v>
      </c>
      <c r="E452" s="9">
        <f t="shared" si="125"/>
        <v>115.51263999999992</v>
      </c>
      <c r="F452" s="9">
        <f t="shared" si="130"/>
        <v>106.1944507</v>
      </c>
      <c r="I452">
        <v>1</v>
      </c>
      <c r="J452">
        <f t="shared" si="126"/>
        <v>0.10253275286248084</v>
      </c>
      <c r="K452">
        <f t="shared" si="131"/>
        <v>0.7433936053057536</v>
      </c>
      <c r="O452">
        <f t="shared" si="132"/>
        <v>7.5349968980613427E-2</v>
      </c>
      <c r="P452">
        <f t="shared" si="133"/>
        <v>6.9271627470017888E-2</v>
      </c>
      <c r="Q452">
        <f t="shared" si="134"/>
        <v>0.9947481207834854</v>
      </c>
      <c r="R452">
        <f t="shared" si="124"/>
        <v>1</v>
      </c>
      <c r="AG452" s="8">
        <f t="shared" si="127"/>
        <v>-0.63056714460939733</v>
      </c>
      <c r="AH452" s="8">
        <f t="shared" si="128"/>
        <v>0.39428071478084953</v>
      </c>
      <c r="AI452" s="8">
        <f t="shared" si="129"/>
        <v>0.66852658443105606</v>
      </c>
      <c r="AJ452" s="8"/>
      <c r="AK452" s="8"/>
      <c r="AL452" s="8"/>
      <c r="AN452" s="8">
        <f t="shared" si="135"/>
        <v>1.0000000000000002</v>
      </c>
      <c r="AO452" s="8">
        <f t="shared" si="136"/>
        <v>2.5827923680221465</v>
      </c>
      <c r="AP452" s="8">
        <f t="shared" si="137"/>
        <v>0.83857053552243688</v>
      </c>
      <c r="AQ452" s="8"/>
      <c r="AR452" s="8">
        <f t="shared" si="138"/>
        <v>147.98310204626867</v>
      </c>
      <c r="AS452" s="8">
        <f t="shared" si="139"/>
        <v>41.953447490539091</v>
      </c>
    </row>
    <row r="453" spans="1:45">
      <c r="A453" s="19">
        <v>14.047366670000001</v>
      </c>
      <c r="B453" s="19">
        <v>1074.982949</v>
      </c>
      <c r="C453" s="19">
        <v>-433.74159580000003</v>
      </c>
      <c r="E453" s="9">
        <f t="shared" si="125"/>
        <v>114.98294899999996</v>
      </c>
      <c r="F453" s="9">
        <f t="shared" si="130"/>
        <v>106.25840419999997</v>
      </c>
      <c r="I453">
        <v>1</v>
      </c>
      <c r="J453">
        <f t="shared" si="126"/>
        <v>0.10230590120448352</v>
      </c>
      <c r="K453">
        <f t="shared" si="131"/>
        <v>0.74598407361867158</v>
      </c>
      <c r="O453">
        <f t="shared" si="132"/>
        <v>7.5004538981225541E-2</v>
      </c>
      <c r="P453">
        <f t="shared" si="133"/>
        <v>6.931343028870933E-2</v>
      </c>
      <c r="Q453">
        <f t="shared" si="134"/>
        <v>0.99477131417920672</v>
      </c>
      <c r="R453">
        <f t="shared" si="124"/>
        <v>1</v>
      </c>
      <c r="AG453" s="8">
        <f t="shared" si="127"/>
        <v>-0.63039350523848237</v>
      </c>
      <c r="AH453" s="8">
        <f t="shared" si="128"/>
        <v>0.39458278664206931</v>
      </c>
      <c r="AI453" s="8">
        <f t="shared" si="129"/>
        <v>0.66851211884222306</v>
      </c>
      <c r="AJ453" s="8"/>
      <c r="AK453" s="8"/>
      <c r="AL453" s="8"/>
      <c r="AN453" s="8">
        <f t="shared" si="135"/>
        <v>0.99999999999999989</v>
      </c>
      <c r="AO453" s="8">
        <f t="shared" si="136"/>
        <v>2.5823241927540601</v>
      </c>
      <c r="AP453" s="8">
        <f t="shared" si="137"/>
        <v>0.83858998649865379</v>
      </c>
      <c r="AQ453" s="8"/>
      <c r="AR453" s="8">
        <f t="shared" si="138"/>
        <v>147.95627757933494</v>
      </c>
      <c r="AS453" s="8">
        <f t="shared" si="139"/>
        <v>41.952333031694451</v>
      </c>
    </row>
    <row r="454" spans="1:45">
      <c r="A454" s="19">
        <v>14.080733329999999</v>
      </c>
      <c r="B454" s="19">
        <v>1074.383034</v>
      </c>
      <c r="C454" s="19">
        <v>-433.98781250000002</v>
      </c>
      <c r="E454" s="9">
        <f t="shared" si="125"/>
        <v>114.38303399999995</v>
      </c>
      <c r="F454" s="9">
        <f t="shared" si="130"/>
        <v>106.01218749999998</v>
      </c>
      <c r="I454">
        <v>1</v>
      </c>
      <c r="J454">
        <f t="shared" si="126"/>
        <v>0.10190772355781333</v>
      </c>
      <c r="K454">
        <f t="shared" si="131"/>
        <v>0.74743534020597258</v>
      </c>
      <c r="O454">
        <f t="shared" si="132"/>
        <v>7.4613351529981636E-2</v>
      </c>
      <c r="P454">
        <f t="shared" si="133"/>
        <v>6.9152953333969341E-2</v>
      </c>
      <c r="Q454">
        <f t="shared" si="134"/>
        <v>0.99481190021966126</v>
      </c>
      <c r="R454">
        <f t="shared" si="124"/>
        <v>1</v>
      </c>
      <c r="AG454" s="8">
        <f t="shared" si="127"/>
        <v>-0.63033191204810668</v>
      </c>
      <c r="AH454" s="8">
        <f t="shared" si="128"/>
        <v>0.3949675264437375</v>
      </c>
      <c r="AI454" s="8">
        <f t="shared" si="129"/>
        <v>0.66834297610485405</v>
      </c>
      <c r="AJ454" s="8"/>
      <c r="AK454" s="8"/>
      <c r="AL454" s="8"/>
      <c r="AN454" s="8">
        <f t="shared" si="135"/>
        <v>1.0000000000000002</v>
      </c>
      <c r="AO454" s="8">
        <f t="shared" si="136"/>
        <v>2.5818418375863716</v>
      </c>
      <c r="AP454" s="8">
        <f t="shared" si="137"/>
        <v>0.83881739697154223</v>
      </c>
      <c r="AQ454" s="8"/>
      <c r="AR454" s="8">
        <f t="shared" si="138"/>
        <v>147.92864066400006</v>
      </c>
      <c r="AS454" s="8">
        <f t="shared" si="139"/>
        <v>41.939303371380866</v>
      </c>
    </row>
    <row r="455" spans="1:45">
      <c r="A455" s="19">
        <v>14.114100000000001</v>
      </c>
      <c r="B455" s="19">
        <v>1074.135538</v>
      </c>
      <c r="C455" s="19">
        <v>-433.58978539999998</v>
      </c>
      <c r="E455" s="9">
        <f t="shared" si="125"/>
        <v>114.135538</v>
      </c>
      <c r="F455" s="9">
        <f t="shared" si="130"/>
        <v>106.41021460000002</v>
      </c>
      <c r="I455">
        <v>1</v>
      </c>
      <c r="J455">
        <f t="shared" si="126"/>
        <v>0.10196652684154683</v>
      </c>
      <c r="K455">
        <f t="shared" si="131"/>
        <v>0.75038426701347394</v>
      </c>
      <c r="O455">
        <f t="shared" si="132"/>
        <v>7.445188743485906E-2</v>
      </c>
      <c r="P455">
        <f t="shared" si="133"/>
        <v>6.9412572614485746E-2</v>
      </c>
      <c r="Q455">
        <f t="shared" si="134"/>
        <v>0.99480591635777171</v>
      </c>
      <c r="R455">
        <f t="shared" si="124"/>
        <v>1</v>
      </c>
      <c r="AG455" s="8">
        <f t="shared" si="127"/>
        <v>-0.63009455501813783</v>
      </c>
      <c r="AH455" s="8">
        <f t="shared" si="128"/>
        <v>0.39505931455085902</v>
      </c>
      <c r="AI455" s="8">
        <f t="shared" si="129"/>
        <v>0.66851252024408658</v>
      </c>
      <c r="AJ455" s="8"/>
      <c r="AK455" s="8"/>
      <c r="AL455" s="8"/>
      <c r="AN455" s="8">
        <f t="shared" si="135"/>
        <v>1</v>
      </c>
      <c r="AO455" s="8">
        <f t="shared" si="136"/>
        <v>2.5815677882222161</v>
      </c>
      <c r="AP455" s="8">
        <f t="shared" si="137"/>
        <v>0.83858944676315961</v>
      </c>
      <c r="AQ455" s="8"/>
      <c r="AR455" s="8">
        <f t="shared" si="138"/>
        <v>147.91293879205568</v>
      </c>
      <c r="AS455" s="8">
        <f t="shared" si="139"/>
        <v>41.952363956260321</v>
      </c>
    </row>
    <row r="456" spans="1:45">
      <c r="A456" s="19">
        <v>14.14746667</v>
      </c>
      <c r="B456" s="19">
        <v>1073.3864960000001</v>
      </c>
      <c r="C456" s="19">
        <v>-433.30328320000001</v>
      </c>
      <c r="E456" s="9">
        <f t="shared" si="125"/>
        <v>113.38649600000008</v>
      </c>
      <c r="F456" s="9">
        <f t="shared" si="130"/>
        <v>106.69671679999999</v>
      </c>
      <c r="I456">
        <v>1</v>
      </c>
      <c r="J456">
        <f t="shared" si="126"/>
        <v>0.10173658474686496</v>
      </c>
      <c r="K456">
        <f t="shared" si="131"/>
        <v>0.75501092981488838</v>
      </c>
      <c r="O456">
        <f t="shared" si="132"/>
        <v>7.3963352429143286E-2</v>
      </c>
      <c r="P456">
        <f t="shared" si="133"/>
        <v>6.959953033305559E-2</v>
      </c>
      <c r="Q456">
        <f t="shared" si="134"/>
        <v>0.99482929584670976</v>
      </c>
      <c r="R456">
        <f t="shared" si="124"/>
        <v>1</v>
      </c>
      <c r="AG456" s="8">
        <f t="shared" si="127"/>
        <v>-0.62976551428003757</v>
      </c>
      <c r="AH456" s="8">
        <f t="shared" si="128"/>
        <v>0.39546000015054161</v>
      </c>
      <c r="AI456" s="8">
        <f t="shared" si="129"/>
        <v>0.66858566040899603</v>
      </c>
      <c r="AJ456" s="8"/>
      <c r="AK456" s="8"/>
      <c r="AL456" s="8"/>
      <c r="AN456" s="8">
        <f t="shared" si="135"/>
        <v>1</v>
      </c>
      <c r="AO456" s="8">
        <f t="shared" si="136"/>
        <v>2.5808762306600834</v>
      </c>
      <c r="AP456" s="8">
        <f t="shared" si="137"/>
        <v>0.8384910962038854</v>
      </c>
      <c r="AQ456" s="8"/>
      <c r="AR456" s="8">
        <f t="shared" si="138"/>
        <v>147.87331546245514</v>
      </c>
      <c r="AS456" s="8">
        <f t="shared" si="139"/>
        <v>41.957999028219483</v>
      </c>
    </row>
    <row r="457" spans="1:45">
      <c r="A457" s="19">
        <v>14.18083333</v>
      </c>
      <c r="B457" s="19">
        <v>1072.785466</v>
      </c>
      <c r="C457" s="19">
        <v>-433.92490989999999</v>
      </c>
      <c r="E457" s="9">
        <f t="shared" si="125"/>
        <v>112.78546600000004</v>
      </c>
      <c r="F457" s="9">
        <f t="shared" si="130"/>
        <v>106.07509010000001</v>
      </c>
      <c r="I457">
        <v>1</v>
      </c>
      <c r="J457">
        <f t="shared" si="126"/>
        <v>0.10117047318671106</v>
      </c>
      <c r="K457">
        <f t="shared" si="131"/>
        <v>0.75474725730925507</v>
      </c>
      <c r="O457">
        <f t="shared" si="132"/>
        <v>7.3571440829592119E-2</v>
      </c>
      <c r="P457">
        <f t="shared" si="133"/>
        <v>6.9194174493952973E-2</v>
      </c>
      <c r="Q457">
        <f t="shared" si="134"/>
        <v>0.99488663138588718</v>
      </c>
      <c r="R457">
        <f t="shared" si="124"/>
        <v>1</v>
      </c>
      <c r="AG457" s="8">
        <f t="shared" si="127"/>
        <v>-0.62986263061251502</v>
      </c>
      <c r="AH457" s="8">
        <f t="shared" si="128"/>
        <v>0.39589556696693623</v>
      </c>
      <c r="AI457" s="8">
        <f t="shared" si="129"/>
        <v>0.66823631045746879</v>
      </c>
      <c r="AJ457" s="8"/>
      <c r="AK457" s="8"/>
      <c r="AL457" s="8"/>
      <c r="AN457" s="8">
        <f t="shared" si="135"/>
        <v>1</v>
      </c>
      <c r="AO457" s="8">
        <f t="shared" si="136"/>
        <v>2.5804498243547025</v>
      </c>
      <c r="AP457" s="8">
        <f t="shared" si="137"/>
        <v>0.8389607838242733</v>
      </c>
      <c r="AQ457" s="8"/>
      <c r="AR457" s="8">
        <f t="shared" si="138"/>
        <v>147.84888418079905</v>
      </c>
      <c r="AS457" s="8">
        <f t="shared" si="139"/>
        <v>41.931087909881711</v>
      </c>
    </row>
    <row r="458" spans="1:45">
      <c r="A458" s="19">
        <v>14.2142</v>
      </c>
      <c r="B458" s="19">
        <v>1072.2557489999999</v>
      </c>
      <c r="C458" s="19">
        <v>-433.26875919999998</v>
      </c>
      <c r="E458" s="9">
        <f t="shared" si="125"/>
        <v>112.25574899999992</v>
      </c>
      <c r="F458" s="9">
        <f t="shared" si="130"/>
        <v>106.73124080000002</v>
      </c>
      <c r="I458">
        <v>1</v>
      </c>
      <c r="J458">
        <f t="shared" si="126"/>
        <v>0.10121369771978286</v>
      </c>
      <c r="K458">
        <f t="shared" si="131"/>
        <v>0.76017594967206348</v>
      </c>
      <c r="O458">
        <f t="shared" si="132"/>
        <v>7.3225889900847232E-2</v>
      </c>
      <c r="P458">
        <f t="shared" si="133"/>
        <v>6.9622181112538137E-2</v>
      </c>
      <c r="Q458">
        <f t="shared" si="134"/>
        <v>0.99488226486623121</v>
      </c>
      <c r="R458">
        <f t="shared" si="124"/>
        <v>1</v>
      </c>
      <c r="AG458" s="8">
        <f t="shared" si="127"/>
        <v>-0.62943735796681965</v>
      </c>
      <c r="AH458" s="8">
        <f t="shared" si="128"/>
        <v>0.39611802712978794</v>
      </c>
      <c r="AI458" s="8">
        <f t="shared" si="129"/>
        <v>0.66850513908163356</v>
      </c>
      <c r="AJ458" s="8"/>
      <c r="AK458" s="8"/>
      <c r="AL458" s="8"/>
      <c r="AN458" s="8">
        <f t="shared" si="135"/>
        <v>0.99999999999999989</v>
      </c>
      <c r="AO458" s="8">
        <f t="shared" si="136"/>
        <v>2.5798922719025992</v>
      </c>
      <c r="AP458" s="8">
        <f t="shared" si="137"/>
        <v>0.83859937162630094</v>
      </c>
      <c r="AQ458" s="8"/>
      <c r="AR458" s="8">
        <f t="shared" si="138"/>
        <v>147.81693877843634</v>
      </c>
      <c r="AS458" s="8">
        <f t="shared" si="139"/>
        <v>41.95179530349008</v>
      </c>
    </row>
    <row r="459" spans="1:45">
      <c r="A459" s="19">
        <v>14.247566669999999</v>
      </c>
      <c r="B459" s="19">
        <v>1071.49884</v>
      </c>
      <c r="C459" s="19">
        <v>-433.26030889999998</v>
      </c>
      <c r="E459" s="9">
        <f t="shared" si="125"/>
        <v>111.49883999999997</v>
      </c>
      <c r="F459" s="9">
        <f t="shared" si="130"/>
        <v>106.73969110000002</v>
      </c>
      <c r="I459">
        <v>1</v>
      </c>
      <c r="J459">
        <f t="shared" si="126"/>
        <v>0.10085854836978256</v>
      </c>
      <c r="K459">
        <f t="shared" si="131"/>
        <v>0.76359452181511145</v>
      </c>
      <c r="O459">
        <f t="shared" si="132"/>
        <v>7.2732218454687636E-2</v>
      </c>
      <c r="P459">
        <f t="shared" si="133"/>
        <v>6.9627760529805321E-2</v>
      </c>
      <c r="Q459">
        <f t="shared" si="134"/>
        <v>0.99491808676004256</v>
      </c>
      <c r="R459">
        <f t="shared" si="124"/>
        <v>1</v>
      </c>
      <c r="AG459" s="8">
        <f t="shared" si="127"/>
        <v>-0.62922372142896077</v>
      </c>
      <c r="AH459" s="8">
        <f t="shared" si="128"/>
        <v>0.39656034918996247</v>
      </c>
      <c r="AI459" s="8">
        <f t="shared" si="129"/>
        <v>0.66844401249575458</v>
      </c>
      <c r="AJ459" s="8"/>
      <c r="AK459" s="8"/>
      <c r="AL459" s="8"/>
      <c r="AN459" s="8">
        <f t="shared" si="135"/>
        <v>0.99999999999999989</v>
      </c>
      <c r="AO459" s="8">
        <f t="shared" si="136"/>
        <v>2.5792359494571202</v>
      </c>
      <c r="AP459" s="8">
        <f t="shared" si="137"/>
        <v>0.83868156029083674</v>
      </c>
      <c r="AQ459" s="8"/>
      <c r="AR459" s="8">
        <f t="shared" si="138"/>
        <v>147.77933427231071</v>
      </c>
      <c r="AS459" s="8">
        <f t="shared" si="139"/>
        <v>41.947086239888357</v>
      </c>
    </row>
    <row r="460" spans="1:45">
      <c r="A460" s="19">
        <v>14.28093333</v>
      </c>
      <c r="B460" s="19">
        <v>1071.115329</v>
      </c>
      <c r="C460" s="19">
        <v>-433.29470709999998</v>
      </c>
      <c r="E460" s="9">
        <f t="shared" si="125"/>
        <v>111.11532899999997</v>
      </c>
      <c r="F460" s="9">
        <f t="shared" si="130"/>
        <v>106.70529290000002</v>
      </c>
      <c r="I460">
        <v>1</v>
      </c>
      <c r="J460">
        <f t="shared" si="126"/>
        <v>0.10066148634386145</v>
      </c>
      <c r="K460">
        <f t="shared" si="131"/>
        <v>0.76515474640538972</v>
      </c>
      <c r="O460">
        <f t="shared" si="132"/>
        <v>7.2482079993500009E-2</v>
      </c>
      <c r="P460">
        <f t="shared" si="133"/>
        <v>6.960535189260568E-2</v>
      </c>
      <c r="Q460">
        <f t="shared" si="134"/>
        <v>0.99493790915198443</v>
      </c>
      <c r="R460">
        <f t="shared" si="124"/>
        <v>1</v>
      </c>
      <c r="AG460" s="8">
        <f t="shared" si="127"/>
        <v>-0.62913182997938621</v>
      </c>
      <c r="AH460" s="8">
        <f t="shared" si="128"/>
        <v>0.39678961716032324</v>
      </c>
      <c r="AI460" s="8">
        <f t="shared" si="129"/>
        <v>0.66839444957341831</v>
      </c>
      <c r="AJ460" s="8"/>
      <c r="AK460" s="8"/>
      <c r="AL460" s="8"/>
      <c r="AN460" s="8">
        <f t="shared" si="135"/>
        <v>1</v>
      </c>
      <c r="AO460" s="8">
        <f t="shared" si="136"/>
        <v>2.5789093113225419</v>
      </c>
      <c r="AP460" s="8">
        <f t="shared" si="137"/>
        <v>0.83874819640214027</v>
      </c>
      <c r="AQ460" s="8"/>
      <c r="AR460" s="8">
        <f t="shared" si="138"/>
        <v>147.76061928577133</v>
      </c>
      <c r="AS460" s="8">
        <f t="shared" si="139"/>
        <v>41.943268271947503</v>
      </c>
    </row>
    <row r="461" spans="1:45">
      <c r="A461" s="19">
        <v>14.314299999999999</v>
      </c>
      <c r="B461" s="19">
        <v>1070.4384130000001</v>
      </c>
      <c r="C461" s="19">
        <v>-432.95190819999999</v>
      </c>
      <c r="E461" s="9">
        <f t="shared" si="125"/>
        <v>110.43841300000008</v>
      </c>
      <c r="F461" s="9">
        <f t="shared" si="130"/>
        <v>107.04809180000001</v>
      </c>
      <c r="I461">
        <v>1</v>
      </c>
      <c r="J461">
        <f t="shared" si="126"/>
        <v>0.10049817556946997</v>
      </c>
      <c r="K461">
        <f t="shared" si="131"/>
        <v>0.76981077501989403</v>
      </c>
      <c r="O461">
        <f t="shared" si="132"/>
        <v>7.2040539582631916E-2</v>
      </c>
      <c r="P461">
        <f t="shared" si="133"/>
        <v>6.9828985088395912E-2</v>
      </c>
      <c r="Q461">
        <f t="shared" si="134"/>
        <v>0.99495430724137668</v>
      </c>
      <c r="R461">
        <f t="shared" si="124"/>
        <v>1</v>
      </c>
      <c r="AG461" s="8">
        <f t="shared" si="127"/>
        <v>-0.62879830282153304</v>
      </c>
      <c r="AH461" s="8">
        <f t="shared" si="128"/>
        <v>0.3971400824053361</v>
      </c>
      <c r="AI461" s="8">
        <f t="shared" si="129"/>
        <v>0.66850014907690369</v>
      </c>
      <c r="AJ461" s="8"/>
      <c r="AK461" s="8"/>
      <c r="AL461" s="8"/>
      <c r="AN461" s="8">
        <f t="shared" si="135"/>
        <v>1</v>
      </c>
      <c r="AO461" s="8">
        <f t="shared" si="136"/>
        <v>2.5782714897712227</v>
      </c>
      <c r="AP461" s="8">
        <f t="shared" si="137"/>
        <v>0.83860608123932934</v>
      </c>
      <c r="AQ461" s="8"/>
      <c r="AR461" s="8">
        <f t="shared" si="138"/>
        <v>147.72407480279827</v>
      </c>
      <c r="AS461" s="8">
        <f t="shared" si="139"/>
        <v>41.951410870981384</v>
      </c>
    </row>
    <row r="462" spans="1:45">
      <c r="A462" s="19">
        <v>14.347666670000001</v>
      </c>
      <c r="B462" s="19">
        <v>1069.648066</v>
      </c>
      <c r="C462" s="19">
        <v>-432.364125</v>
      </c>
      <c r="E462" s="9">
        <f t="shared" si="125"/>
        <v>109.64806599999997</v>
      </c>
      <c r="F462" s="9">
        <f t="shared" si="130"/>
        <v>107.635875</v>
      </c>
      <c r="I462">
        <v>1</v>
      </c>
      <c r="J462">
        <f t="shared" si="126"/>
        <v>0.10039635384804985</v>
      </c>
      <c r="K462">
        <f t="shared" si="131"/>
        <v>0.77613777594275934</v>
      </c>
      <c r="O462">
        <f t="shared" si="132"/>
        <v>7.1524996348078657E-2</v>
      </c>
      <c r="P462">
        <f t="shared" si="133"/>
        <v>7.0212415477508297E-2</v>
      </c>
      <c r="Q462">
        <f t="shared" si="134"/>
        <v>0.99496451776443817</v>
      </c>
      <c r="R462">
        <f t="shared" si="124"/>
        <v>1</v>
      </c>
      <c r="AG462" s="8">
        <f t="shared" si="127"/>
        <v>-0.62832906572548741</v>
      </c>
      <c r="AH462" s="8">
        <f t="shared" si="128"/>
        <v>0.39752394074746289</v>
      </c>
      <c r="AI462" s="8">
        <f t="shared" si="129"/>
        <v>0.66871316847894036</v>
      </c>
      <c r="AJ462" s="8"/>
      <c r="AK462" s="8"/>
      <c r="AL462" s="8"/>
      <c r="AN462" s="8">
        <f t="shared" si="135"/>
        <v>0.99999999999999989</v>
      </c>
      <c r="AO462" s="8">
        <f t="shared" si="136"/>
        <v>2.5774979827796631</v>
      </c>
      <c r="AP462" s="8">
        <f t="shared" si="137"/>
        <v>0.83831961708139813</v>
      </c>
      <c r="AQ462" s="8"/>
      <c r="AR462" s="8">
        <f t="shared" si="138"/>
        <v>147.67975611675803</v>
      </c>
      <c r="AS462" s="8">
        <f t="shared" si="139"/>
        <v>41.967824058212614</v>
      </c>
    </row>
    <row r="463" spans="1:45">
      <c r="A463" s="19">
        <v>14.381033329999999</v>
      </c>
      <c r="B463" s="19">
        <v>1069.1219860000001</v>
      </c>
      <c r="C463" s="19">
        <v>-432.08440990000003</v>
      </c>
      <c r="E463" s="9">
        <f t="shared" si="125"/>
        <v>109.12198600000011</v>
      </c>
      <c r="F463" s="9">
        <f t="shared" si="130"/>
        <v>107.91559009999997</v>
      </c>
      <c r="I463">
        <v>1</v>
      </c>
      <c r="J463">
        <f t="shared" si="126"/>
        <v>0.10027939298949161</v>
      </c>
      <c r="K463">
        <f t="shared" si="131"/>
        <v>0.77983975504520842</v>
      </c>
      <c r="O463">
        <f t="shared" si="132"/>
        <v>7.1181837971891149E-2</v>
      </c>
      <c r="P463">
        <f t="shared" si="133"/>
        <v>7.0394888607866898E-2</v>
      </c>
      <c r="Q463">
        <f t="shared" si="134"/>
        <v>0.99497623368642807</v>
      </c>
      <c r="R463">
        <f t="shared" si="124"/>
        <v>1</v>
      </c>
      <c r="AG463" s="8">
        <f t="shared" si="127"/>
        <v>-0.62806394421595446</v>
      </c>
      <c r="AH463" s="8">
        <f t="shared" si="128"/>
        <v>0.39779433341607268</v>
      </c>
      <c r="AI463" s="8">
        <f t="shared" si="129"/>
        <v>0.66880142813690291</v>
      </c>
      <c r="AJ463" s="8"/>
      <c r="AK463" s="8"/>
      <c r="AL463" s="8"/>
      <c r="AN463" s="8">
        <f t="shared" si="135"/>
        <v>1</v>
      </c>
      <c r="AO463" s="8">
        <f t="shared" si="136"/>
        <v>2.5769999621137178</v>
      </c>
      <c r="AP463" s="8">
        <f t="shared" si="137"/>
        <v>0.83820090566335381</v>
      </c>
      <c r="AQ463" s="8"/>
      <c r="AR463" s="8">
        <f t="shared" si="138"/>
        <v>147.65122163448908</v>
      </c>
      <c r="AS463" s="8">
        <f t="shared" si="139"/>
        <v>41.974625721446564</v>
      </c>
    </row>
    <row r="464" spans="1:45">
      <c r="A464" s="19">
        <v>14.414400000000001</v>
      </c>
      <c r="B464" s="19">
        <v>1068.0960419999999</v>
      </c>
      <c r="C464" s="19">
        <v>-431.92777150000001</v>
      </c>
      <c r="E464" s="9">
        <f t="shared" si="125"/>
        <v>108.0960419999999</v>
      </c>
      <c r="F464" s="9">
        <f t="shared" si="130"/>
        <v>108.07222849999999</v>
      </c>
      <c r="I464">
        <v>1</v>
      </c>
      <c r="J464">
        <f t="shared" si="126"/>
        <v>9.987488364008161E-2</v>
      </c>
      <c r="K464">
        <f t="shared" si="131"/>
        <v>0.78528800153211764</v>
      </c>
      <c r="O464">
        <f t="shared" si="132"/>
        <v>7.0512623224485108E-2</v>
      </c>
      <c r="P464">
        <f t="shared" si="133"/>
        <v>7.0497089331457374E-2</v>
      </c>
      <c r="Q464">
        <f t="shared" si="134"/>
        <v>0.99501664828373315</v>
      </c>
      <c r="R464">
        <f t="shared" si="124"/>
        <v>1</v>
      </c>
      <c r="AG464" s="8">
        <f t="shared" si="127"/>
        <v>-0.62771180265017557</v>
      </c>
      <c r="AH464" s="8">
        <f t="shared" si="128"/>
        <v>0.39837374617090893</v>
      </c>
      <c r="AI464" s="8">
        <f t="shared" si="129"/>
        <v>0.66878714937969852</v>
      </c>
      <c r="AJ464" s="8"/>
      <c r="AK464" s="8"/>
      <c r="AL464" s="8"/>
      <c r="AN464" s="8">
        <f t="shared" si="135"/>
        <v>1</v>
      </c>
      <c r="AO464" s="8">
        <f t="shared" si="136"/>
        <v>2.5760881197001573</v>
      </c>
      <c r="AP464" s="8">
        <f t="shared" si="137"/>
        <v>0.83822011180369771</v>
      </c>
      <c r="AQ464" s="8"/>
      <c r="AR464" s="8">
        <f t="shared" si="138"/>
        <v>147.59897691261102</v>
      </c>
      <c r="AS464" s="8">
        <f t="shared" si="139"/>
        <v>41.973525290664121</v>
      </c>
    </row>
    <row r="465" spans="1:45">
      <c r="A465" s="19">
        <v>14.44776667</v>
      </c>
      <c r="B465" s="19">
        <v>1067.5579250000001</v>
      </c>
      <c r="C465" s="19">
        <v>-431.96803929999999</v>
      </c>
      <c r="E465" s="9">
        <f t="shared" si="125"/>
        <v>107.55792500000007</v>
      </c>
      <c r="F465" s="9">
        <f t="shared" si="130"/>
        <v>108.03196070000001</v>
      </c>
      <c r="I465">
        <v>1</v>
      </c>
      <c r="J465">
        <f t="shared" si="126"/>
        <v>9.9607012453414995E-2</v>
      </c>
      <c r="K465">
        <f t="shared" si="131"/>
        <v>0.78759694435848582</v>
      </c>
      <c r="O465">
        <f t="shared" si="132"/>
        <v>7.016160438008201E-2</v>
      </c>
      <c r="P465">
        <f t="shared" si="133"/>
        <v>7.0470824786160235E-2</v>
      </c>
      <c r="Q465">
        <f t="shared" si="134"/>
        <v>0.99504332173266263</v>
      </c>
      <c r="R465">
        <f t="shared" si="124"/>
        <v>1</v>
      </c>
      <c r="AG465" s="8">
        <f t="shared" si="127"/>
        <v>-0.62757898102392617</v>
      </c>
      <c r="AH465" s="8">
        <f t="shared" si="128"/>
        <v>0.39869404150166377</v>
      </c>
      <c r="AI465" s="8">
        <f t="shared" si="129"/>
        <v>0.66872093121723075</v>
      </c>
      <c r="AJ465" s="8"/>
      <c r="AK465" s="8"/>
      <c r="AL465" s="8"/>
      <c r="AN465" s="8">
        <f t="shared" si="135"/>
        <v>1.0000000000000002</v>
      </c>
      <c r="AO465" s="8">
        <f t="shared" si="136"/>
        <v>2.5756286759496265</v>
      </c>
      <c r="AP465" s="8">
        <f t="shared" si="137"/>
        <v>0.8383091765152173</v>
      </c>
      <c r="AQ465" s="8"/>
      <c r="AR465" s="8">
        <f t="shared" si="138"/>
        <v>147.57265272478196</v>
      </c>
      <c r="AS465" s="8">
        <f t="shared" si="139"/>
        <v>41.9684222585905</v>
      </c>
    </row>
    <row r="466" spans="1:45">
      <c r="A466" s="19">
        <v>14.48113333</v>
      </c>
      <c r="B466" s="19">
        <v>1067.1658849999999</v>
      </c>
      <c r="C466" s="19">
        <v>-432.0640702</v>
      </c>
      <c r="E466" s="9">
        <f t="shared" si="125"/>
        <v>107.16588499999989</v>
      </c>
      <c r="F466" s="9">
        <f t="shared" si="130"/>
        <v>107.9359298</v>
      </c>
      <c r="I466">
        <v>1</v>
      </c>
      <c r="J466">
        <f t="shared" si="126"/>
        <v>9.9381157382271379E-2</v>
      </c>
      <c r="K466">
        <f t="shared" si="131"/>
        <v>0.78897805653398745</v>
      </c>
      <c r="O466">
        <f t="shared" si="132"/>
        <v>6.9905865448119942E-2</v>
      </c>
      <c r="P466">
        <f t="shared" si="133"/>
        <v>7.0408176870993294E-2</v>
      </c>
      <c r="Q466">
        <f t="shared" si="134"/>
        <v>0.99506575592050817</v>
      </c>
      <c r="R466">
        <f t="shared" si="124"/>
        <v>1</v>
      </c>
      <c r="AG466" s="8">
        <f t="shared" si="127"/>
        <v>-0.62751048998125036</v>
      </c>
      <c r="AH466" s="8">
        <f t="shared" si="128"/>
        <v>0.39893632850518324</v>
      </c>
      <c r="AI466" s="8">
        <f t="shared" si="129"/>
        <v>0.66864070378813745</v>
      </c>
      <c r="AJ466" s="8"/>
      <c r="AK466" s="8"/>
      <c r="AL466" s="8"/>
      <c r="AN466" s="8">
        <f t="shared" si="135"/>
        <v>1.0000000000000002</v>
      </c>
      <c r="AO466" s="8">
        <f t="shared" si="136"/>
        <v>2.5753042551722802</v>
      </c>
      <c r="AP466" s="8">
        <f t="shared" si="137"/>
        <v>0.83841707440444002</v>
      </c>
      <c r="AQ466" s="8"/>
      <c r="AR466" s="8">
        <f t="shared" si="138"/>
        <v>147.55406478345367</v>
      </c>
      <c r="AS466" s="8">
        <f t="shared" si="139"/>
        <v>41.96224016491967</v>
      </c>
    </row>
    <row r="467" spans="1:45">
      <c r="A467" s="19">
        <v>14.5145</v>
      </c>
      <c r="B467" s="19">
        <v>1066.4287509999999</v>
      </c>
      <c r="C467" s="19">
        <v>-432.06708529999997</v>
      </c>
      <c r="E467" s="9">
        <f t="shared" si="125"/>
        <v>106.42875099999992</v>
      </c>
      <c r="F467" s="9">
        <f t="shared" si="130"/>
        <v>107.93291470000003</v>
      </c>
      <c r="I467">
        <v>1</v>
      </c>
      <c r="J467">
        <f t="shared" si="126"/>
        <v>9.9039848209645592E-2</v>
      </c>
      <c r="K467">
        <f t="shared" si="131"/>
        <v>0.79241499175028263</v>
      </c>
      <c r="O467">
        <f t="shared" si="132"/>
        <v>6.9425000454900521E-2</v>
      </c>
      <c r="P467">
        <f t="shared" si="133"/>
        <v>7.0406188005966999E-2</v>
      </c>
      <c r="Q467">
        <f t="shared" si="134"/>
        <v>0.99509956185414206</v>
      </c>
      <c r="R467">
        <f t="shared" si="124"/>
        <v>1</v>
      </c>
      <c r="AG467" s="8">
        <f t="shared" si="127"/>
        <v>-0.62730619619151784</v>
      </c>
      <c r="AH467" s="8">
        <f t="shared" si="128"/>
        <v>0.3993679426062266</v>
      </c>
      <c r="AI467" s="8">
        <f t="shared" si="129"/>
        <v>0.66857473975480008</v>
      </c>
      <c r="AJ467" s="8"/>
      <c r="AK467" s="8"/>
      <c r="AL467" s="8"/>
      <c r="AN467" s="8">
        <f t="shared" si="135"/>
        <v>1</v>
      </c>
      <c r="AO467" s="8">
        <f t="shared" si="136"/>
        <v>2.5746670657746225</v>
      </c>
      <c r="AP467" s="8">
        <f t="shared" si="137"/>
        <v>0.83850578160749478</v>
      </c>
      <c r="AQ467" s="8"/>
      <c r="AR467" s="8">
        <f t="shared" si="138"/>
        <v>147.5175565202174</v>
      </c>
      <c r="AS467" s="8">
        <f t="shared" si="139"/>
        <v>41.957157616572218</v>
      </c>
    </row>
    <row r="468" spans="1:45">
      <c r="A468" s="19">
        <v>14.547866669999999</v>
      </c>
      <c r="B468" s="19">
        <v>1065.829217</v>
      </c>
      <c r="C468" s="19">
        <v>-432.10948919999998</v>
      </c>
      <c r="E468" s="9">
        <f t="shared" si="125"/>
        <v>105.82921699999997</v>
      </c>
      <c r="F468" s="9">
        <f t="shared" si="130"/>
        <v>107.89051080000002</v>
      </c>
      <c r="I468">
        <v>1</v>
      </c>
      <c r="J468">
        <f t="shared" si="126"/>
        <v>9.8744412518916636E-2</v>
      </c>
      <c r="K468">
        <f t="shared" si="131"/>
        <v>0.79504271006069094</v>
      </c>
      <c r="O468">
        <f t="shared" si="132"/>
        <v>6.9033884030762008E-2</v>
      </c>
      <c r="P468">
        <f t="shared" si="133"/>
        <v>7.0378494915887727E-2</v>
      </c>
      <c r="Q468">
        <f t="shared" si="134"/>
        <v>0.99512873052133399</v>
      </c>
      <c r="R468">
        <f t="shared" si="124"/>
        <v>1</v>
      </c>
      <c r="AG468" s="8">
        <f t="shared" si="127"/>
        <v>-0.62715689680139231</v>
      </c>
      <c r="AH468" s="8">
        <f t="shared" si="128"/>
        <v>0.39972429322123632</v>
      </c>
      <c r="AI468" s="8">
        <f t="shared" si="129"/>
        <v>0.66850184457728379</v>
      </c>
      <c r="AJ468" s="8"/>
      <c r="AK468" s="8"/>
      <c r="AL468" s="8"/>
      <c r="AN468" s="8">
        <f t="shared" si="135"/>
        <v>1</v>
      </c>
      <c r="AO468" s="8">
        <f t="shared" si="136"/>
        <v>2.5741550632456702</v>
      </c>
      <c r="AP468" s="8">
        <f t="shared" si="137"/>
        <v>0.83860380145616142</v>
      </c>
      <c r="AQ468" s="8"/>
      <c r="AR468" s="8">
        <f t="shared" si="138"/>
        <v>147.48822093620839</v>
      </c>
      <c r="AS468" s="8">
        <f t="shared" si="139"/>
        <v>41.951541492935114</v>
      </c>
    </row>
    <row r="469" spans="1:45">
      <c r="A469" s="19">
        <v>14.58123333</v>
      </c>
      <c r="B469" s="19">
        <v>1065.361733</v>
      </c>
      <c r="C469" s="19">
        <v>-432.04123620000001</v>
      </c>
      <c r="E469" s="9">
        <f t="shared" si="125"/>
        <v>105.36173299999996</v>
      </c>
      <c r="F469" s="9">
        <f t="shared" si="130"/>
        <v>107.95876379999999</v>
      </c>
      <c r="I469">
        <v>1</v>
      </c>
      <c r="J469">
        <f t="shared" si="126"/>
        <v>9.8562048148145412E-2</v>
      </c>
      <c r="K469">
        <f t="shared" si="131"/>
        <v>0.79757187640197869</v>
      </c>
      <c r="O469">
        <f t="shared" si="132"/>
        <v>6.8728912070716228E-2</v>
      </c>
      <c r="P469">
        <f t="shared" si="133"/>
        <v>7.0422991091779241E-2</v>
      </c>
      <c r="Q469">
        <f t="shared" si="134"/>
        <v>0.99514669218726892</v>
      </c>
      <c r="R469">
        <f t="shared" si="124"/>
        <v>1</v>
      </c>
      <c r="AG469" s="8">
        <f t="shared" si="127"/>
        <v>-0.62699738716918219</v>
      </c>
      <c r="AH469" s="8">
        <f t="shared" si="128"/>
        <v>0.39998848367266882</v>
      </c>
      <c r="AI469" s="8">
        <f t="shared" si="129"/>
        <v>0.66849344754624018</v>
      </c>
      <c r="AJ469" s="8"/>
      <c r="AK469" s="8"/>
      <c r="AL469" s="8"/>
      <c r="AN469" s="8">
        <f t="shared" si="135"/>
        <v>0.99999999999999989</v>
      </c>
      <c r="AO469" s="8">
        <f t="shared" si="136"/>
        <v>2.5737402300785073</v>
      </c>
      <c r="AP469" s="8">
        <f t="shared" si="137"/>
        <v>0.83861509212452767</v>
      </c>
      <c r="AQ469" s="8"/>
      <c r="AR469" s="8">
        <f t="shared" si="138"/>
        <v>147.46445274652791</v>
      </c>
      <c r="AS469" s="8">
        <f t="shared" si="139"/>
        <v>41.950894585289845</v>
      </c>
    </row>
    <row r="470" spans="1:45">
      <c r="A470" s="19">
        <v>14.614599999999999</v>
      </c>
      <c r="B470" s="19">
        <v>1064.5447859999999</v>
      </c>
      <c r="C470" s="19">
        <v>-432.0333478</v>
      </c>
      <c r="E470" s="9">
        <f t="shared" si="125"/>
        <v>104.54478599999993</v>
      </c>
      <c r="F470" s="9">
        <f t="shared" si="130"/>
        <v>107.9666522</v>
      </c>
      <c r="I470">
        <v>1</v>
      </c>
      <c r="J470">
        <f t="shared" si="126"/>
        <v>9.8192398927570548E-2</v>
      </c>
      <c r="K470">
        <f t="shared" si="131"/>
        <v>0.80149880503659288</v>
      </c>
      <c r="O470">
        <f t="shared" si="132"/>
        <v>6.8195940736598293E-2</v>
      </c>
      <c r="P470">
        <f t="shared" si="133"/>
        <v>7.0428069123984111E-2</v>
      </c>
      <c r="Q470">
        <f t="shared" si="134"/>
        <v>0.99518299862212156</v>
      </c>
      <c r="R470">
        <f t="shared" si="124"/>
        <v>1</v>
      </c>
      <c r="AG470" s="8">
        <f t="shared" si="127"/>
        <v>-0.6267658006462139</v>
      </c>
      <c r="AH470" s="8">
        <f t="shared" si="128"/>
        <v>0.4004650594917446</v>
      </c>
      <c r="AI470" s="8">
        <f t="shared" si="129"/>
        <v>0.66842528921831179</v>
      </c>
      <c r="AJ470" s="8"/>
      <c r="AK470" s="8"/>
      <c r="AL470" s="8"/>
      <c r="AN470" s="8">
        <f t="shared" si="135"/>
        <v>0.99999999999999989</v>
      </c>
      <c r="AO470" s="8">
        <f t="shared" si="136"/>
        <v>2.5730325825560865</v>
      </c>
      <c r="AP470" s="8">
        <f t="shared" si="137"/>
        <v>0.83870673373876603</v>
      </c>
      <c r="AQ470" s="8"/>
      <c r="AR470" s="8">
        <f t="shared" si="138"/>
        <v>147.42390753011031</v>
      </c>
      <c r="AS470" s="8">
        <f t="shared" si="139"/>
        <v>41.945643907566222</v>
      </c>
    </row>
    <row r="471" spans="1:45">
      <c r="A471" s="19">
        <v>14.647966670000001</v>
      </c>
      <c r="B471" s="19">
        <v>1064.090815</v>
      </c>
      <c r="C471" s="19">
        <v>-431.89495210000001</v>
      </c>
      <c r="E471" s="9">
        <f t="shared" si="125"/>
        <v>104.09081500000002</v>
      </c>
      <c r="F471" s="9">
        <f t="shared" si="130"/>
        <v>108.10504789999999</v>
      </c>
      <c r="I471">
        <v>1</v>
      </c>
      <c r="J471">
        <f t="shared" si="126"/>
        <v>9.805092018315642E-2</v>
      </c>
      <c r="K471">
        <f t="shared" si="131"/>
        <v>0.80431349041405287</v>
      </c>
      <c r="O471">
        <f t="shared" si="132"/>
        <v>6.7899779521213732E-2</v>
      </c>
      <c r="P471">
        <f t="shared" si="133"/>
        <v>7.0518315353187006E-2</v>
      </c>
      <c r="Q471">
        <f t="shared" si="134"/>
        <v>0.99519685848615858</v>
      </c>
      <c r="R471">
        <f t="shared" si="124"/>
        <v>1</v>
      </c>
      <c r="AG471" s="8">
        <f t="shared" si="127"/>
        <v>-0.62658011502413768</v>
      </c>
      <c r="AH471" s="8">
        <f t="shared" si="128"/>
        <v>0.4007118015486737</v>
      </c>
      <c r="AI471" s="8">
        <f t="shared" si="129"/>
        <v>0.66845150277036169</v>
      </c>
      <c r="AJ471" s="8"/>
      <c r="AK471" s="8"/>
      <c r="AL471" s="8"/>
      <c r="AN471" s="8">
        <f t="shared" si="135"/>
        <v>1</v>
      </c>
      <c r="AO471" s="8">
        <f t="shared" si="136"/>
        <v>2.5726186017403987</v>
      </c>
      <c r="AP471" s="8">
        <f t="shared" si="137"/>
        <v>0.83867148945656955</v>
      </c>
      <c r="AQ471" s="8"/>
      <c r="AR471" s="8">
        <f t="shared" si="138"/>
        <v>147.40018817657202</v>
      </c>
      <c r="AS471" s="8">
        <f t="shared" si="139"/>
        <v>41.947663256188044</v>
      </c>
    </row>
    <row r="472" spans="1:45">
      <c r="A472" s="19">
        <v>14.681333329999999</v>
      </c>
      <c r="B472" s="19">
        <v>1063.3763140000001</v>
      </c>
      <c r="C472" s="19">
        <v>-431.90312879999999</v>
      </c>
      <c r="E472" s="9">
        <f t="shared" si="125"/>
        <v>103.37631400000009</v>
      </c>
      <c r="F472" s="9">
        <f t="shared" si="130"/>
        <v>108.09687120000001</v>
      </c>
      <c r="I472">
        <v>1</v>
      </c>
      <c r="J472">
        <f t="shared" si="126"/>
        <v>9.7722681914103007E-2</v>
      </c>
      <c r="K472">
        <f t="shared" si="131"/>
        <v>0.80771670639542192</v>
      </c>
      <c r="O472">
        <f t="shared" si="132"/>
        <v>6.7433621723972104E-2</v>
      </c>
      <c r="P472">
        <f t="shared" si="133"/>
        <v>7.0512898361279622E-2</v>
      </c>
      <c r="Q472">
        <f t="shared" si="134"/>
        <v>0.99522893739374363</v>
      </c>
      <c r="R472">
        <f t="shared" si="124"/>
        <v>1</v>
      </c>
      <c r="AG472" s="8">
        <f t="shared" si="127"/>
        <v>-0.62638373907581379</v>
      </c>
      <c r="AH472" s="8">
        <f t="shared" si="128"/>
        <v>0.4011304886013346</v>
      </c>
      <c r="AI472" s="8">
        <f t="shared" si="129"/>
        <v>0.66838442720926516</v>
      </c>
      <c r="AJ472" s="8"/>
      <c r="AK472" s="8"/>
      <c r="AL472" s="8"/>
      <c r="AN472" s="8">
        <f t="shared" si="135"/>
        <v>1</v>
      </c>
      <c r="AO472" s="8">
        <f t="shared" si="136"/>
        <v>2.5720021512270592</v>
      </c>
      <c r="AP472" s="8">
        <f t="shared" si="137"/>
        <v>0.83876167073542596</v>
      </c>
      <c r="AQ472" s="8"/>
      <c r="AR472" s="8">
        <f t="shared" si="138"/>
        <v>147.36486816387901</v>
      </c>
      <c r="AS472" s="8">
        <f t="shared" si="139"/>
        <v>41.942496249518477</v>
      </c>
    </row>
    <row r="473" spans="1:45">
      <c r="A473" s="19">
        <v>14.714700000000001</v>
      </c>
      <c r="B473" s="19">
        <v>1062.7304320000001</v>
      </c>
      <c r="C473" s="19">
        <v>-431.99199010000001</v>
      </c>
      <c r="E473" s="9">
        <f t="shared" si="125"/>
        <v>102.73043200000006</v>
      </c>
      <c r="F473" s="9">
        <f t="shared" si="130"/>
        <v>108.00800989999999</v>
      </c>
      <c r="I473">
        <v>1</v>
      </c>
      <c r="J473">
        <f t="shared" si="126"/>
        <v>9.738822696641658E-2</v>
      </c>
      <c r="K473">
        <f t="shared" si="131"/>
        <v>0.8104361914072582</v>
      </c>
      <c r="O473">
        <f t="shared" si="132"/>
        <v>6.7012209333145917E-2</v>
      </c>
      <c r="P473">
        <f t="shared" si="133"/>
        <v>7.0454832401320888E-2</v>
      </c>
      <c r="Q473">
        <f t="shared" si="134"/>
        <v>0.99526151356896764</v>
      </c>
      <c r="R473">
        <f t="shared" si="124"/>
        <v>1</v>
      </c>
      <c r="AG473" s="8">
        <f t="shared" si="127"/>
        <v>-0.62624070803406118</v>
      </c>
      <c r="AH473" s="8">
        <f t="shared" si="128"/>
        <v>0.40151985826041947</v>
      </c>
      <c r="AI473" s="8">
        <f t="shared" si="129"/>
        <v>0.6682846541882661</v>
      </c>
      <c r="AJ473" s="8"/>
      <c r="AK473" s="8"/>
      <c r="AL473" s="8"/>
      <c r="AN473" s="8">
        <f t="shared" si="135"/>
        <v>1</v>
      </c>
      <c r="AO473" s="8">
        <f t="shared" si="136"/>
        <v>2.5714576849425006</v>
      </c>
      <c r="AP473" s="8">
        <f t="shared" si="137"/>
        <v>0.8388957993473557</v>
      </c>
      <c r="AQ473" s="8"/>
      <c r="AR473" s="8">
        <f t="shared" si="138"/>
        <v>147.33367254368662</v>
      </c>
      <c r="AS473" s="8">
        <f t="shared" si="139"/>
        <v>41.934811246142957</v>
      </c>
    </row>
    <row r="474" spans="1:45">
      <c r="A474" s="19">
        <v>14.74806667</v>
      </c>
      <c r="B474" s="19">
        <v>1062.1604990000001</v>
      </c>
      <c r="C474" s="19">
        <v>-432.0648071</v>
      </c>
      <c r="E474" s="9">
        <f t="shared" si="125"/>
        <v>102.16049900000007</v>
      </c>
      <c r="F474" s="9">
        <f t="shared" si="130"/>
        <v>107.9351929</v>
      </c>
      <c r="I474">
        <v>1</v>
      </c>
      <c r="J474">
        <f t="shared" si="126"/>
        <v>9.7096360605445534E-2</v>
      </c>
      <c r="K474">
        <f t="shared" si="131"/>
        <v>0.81287726248060699</v>
      </c>
      <c r="O474">
        <f t="shared" si="132"/>
        <v>6.6640340115784596E-2</v>
      </c>
      <c r="P474">
        <f t="shared" si="133"/>
        <v>7.0407232107576267E-2</v>
      </c>
      <c r="Q474">
        <f t="shared" si="134"/>
        <v>0.99528985061448427</v>
      </c>
      <c r="R474">
        <f t="shared" si="124"/>
        <v>1</v>
      </c>
      <c r="AG474" s="8">
        <f t="shared" si="127"/>
        <v>-0.62611202598910087</v>
      </c>
      <c r="AH474" s="8">
        <f t="shared" si="128"/>
        <v>0.40186262978423398</v>
      </c>
      <c r="AI474" s="8">
        <f t="shared" si="129"/>
        <v>0.66819919013324403</v>
      </c>
      <c r="AJ474" s="8"/>
      <c r="AK474" s="8"/>
      <c r="AL474" s="8"/>
      <c r="AN474" s="8">
        <f t="shared" si="135"/>
        <v>1</v>
      </c>
      <c r="AO474" s="8">
        <f t="shared" si="136"/>
        <v>2.5709764769283536</v>
      </c>
      <c r="AP474" s="8">
        <f t="shared" si="137"/>
        <v>0.83901067903007254</v>
      </c>
      <c r="AQ474" s="8"/>
      <c r="AR474" s="8">
        <f t="shared" si="138"/>
        <v>147.30610135540812</v>
      </c>
      <c r="AS474" s="8">
        <f t="shared" si="139"/>
        <v>41.928229125171484</v>
      </c>
    </row>
    <row r="475" spans="1:45">
      <c r="A475" s="19">
        <v>14.78143333</v>
      </c>
      <c r="B475" s="19">
        <v>1061.7452069999999</v>
      </c>
      <c r="C475" s="19">
        <v>-432.02017990000002</v>
      </c>
      <c r="E475" s="9">
        <f t="shared" si="125"/>
        <v>101.74520699999994</v>
      </c>
      <c r="F475" s="9">
        <f t="shared" si="130"/>
        <v>107.97982009999998</v>
      </c>
      <c r="I475">
        <v>1</v>
      </c>
      <c r="J475">
        <f t="shared" si="126"/>
        <v>9.6930660846694314E-2</v>
      </c>
      <c r="K475">
        <f t="shared" si="131"/>
        <v>0.81511696993426008</v>
      </c>
      <c r="O475">
        <f t="shared" si="132"/>
        <v>6.6369381701196981E-2</v>
      </c>
      <c r="P475">
        <f t="shared" si="133"/>
        <v>7.0436280072077348E-2</v>
      </c>
      <c r="Q475">
        <f t="shared" si="134"/>
        <v>0.9953059005261693</v>
      </c>
      <c r="R475">
        <f t="shared" ref="R475:R538" si="140">SQRT(O475^2+P475^2+Q475^2)</f>
        <v>1</v>
      </c>
      <c r="AG475" s="8">
        <f t="shared" si="127"/>
        <v>-0.62597671633307683</v>
      </c>
      <c r="AH475" s="8">
        <f t="shared" si="128"/>
        <v>0.40209920820829109</v>
      </c>
      <c r="AI475" s="8">
        <f t="shared" si="129"/>
        <v>0.6681836404515783</v>
      </c>
      <c r="AJ475" s="8"/>
      <c r="AK475" s="8"/>
      <c r="AL475" s="8"/>
      <c r="AN475" s="8">
        <f t="shared" si="135"/>
        <v>1</v>
      </c>
      <c r="AO475" s="8">
        <f t="shared" si="136"/>
        <v>2.5706106357480842</v>
      </c>
      <c r="AP475" s="8">
        <f t="shared" si="137"/>
        <v>0.83903157943751583</v>
      </c>
      <c r="AQ475" s="8"/>
      <c r="AR475" s="8">
        <f t="shared" si="138"/>
        <v>147.28514019980662</v>
      </c>
      <c r="AS475" s="8">
        <f t="shared" si="139"/>
        <v>41.927031620034874</v>
      </c>
    </row>
    <row r="476" spans="1:45">
      <c r="A476" s="19">
        <v>14.8148</v>
      </c>
      <c r="B476" s="19">
        <v>1061.324934</v>
      </c>
      <c r="C476" s="19">
        <v>-431.93738430000002</v>
      </c>
      <c r="E476" s="9">
        <f t="shared" si="125"/>
        <v>101.32493399999998</v>
      </c>
      <c r="F476" s="9">
        <f t="shared" si="130"/>
        <v>108.06261569999998</v>
      </c>
      <c r="I476">
        <v>1</v>
      </c>
      <c r="J476">
        <f t="shared" si="126"/>
        <v>9.6781470322161292E-2</v>
      </c>
      <c r="K476">
        <f t="shared" si="131"/>
        <v>0.81756510787553105</v>
      </c>
      <c r="O476">
        <f t="shared" si="132"/>
        <v>6.609517729838521E-2</v>
      </c>
      <c r="P476">
        <f t="shared" si="133"/>
        <v>7.0490228436948854E-2</v>
      </c>
      <c r="Q476">
        <f t="shared" si="134"/>
        <v>0.99532032795115855</v>
      </c>
      <c r="R476">
        <f t="shared" si="140"/>
        <v>1</v>
      </c>
      <c r="AG476" s="8">
        <f t="shared" si="127"/>
        <v>-0.62582375195100426</v>
      </c>
      <c r="AH476" s="8">
        <f t="shared" si="128"/>
        <v>0.4023335232147876</v>
      </c>
      <c r="AI476" s="8">
        <f t="shared" si="129"/>
        <v>0.6681858780246287</v>
      </c>
      <c r="AJ476" s="8"/>
      <c r="AK476" s="8"/>
      <c r="AL476" s="8"/>
      <c r="AN476" s="8">
        <f t="shared" si="135"/>
        <v>1</v>
      </c>
      <c r="AO476" s="8">
        <f t="shared" si="136"/>
        <v>2.5702345352145661</v>
      </c>
      <c r="AP476" s="8">
        <f t="shared" si="137"/>
        <v>0.83902857192818647</v>
      </c>
      <c r="AQ476" s="8"/>
      <c r="AR476" s="8">
        <f t="shared" si="138"/>
        <v>147.26359122656339</v>
      </c>
      <c r="AS476" s="8">
        <f t="shared" si="139"/>
        <v>41.927203937626295</v>
      </c>
    </row>
    <row r="477" spans="1:45">
      <c r="A477" s="19">
        <v>14.848166669999999</v>
      </c>
      <c r="B477" s="19">
        <v>1060.6846049999999</v>
      </c>
      <c r="C477" s="19">
        <v>-431.3545896</v>
      </c>
      <c r="E477" s="9">
        <f t="shared" si="125"/>
        <v>100.68460499999992</v>
      </c>
      <c r="F477" s="9">
        <f t="shared" si="130"/>
        <v>108.6454104</v>
      </c>
      <c r="I477">
        <v>1</v>
      </c>
      <c r="J477">
        <f t="shared" si="126"/>
        <v>9.6774705520171242E-2</v>
      </c>
      <c r="K477">
        <f t="shared" si="131"/>
        <v>0.82340977330751342</v>
      </c>
      <c r="O477">
        <f t="shared" si="132"/>
        <v>6.567748225328654E-2</v>
      </c>
      <c r="P477">
        <f t="shared" si="133"/>
        <v>7.0870387915282967E-2</v>
      </c>
      <c r="Q477">
        <f t="shared" si="134"/>
        <v>0.99532098161427629</v>
      </c>
      <c r="R477">
        <f t="shared" si="140"/>
        <v>1</v>
      </c>
      <c r="AG477" s="8">
        <f t="shared" si="127"/>
        <v>-0.62539659703644535</v>
      </c>
      <c r="AH477" s="8">
        <f t="shared" si="128"/>
        <v>0.40262892075356149</v>
      </c>
      <c r="AI477" s="8">
        <f t="shared" si="129"/>
        <v>0.6684078459952848</v>
      </c>
      <c r="AJ477" s="8"/>
      <c r="AK477" s="8"/>
      <c r="AL477" s="8"/>
      <c r="AN477" s="8">
        <f t="shared" si="135"/>
        <v>1</v>
      </c>
      <c r="AO477" s="8">
        <f t="shared" si="136"/>
        <v>2.569589903981516</v>
      </c>
      <c r="AP477" s="8">
        <f t="shared" si="137"/>
        <v>0.83873018564101864</v>
      </c>
      <c r="AQ477" s="8"/>
      <c r="AR477" s="8">
        <f t="shared" si="138"/>
        <v>147.22665657756733</v>
      </c>
      <c r="AS477" s="8">
        <f t="shared" si="139"/>
        <v>41.944300212545592</v>
      </c>
    </row>
    <row r="478" spans="1:45">
      <c r="A478" s="19">
        <v>14.88153333</v>
      </c>
      <c r="B478" s="19">
        <v>1059.4466849999999</v>
      </c>
      <c r="C478" s="19">
        <v>-431.0992521</v>
      </c>
      <c r="E478" s="9">
        <f t="shared" si="125"/>
        <v>99.446684999999889</v>
      </c>
      <c r="F478" s="9">
        <f t="shared" si="130"/>
        <v>108.9007479</v>
      </c>
      <c r="I478">
        <v>1</v>
      </c>
      <c r="J478">
        <f t="shared" si="126"/>
        <v>9.6348331245198052E-2</v>
      </c>
      <c r="K478">
        <f t="shared" si="131"/>
        <v>0.83074348908681883</v>
      </c>
      <c r="O478">
        <f t="shared" si="132"/>
        <v>6.4869801180708633E-2</v>
      </c>
      <c r="P478">
        <f t="shared" si="133"/>
        <v>7.1036755671679566E-2</v>
      </c>
      <c r="Q478">
        <f t="shared" si="134"/>
        <v>0.99536208901003331</v>
      </c>
      <c r="R478">
        <f t="shared" si="140"/>
        <v>1</v>
      </c>
      <c r="AG478" s="8">
        <f t="shared" si="127"/>
        <v>-0.62494062531065431</v>
      </c>
      <c r="AH478" s="8">
        <f t="shared" si="128"/>
        <v>0.40331715998790929</v>
      </c>
      <c r="AI478" s="8">
        <f t="shared" si="129"/>
        <v>0.66841939177107634</v>
      </c>
      <c r="AJ478" s="8"/>
      <c r="AK478" s="8"/>
      <c r="AL478" s="8"/>
      <c r="AN478" s="8">
        <f t="shared" si="135"/>
        <v>1</v>
      </c>
      <c r="AO478" s="8">
        <f t="shared" si="136"/>
        <v>2.5684800265084164</v>
      </c>
      <c r="AP478" s="8">
        <f t="shared" si="137"/>
        <v>0.83871466273907647</v>
      </c>
      <c r="AQ478" s="8"/>
      <c r="AR478" s="8">
        <f t="shared" si="138"/>
        <v>147.16306528258207</v>
      </c>
      <c r="AS478" s="8">
        <f t="shared" si="139"/>
        <v>41.945189609312671</v>
      </c>
    </row>
    <row r="479" spans="1:45">
      <c r="A479" s="19">
        <v>14.914899999999999</v>
      </c>
      <c r="B479" s="19">
        <v>1058.8514500000001</v>
      </c>
      <c r="C479" s="19">
        <v>-430.96931280000001</v>
      </c>
      <c r="E479" s="9">
        <f t="shared" si="125"/>
        <v>98.851450000000114</v>
      </c>
      <c r="F479" s="9">
        <f t="shared" si="130"/>
        <v>109.03068719999999</v>
      </c>
      <c r="I479">
        <v>1</v>
      </c>
      <c r="J479">
        <f t="shared" si="126"/>
        <v>9.6148654300886219E-2</v>
      </c>
      <c r="K479">
        <f t="shared" si="131"/>
        <v>0.83432547101234789</v>
      </c>
      <c r="O479">
        <f t="shared" si="132"/>
        <v>6.4481435411958818E-2</v>
      </c>
      <c r="P479">
        <f t="shared" si="133"/>
        <v>7.1121417183139704E-2</v>
      </c>
      <c r="Q479">
        <f t="shared" si="134"/>
        <v>0.99538127795587716</v>
      </c>
      <c r="R479">
        <f t="shared" si="140"/>
        <v>1</v>
      </c>
      <c r="AG479" s="8">
        <f t="shared" si="127"/>
        <v>-0.62471818033130033</v>
      </c>
      <c r="AH479" s="8">
        <f t="shared" si="128"/>
        <v>0.40364701462966612</v>
      </c>
      <c r="AI479" s="8">
        <f t="shared" si="129"/>
        <v>0.66842821809384079</v>
      </c>
      <c r="AJ479" s="8"/>
      <c r="AK479" s="8"/>
      <c r="AL479" s="8"/>
      <c r="AN479" s="8">
        <f t="shared" si="135"/>
        <v>1.0000000000000002</v>
      </c>
      <c r="AO479" s="8">
        <f t="shared" si="136"/>
        <v>2.5679452283985382</v>
      </c>
      <c r="AP479" s="8">
        <f t="shared" si="137"/>
        <v>0.83870279590297359</v>
      </c>
      <c r="AQ479" s="8"/>
      <c r="AR479" s="8">
        <f t="shared" si="138"/>
        <v>147.13242360799447</v>
      </c>
      <c r="AS479" s="8">
        <f t="shared" si="139"/>
        <v>41.945869528937543</v>
      </c>
    </row>
    <row r="480" spans="1:45">
      <c r="A480" s="19">
        <v>14.948266670000001</v>
      </c>
      <c r="B480" s="19">
        <v>1058.122777</v>
      </c>
      <c r="C480" s="19">
        <v>-430.99687610000001</v>
      </c>
      <c r="E480" s="9">
        <f t="shared" ref="E480:E543" si="141">(B480-($B$15/2))</f>
        <v>98.122777000000042</v>
      </c>
      <c r="F480" s="9">
        <f t="shared" si="130"/>
        <v>109.00312389999999</v>
      </c>
      <c r="I480">
        <v>1</v>
      </c>
      <c r="J480">
        <f t="shared" ref="J480:J543" si="142">ATAN((SQRT(E480^2+F480^2)^$B$16)/($F$24))</f>
        <v>9.5814901965297072E-2</v>
      </c>
      <c r="K480">
        <f t="shared" si="131"/>
        <v>0.83788003843237913</v>
      </c>
      <c r="O480">
        <f t="shared" si="132"/>
        <v>6.4005956828269706E-2</v>
      </c>
      <c r="P480">
        <f t="shared" si="133"/>
        <v>7.1103259159592785E-2</v>
      </c>
      <c r="Q480">
        <f t="shared" si="134"/>
        <v>0.99541326293524013</v>
      </c>
      <c r="R480">
        <f t="shared" si="140"/>
        <v>1</v>
      </c>
      <c r="AG480" s="8">
        <f t="shared" ref="AG480:AG543" si="143">$O480*$Z$27+$P480*$Z$31+$Q480*$Z$35</f>
        <v>-0.62452505885932874</v>
      </c>
      <c r="AH480" s="8">
        <f t="shared" ref="AH480:AH543" si="144">$O480*$AA$27+$P480*$AA$31+$Q480*$AA$35</f>
        <v>0.40407590528891824</v>
      </c>
      <c r="AI480" s="8">
        <f t="shared" ref="AI480:AI543" si="145">$AB$27*$O480+$P480*$AB$31+$AB$35*$Q480</f>
        <v>0.66834954449127371</v>
      </c>
      <c r="AJ480" s="8"/>
      <c r="AK480" s="8"/>
      <c r="AL480" s="8"/>
      <c r="AN480" s="8">
        <f t="shared" si="135"/>
        <v>1</v>
      </c>
      <c r="AO480" s="8">
        <f t="shared" si="136"/>
        <v>2.5673200412641308</v>
      </c>
      <c r="AP480" s="8">
        <f t="shared" si="137"/>
        <v>0.83880856671849924</v>
      </c>
      <c r="AQ480" s="8"/>
      <c r="AR480" s="8">
        <f t="shared" si="138"/>
        <v>147.09660302378705</v>
      </c>
      <c r="AS480" s="8">
        <f t="shared" si="139"/>
        <v>41.939809307612265</v>
      </c>
    </row>
    <row r="481" spans="1:45">
      <c r="A481" s="19">
        <v>14.981633329999999</v>
      </c>
      <c r="B481" s="19">
        <v>1057.536394</v>
      </c>
      <c r="C481" s="19">
        <v>-431.1138636</v>
      </c>
      <c r="E481" s="9">
        <f t="shared" si="141"/>
        <v>97.536393999999973</v>
      </c>
      <c r="F481" s="9">
        <f t="shared" ref="F481:F544" si="146">(($C$15/2)+C481)</f>
        <v>108.8861364</v>
      </c>
      <c r="I481">
        <v>1</v>
      </c>
      <c r="J481">
        <f t="shared" si="142"/>
        <v>9.5500881606850704E-2</v>
      </c>
      <c r="K481">
        <f t="shared" ref="K481:K544" si="147">ATAN2(E481,F481)</f>
        <v>0.84032591670123691</v>
      </c>
      <c r="O481">
        <f t="shared" ref="O481:O544" si="148">COS(K481)*SIN(J481)</f>
        <v>6.3623292811260196E-2</v>
      </c>
      <c r="P481">
        <f t="shared" ref="P481:P544" si="149">SIN(K481)*SIN(J481)</f>
        <v>7.1026765037715239E-2</v>
      </c>
      <c r="Q481">
        <f t="shared" ref="Q481:Q544" si="150">COS(J481)</f>
        <v>0.99544325567062331</v>
      </c>
      <c r="R481">
        <f t="shared" si="140"/>
        <v>1</v>
      </c>
      <c r="AG481" s="8">
        <f t="shared" si="143"/>
        <v>-0.62440983929052651</v>
      </c>
      <c r="AH481" s="8">
        <f t="shared" si="144"/>
        <v>0.40443377022783283</v>
      </c>
      <c r="AI481" s="8">
        <f t="shared" si="145"/>
        <v>0.66824073364056424</v>
      </c>
      <c r="AJ481" s="8"/>
      <c r="AK481" s="8"/>
      <c r="AL481" s="8"/>
      <c r="AN481" s="8">
        <f t="shared" ref="AN481:AN544" si="151">AG481^2+AH481^2+AI481^2</f>
        <v>1.0000000000000002</v>
      </c>
      <c r="AO481" s="8">
        <f t="shared" ref="AO481:AO544" si="152">IF(ATAN2(AG481,AH481)&gt;=0,ATAN2(AG481,AH481),ATAN2(AG481,AH481)+2*PI())</f>
        <v>2.5668320360889685</v>
      </c>
      <c r="AP481" s="8">
        <f t="shared" ref="AP481:AP544" si="153">ACOS(AI481/AN481)</f>
        <v>0.83895483826290862</v>
      </c>
      <c r="AQ481" s="8"/>
      <c r="AR481" s="8">
        <f t="shared" ref="AR481:AR544" si="154">DEGREES(AO481)</f>
        <v>147.0686423868697</v>
      </c>
      <c r="AS481" s="8">
        <f t="shared" ref="AS481:AS544" si="155">90-DEGREES(AP481)</f>
        <v>41.931428565454745</v>
      </c>
    </row>
    <row r="482" spans="1:45">
      <c r="A482" s="19">
        <v>15.015000000000001</v>
      </c>
      <c r="B482" s="19">
        <v>1057.189723</v>
      </c>
      <c r="C482" s="19">
        <v>-431.2169743</v>
      </c>
      <c r="E482" s="9">
        <f t="shared" si="141"/>
        <v>97.189722999999958</v>
      </c>
      <c r="F482" s="9">
        <f t="shared" si="146"/>
        <v>108.7830257</v>
      </c>
      <c r="I482">
        <v>1</v>
      </c>
      <c r="J482">
        <f t="shared" si="142"/>
        <v>9.5298895227942437E-2</v>
      </c>
      <c r="K482">
        <f t="shared" si="147"/>
        <v>0.84162445154746712</v>
      </c>
      <c r="O482">
        <f t="shared" si="148"/>
        <v>6.3397046499603635E-2</v>
      </c>
      <c r="P482">
        <f t="shared" si="149"/>
        <v>7.0959380537286634E-2</v>
      </c>
      <c r="Q482">
        <f t="shared" si="150"/>
        <v>0.99546249593286618</v>
      </c>
      <c r="R482">
        <f t="shared" si="140"/>
        <v>1</v>
      </c>
      <c r="AG482" s="8">
        <f t="shared" si="143"/>
        <v>-0.62435610352487414</v>
      </c>
      <c r="AH482" s="8">
        <f t="shared" si="144"/>
        <v>0.40464989297372339</v>
      </c>
      <c r="AI482" s="8">
        <f t="shared" si="145"/>
        <v>0.66816010065521791</v>
      </c>
      <c r="AJ482" s="8"/>
      <c r="AK482" s="8"/>
      <c r="AL482" s="8"/>
      <c r="AN482" s="8">
        <f t="shared" si="151"/>
        <v>1</v>
      </c>
      <c r="AO482" s="8">
        <f t="shared" si="152"/>
        <v>2.5665489657931571</v>
      </c>
      <c r="AP482" s="8">
        <f t="shared" si="153"/>
        <v>0.8390632186529241</v>
      </c>
      <c r="AQ482" s="8"/>
      <c r="AR482" s="8">
        <f t="shared" si="154"/>
        <v>147.0524236536142</v>
      </c>
      <c r="AS482" s="8">
        <f t="shared" si="155"/>
        <v>41.925218826524876</v>
      </c>
    </row>
    <row r="483" spans="1:45">
      <c r="A483" s="19">
        <v>15.04836667</v>
      </c>
      <c r="B483" s="19">
        <v>1056.294065</v>
      </c>
      <c r="C483" s="19">
        <v>-431.07544789999997</v>
      </c>
      <c r="E483" s="9">
        <f t="shared" si="141"/>
        <v>96.294065000000046</v>
      </c>
      <c r="F483" s="9">
        <f t="shared" si="146"/>
        <v>108.92455210000003</v>
      </c>
      <c r="I483">
        <v>1</v>
      </c>
      <c r="J483">
        <f t="shared" si="142"/>
        <v>9.4978058504430515E-2</v>
      </c>
      <c r="K483">
        <f t="shared" si="147"/>
        <v>0.84686712489970817</v>
      </c>
      <c r="O483">
        <f t="shared" si="148"/>
        <v>6.2812620149651069E-2</v>
      </c>
      <c r="P483">
        <f t="shared" si="149"/>
        <v>7.1051487088307844E-2</v>
      </c>
      <c r="Q483">
        <f t="shared" si="150"/>
        <v>0.99549297382376123</v>
      </c>
      <c r="R483">
        <f t="shared" si="140"/>
        <v>1</v>
      </c>
      <c r="AG483" s="8">
        <f t="shared" si="143"/>
        <v>-0.62404376488023316</v>
      </c>
      <c r="AH483" s="8">
        <f t="shared" si="144"/>
        <v>0.40515312050414332</v>
      </c>
      <c r="AI483" s="8">
        <f t="shared" si="145"/>
        <v>0.66814693627963273</v>
      </c>
      <c r="AJ483" s="8"/>
      <c r="AK483" s="8"/>
      <c r="AL483" s="8"/>
      <c r="AN483" s="8">
        <f t="shared" si="151"/>
        <v>1.0000000000000002</v>
      </c>
      <c r="AO483" s="8">
        <f t="shared" si="152"/>
        <v>2.5657530766936736</v>
      </c>
      <c r="AP483" s="8">
        <f t="shared" si="153"/>
        <v>0.8390809121487468</v>
      </c>
      <c r="AQ483" s="8"/>
      <c r="AR483" s="8">
        <f t="shared" si="154"/>
        <v>147.00682256725332</v>
      </c>
      <c r="AS483" s="8">
        <f t="shared" si="155"/>
        <v>41.924205063889403</v>
      </c>
    </row>
    <row r="484" spans="1:45">
      <c r="A484" s="19">
        <v>15.08173333</v>
      </c>
      <c r="B484" s="19">
        <v>1055.639844</v>
      </c>
      <c r="C484" s="19">
        <v>-431.16016560000003</v>
      </c>
      <c r="E484" s="9">
        <f t="shared" si="141"/>
        <v>95.639844000000039</v>
      </c>
      <c r="F484" s="9">
        <f t="shared" si="146"/>
        <v>108.83983439999997</v>
      </c>
      <c r="I484">
        <v>1</v>
      </c>
      <c r="J484">
        <f t="shared" si="142"/>
        <v>9.4652662878251553E-2</v>
      </c>
      <c r="K484">
        <f t="shared" si="147"/>
        <v>0.84986276172395359</v>
      </c>
      <c r="O484">
        <f t="shared" si="148"/>
        <v>6.2385669755255661E-2</v>
      </c>
      <c r="P484">
        <f t="shared" si="149"/>
        <v>7.0995995822568589E-2</v>
      </c>
      <c r="Q484">
        <f t="shared" si="150"/>
        <v>0.99552378012097231</v>
      </c>
      <c r="R484">
        <f t="shared" si="140"/>
        <v>1</v>
      </c>
      <c r="AG484" s="8">
        <f t="shared" si="143"/>
        <v>-0.62389542509558382</v>
      </c>
      <c r="AH484" s="8">
        <f t="shared" si="144"/>
        <v>0.40554598959096805</v>
      </c>
      <c r="AI484" s="8">
        <f t="shared" si="145"/>
        <v>0.66804711575717723</v>
      </c>
      <c r="AJ484" s="8"/>
      <c r="AK484" s="8"/>
      <c r="AL484" s="8"/>
      <c r="AN484" s="8">
        <f t="shared" si="151"/>
        <v>1.0000000000000002</v>
      </c>
      <c r="AO484" s="8">
        <f t="shared" si="152"/>
        <v>2.5652016997323233</v>
      </c>
      <c r="AP484" s="8">
        <f t="shared" si="153"/>
        <v>0.8392150661448593</v>
      </c>
      <c r="AQ484" s="8"/>
      <c r="AR484" s="8">
        <f t="shared" si="154"/>
        <v>146.9752309944472</v>
      </c>
      <c r="AS484" s="8">
        <f t="shared" si="155"/>
        <v>41.916518606107346</v>
      </c>
    </row>
    <row r="485" spans="1:45">
      <c r="A485" s="19">
        <v>15.1151</v>
      </c>
      <c r="B485" s="19">
        <v>1055.162977</v>
      </c>
      <c r="C485" s="19">
        <v>-430.79780010000002</v>
      </c>
      <c r="E485" s="9">
        <f t="shared" si="141"/>
        <v>95.162976999999955</v>
      </c>
      <c r="F485" s="9">
        <f t="shared" si="146"/>
        <v>109.20219989999998</v>
      </c>
      <c r="I485">
        <v>1</v>
      </c>
      <c r="J485">
        <f t="shared" si="142"/>
        <v>9.4625551666668264E-2</v>
      </c>
      <c r="K485">
        <f t="shared" si="147"/>
        <v>0.85398715004209791</v>
      </c>
      <c r="O485">
        <f t="shared" si="148"/>
        <v>6.2074593038013257E-2</v>
      </c>
      <c r="P485">
        <f t="shared" si="149"/>
        <v>7.1232346142852093E-2</v>
      </c>
      <c r="Q485">
        <f t="shared" si="150"/>
        <v>0.99552634207345314</v>
      </c>
      <c r="R485">
        <f t="shared" si="140"/>
        <v>1</v>
      </c>
      <c r="AG485" s="8">
        <f t="shared" si="143"/>
        <v>-0.62360696236934177</v>
      </c>
      <c r="AH485" s="8">
        <f t="shared" si="144"/>
        <v>0.40577504170789663</v>
      </c>
      <c r="AI485" s="8">
        <f t="shared" si="145"/>
        <v>0.66817735071718598</v>
      </c>
      <c r="AJ485" s="8"/>
      <c r="AK485" s="8"/>
      <c r="AL485" s="8"/>
      <c r="AN485" s="8">
        <f t="shared" si="151"/>
        <v>1.0000000000000002</v>
      </c>
      <c r="AO485" s="8">
        <f t="shared" si="152"/>
        <v>2.5647322682680871</v>
      </c>
      <c r="AP485" s="8">
        <f t="shared" si="153"/>
        <v>0.83904003339056188</v>
      </c>
      <c r="AQ485" s="8"/>
      <c r="AR485" s="8">
        <f t="shared" si="154"/>
        <v>146.94833455277583</v>
      </c>
      <c r="AS485" s="8">
        <f t="shared" si="155"/>
        <v>41.926547244205139</v>
      </c>
    </row>
    <row r="486" spans="1:45">
      <c r="A486" s="19">
        <v>15.148466669999999</v>
      </c>
      <c r="B486" s="19">
        <v>1052.5</v>
      </c>
      <c r="C486" s="19">
        <v>-421.58333329999999</v>
      </c>
      <c r="E486" s="9">
        <f t="shared" si="141"/>
        <v>92.5</v>
      </c>
      <c r="F486" s="9">
        <f t="shared" si="146"/>
        <v>118.41666670000001</v>
      </c>
      <c r="I486">
        <v>1</v>
      </c>
      <c r="J486">
        <f t="shared" si="142"/>
        <v>9.8175702883582586E-2</v>
      </c>
      <c r="K486">
        <f t="shared" si="147"/>
        <v>0.90766161971322434</v>
      </c>
      <c r="O486">
        <f t="shared" si="148"/>
        <v>6.0338965188406313E-2</v>
      </c>
      <c r="P486">
        <f t="shared" si="149"/>
        <v>7.7244747348523379E-2</v>
      </c>
      <c r="Q486">
        <f t="shared" si="150"/>
        <v>0.99518463527480927</v>
      </c>
      <c r="R486">
        <f t="shared" si="140"/>
        <v>1</v>
      </c>
      <c r="AG486" s="8">
        <f t="shared" si="143"/>
        <v>-0.61892651233979989</v>
      </c>
      <c r="AH486" s="8">
        <f t="shared" si="144"/>
        <v>0.40607421997335758</v>
      </c>
      <c r="AI486" s="8">
        <f t="shared" si="145"/>
        <v>0.67233451510086928</v>
      </c>
      <c r="AJ486" s="8"/>
      <c r="AK486" s="8"/>
      <c r="AL486" s="8"/>
      <c r="AN486" s="8">
        <f t="shared" si="151"/>
        <v>1.0000000000000004</v>
      </c>
      <c r="AO486" s="8">
        <f t="shared" si="152"/>
        <v>2.5609450670944365</v>
      </c>
      <c r="AP486" s="8">
        <f t="shared" si="153"/>
        <v>0.83343834239256398</v>
      </c>
      <c r="AQ486" s="8"/>
      <c r="AR486" s="8">
        <f t="shared" si="154"/>
        <v>146.73134390935866</v>
      </c>
      <c r="AS486" s="8">
        <f t="shared" si="155"/>
        <v>42.24750049652684</v>
      </c>
    </row>
    <row r="487" spans="1:45">
      <c r="A487" s="19">
        <v>15.18183333</v>
      </c>
      <c r="B487" s="19">
        <v>1052.1013210000001</v>
      </c>
      <c r="C487" s="19">
        <v>-421.60886040000003</v>
      </c>
      <c r="E487" s="9">
        <f t="shared" si="141"/>
        <v>92.101321000000098</v>
      </c>
      <c r="F487" s="9">
        <f t="shared" si="146"/>
        <v>118.39113959999997</v>
      </c>
      <c r="I487">
        <v>1</v>
      </c>
      <c r="J487">
        <f t="shared" si="142"/>
        <v>9.8001791233148811E-2</v>
      </c>
      <c r="K487">
        <f t="shared" si="147"/>
        <v>0.90965146878549985</v>
      </c>
      <c r="O487">
        <f t="shared" si="148"/>
        <v>6.0078868361483274E-2</v>
      </c>
      <c r="P487">
        <f t="shared" si="149"/>
        <v>7.7228052909190964E-2</v>
      </c>
      <c r="Q487">
        <f t="shared" si="150"/>
        <v>0.99520166670894339</v>
      </c>
      <c r="R487">
        <f t="shared" si="140"/>
        <v>1</v>
      </c>
      <c r="AG487" s="8">
        <f t="shared" si="143"/>
        <v>-0.61882466867892971</v>
      </c>
      <c r="AH487" s="8">
        <f t="shared" si="144"/>
        <v>0.40630977894409415</v>
      </c>
      <c r="AI487" s="8">
        <f t="shared" si="145"/>
        <v>0.67228594583615553</v>
      </c>
      <c r="AJ487" s="8"/>
      <c r="AK487" s="8"/>
      <c r="AL487" s="8"/>
      <c r="AN487" s="8">
        <f t="shared" si="151"/>
        <v>1</v>
      </c>
      <c r="AO487" s="8">
        <f t="shared" si="152"/>
        <v>2.5606035522427044</v>
      </c>
      <c r="AP487" s="8">
        <f t="shared" si="153"/>
        <v>0.83350395263828714</v>
      </c>
      <c r="AQ487" s="8"/>
      <c r="AR487" s="8">
        <f t="shared" si="154"/>
        <v>146.71177654971336</v>
      </c>
      <c r="AS487" s="8">
        <f t="shared" si="155"/>
        <v>42.243741306354089</v>
      </c>
    </row>
    <row r="488" spans="1:45">
      <c r="A488" s="19">
        <v>15.215199999999999</v>
      </c>
      <c r="B488" s="19">
        <v>1051.6736989999999</v>
      </c>
      <c r="C488" s="19">
        <v>-421.60353600000002</v>
      </c>
      <c r="E488" s="9">
        <f t="shared" si="141"/>
        <v>91.673698999999942</v>
      </c>
      <c r="F488" s="9">
        <f t="shared" si="146"/>
        <v>118.39646399999998</v>
      </c>
      <c r="I488">
        <v>1</v>
      </c>
      <c r="J488">
        <f t="shared" si="142"/>
        <v>9.7832639898983595E-2</v>
      </c>
      <c r="K488">
        <f t="shared" si="147"/>
        <v>0.91192734279047682</v>
      </c>
      <c r="O488">
        <f t="shared" si="148"/>
        <v>5.9799889322251359E-2</v>
      </c>
      <c r="P488">
        <f t="shared" si="149"/>
        <v>7.723147991820338E-2</v>
      </c>
      <c r="Q488">
        <f t="shared" si="150"/>
        <v>0.995218203082465</v>
      </c>
      <c r="R488">
        <f t="shared" si="140"/>
        <v>1</v>
      </c>
      <c r="AG488" s="8">
        <f t="shared" si="143"/>
        <v>-0.61870140084312941</v>
      </c>
      <c r="AH488" s="8">
        <f t="shared" si="144"/>
        <v>0.40655793626019782</v>
      </c>
      <c r="AI488" s="8">
        <f t="shared" si="145"/>
        <v>0.67224937416006436</v>
      </c>
      <c r="AJ488" s="8"/>
      <c r="AK488" s="8"/>
      <c r="AL488" s="8"/>
      <c r="AN488" s="8">
        <f t="shared" si="151"/>
        <v>1</v>
      </c>
      <c r="AO488" s="8">
        <f t="shared" si="152"/>
        <v>2.5602319647968717</v>
      </c>
      <c r="AP488" s="8">
        <f t="shared" si="153"/>
        <v>0.83355335324922308</v>
      </c>
      <c r="AQ488" s="8"/>
      <c r="AR488" s="8">
        <f t="shared" si="154"/>
        <v>146.6904861573471</v>
      </c>
      <c r="AS488" s="8">
        <f t="shared" si="155"/>
        <v>42.240910859842089</v>
      </c>
    </row>
    <row r="489" spans="1:45">
      <c r="A489" s="19">
        <v>15.248566670000001</v>
      </c>
      <c r="B489" s="19">
        <v>1050.8743730000001</v>
      </c>
      <c r="C489" s="19">
        <v>-421.59095259999998</v>
      </c>
      <c r="E489" s="9">
        <f t="shared" si="141"/>
        <v>90.874373000000105</v>
      </c>
      <c r="F489" s="9">
        <f t="shared" si="146"/>
        <v>118.40904740000002</v>
      </c>
      <c r="I489">
        <v>1</v>
      </c>
      <c r="J489">
        <f t="shared" si="142"/>
        <v>9.7519188077647243E-2</v>
      </c>
      <c r="K489">
        <f t="shared" si="147"/>
        <v>0.91621326412553594</v>
      </c>
      <c r="O489">
        <f t="shared" si="148"/>
        <v>5.9278404270982687E-2</v>
      </c>
      <c r="P489">
        <f t="shared" si="149"/>
        <v>7.7239590760303165E-2</v>
      </c>
      <c r="Q489">
        <f t="shared" si="150"/>
        <v>0.9952487711151754</v>
      </c>
      <c r="R489">
        <f t="shared" si="140"/>
        <v>1</v>
      </c>
      <c r="AG489" s="8">
        <f t="shared" si="143"/>
        <v>-0.61846972875356399</v>
      </c>
      <c r="AH489" s="8">
        <f t="shared" si="144"/>
        <v>0.40702135075129564</v>
      </c>
      <c r="AI489" s="8">
        <f t="shared" si="145"/>
        <v>0.67218212907521113</v>
      </c>
      <c r="AJ489" s="8"/>
      <c r="AK489" s="8"/>
      <c r="AL489" s="8"/>
      <c r="AN489" s="8">
        <f t="shared" si="151"/>
        <v>1</v>
      </c>
      <c r="AO489" s="8">
        <f t="shared" si="152"/>
        <v>2.5595370454429367</v>
      </c>
      <c r="AP489" s="8">
        <f t="shared" si="153"/>
        <v>0.83364418137476448</v>
      </c>
      <c r="AQ489" s="8"/>
      <c r="AR489" s="8">
        <f t="shared" si="154"/>
        <v>146.65067021126467</v>
      </c>
      <c r="AS489" s="8">
        <f t="shared" si="155"/>
        <v>42.235706791587482</v>
      </c>
    </row>
    <row r="490" spans="1:45">
      <c r="A490" s="19">
        <v>15.281933329999999</v>
      </c>
      <c r="B490" s="19">
        <v>1050.204309</v>
      </c>
      <c r="C490" s="19">
        <v>-421.60160539999998</v>
      </c>
      <c r="E490" s="9">
        <f t="shared" si="141"/>
        <v>90.204308999999967</v>
      </c>
      <c r="F490" s="9">
        <f t="shared" si="146"/>
        <v>118.39839460000002</v>
      </c>
      <c r="I490">
        <v>1</v>
      </c>
      <c r="J490">
        <f t="shared" si="142"/>
        <v>9.7246753326187527E-2</v>
      </c>
      <c r="K490">
        <f t="shared" si="147"/>
        <v>0.91974093674508051</v>
      </c>
      <c r="O490">
        <f t="shared" si="148"/>
        <v>5.8841239645249899E-2</v>
      </c>
      <c r="P490">
        <f t="shared" si="149"/>
        <v>7.7232544514824295E-2</v>
      </c>
      <c r="Q490">
        <f t="shared" si="150"/>
        <v>0.99527525970696973</v>
      </c>
      <c r="R490">
        <f t="shared" si="140"/>
        <v>1</v>
      </c>
      <c r="AG490" s="8">
        <f t="shared" si="143"/>
        <v>-0.61828445560135381</v>
      </c>
      <c r="AH490" s="8">
        <f t="shared" si="144"/>
        <v>0.40741263313017528</v>
      </c>
      <c r="AI490" s="8">
        <f t="shared" si="145"/>
        <v>0.67211552453999668</v>
      </c>
      <c r="AJ490" s="8"/>
      <c r="AK490" s="8"/>
      <c r="AL490" s="8"/>
      <c r="AN490" s="8">
        <f t="shared" si="151"/>
        <v>1</v>
      </c>
      <c r="AO490" s="8">
        <f t="shared" si="152"/>
        <v>2.5589580647471712</v>
      </c>
      <c r="AP490" s="8">
        <f t="shared" si="153"/>
        <v>0.83373413692559362</v>
      </c>
      <c r="AQ490" s="8"/>
      <c r="AR490" s="8">
        <f t="shared" si="154"/>
        <v>146.61749706097777</v>
      </c>
      <c r="AS490" s="8">
        <f t="shared" si="155"/>
        <v>42.230552718181201</v>
      </c>
    </row>
    <row r="491" spans="1:45">
      <c r="A491" s="19">
        <v>15.315300000000001</v>
      </c>
      <c r="B491" s="19">
        <v>1049.591625</v>
      </c>
      <c r="C491" s="19">
        <v>-421.58911269999999</v>
      </c>
      <c r="E491" s="9">
        <f t="shared" si="141"/>
        <v>89.591625000000022</v>
      </c>
      <c r="F491" s="9">
        <f t="shared" si="146"/>
        <v>118.41088730000001</v>
      </c>
      <c r="I491">
        <v>1</v>
      </c>
      <c r="J491">
        <f t="shared" si="142"/>
        <v>9.7010336761440233E-2</v>
      </c>
      <c r="K491">
        <f t="shared" si="147"/>
        <v>0.92307412193868887</v>
      </c>
      <c r="O491">
        <f t="shared" si="148"/>
        <v>5.8441508193542706E-2</v>
      </c>
      <c r="P491">
        <f t="shared" si="149"/>
        <v>7.724059966930627E-2</v>
      </c>
      <c r="Q491">
        <f t="shared" si="150"/>
        <v>0.99529818641590528</v>
      </c>
      <c r="R491">
        <f t="shared" si="140"/>
        <v>1</v>
      </c>
      <c r="AG491" s="8">
        <f t="shared" si="143"/>
        <v>-0.61810543679619068</v>
      </c>
      <c r="AH491" s="8">
        <f t="shared" si="144"/>
        <v>0.4077672957869255</v>
      </c>
      <c r="AI491" s="8">
        <f t="shared" si="145"/>
        <v>0.67206510212151949</v>
      </c>
      <c r="AJ491" s="8"/>
      <c r="AK491" s="8"/>
      <c r="AL491" s="8"/>
      <c r="AN491" s="8">
        <f t="shared" si="151"/>
        <v>1</v>
      </c>
      <c r="AO491" s="8">
        <f t="shared" si="152"/>
        <v>2.5584251086694425</v>
      </c>
      <c r="AP491" s="8">
        <f t="shared" si="153"/>
        <v>0.83380223215451055</v>
      </c>
      <c r="AQ491" s="8"/>
      <c r="AR491" s="8">
        <f t="shared" si="154"/>
        <v>146.58696092705807</v>
      </c>
      <c r="AS491" s="8">
        <f t="shared" si="155"/>
        <v>42.226651148959284</v>
      </c>
    </row>
    <row r="492" spans="1:45">
      <c r="A492" s="19">
        <v>15.34866667</v>
      </c>
      <c r="B492" s="19">
        <v>1049.017932</v>
      </c>
      <c r="C492" s="19">
        <v>-420.74134199999997</v>
      </c>
      <c r="E492" s="9">
        <f t="shared" si="141"/>
        <v>89.017931999999973</v>
      </c>
      <c r="F492" s="9">
        <f t="shared" si="146"/>
        <v>119.25865800000003</v>
      </c>
      <c r="I492">
        <v>1</v>
      </c>
      <c r="J492">
        <f t="shared" si="142"/>
        <v>9.7228739198906053E-2</v>
      </c>
      <c r="K492">
        <f t="shared" si="147"/>
        <v>0.92958559499957216</v>
      </c>
      <c r="O492">
        <f t="shared" si="148"/>
        <v>5.8067348036913172E-2</v>
      </c>
      <c r="P492">
        <f t="shared" si="149"/>
        <v>7.7793696673398374E-2</v>
      </c>
      <c r="Q492">
        <f t="shared" si="150"/>
        <v>0.9952770086010464</v>
      </c>
      <c r="R492">
        <f t="shared" si="140"/>
        <v>1</v>
      </c>
      <c r="AG492" s="8">
        <f t="shared" si="143"/>
        <v>-0.6175801167260313</v>
      </c>
      <c r="AH492" s="8">
        <f t="shared" si="144"/>
        <v>0.40798490604310428</v>
      </c>
      <c r="AI492" s="8">
        <f t="shared" si="145"/>
        <v>0.67241588014090004</v>
      </c>
      <c r="AJ492" s="8"/>
      <c r="AK492" s="8"/>
      <c r="AL492" s="8"/>
      <c r="AN492" s="8">
        <f t="shared" si="151"/>
        <v>1.0000000000000004</v>
      </c>
      <c r="AO492" s="8">
        <f t="shared" si="152"/>
        <v>2.5577888759880025</v>
      </c>
      <c r="AP492" s="8">
        <f t="shared" si="153"/>
        <v>0.83332842090471482</v>
      </c>
      <c r="AQ492" s="8"/>
      <c r="AR492" s="8">
        <f t="shared" si="154"/>
        <v>146.55050747962326</v>
      </c>
      <c r="AS492" s="8">
        <f t="shared" si="155"/>
        <v>42.253798533858401</v>
      </c>
    </row>
    <row r="493" spans="1:45">
      <c r="A493" s="19">
        <v>15.382033330000001</v>
      </c>
      <c r="B493" s="19">
        <v>1048.47964</v>
      </c>
      <c r="C493" s="19">
        <v>-420.61854879999999</v>
      </c>
      <c r="E493" s="9">
        <f t="shared" si="141"/>
        <v>88.479640000000018</v>
      </c>
      <c r="F493" s="9">
        <f t="shared" si="146"/>
        <v>119.38145120000001</v>
      </c>
      <c r="I493">
        <v>1</v>
      </c>
      <c r="J493">
        <f t="shared" si="142"/>
        <v>9.7082690881544864E-2</v>
      </c>
      <c r="K493">
        <f t="shared" si="147"/>
        <v>0.93298290126714434</v>
      </c>
      <c r="O493">
        <f t="shared" si="148"/>
        <v>5.7716171508824902E-2</v>
      </c>
      <c r="P493">
        <f t="shared" si="149"/>
        <v>7.787373809874916E-2</v>
      </c>
      <c r="Q493">
        <f t="shared" si="150"/>
        <v>0.99529117571738335</v>
      </c>
      <c r="R493">
        <f t="shared" si="140"/>
        <v>1</v>
      </c>
      <c r="AG493" s="8">
        <f t="shared" si="143"/>
        <v>-0.61737482168062519</v>
      </c>
      <c r="AH493" s="8">
        <f t="shared" si="144"/>
        <v>0.40828106380799395</v>
      </c>
      <c r="AI493" s="8">
        <f t="shared" si="145"/>
        <v>0.67242464447001726</v>
      </c>
      <c r="AJ493" s="8"/>
      <c r="AK493" s="8"/>
      <c r="AL493" s="8"/>
      <c r="AN493" s="8">
        <f t="shared" si="151"/>
        <v>1</v>
      </c>
      <c r="AO493" s="8">
        <f t="shared" si="152"/>
        <v>2.5573021406496843</v>
      </c>
      <c r="AP493" s="8">
        <f t="shared" si="153"/>
        <v>0.83331657993004493</v>
      </c>
      <c r="AQ493" s="8"/>
      <c r="AR493" s="8">
        <f t="shared" si="154"/>
        <v>146.52261959899775</v>
      </c>
      <c r="AS493" s="8">
        <f t="shared" si="155"/>
        <v>42.254476971732302</v>
      </c>
    </row>
    <row r="494" spans="1:45">
      <c r="A494" s="19">
        <v>15.4154</v>
      </c>
      <c r="B494" s="19">
        <v>1047.7294179999999</v>
      </c>
      <c r="C494" s="19">
        <v>-420.55105459999999</v>
      </c>
      <c r="E494" s="9">
        <f t="shared" si="141"/>
        <v>87.729417999999896</v>
      </c>
      <c r="F494" s="9">
        <f t="shared" si="146"/>
        <v>119.44894540000001</v>
      </c>
      <c r="I494">
        <v>1</v>
      </c>
      <c r="J494">
        <f t="shared" si="142"/>
        <v>9.6826236072403413E-2</v>
      </c>
      <c r="K494">
        <f t="shared" si="147"/>
        <v>0.93732096069779758</v>
      </c>
      <c r="O494">
        <f t="shared" si="148"/>
        <v>5.7226713278407108E-2</v>
      </c>
      <c r="P494">
        <f t="shared" si="149"/>
        <v>7.7917655281993486E-2</v>
      </c>
      <c r="Q494">
        <f t="shared" si="150"/>
        <v>0.99531600121906383</v>
      </c>
      <c r="R494">
        <f t="shared" si="140"/>
        <v>1</v>
      </c>
      <c r="AG494" s="8">
        <f t="shared" si="143"/>
        <v>-0.6171329125953593</v>
      </c>
      <c r="AH494" s="8">
        <f t="shared" si="144"/>
        <v>0.40870792043370852</v>
      </c>
      <c r="AI494" s="8">
        <f t="shared" si="145"/>
        <v>0.67238739129040948</v>
      </c>
      <c r="AJ494" s="8"/>
      <c r="AK494" s="8"/>
      <c r="AL494" s="8"/>
      <c r="AN494" s="8">
        <f t="shared" si="151"/>
        <v>1.0000000000000002</v>
      </c>
      <c r="AO494" s="8">
        <f t="shared" si="152"/>
        <v>2.556640857203635</v>
      </c>
      <c r="AP494" s="8">
        <f t="shared" si="153"/>
        <v>0.83336690965163651</v>
      </c>
      <c r="AQ494" s="8"/>
      <c r="AR494" s="8">
        <f t="shared" si="154"/>
        <v>146.48473084847726</v>
      </c>
      <c r="AS494" s="8">
        <f t="shared" si="155"/>
        <v>42.251593291101038</v>
      </c>
    </row>
    <row r="495" spans="1:45">
      <c r="A495" s="19">
        <v>15.448766669999999</v>
      </c>
      <c r="B495" s="19">
        <v>1047.0974160000001</v>
      </c>
      <c r="C495" s="19">
        <v>-420.49684020000001</v>
      </c>
      <c r="E495" s="9">
        <f t="shared" si="141"/>
        <v>87.097416000000067</v>
      </c>
      <c r="F495" s="9">
        <f t="shared" si="146"/>
        <v>119.50315979999999</v>
      </c>
      <c r="I495">
        <v>1</v>
      </c>
      <c r="J495">
        <f t="shared" si="142"/>
        <v>9.6610213776956763E-2</v>
      </c>
      <c r="K495">
        <f t="shared" si="147"/>
        <v>0.94098264736838966</v>
      </c>
      <c r="O495">
        <f t="shared" si="148"/>
        <v>5.6814378997178797E-2</v>
      </c>
      <c r="P495">
        <f t="shared" si="149"/>
        <v>7.7952918973366744E-2</v>
      </c>
      <c r="Q495">
        <f t="shared" si="150"/>
        <v>0.99533686195312621</v>
      </c>
      <c r="R495">
        <f t="shared" si="140"/>
        <v>1</v>
      </c>
      <c r="AG495" s="8">
        <f t="shared" si="143"/>
        <v>-0.61693013717238476</v>
      </c>
      <c r="AH495" s="8">
        <f t="shared" si="144"/>
        <v>0.40906779132358517</v>
      </c>
      <c r="AI495" s="8">
        <f t="shared" si="145"/>
        <v>0.67235462960412962</v>
      </c>
      <c r="AJ495" s="8"/>
      <c r="AK495" s="8"/>
      <c r="AL495" s="8"/>
      <c r="AN495" s="8">
        <f t="shared" si="151"/>
        <v>1</v>
      </c>
      <c r="AO495" s="8">
        <f t="shared" si="152"/>
        <v>2.5560842692840042</v>
      </c>
      <c r="AP495" s="8">
        <f t="shared" si="153"/>
        <v>0.83341116938271564</v>
      </c>
      <c r="AQ495" s="8"/>
      <c r="AR495" s="8">
        <f t="shared" si="154"/>
        <v>146.45284070975444</v>
      </c>
      <c r="AS495" s="8">
        <f t="shared" si="155"/>
        <v>42.249057395307823</v>
      </c>
    </row>
    <row r="496" spans="1:45">
      <c r="A496" s="19">
        <v>15.48213333</v>
      </c>
      <c r="B496" s="19">
        <v>1046.438408</v>
      </c>
      <c r="C496" s="19">
        <v>-420.46005539999999</v>
      </c>
      <c r="E496" s="9">
        <f t="shared" si="141"/>
        <v>86.438407999999981</v>
      </c>
      <c r="F496" s="9">
        <f t="shared" si="146"/>
        <v>119.53994460000001</v>
      </c>
      <c r="I496">
        <v>1</v>
      </c>
      <c r="J496">
        <f t="shared" si="142"/>
        <v>9.6375853699373085E-2</v>
      </c>
      <c r="K496">
        <f t="shared" si="147"/>
        <v>0.94473973696389035</v>
      </c>
      <c r="O496">
        <f t="shared" si="148"/>
        <v>5.6384417230121268E-2</v>
      </c>
      <c r="P496">
        <f t="shared" si="149"/>
        <v>7.7976796055660616E-2</v>
      </c>
      <c r="Q496">
        <f t="shared" si="150"/>
        <v>0.99535944099130014</v>
      </c>
      <c r="R496">
        <f t="shared" si="140"/>
        <v>1</v>
      </c>
      <c r="AG496" s="8">
        <f t="shared" si="143"/>
        <v>-0.61672703239363946</v>
      </c>
      <c r="AH496" s="8">
        <f t="shared" si="144"/>
        <v>0.40944566397183624</v>
      </c>
      <c r="AI496" s="8">
        <f t="shared" si="145"/>
        <v>0.67231095169541666</v>
      </c>
      <c r="AJ496" s="8"/>
      <c r="AK496" s="8"/>
      <c r="AL496" s="8"/>
      <c r="AN496" s="8">
        <f t="shared" si="151"/>
        <v>0.99999999999999989</v>
      </c>
      <c r="AO496" s="8">
        <f t="shared" si="152"/>
        <v>2.555507220424813</v>
      </c>
      <c r="AP496" s="8">
        <f t="shared" si="153"/>
        <v>0.83347017372757193</v>
      </c>
      <c r="AQ496" s="8"/>
      <c r="AR496" s="8">
        <f t="shared" si="154"/>
        <v>146.41977824554996</v>
      </c>
      <c r="AS496" s="8">
        <f t="shared" si="155"/>
        <v>42.24567669537462</v>
      </c>
    </row>
    <row r="497" spans="1:45">
      <c r="A497" s="19">
        <v>15.515499999999999</v>
      </c>
      <c r="B497" s="19">
        <v>1045.784001</v>
      </c>
      <c r="C497" s="19">
        <v>-420.47072639999999</v>
      </c>
      <c r="E497" s="9">
        <f t="shared" si="141"/>
        <v>85.784000999999989</v>
      </c>
      <c r="F497" s="9">
        <f t="shared" si="146"/>
        <v>119.52927360000001</v>
      </c>
      <c r="I497">
        <v>1</v>
      </c>
      <c r="J497">
        <f t="shared" si="142"/>
        <v>9.6119334464111361E-2</v>
      </c>
      <c r="K497">
        <f t="shared" si="147"/>
        <v>0.94830159881372489</v>
      </c>
      <c r="O497">
        <f t="shared" si="148"/>
        <v>5.5957442733898008E-2</v>
      </c>
      <c r="P497">
        <f t="shared" si="149"/>
        <v>7.7969696033371408E-2</v>
      </c>
      <c r="Q497">
        <f t="shared" si="150"/>
        <v>0.99538409224939206</v>
      </c>
      <c r="R497">
        <f t="shared" si="140"/>
        <v>1</v>
      </c>
      <c r="AG497" s="8">
        <f t="shared" si="143"/>
        <v>-0.61654542884827734</v>
      </c>
      <c r="AH497" s="8">
        <f t="shared" si="144"/>
        <v>0.40982728536877755</v>
      </c>
      <c r="AI497" s="8">
        <f t="shared" si="145"/>
        <v>0.67224499279172956</v>
      </c>
      <c r="AJ497" s="8"/>
      <c r="AK497" s="8"/>
      <c r="AL497" s="8"/>
      <c r="AN497" s="8">
        <f t="shared" si="151"/>
        <v>1.0000000000000002</v>
      </c>
      <c r="AO497" s="8">
        <f t="shared" si="152"/>
        <v>2.5549420943056909</v>
      </c>
      <c r="AP497" s="8">
        <f t="shared" si="153"/>
        <v>0.83355927140390917</v>
      </c>
      <c r="AQ497" s="8"/>
      <c r="AR497" s="8">
        <f t="shared" si="154"/>
        <v>146.38739890403164</v>
      </c>
      <c r="AS497" s="8">
        <f t="shared" si="155"/>
        <v>42.240571774556074</v>
      </c>
    </row>
    <row r="498" spans="1:45">
      <c r="A498" s="19">
        <v>15.548866670000001</v>
      </c>
      <c r="B498" s="19">
        <v>1045.422644</v>
      </c>
      <c r="C498" s="19">
        <v>-420.5189987</v>
      </c>
      <c r="E498" s="9">
        <f t="shared" si="141"/>
        <v>85.422643999999991</v>
      </c>
      <c r="F498" s="9">
        <f t="shared" si="146"/>
        <v>119.4810013</v>
      </c>
      <c r="I498">
        <v>1</v>
      </c>
      <c r="J498">
        <f t="shared" si="142"/>
        <v>9.5955601292421464E-2</v>
      </c>
      <c r="K498">
        <f t="shared" si="147"/>
        <v>0.95010876394166266</v>
      </c>
      <c r="O498">
        <f t="shared" si="148"/>
        <v>5.5721659797851097E-2</v>
      </c>
      <c r="P498">
        <f t="shared" si="149"/>
        <v>7.7938113303367251E-2</v>
      </c>
      <c r="Q498">
        <f t="shared" si="150"/>
        <v>0.99539979260801736</v>
      </c>
      <c r="R498">
        <f t="shared" si="140"/>
        <v>1</v>
      </c>
      <c r="AG498" s="8">
        <f t="shared" si="143"/>
        <v>-0.61646323603000286</v>
      </c>
      <c r="AH498" s="8">
        <f t="shared" si="144"/>
        <v>0.41004378698587962</v>
      </c>
      <c r="AI498" s="8">
        <f t="shared" si="145"/>
        <v>0.67218834516651327</v>
      </c>
      <c r="AJ498" s="8"/>
      <c r="AK498" s="8"/>
      <c r="AL498" s="8"/>
      <c r="AN498" s="8">
        <f t="shared" si="151"/>
        <v>1</v>
      </c>
      <c r="AO498" s="8">
        <f t="shared" si="152"/>
        <v>2.5546371127386136</v>
      </c>
      <c r="AP498" s="8">
        <f t="shared" si="153"/>
        <v>0.83363578559692109</v>
      </c>
      <c r="AQ498" s="8"/>
      <c r="AR498" s="8">
        <f t="shared" si="154"/>
        <v>146.36992474740885</v>
      </c>
      <c r="AS498" s="8">
        <f t="shared" si="155"/>
        <v>42.236187834223642</v>
      </c>
    </row>
    <row r="499" spans="1:45">
      <c r="A499" s="19">
        <v>15.582233329999999</v>
      </c>
      <c r="B499" s="19">
        <v>1044.628712</v>
      </c>
      <c r="C499" s="19">
        <v>-420.28299609999999</v>
      </c>
      <c r="E499" s="9">
        <f t="shared" si="141"/>
        <v>84.62871199999995</v>
      </c>
      <c r="F499" s="9">
        <f t="shared" si="146"/>
        <v>119.71700390000001</v>
      </c>
      <c r="I499">
        <v>1</v>
      </c>
      <c r="J499">
        <f t="shared" si="142"/>
        <v>9.5780061220807206E-2</v>
      </c>
      <c r="K499">
        <f t="shared" si="147"/>
        <v>0.95545024184899763</v>
      </c>
      <c r="O499">
        <f t="shared" si="148"/>
        <v>5.5203698488861891E-2</v>
      </c>
      <c r="P499">
        <f t="shared" si="149"/>
        <v>7.8091952850298685E-2</v>
      </c>
      <c r="Q499">
        <f t="shared" si="150"/>
        <v>0.99541659548812911</v>
      </c>
      <c r="R499">
        <f t="shared" si="140"/>
        <v>1</v>
      </c>
      <c r="AG499" s="8">
        <f t="shared" si="143"/>
        <v>-0.61613614452120413</v>
      </c>
      <c r="AH499" s="8">
        <f t="shared" si="144"/>
        <v>0.41047248404702347</v>
      </c>
      <c r="AI499" s="8">
        <f t="shared" si="145"/>
        <v>0.67222659219552749</v>
      </c>
      <c r="AJ499" s="8"/>
      <c r="AK499" s="8"/>
      <c r="AL499" s="8"/>
      <c r="AN499" s="8">
        <f t="shared" si="151"/>
        <v>1.0000000000000002</v>
      </c>
      <c r="AO499" s="8">
        <f t="shared" si="152"/>
        <v>2.5539102912180791</v>
      </c>
      <c r="AP499" s="8">
        <f t="shared" si="153"/>
        <v>0.83358412575189123</v>
      </c>
      <c r="AQ499" s="8"/>
      <c r="AR499" s="8">
        <f t="shared" si="154"/>
        <v>146.32828094182292</v>
      </c>
      <c r="AS499" s="8">
        <f t="shared" si="155"/>
        <v>42.239147725314155</v>
      </c>
    </row>
    <row r="500" spans="1:45">
      <c r="A500" s="19">
        <v>15.615600000000001</v>
      </c>
      <c r="B500" s="19">
        <v>1043.9249870000001</v>
      </c>
      <c r="C500" s="19">
        <v>-419.84690860000001</v>
      </c>
      <c r="E500" s="9">
        <f t="shared" si="141"/>
        <v>83.924987000000101</v>
      </c>
      <c r="F500" s="9">
        <f t="shared" si="146"/>
        <v>120.15309139999999</v>
      </c>
      <c r="I500">
        <v>1</v>
      </c>
      <c r="J500">
        <f t="shared" si="142"/>
        <v>9.5748718987858319E-2</v>
      </c>
      <c r="K500">
        <f t="shared" si="147"/>
        <v>0.96108867612321491</v>
      </c>
      <c r="O500">
        <f t="shared" si="148"/>
        <v>5.4744641763589591E-2</v>
      </c>
      <c r="P500">
        <f t="shared" si="149"/>
        <v>7.8376395166803281E-2</v>
      </c>
      <c r="Q500">
        <f t="shared" si="150"/>
        <v>0.99541959237239919</v>
      </c>
      <c r="R500">
        <f t="shared" si="140"/>
        <v>1</v>
      </c>
      <c r="AG500" s="8">
        <f t="shared" si="143"/>
        <v>-0.61574892948309967</v>
      </c>
      <c r="AH500" s="8">
        <f t="shared" si="144"/>
        <v>0.41082123059982056</v>
      </c>
      <c r="AI500" s="8">
        <f t="shared" si="145"/>
        <v>0.67236833084914549</v>
      </c>
      <c r="AJ500" s="8"/>
      <c r="AK500" s="8"/>
      <c r="AL500" s="8"/>
      <c r="AN500" s="8">
        <f t="shared" si="151"/>
        <v>1.0000000000000002</v>
      </c>
      <c r="AO500" s="8">
        <f t="shared" si="152"/>
        <v>2.5532281643659176</v>
      </c>
      <c r="AP500" s="8">
        <f t="shared" si="153"/>
        <v>0.8333926597638045</v>
      </c>
      <c r="AQ500" s="8"/>
      <c r="AR500" s="8">
        <f t="shared" si="154"/>
        <v>146.28919795210152</v>
      </c>
      <c r="AS500" s="8">
        <f t="shared" si="155"/>
        <v>42.250117918351826</v>
      </c>
    </row>
    <row r="501" spans="1:45">
      <c r="A501" s="19">
        <v>15.64896667</v>
      </c>
      <c r="B501" s="19">
        <v>1043.2296220000001</v>
      </c>
      <c r="C501" s="19">
        <v>-419.80750389999997</v>
      </c>
      <c r="E501" s="9">
        <f t="shared" si="141"/>
        <v>83.229622000000063</v>
      </c>
      <c r="F501" s="9">
        <f t="shared" si="146"/>
        <v>120.19249610000003</v>
      </c>
      <c r="I501">
        <v>1</v>
      </c>
      <c r="J501">
        <f t="shared" si="142"/>
        <v>9.550955604466134E-2</v>
      </c>
      <c r="K501">
        <f t="shared" si="147"/>
        <v>0.96514237763806732</v>
      </c>
      <c r="O501">
        <f t="shared" si="148"/>
        <v>5.4290944996334217E-2</v>
      </c>
      <c r="P501">
        <f t="shared" si="149"/>
        <v>7.8401944379096311E-2</v>
      </c>
      <c r="Q501">
        <f t="shared" si="150"/>
        <v>0.99544242847539011</v>
      </c>
      <c r="R501">
        <f t="shared" si="140"/>
        <v>1</v>
      </c>
      <c r="AG501" s="8">
        <f t="shared" si="143"/>
        <v>-0.61553376485928624</v>
      </c>
      <c r="AH501" s="8">
        <f t="shared" si="144"/>
        <v>0.41121943293381036</v>
      </c>
      <c r="AI501" s="8">
        <f t="shared" si="145"/>
        <v>0.67232191864890767</v>
      </c>
      <c r="AJ501" s="8"/>
      <c r="AK501" s="8"/>
      <c r="AL501" s="8"/>
      <c r="AN501" s="8">
        <f t="shared" si="151"/>
        <v>1</v>
      </c>
      <c r="AO501" s="8">
        <f t="shared" si="152"/>
        <v>2.5526193758996736</v>
      </c>
      <c r="AP501" s="8">
        <f t="shared" si="153"/>
        <v>0.83345535880305943</v>
      </c>
      <c r="AQ501" s="8"/>
      <c r="AR501" s="8">
        <f t="shared" si="154"/>
        <v>146.25431694236951</v>
      </c>
      <c r="AS501" s="8">
        <f t="shared" si="155"/>
        <v>42.246525528022993</v>
      </c>
    </row>
    <row r="502" spans="1:45">
      <c r="A502" s="19">
        <v>15.682333330000001</v>
      </c>
      <c r="B502" s="19">
        <v>1042.457768</v>
      </c>
      <c r="C502" s="19">
        <v>-419.72880400000003</v>
      </c>
      <c r="E502" s="9">
        <f t="shared" si="141"/>
        <v>82.457767999999987</v>
      </c>
      <c r="F502" s="9">
        <f t="shared" si="146"/>
        <v>120.27119599999997</v>
      </c>
      <c r="I502">
        <v>1</v>
      </c>
      <c r="J502">
        <f t="shared" si="142"/>
        <v>9.5264844519409503E-2</v>
      </c>
      <c r="K502">
        <f t="shared" si="147"/>
        <v>0.96980123848550981</v>
      </c>
      <c r="O502">
        <f t="shared" si="148"/>
        <v>5.3787346990755144E-2</v>
      </c>
      <c r="P502">
        <f t="shared" si="149"/>
        <v>7.8453112534468808E-2</v>
      </c>
      <c r="Q502">
        <f t="shared" si="150"/>
        <v>0.99546573544113015</v>
      </c>
      <c r="R502">
        <f t="shared" si="140"/>
        <v>1</v>
      </c>
      <c r="AG502" s="8">
        <f t="shared" si="143"/>
        <v>-0.61527981228562312</v>
      </c>
      <c r="AH502" s="8">
        <f t="shared" si="144"/>
        <v>0.41165652906070038</v>
      </c>
      <c r="AI502" s="8">
        <f t="shared" si="145"/>
        <v>0.67228688420603988</v>
      </c>
      <c r="AJ502" s="8"/>
      <c r="AK502" s="8"/>
      <c r="AL502" s="8"/>
      <c r="AN502" s="8">
        <f t="shared" si="151"/>
        <v>1.0000000000000002</v>
      </c>
      <c r="AO502" s="8">
        <f t="shared" si="152"/>
        <v>2.5519378557196988</v>
      </c>
      <c r="AP502" s="8">
        <f t="shared" si="153"/>
        <v>0.83350268506958347</v>
      </c>
      <c r="AQ502" s="8"/>
      <c r="AR502" s="8">
        <f t="shared" si="154"/>
        <v>146.21526871240394</v>
      </c>
      <c r="AS502" s="8">
        <f t="shared" si="155"/>
        <v>42.243813932691054</v>
      </c>
    </row>
    <row r="503" spans="1:45">
      <c r="A503" s="19">
        <v>15.7157</v>
      </c>
      <c r="B503" s="19">
        <v>1042.0818240000001</v>
      </c>
      <c r="C503" s="19">
        <v>-419.72907570000001</v>
      </c>
      <c r="E503" s="9">
        <f t="shared" si="141"/>
        <v>82.081824000000097</v>
      </c>
      <c r="F503" s="9">
        <f t="shared" si="146"/>
        <v>120.27092429999999</v>
      </c>
      <c r="I503">
        <v>1</v>
      </c>
      <c r="J503">
        <f t="shared" si="142"/>
        <v>9.5125493374836639E-2</v>
      </c>
      <c r="K503">
        <f t="shared" si="147"/>
        <v>0.97192961816767365</v>
      </c>
      <c r="O503">
        <f t="shared" si="148"/>
        <v>5.3542049755410374E-2</v>
      </c>
      <c r="P503">
        <f t="shared" si="149"/>
        <v>7.8452835222080172E-2</v>
      </c>
      <c r="Q503">
        <f t="shared" si="150"/>
        <v>0.99547898097026954</v>
      </c>
      <c r="R503">
        <f t="shared" si="140"/>
        <v>1</v>
      </c>
      <c r="AG503" s="8">
        <f t="shared" si="143"/>
        <v>-0.61517259123982648</v>
      </c>
      <c r="AH503" s="8">
        <f t="shared" si="144"/>
        <v>0.41187468043795245</v>
      </c>
      <c r="AI503" s="8">
        <f t="shared" si="145"/>
        <v>0.67225138943806728</v>
      </c>
      <c r="AJ503" s="8"/>
      <c r="AK503" s="8"/>
      <c r="AL503" s="8"/>
      <c r="AN503" s="8">
        <f t="shared" si="151"/>
        <v>1</v>
      </c>
      <c r="AO503" s="8">
        <f t="shared" si="152"/>
        <v>2.5516124091070784</v>
      </c>
      <c r="AP503" s="8">
        <f t="shared" si="153"/>
        <v>0.83355063109193506</v>
      </c>
      <c r="AQ503" s="8"/>
      <c r="AR503" s="8">
        <f t="shared" si="154"/>
        <v>146.19662199504398</v>
      </c>
      <c r="AS503" s="8">
        <f t="shared" si="155"/>
        <v>42.241066827965867</v>
      </c>
    </row>
    <row r="504" spans="1:45">
      <c r="A504" s="19">
        <v>15.749066669999999</v>
      </c>
      <c r="B504" s="19">
        <v>1041.607571</v>
      </c>
      <c r="C504" s="19">
        <v>-419.64603720000002</v>
      </c>
      <c r="E504" s="9">
        <f t="shared" si="141"/>
        <v>81.607571000000007</v>
      </c>
      <c r="F504" s="9">
        <f t="shared" si="146"/>
        <v>120.35396279999998</v>
      </c>
      <c r="I504">
        <v>1</v>
      </c>
      <c r="J504">
        <f t="shared" si="142"/>
        <v>9.4995575813869249E-2</v>
      </c>
      <c r="K504">
        <f t="shared" si="147"/>
        <v>0.97494538605972636</v>
      </c>
      <c r="O504">
        <f t="shared" si="148"/>
        <v>5.3232628821040018E-2</v>
      </c>
      <c r="P504">
        <f t="shared" si="149"/>
        <v>7.8506905062443982E-2</v>
      </c>
      <c r="Q504">
        <f t="shared" si="150"/>
        <v>0.99549131241127253</v>
      </c>
      <c r="R504">
        <f t="shared" si="140"/>
        <v>1</v>
      </c>
      <c r="AG504" s="8">
        <f t="shared" si="143"/>
        <v>-0.61500157613516537</v>
      </c>
      <c r="AH504" s="8">
        <f t="shared" si="144"/>
        <v>0.41213839285432113</v>
      </c>
      <c r="AI504" s="8">
        <f t="shared" si="145"/>
        <v>0.6722462394738401</v>
      </c>
      <c r="AJ504" s="8"/>
      <c r="AK504" s="8"/>
      <c r="AL504" s="8"/>
      <c r="AN504" s="8">
        <f t="shared" si="151"/>
        <v>0.99999999999999989</v>
      </c>
      <c r="AO504" s="8">
        <f t="shared" si="152"/>
        <v>2.5511879002781157</v>
      </c>
      <c r="AP504" s="8">
        <f t="shared" si="153"/>
        <v>0.83355758744519393</v>
      </c>
      <c r="AQ504" s="8"/>
      <c r="AR504" s="8">
        <f t="shared" si="154"/>
        <v>146.17229943077837</v>
      </c>
      <c r="AS504" s="8">
        <f t="shared" si="155"/>
        <v>42.240668258283328</v>
      </c>
    </row>
    <row r="505" spans="1:45">
      <c r="A505" s="19">
        <v>15.78243333</v>
      </c>
      <c r="B505" s="19">
        <v>1040.6639379999999</v>
      </c>
      <c r="C505" s="19">
        <v>-419.40506699999997</v>
      </c>
      <c r="E505" s="9">
        <f t="shared" si="141"/>
        <v>80.663937999999916</v>
      </c>
      <c r="F505" s="9">
        <f t="shared" si="146"/>
        <v>120.59493300000003</v>
      </c>
      <c r="I505">
        <v>1</v>
      </c>
      <c r="J505">
        <f t="shared" si="142"/>
        <v>9.4780951280181672E-2</v>
      </c>
      <c r="K505">
        <f t="shared" si="147"/>
        <v>0.98126069334749211</v>
      </c>
      <c r="O505">
        <f t="shared" si="148"/>
        <v>5.2616986241747529E-2</v>
      </c>
      <c r="P505">
        <f t="shared" si="149"/>
        <v>7.8663924522076684E-2</v>
      </c>
      <c r="Q505">
        <f t="shared" si="150"/>
        <v>0.9955116472134421</v>
      </c>
      <c r="R505">
        <f t="shared" si="140"/>
        <v>1</v>
      </c>
      <c r="AG505" s="8">
        <f t="shared" si="143"/>
        <v>-0.61462867866689974</v>
      </c>
      <c r="AH505" s="8">
        <f t="shared" si="144"/>
        <v>0.41265256770069253</v>
      </c>
      <c r="AI505" s="8">
        <f t="shared" si="145"/>
        <v>0.67227185403689649</v>
      </c>
      <c r="AJ505" s="8"/>
      <c r="AK505" s="8"/>
      <c r="AL505" s="8"/>
      <c r="AN505" s="8">
        <f t="shared" si="151"/>
        <v>1</v>
      </c>
      <c r="AO505" s="8">
        <f t="shared" si="152"/>
        <v>2.5503305176981024</v>
      </c>
      <c r="AP505" s="8">
        <f t="shared" si="153"/>
        <v>0.83352298794552593</v>
      </c>
      <c r="AQ505" s="8"/>
      <c r="AR505" s="8">
        <f t="shared" si="154"/>
        <v>146.12317502751557</v>
      </c>
      <c r="AS505" s="8">
        <f t="shared" si="155"/>
        <v>42.242650663587568</v>
      </c>
    </row>
    <row r="506" spans="1:45">
      <c r="A506" s="19">
        <v>15.815799999999999</v>
      </c>
      <c r="B506" s="19">
        <v>1040.516267</v>
      </c>
      <c r="C506" s="19">
        <v>-419.49803739999999</v>
      </c>
      <c r="E506" s="9">
        <f t="shared" si="141"/>
        <v>80.516266999999971</v>
      </c>
      <c r="F506" s="9">
        <f t="shared" si="146"/>
        <v>120.50196260000001</v>
      </c>
      <c r="I506">
        <v>1</v>
      </c>
      <c r="J506">
        <f t="shared" si="142"/>
        <v>9.4676431638312616E-2</v>
      </c>
      <c r="K506">
        <f t="shared" si="147"/>
        <v>0.98175097580564286</v>
      </c>
      <c r="O506">
        <f t="shared" si="148"/>
        <v>5.2520605000897246E-2</v>
      </c>
      <c r="P506">
        <f t="shared" si="149"/>
        <v>7.8603196786898907E-2</v>
      </c>
      <c r="Q506">
        <f t="shared" si="150"/>
        <v>0.99552153342116101</v>
      </c>
      <c r="R506">
        <f t="shared" si="140"/>
        <v>1</v>
      </c>
      <c r="AG506" s="8">
        <f t="shared" si="143"/>
        <v>-0.61462626527721587</v>
      </c>
      <c r="AH506" s="8">
        <f t="shared" si="144"/>
        <v>0.41275096385924726</v>
      </c>
      <c r="AI506" s="8">
        <f t="shared" si="145"/>
        <v>0.67221365343515882</v>
      </c>
      <c r="AJ506" s="8"/>
      <c r="AK506" s="8"/>
      <c r="AL506" s="8"/>
      <c r="AN506" s="8">
        <f t="shared" si="151"/>
        <v>1</v>
      </c>
      <c r="AO506" s="8">
        <f t="shared" si="152"/>
        <v>2.5502183590587655</v>
      </c>
      <c r="AP506" s="8">
        <f t="shared" si="153"/>
        <v>0.83360160226563795</v>
      </c>
      <c r="AQ506" s="8"/>
      <c r="AR506" s="8">
        <f t="shared" si="154"/>
        <v>146.11674881084562</v>
      </c>
      <c r="AS506" s="8">
        <f t="shared" si="155"/>
        <v>42.238146394835859</v>
      </c>
    </row>
    <row r="507" spans="1:45">
      <c r="A507" s="19">
        <v>15.849166670000001</v>
      </c>
      <c r="B507" s="19">
        <v>1039.542741</v>
      </c>
      <c r="C507" s="19">
        <v>-419.29397080000001</v>
      </c>
      <c r="E507" s="9">
        <f t="shared" si="141"/>
        <v>79.542740999999978</v>
      </c>
      <c r="F507" s="9">
        <f t="shared" si="146"/>
        <v>120.70602919999999</v>
      </c>
      <c r="I507">
        <v>1</v>
      </c>
      <c r="J507">
        <f t="shared" si="142"/>
        <v>9.4434912560263817E-2</v>
      </c>
      <c r="K507">
        <f t="shared" si="147"/>
        <v>0.98813483963705151</v>
      </c>
      <c r="O507">
        <f t="shared" si="148"/>
        <v>5.188544431017434E-2</v>
      </c>
      <c r="P507">
        <f t="shared" si="149"/>
        <v>7.8736109382487582E-2</v>
      </c>
      <c r="Q507">
        <f t="shared" si="150"/>
        <v>0.99554433640498641</v>
      </c>
      <c r="R507">
        <f t="shared" si="140"/>
        <v>1</v>
      </c>
      <c r="AG507" s="8">
        <f t="shared" si="143"/>
        <v>-0.61426033038575256</v>
      </c>
      <c r="AH507" s="8">
        <f t="shared" si="144"/>
        <v>0.41328732391601813</v>
      </c>
      <c r="AI507" s="8">
        <f t="shared" si="145"/>
        <v>0.67221859123704886</v>
      </c>
      <c r="AJ507" s="8"/>
      <c r="AK507" s="8"/>
      <c r="AL507" s="8"/>
      <c r="AN507" s="8">
        <f t="shared" si="151"/>
        <v>1.0000000000000002</v>
      </c>
      <c r="AO507" s="8">
        <f t="shared" si="152"/>
        <v>2.5493413682371404</v>
      </c>
      <c r="AP507" s="8">
        <f t="shared" si="153"/>
        <v>0.83359493275969099</v>
      </c>
      <c r="AQ507" s="8"/>
      <c r="AR507" s="8">
        <f t="shared" si="154"/>
        <v>146.0665009380948</v>
      </c>
      <c r="AS507" s="8">
        <f t="shared" si="155"/>
        <v>42.238528529378058</v>
      </c>
    </row>
    <row r="508" spans="1:45">
      <c r="A508" s="19">
        <v>15.882533329999999</v>
      </c>
      <c r="B508" s="19">
        <v>1038.8462629999999</v>
      </c>
      <c r="C508" s="19">
        <v>-418.76855080000001</v>
      </c>
      <c r="E508" s="9">
        <f t="shared" si="141"/>
        <v>78.846262999999908</v>
      </c>
      <c r="F508" s="9">
        <f t="shared" si="146"/>
        <v>121.23144919999999</v>
      </c>
      <c r="I508">
        <v>1</v>
      </c>
      <c r="J508">
        <f t="shared" si="142"/>
        <v>9.4473026897898438E-2</v>
      </c>
      <c r="K508">
        <f t="shared" si="147"/>
        <v>0.99415544864873462</v>
      </c>
      <c r="O508">
        <f t="shared" si="148"/>
        <v>5.143115521344048E-2</v>
      </c>
      <c r="P508">
        <f t="shared" si="149"/>
        <v>7.9078871252979119E-2</v>
      </c>
      <c r="Q508">
        <f t="shared" si="150"/>
        <v>0.99554074170511264</v>
      </c>
      <c r="R508">
        <f t="shared" si="140"/>
        <v>1</v>
      </c>
      <c r="AG508" s="8">
        <f t="shared" si="143"/>
        <v>-0.61383582178739216</v>
      </c>
      <c r="AH508" s="8">
        <f t="shared" si="144"/>
        <v>0.41361876440296685</v>
      </c>
      <c r="AI508" s="8">
        <f t="shared" si="145"/>
        <v>0.67240248484398091</v>
      </c>
      <c r="AJ508" s="8"/>
      <c r="AK508" s="8"/>
      <c r="AL508" s="8"/>
      <c r="AN508" s="8">
        <f t="shared" si="151"/>
        <v>1</v>
      </c>
      <c r="AO508" s="8">
        <f t="shared" si="152"/>
        <v>2.548649697031184</v>
      </c>
      <c r="AP508" s="8">
        <f t="shared" si="153"/>
        <v>0.83334651826418737</v>
      </c>
      <c r="AQ508" s="8"/>
      <c r="AR508" s="8">
        <f t="shared" si="154"/>
        <v>146.02687109718278</v>
      </c>
      <c r="AS508" s="8">
        <f t="shared" si="155"/>
        <v>42.252761631540288</v>
      </c>
    </row>
    <row r="509" spans="1:45">
      <c r="A509" s="19">
        <v>15.915900000000001</v>
      </c>
      <c r="B509" s="19">
        <v>1038.4395059999999</v>
      </c>
      <c r="C509" s="19">
        <v>-418.68070169999999</v>
      </c>
      <c r="E509" s="9">
        <f t="shared" si="141"/>
        <v>78.439505999999938</v>
      </c>
      <c r="F509" s="9">
        <f t="shared" si="146"/>
        <v>121.31929830000001</v>
      </c>
      <c r="I509">
        <v>1</v>
      </c>
      <c r="J509">
        <f t="shared" si="142"/>
        <v>9.4376217545531951E-2</v>
      </c>
      <c r="K509">
        <f t="shared" si="147"/>
        <v>0.99684725245657657</v>
      </c>
      <c r="O509">
        <f t="shared" si="148"/>
        <v>5.1165775599409338E-2</v>
      </c>
      <c r="P509">
        <f t="shared" si="149"/>
        <v>7.9136092375385547E-2</v>
      </c>
      <c r="Q509">
        <f t="shared" si="150"/>
        <v>0.99554986931387091</v>
      </c>
      <c r="R509">
        <f t="shared" si="140"/>
        <v>1</v>
      </c>
      <c r="AG509" s="8">
        <f t="shared" si="143"/>
        <v>-0.61368165012417453</v>
      </c>
      <c r="AH509" s="8">
        <f t="shared" si="144"/>
        <v>0.41384238281492935</v>
      </c>
      <c r="AI509" s="8">
        <f t="shared" si="145"/>
        <v>0.67240561753076677</v>
      </c>
      <c r="AJ509" s="8"/>
      <c r="AK509" s="8"/>
      <c r="AL509" s="8"/>
      <c r="AN509" s="8">
        <f t="shared" si="151"/>
        <v>1</v>
      </c>
      <c r="AO509" s="8">
        <f t="shared" si="152"/>
        <v>2.5482827627866138</v>
      </c>
      <c r="AP509" s="8">
        <f t="shared" si="153"/>
        <v>0.83334228595771587</v>
      </c>
      <c r="AQ509" s="8"/>
      <c r="AR509" s="8">
        <f t="shared" si="154"/>
        <v>146.00584731361008</v>
      </c>
      <c r="AS509" s="8">
        <f t="shared" si="155"/>
        <v>42.253004124838711</v>
      </c>
    </row>
    <row r="510" spans="1:45">
      <c r="A510" s="19">
        <v>15.94926667</v>
      </c>
      <c r="B510" s="19">
        <v>1037.6414319999999</v>
      </c>
      <c r="C510" s="19">
        <v>-418.6227839</v>
      </c>
      <c r="E510" s="9">
        <f t="shared" si="141"/>
        <v>77.641431999999895</v>
      </c>
      <c r="F510" s="9">
        <f t="shared" si="146"/>
        <v>121.3772161</v>
      </c>
      <c r="I510">
        <v>1</v>
      </c>
      <c r="J510">
        <f t="shared" si="142"/>
        <v>9.4125029353311448E-2</v>
      </c>
      <c r="K510">
        <f t="shared" si="147"/>
        <v>1.0017168811392043</v>
      </c>
      <c r="O510">
        <f t="shared" si="148"/>
        <v>5.0645053361992771E-2</v>
      </c>
      <c r="P510">
        <f t="shared" si="149"/>
        <v>7.9173650304577528E-2</v>
      </c>
      <c r="Q510">
        <f t="shared" si="150"/>
        <v>0.99557350892207319</v>
      </c>
      <c r="R510">
        <f t="shared" si="140"/>
        <v>1</v>
      </c>
      <c r="AG510" s="8">
        <f t="shared" si="143"/>
        <v>-0.61342806556061469</v>
      </c>
      <c r="AH510" s="8">
        <f t="shared" si="144"/>
        <v>0.4142967733880486</v>
      </c>
      <c r="AI510" s="8">
        <f t="shared" si="145"/>
        <v>0.67235719074225275</v>
      </c>
      <c r="AJ510" s="8"/>
      <c r="AK510" s="8"/>
      <c r="AL510" s="8"/>
      <c r="AN510" s="8">
        <f t="shared" si="151"/>
        <v>1</v>
      </c>
      <c r="AO510" s="8">
        <f t="shared" si="152"/>
        <v>2.5475822828550614</v>
      </c>
      <c r="AP510" s="8">
        <f t="shared" si="153"/>
        <v>0.83340770945140508</v>
      </c>
      <c r="AQ510" s="8"/>
      <c r="AR510" s="8">
        <f t="shared" si="154"/>
        <v>145.96571276989852</v>
      </c>
      <c r="AS510" s="8">
        <f t="shared" si="155"/>
        <v>42.24925563476932</v>
      </c>
    </row>
    <row r="511" spans="1:45">
      <c r="A511" s="19">
        <v>15.982633330000001</v>
      </c>
      <c r="B511" s="19">
        <v>1036.949611</v>
      </c>
      <c r="C511" s="19">
        <v>-418.57114910000001</v>
      </c>
      <c r="E511" s="9">
        <f t="shared" si="141"/>
        <v>76.949611000000004</v>
      </c>
      <c r="F511" s="9">
        <f t="shared" si="146"/>
        <v>121.42885089999999</v>
      </c>
      <c r="I511">
        <v>1</v>
      </c>
      <c r="J511">
        <f t="shared" si="142"/>
        <v>9.3909892849797089E-2</v>
      </c>
      <c r="K511">
        <f t="shared" si="147"/>
        <v>1.0059644087417323</v>
      </c>
      <c r="O511">
        <f t="shared" si="148"/>
        <v>5.0193656886374345E-2</v>
      </c>
      <c r="P511">
        <f t="shared" si="149"/>
        <v>7.9207133070254329E-2</v>
      </c>
      <c r="Q511">
        <f t="shared" si="150"/>
        <v>0.99559370572496286</v>
      </c>
      <c r="R511">
        <f t="shared" si="140"/>
        <v>1</v>
      </c>
      <c r="AG511" s="8">
        <f t="shared" si="143"/>
        <v>-0.61320749210634451</v>
      </c>
      <c r="AH511" s="8">
        <f t="shared" si="144"/>
        <v>0.41469036948321869</v>
      </c>
      <c r="AI511" s="8">
        <f t="shared" si="145"/>
        <v>0.67231575102961783</v>
      </c>
      <c r="AJ511" s="8"/>
      <c r="AK511" s="8"/>
      <c r="AL511" s="8"/>
      <c r="AN511" s="8">
        <f t="shared" si="151"/>
        <v>1</v>
      </c>
      <c r="AO511" s="8">
        <f t="shared" si="152"/>
        <v>2.5469748962688716</v>
      </c>
      <c r="AP511" s="8">
        <f t="shared" si="153"/>
        <v>0.83346369047723734</v>
      </c>
      <c r="AQ511" s="8"/>
      <c r="AR511" s="8">
        <f t="shared" si="154"/>
        <v>145.930912081977</v>
      </c>
      <c r="AS511" s="8">
        <f t="shared" si="155"/>
        <v>42.246048158256322</v>
      </c>
    </row>
    <row r="512" spans="1:45">
      <c r="A512" s="19">
        <v>16.015999999999998</v>
      </c>
      <c r="B512" s="19">
        <v>1036.4815390000001</v>
      </c>
      <c r="C512" s="19">
        <v>-418.57378139999997</v>
      </c>
      <c r="E512" s="9">
        <f t="shared" si="141"/>
        <v>76.481539000000112</v>
      </c>
      <c r="F512" s="9">
        <f t="shared" si="146"/>
        <v>121.42621860000003</v>
      </c>
      <c r="I512">
        <v>1</v>
      </c>
      <c r="J512">
        <f t="shared" si="142"/>
        <v>9.374445131512972E-2</v>
      </c>
      <c r="K512">
        <f t="shared" si="147"/>
        <v>1.0087096876007768</v>
      </c>
      <c r="O512">
        <f t="shared" si="148"/>
        <v>4.9888237623810325E-2</v>
      </c>
      <c r="P512">
        <f t="shared" si="149"/>
        <v>7.9205258242482909E-2</v>
      </c>
      <c r="Q512">
        <f t="shared" si="150"/>
        <v>0.99560920587022084</v>
      </c>
      <c r="R512">
        <f t="shared" si="140"/>
        <v>1</v>
      </c>
      <c r="AG512" s="8">
        <f t="shared" si="143"/>
        <v>-0.61307428271968967</v>
      </c>
      <c r="AH512" s="8">
        <f t="shared" si="144"/>
        <v>0.41496178354149604</v>
      </c>
      <c r="AI512" s="8">
        <f t="shared" si="145"/>
        <v>0.67226976881888623</v>
      </c>
      <c r="AJ512" s="8"/>
      <c r="AK512" s="8"/>
      <c r="AL512" s="8"/>
      <c r="AN512" s="8">
        <f t="shared" si="151"/>
        <v>1</v>
      </c>
      <c r="AO512" s="8">
        <f t="shared" si="152"/>
        <v>2.5465703986202404</v>
      </c>
      <c r="AP512" s="8">
        <f t="shared" si="153"/>
        <v>0.83352580464557424</v>
      </c>
      <c r="AQ512" s="8"/>
      <c r="AR512" s="8">
        <f t="shared" si="154"/>
        <v>145.90773607388746</v>
      </c>
      <c r="AS512" s="8">
        <f t="shared" si="155"/>
        <v>42.242489278562651</v>
      </c>
    </row>
    <row r="513" spans="1:45">
      <c r="A513" s="19">
        <v>16.049366670000001</v>
      </c>
      <c r="B513" s="19">
        <v>1035.6169870000001</v>
      </c>
      <c r="C513" s="19">
        <v>-418.52638589999998</v>
      </c>
      <c r="E513" s="9">
        <f t="shared" si="141"/>
        <v>75.616987000000108</v>
      </c>
      <c r="F513" s="9">
        <f t="shared" si="146"/>
        <v>121.47361410000002</v>
      </c>
      <c r="I513">
        <v>1</v>
      </c>
      <c r="J513">
        <f t="shared" si="142"/>
        <v>9.3469839719151238E-2</v>
      </c>
      <c r="K513">
        <f t="shared" si="147"/>
        <v>1.0139987886114923</v>
      </c>
      <c r="O513">
        <f t="shared" si="148"/>
        <v>4.9324128473461876E-2</v>
      </c>
      <c r="P513">
        <f t="shared" si="149"/>
        <v>7.9235901689710578E-2</v>
      </c>
      <c r="Q513">
        <f t="shared" si="150"/>
        <v>0.99563487395417805</v>
      </c>
      <c r="R513">
        <f t="shared" si="140"/>
        <v>1</v>
      </c>
      <c r="AG513" s="8">
        <f t="shared" si="143"/>
        <v>-0.61280569068711332</v>
      </c>
      <c r="AH513" s="8">
        <f t="shared" si="144"/>
        <v>0.41545579564931612</v>
      </c>
      <c r="AI513" s="8">
        <f t="shared" si="145"/>
        <v>0.67220954123166377</v>
      </c>
      <c r="AJ513" s="8"/>
      <c r="AK513" s="8"/>
      <c r="AL513" s="8"/>
      <c r="AN513" s="8">
        <f t="shared" si="151"/>
        <v>1.0000000000000002</v>
      </c>
      <c r="AO513" s="8">
        <f t="shared" si="152"/>
        <v>2.5458144667817812</v>
      </c>
      <c r="AP513" s="8">
        <f t="shared" si="153"/>
        <v>0.83360715660217855</v>
      </c>
      <c r="AQ513" s="8"/>
      <c r="AR513" s="8">
        <f t="shared" si="154"/>
        <v>145.86442436994417</v>
      </c>
      <c r="AS513" s="8">
        <f t="shared" si="155"/>
        <v>42.237828154794094</v>
      </c>
    </row>
    <row r="514" spans="1:45">
      <c r="A514" s="19">
        <v>16.08273333</v>
      </c>
      <c r="B514" s="19">
        <v>1034.864752</v>
      </c>
      <c r="C514" s="19">
        <v>-418.43395459999999</v>
      </c>
      <c r="E514" s="9">
        <f t="shared" si="141"/>
        <v>74.864751999999953</v>
      </c>
      <c r="F514" s="9">
        <f t="shared" si="146"/>
        <v>121.56604540000001</v>
      </c>
      <c r="I514">
        <v>1</v>
      </c>
      <c r="J514">
        <f t="shared" si="142"/>
        <v>9.3261638009137157E-2</v>
      </c>
      <c r="K514">
        <f t="shared" si="147"/>
        <v>1.0188139820708004</v>
      </c>
      <c r="O514">
        <f t="shared" si="148"/>
        <v>4.8833321422533361E-2</v>
      </c>
      <c r="P514">
        <f t="shared" si="149"/>
        <v>7.9295978554560456E-2</v>
      </c>
      <c r="Q514">
        <f t="shared" si="150"/>
        <v>0.99565428463092465</v>
      </c>
      <c r="R514">
        <f t="shared" si="140"/>
        <v>1</v>
      </c>
      <c r="AG514" s="8">
        <f t="shared" si="143"/>
        <v>-0.61254988920347919</v>
      </c>
      <c r="AH514" s="8">
        <f t="shared" si="144"/>
        <v>0.41587846239913945</v>
      </c>
      <c r="AI514" s="8">
        <f t="shared" si="145"/>
        <v>0.67218132802788644</v>
      </c>
      <c r="AJ514" s="8"/>
      <c r="AK514" s="8"/>
      <c r="AL514" s="8"/>
      <c r="AN514" s="8">
        <f t="shared" si="151"/>
        <v>1</v>
      </c>
      <c r="AO514" s="8">
        <f t="shared" si="152"/>
        <v>2.5451480714003933</v>
      </c>
      <c r="AP514" s="8">
        <f t="shared" si="153"/>
        <v>0.83364526330649913</v>
      </c>
      <c r="AQ514" s="8"/>
      <c r="AR514" s="8">
        <f t="shared" si="154"/>
        <v>145.82624272710365</v>
      </c>
      <c r="AS514" s="8">
        <f t="shared" si="155"/>
        <v>42.235644801465369</v>
      </c>
    </row>
    <row r="515" spans="1:45">
      <c r="A515" s="19">
        <v>16.116099999999999</v>
      </c>
      <c r="B515" s="19">
        <v>1034.3469459999999</v>
      </c>
      <c r="C515" s="19">
        <v>-418.50035880000001</v>
      </c>
      <c r="E515" s="9">
        <f t="shared" si="141"/>
        <v>74.346945999999889</v>
      </c>
      <c r="F515" s="9">
        <f t="shared" si="146"/>
        <v>121.49964119999999</v>
      </c>
      <c r="I515">
        <v>1</v>
      </c>
      <c r="J515">
        <f t="shared" si="142"/>
        <v>9.3046820975089845E-2</v>
      </c>
      <c r="K515">
        <f t="shared" si="147"/>
        <v>1.0216648660335319</v>
      </c>
      <c r="O515">
        <f t="shared" si="148"/>
        <v>4.8495422765569465E-2</v>
      </c>
      <c r="P515">
        <f t="shared" si="149"/>
        <v>7.925243446931915E-2</v>
      </c>
      <c r="Q515">
        <f t="shared" si="150"/>
        <v>0.99567426681695204</v>
      </c>
      <c r="R515">
        <f t="shared" si="140"/>
        <v>1</v>
      </c>
      <c r="AG515" s="8">
        <f t="shared" si="143"/>
        <v>-0.61242944720482717</v>
      </c>
      <c r="AH515" s="8">
        <f t="shared" si="144"/>
        <v>0.41618723986609174</v>
      </c>
      <c r="AI515" s="8">
        <f t="shared" si="145"/>
        <v>0.67209995801891997</v>
      </c>
      <c r="AJ515" s="8"/>
      <c r="AK515" s="8"/>
      <c r="AL515" s="8"/>
      <c r="AN515" s="8">
        <f t="shared" si="151"/>
        <v>1</v>
      </c>
      <c r="AO515" s="8">
        <f t="shared" si="152"/>
        <v>2.5447116994867791</v>
      </c>
      <c r="AP515" s="8">
        <f t="shared" si="153"/>
        <v>0.83375515988508919</v>
      </c>
      <c r="AQ515" s="8"/>
      <c r="AR515" s="8">
        <f t="shared" si="154"/>
        <v>145.80124045815549</v>
      </c>
      <c r="AS515" s="8">
        <f t="shared" si="155"/>
        <v>42.22934819132923</v>
      </c>
    </row>
    <row r="516" spans="1:45">
      <c r="A516" s="19">
        <v>16.149466669999999</v>
      </c>
      <c r="B516" s="19">
        <v>1033.5675329999999</v>
      </c>
      <c r="C516" s="19">
        <v>-418.50570599999998</v>
      </c>
      <c r="E516" s="9">
        <f t="shared" si="141"/>
        <v>73.567532999999912</v>
      </c>
      <c r="F516" s="9">
        <f t="shared" si="146"/>
        <v>121.49429400000002</v>
      </c>
      <c r="I516">
        <v>1</v>
      </c>
      <c r="J516">
        <f t="shared" si="142"/>
        <v>9.2777986644248633E-2</v>
      </c>
      <c r="K516">
        <f t="shared" si="147"/>
        <v>1.0263260299876151</v>
      </c>
      <c r="O516">
        <f t="shared" si="148"/>
        <v>4.7986842515017482E-2</v>
      </c>
      <c r="P516">
        <f t="shared" si="149"/>
        <v>7.9248648349418499E-2</v>
      </c>
      <c r="Q516">
        <f t="shared" si="150"/>
        <v>0.99569920893823605</v>
      </c>
      <c r="R516">
        <f t="shared" si="140"/>
        <v>1</v>
      </c>
      <c r="AG516" s="8">
        <f t="shared" si="143"/>
        <v>-0.61220747483065985</v>
      </c>
      <c r="AH516" s="8">
        <f t="shared" si="144"/>
        <v>0.41663889822141109</v>
      </c>
      <c r="AI516" s="8">
        <f t="shared" si="145"/>
        <v>0.67202234802892946</v>
      </c>
      <c r="AJ516" s="8"/>
      <c r="AK516" s="8"/>
      <c r="AL516" s="8"/>
      <c r="AN516" s="8">
        <f t="shared" si="151"/>
        <v>1</v>
      </c>
      <c r="AO516" s="8">
        <f t="shared" si="152"/>
        <v>2.5440387681943846</v>
      </c>
      <c r="AP516" s="8">
        <f t="shared" si="153"/>
        <v>0.83385996804998486</v>
      </c>
      <c r="AQ516" s="8"/>
      <c r="AR516" s="8">
        <f t="shared" si="154"/>
        <v>145.762684335199</v>
      </c>
      <c r="AS516" s="8">
        <f t="shared" si="155"/>
        <v>42.223343125822197</v>
      </c>
    </row>
    <row r="517" spans="1:45">
      <c r="A517" s="19">
        <v>16.182833330000001</v>
      </c>
      <c r="B517" s="19">
        <v>1033.1972699999999</v>
      </c>
      <c r="C517" s="19">
        <v>-418.28221760000002</v>
      </c>
      <c r="E517" s="9">
        <f t="shared" si="141"/>
        <v>73.197269999999889</v>
      </c>
      <c r="F517" s="9">
        <f t="shared" si="146"/>
        <v>121.71778239999998</v>
      </c>
      <c r="I517">
        <v>1</v>
      </c>
      <c r="J517">
        <f t="shared" si="142"/>
        <v>9.2778017822642181E-2</v>
      </c>
      <c r="K517">
        <f t="shared" si="147"/>
        <v>1.029371004368639</v>
      </c>
      <c r="O517">
        <f t="shared" si="148"/>
        <v>4.7745326319204064E-2</v>
      </c>
      <c r="P517">
        <f t="shared" si="149"/>
        <v>7.9394426042636301E-2</v>
      </c>
      <c r="Q517">
        <f t="shared" si="150"/>
        <v>0.99569920604971518</v>
      </c>
      <c r="R517">
        <f t="shared" si="140"/>
        <v>1</v>
      </c>
      <c r="AG517" s="8">
        <f t="shared" si="143"/>
        <v>-0.61200508912198925</v>
      </c>
      <c r="AH517" s="8">
        <f t="shared" si="144"/>
        <v>0.41682229848495711</v>
      </c>
      <c r="AI517" s="8">
        <f t="shared" si="145"/>
        <v>0.67209295664699786</v>
      </c>
      <c r="AJ517" s="8"/>
      <c r="AK517" s="8"/>
      <c r="AL517" s="8"/>
      <c r="AN517" s="8">
        <f t="shared" si="151"/>
        <v>1</v>
      </c>
      <c r="AO517" s="8">
        <f t="shared" si="152"/>
        <v>2.5436802291313394</v>
      </c>
      <c r="AP517" s="8">
        <f t="shared" si="153"/>
        <v>0.8337646152747451</v>
      </c>
      <c r="AQ517" s="8"/>
      <c r="AR517" s="8">
        <f t="shared" si="154"/>
        <v>145.74214156009594</v>
      </c>
      <c r="AS517" s="8">
        <f t="shared" si="155"/>
        <v>42.228806437408295</v>
      </c>
    </row>
    <row r="518" spans="1:45">
      <c r="A518" s="19">
        <v>16.216200000000001</v>
      </c>
      <c r="B518" s="19">
        <v>1032.543586</v>
      </c>
      <c r="C518" s="19">
        <v>-417.90984950000001</v>
      </c>
      <c r="E518" s="9">
        <f t="shared" si="141"/>
        <v>72.543586000000005</v>
      </c>
      <c r="F518" s="9">
        <f t="shared" si="146"/>
        <v>122.09015049999999</v>
      </c>
      <c r="I518">
        <v>1</v>
      </c>
      <c r="J518">
        <f t="shared" si="142"/>
        <v>9.2767666825929962E-2</v>
      </c>
      <c r="K518">
        <f t="shared" si="147"/>
        <v>1.0346668627839146</v>
      </c>
      <c r="O518">
        <f t="shared" si="148"/>
        <v>4.7318932431913124E-2</v>
      </c>
      <c r="P518">
        <f t="shared" si="149"/>
        <v>7.9637303594443237E-2</v>
      </c>
      <c r="Q518">
        <f t="shared" si="150"/>
        <v>0.99570016496418767</v>
      </c>
      <c r="R518">
        <f t="shared" si="140"/>
        <v>1</v>
      </c>
      <c r="AG518" s="8">
        <f t="shared" si="143"/>
        <v>-0.61165717441890433</v>
      </c>
      <c r="AH518" s="8">
        <f t="shared" si="144"/>
        <v>0.41714904731327157</v>
      </c>
      <c r="AI518" s="8">
        <f t="shared" si="145"/>
        <v>0.67220694232320455</v>
      </c>
      <c r="AJ518" s="8"/>
      <c r="AK518" s="8"/>
      <c r="AL518" s="8"/>
      <c r="AN518" s="8">
        <f t="shared" si="151"/>
        <v>1</v>
      </c>
      <c r="AO518" s="8">
        <f t="shared" si="152"/>
        <v>2.5430509305364497</v>
      </c>
      <c r="AP518" s="8">
        <f t="shared" si="153"/>
        <v>0.8336106669228216</v>
      </c>
      <c r="AQ518" s="8"/>
      <c r="AR518" s="8">
        <f t="shared" si="154"/>
        <v>145.70608540655525</v>
      </c>
      <c r="AS518" s="8">
        <f t="shared" si="155"/>
        <v>42.23762702823651</v>
      </c>
    </row>
    <row r="519" spans="1:45">
      <c r="A519" s="19">
        <v>16.24956667</v>
      </c>
      <c r="B519" s="19">
        <v>1031.92174</v>
      </c>
      <c r="C519" s="19">
        <v>-417.77463870000003</v>
      </c>
      <c r="E519" s="9">
        <f t="shared" si="141"/>
        <v>71.92174</v>
      </c>
      <c r="F519" s="9">
        <f t="shared" si="146"/>
        <v>122.22536129999997</v>
      </c>
      <c r="I519">
        <v>1</v>
      </c>
      <c r="J519">
        <f t="shared" si="142"/>
        <v>9.2636391454661418E-2</v>
      </c>
      <c r="K519">
        <f t="shared" si="147"/>
        <v>1.0389235431335428</v>
      </c>
      <c r="O519">
        <f t="shared" si="148"/>
        <v>4.691322399691273E-2</v>
      </c>
      <c r="P519">
        <f t="shared" si="149"/>
        <v>7.9725348034829058E-2</v>
      </c>
      <c r="Q519">
        <f t="shared" si="150"/>
        <v>0.99571231703486573</v>
      </c>
      <c r="R519">
        <f t="shared" si="140"/>
        <v>1</v>
      </c>
      <c r="AG519" s="8">
        <f t="shared" si="143"/>
        <v>-0.6114199825774137</v>
      </c>
      <c r="AH519" s="8">
        <f t="shared" si="144"/>
        <v>0.41748996039518221</v>
      </c>
      <c r="AI519" s="8">
        <f t="shared" si="145"/>
        <v>0.67221108133849183</v>
      </c>
      <c r="AJ519" s="8"/>
      <c r="AK519" s="8"/>
      <c r="AL519" s="8"/>
      <c r="AN519" s="8">
        <f t="shared" si="151"/>
        <v>1</v>
      </c>
      <c r="AO519" s="8">
        <f t="shared" si="152"/>
        <v>2.5424899988785015</v>
      </c>
      <c r="AP519" s="8">
        <f t="shared" si="153"/>
        <v>0.83360507638942871</v>
      </c>
      <c r="AQ519" s="8"/>
      <c r="AR519" s="8">
        <f t="shared" si="154"/>
        <v>145.67394638995955</v>
      </c>
      <c r="AS519" s="8">
        <f t="shared" si="155"/>
        <v>42.237947342205146</v>
      </c>
    </row>
    <row r="520" spans="1:45">
      <c r="A520" s="19">
        <v>16.282933329999999</v>
      </c>
      <c r="B520" s="19">
        <v>1031.3752810000001</v>
      </c>
      <c r="C520" s="19">
        <v>-417.68689890000002</v>
      </c>
      <c r="E520" s="9">
        <f t="shared" si="141"/>
        <v>71.375281000000086</v>
      </c>
      <c r="F520" s="9">
        <f t="shared" si="146"/>
        <v>122.31310109999998</v>
      </c>
      <c r="I520">
        <v>1</v>
      </c>
      <c r="J520">
        <f t="shared" si="142"/>
        <v>9.2504815497554557E-2</v>
      </c>
      <c r="K520">
        <f t="shared" si="147"/>
        <v>1.0425634627929057</v>
      </c>
      <c r="O520">
        <f t="shared" si="148"/>
        <v>4.6556688619111553E-2</v>
      </c>
      <c r="P520">
        <f t="shared" si="149"/>
        <v>7.9782424421566939E-2</v>
      </c>
      <c r="Q520">
        <f t="shared" si="150"/>
        <v>0.99572447971225453</v>
      </c>
      <c r="R520">
        <f t="shared" si="140"/>
        <v>1</v>
      </c>
      <c r="AG520" s="8">
        <f t="shared" si="143"/>
        <v>-0.61122478304019523</v>
      </c>
      <c r="AH520" s="8">
        <f t="shared" si="144"/>
        <v>0.41779375987795686</v>
      </c>
      <c r="AI520" s="8">
        <f t="shared" si="145"/>
        <v>0.67219985034549534</v>
      </c>
      <c r="AJ520" s="8"/>
      <c r="AK520" s="8"/>
      <c r="AL520" s="8"/>
      <c r="AN520" s="8">
        <f t="shared" si="151"/>
        <v>0.99999999999999989</v>
      </c>
      <c r="AO520" s="8">
        <f t="shared" si="152"/>
        <v>2.542002453682084</v>
      </c>
      <c r="AP520" s="8">
        <f t="shared" si="153"/>
        <v>0.83362024593193773</v>
      </c>
      <c r="AQ520" s="8"/>
      <c r="AR520" s="8">
        <f t="shared" si="154"/>
        <v>145.64601210788294</v>
      </c>
      <c r="AS520" s="8">
        <f t="shared" si="155"/>
        <v>42.237078191442237</v>
      </c>
    </row>
    <row r="521" spans="1:45">
      <c r="A521" s="19">
        <v>16.316299999999998</v>
      </c>
      <c r="B521" s="19">
        <v>1030.5803249999999</v>
      </c>
      <c r="C521" s="19">
        <v>-417.6084783</v>
      </c>
      <c r="E521" s="9">
        <f t="shared" si="141"/>
        <v>70.580324999999903</v>
      </c>
      <c r="F521" s="9">
        <f t="shared" si="146"/>
        <v>122.3915217</v>
      </c>
      <c r="I521">
        <v>1</v>
      </c>
      <c r="J521">
        <f t="shared" si="142"/>
        <v>9.2287638688148321E-2</v>
      </c>
      <c r="K521">
        <f t="shared" si="147"/>
        <v>1.047702960301846</v>
      </c>
      <c r="O521">
        <f t="shared" si="148"/>
        <v>4.6038003414622171E-2</v>
      </c>
      <c r="P521">
        <f t="shared" si="149"/>
        <v>7.9833314651716489E-2</v>
      </c>
      <c r="Q521">
        <f t="shared" si="150"/>
        <v>0.99574451749096526</v>
      </c>
      <c r="R521">
        <f t="shared" si="140"/>
        <v>1</v>
      </c>
      <c r="AG521" s="8">
        <f t="shared" si="143"/>
        <v>-0.61096177888259617</v>
      </c>
      <c r="AH521" s="8">
        <f t="shared" si="144"/>
        <v>0.41824238369146977</v>
      </c>
      <c r="AI521" s="8">
        <f t="shared" si="145"/>
        <v>0.67215996104252673</v>
      </c>
      <c r="AJ521" s="8"/>
      <c r="AK521" s="8"/>
      <c r="AL521" s="8"/>
      <c r="AN521" s="8">
        <f t="shared" si="151"/>
        <v>1</v>
      </c>
      <c r="AO521" s="8">
        <f t="shared" si="152"/>
        <v>2.5413017794455648</v>
      </c>
      <c r="AP521" s="8">
        <f t="shared" si="153"/>
        <v>0.83367412215744419</v>
      </c>
      <c r="AQ521" s="8"/>
      <c r="AR521" s="8">
        <f t="shared" si="154"/>
        <v>145.60586643131685</v>
      </c>
      <c r="AS521" s="8">
        <f t="shared" si="155"/>
        <v>42.233991311104617</v>
      </c>
    </row>
    <row r="522" spans="1:45">
      <c r="A522" s="19">
        <v>16.349666670000001</v>
      </c>
      <c r="B522" s="19">
        <v>1030.0520759999999</v>
      </c>
      <c r="C522" s="19">
        <v>-417.54778140000002</v>
      </c>
      <c r="E522" s="9">
        <f t="shared" si="141"/>
        <v>70.052075999999943</v>
      </c>
      <c r="F522" s="9">
        <f t="shared" si="146"/>
        <v>122.45221859999998</v>
      </c>
      <c r="I522">
        <v>1</v>
      </c>
      <c r="J522">
        <f t="shared" si="142"/>
        <v>9.2149570798325101E-2</v>
      </c>
      <c r="K522">
        <f t="shared" si="147"/>
        <v>1.0511616682025446</v>
      </c>
      <c r="O522">
        <f t="shared" si="148"/>
        <v>4.5693340385137234E-2</v>
      </c>
      <c r="P522">
        <f t="shared" si="149"/>
        <v>7.9872735040786472E-2</v>
      </c>
      <c r="Q522">
        <f t="shared" si="150"/>
        <v>0.99575723188011656</v>
      </c>
      <c r="R522">
        <f t="shared" si="140"/>
        <v>1</v>
      </c>
      <c r="AG522" s="8">
        <f t="shared" si="143"/>
        <v>-0.61078323521046662</v>
      </c>
      <c r="AH522" s="8">
        <f t="shared" si="144"/>
        <v>0.41853923954442984</v>
      </c>
      <c r="AI522" s="8">
        <f t="shared" si="145"/>
        <v>0.6721374446847953</v>
      </c>
      <c r="AJ522" s="8"/>
      <c r="AK522" s="8"/>
      <c r="AL522" s="8"/>
      <c r="AN522" s="8">
        <f t="shared" si="151"/>
        <v>1</v>
      </c>
      <c r="AO522" s="8">
        <f t="shared" si="152"/>
        <v>2.5408347334931265</v>
      </c>
      <c r="AP522" s="8">
        <f t="shared" si="153"/>
        <v>0.83370453256487331</v>
      </c>
      <c r="AQ522" s="8"/>
      <c r="AR522" s="8">
        <f t="shared" si="154"/>
        <v>145.57910666940347</v>
      </c>
      <c r="AS522" s="8">
        <f t="shared" si="155"/>
        <v>42.232248923105658</v>
      </c>
    </row>
    <row r="523" spans="1:45">
      <c r="A523" s="19">
        <v>16.38303333</v>
      </c>
      <c r="B523" s="19">
        <v>1029.5244929999999</v>
      </c>
      <c r="C523" s="19">
        <v>-417.30469890000001</v>
      </c>
      <c r="E523" s="9">
        <f t="shared" si="141"/>
        <v>69.524492999999893</v>
      </c>
      <c r="F523" s="9">
        <f t="shared" si="146"/>
        <v>122.69530109999999</v>
      </c>
      <c r="I523">
        <v>1</v>
      </c>
      <c r="J523">
        <f t="shared" si="142"/>
        <v>9.2116904821380935E-2</v>
      </c>
      <c r="K523">
        <f t="shared" si="147"/>
        <v>1.0552648666607947</v>
      </c>
      <c r="O523">
        <f t="shared" si="148"/>
        <v>4.534918703380611E-2</v>
      </c>
      <c r="P523">
        <f t="shared" si="149"/>
        <v>8.003125111251172E-2</v>
      </c>
      <c r="Q523">
        <f t="shared" si="150"/>
        <v>0.9957602372462655</v>
      </c>
      <c r="R523">
        <f t="shared" si="140"/>
        <v>1</v>
      </c>
      <c r="AG523" s="8">
        <f t="shared" si="143"/>
        <v>-0.6105265775370381</v>
      </c>
      <c r="AH523" s="8">
        <f t="shared" si="144"/>
        <v>0.4188104993843404</v>
      </c>
      <c r="AI523" s="8">
        <f t="shared" si="145"/>
        <v>0.67220165406397991</v>
      </c>
      <c r="AJ523" s="8"/>
      <c r="AK523" s="8"/>
      <c r="AL523" s="8"/>
      <c r="AN523" s="8">
        <f t="shared" si="151"/>
        <v>1</v>
      </c>
      <c r="AO523" s="8">
        <f t="shared" si="152"/>
        <v>2.5403365426636144</v>
      </c>
      <c r="AP523" s="8">
        <f t="shared" si="153"/>
        <v>0.8336178096891167</v>
      </c>
      <c r="AQ523" s="8"/>
      <c r="AR523" s="8">
        <f t="shared" si="154"/>
        <v>145.55056243748029</v>
      </c>
      <c r="AS523" s="8">
        <f t="shared" si="155"/>
        <v>42.237217777873752</v>
      </c>
    </row>
    <row r="524" spans="1:45">
      <c r="A524" s="19">
        <v>16.416399999999999</v>
      </c>
      <c r="B524" s="19">
        <v>1028.7004039999999</v>
      </c>
      <c r="C524" s="19">
        <v>-416.7953425</v>
      </c>
      <c r="E524" s="9">
        <f t="shared" si="141"/>
        <v>68.700403999999935</v>
      </c>
      <c r="F524" s="9">
        <f t="shared" si="146"/>
        <v>123.2046575</v>
      </c>
      <c r="I524">
        <v>1</v>
      </c>
      <c r="J524">
        <f t="shared" si="142"/>
        <v>9.2143278906780299E-2</v>
      </c>
      <c r="K524">
        <f t="shared" si="147"/>
        <v>1.0621277076609783</v>
      </c>
      <c r="O524">
        <f t="shared" si="148"/>
        <v>4.4811671754638439E-2</v>
      </c>
      <c r="P524">
        <f t="shared" si="149"/>
        <v>8.0363525526467874E-2</v>
      </c>
      <c r="Q524">
        <f t="shared" si="150"/>
        <v>0.99575781083530113</v>
      </c>
      <c r="R524">
        <f t="shared" si="140"/>
        <v>1</v>
      </c>
      <c r="AG524" s="8">
        <f t="shared" si="143"/>
        <v>-0.61006985618463039</v>
      </c>
      <c r="AH524" s="8">
        <f t="shared" si="144"/>
        <v>0.41921617398013927</v>
      </c>
      <c r="AI524" s="8">
        <f t="shared" si="145"/>
        <v>0.67236342111117131</v>
      </c>
      <c r="AJ524" s="8"/>
      <c r="AK524" s="8"/>
      <c r="AL524" s="8"/>
      <c r="AN524" s="8">
        <f t="shared" si="151"/>
        <v>1.0000000000000002</v>
      </c>
      <c r="AO524" s="8">
        <f t="shared" si="152"/>
        <v>2.5395355830019142</v>
      </c>
      <c r="AP524" s="8">
        <f t="shared" si="153"/>
        <v>0.83339929258213197</v>
      </c>
      <c r="AQ524" s="8"/>
      <c r="AR524" s="8">
        <f t="shared" si="154"/>
        <v>145.50467082930464</v>
      </c>
      <c r="AS524" s="8">
        <f t="shared" si="155"/>
        <v>42.249737885855382</v>
      </c>
    </row>
    <row r="525" spans="1:45">
      <c r="A525" s="19">
        <v>16.449766669999999</v>
      </c>
      <c r="B525" s="19">
        <v>1027.981767</v>
      </c>
      <c r="C525" s="19">
        <v>-416.70324199999999</v>
      </c>
      <c r="E525" s="9">
        <f t="shared" si="141"/>
        <v>67.981766999999991</v>
      </c>
      <c r="F525" s="9">
        <f t="shared" si="146"/>
        <v>123.29675800000001</v>
      </c>
      <c r="I525">
        <v>1</v>
      </c>
      <c r="J525">
        <f t="shared" si="142"/>
        <v>9.1967507304692928E-2</v>
      </c>
      <c r="K525">
        <f t="shared" si="147"/>
        <v>1.0669041802247419</v>
      </c>
      <c r="O525">
        <f t="shared" si="148"/>
        <v>4.4342798068505024E-2</v>
      </c>
      <c r="P525">
        <f t="shared" si="149"/>
        <v>8.0423376498809346E-2</v>
      </c>
      <c r="Q525">
        <f t="shared" si="150"/>
        <v>0.99577396871578572</v>
      </c>
      <c r="R525">
        <f t="shared" si="140"/>
        <v>1</v>
      </c>
      <c r="AG525" s="8">
        <f t="shared" si="143"/>
        <v>-0.60982246935120821</v>
      </c>
      <c r="AH525" s="8">
        <f t="shared" si="144"/>
        <v>0.41961839787778338</v>
      </c>
      <c r="AI525" s="8">
        <f t="shared" si="145"/>
        <v>0.67233693639192327</v>
      </c>
      <c r="AJ525" s="8"/>
      <c r="AK525" s="8"/>
      <c r="AL525" s="8"/>
      <c r="AN525" s="8">
        <f t="shared" si="151"/>
        <v>1</v>
      </c>
      <c r="AO525" s="8">
        <f t="shared" si="152"/>
        <v>2.5388984878372072</v>
      </c>
      <c r="AP525" s="8">
        <f t="shared" si="153"/>
        <v>0.83343507146657403</v>
      </c>
      <c r="AQ525" s="8"/>
      <c r="AR525" s="8">
        <f t="shared" si="154"/>
        <v>145.46816796521875</v>
      </c>
      <c r="AS525" s="8">
        <f t="shared" si="155"/>
        <v>42.247687906781167</v>
      </c>
    </row>
    <row r="526" spans="1:45">
      <c r="A526" s="19">
        <v>16.483133330000001</v>
      </c>
      <c r="B526" s="19">
        <v>1027.374898</v>
      </c>
      <c r="C526" s="19">
        <v>-416.66006679999998</v>
      </c>
      <c r="E526" s="9">
        <f t="shared" si="141"/>
        <v>67.37489800000003</v>
      </c>
      <c r="F526" s="9">
        <f t="shared" si="146"/>
        <v>123.33993320000002</v>
      </c>
      <c r="I526">
        <v>1</v>
      </c>
      <c r="J526">
        <f t="shared" si="142"/>
        <v>9.1800796785692515E-2</v>
      </c>
      <c r="K526">
        <f t="shared" si="147"/>
        <v>1.0708338835648243</v>
      </c>
      <c r="O526">
        <f t="shared" si="148"/>
        <v>4.3946833834180292E-2</v>
      </c>
      <c r="P526">
        <f t="shared" si="149"/>
        <v>8.0451321046293753E-2</v>
      </c>
      <c r="Q526">
        <f t="shared" si="150"/>
        <v>0.9957892652252569</v>
      </c>
      <c r="R526">
        <f t="shared" si="140"/>
        <v>1</v>
      </c>
      <c r="AG526" s="8">
        <f t="shared" si="143"/>
        <v>-0.6096282971503908</v>
      </c>
      <c r="AH526" s="8">
        <f t="shared" si="144"/>
        <v>0.41996275929821003</v>
      </c>
      <c r="AI526" s="8">
        <f t="shared" si="145"/>
        <v>0.6722980143627888</v>
      </c>
      <c r="AJ526" s="8"/>
      <c r="AK526" s="8"/>
      <c r="AL526" s="8"/>
      <c r="AN526" s="8">
        <f t="shared" si="151"/>
        <v>1</v>
      </c>
      <c r="AO526" s="8">
        <f t="shared" si="152"/>
        <v>2.5383665839834308</v>
      </c>
      <c r="AP526" s="8">
        <f t="shared" si="153"/>
        <v>0.83348765012117398</v>
      </c>
      <c r="AQ526" s="8"/>
      <c r="AR526" s="8">
        <f t="shared" si="154"/>
        <v>145.4376921192906</v>
      </c>
      <c r="AS526" s="8">
        <f t="shared" si="155"/>
        <v>42.244675371780112</v>
      </c>
    </row>
    <row r="527" spans="1:45">
      <c r="A527" s="19">
        <v>16.516500000000001</v>
      </c>
      <c r="B527" s="19">
        <v>1026.7689519999999</v>
      </c>
      <c r="C527" s="19">
        <v>-416.63162039999997</v>
      </c>
      <c r="E527" s="9">
        <f t="shared" si="141"/>
        <v>66.768951999999899</v>
      </c>
      <c r="F527" s="9">
        <f t="shared" si="146"/>
        <v>123.36837960000003</v>
      </c>
      <c r="I527">
        <v>1</v>
      </c>
      <c r="J527">
        <f t="shared" si="142"/>
        <v>9.1627303386599579E-2</v>
      </c>
      <c r="K527">
        <f t="shared" si="147"/>
        <v>1.0747220046699406</v>
      </c>
      <c r="O527">
        <f t="shared" si="148"/>
        <v>4.3551466198180705E-2</v>
      </c>
      <c r="P527">
        <f t="shared" si="149"/>
        <v>8.0469644245333274E-2</v>
      </c>
      <c r="Q527">
        <f t="shared" si="150"/>
        <v>0.99580515471000564</v>
      </c>
      <c r="R527">
        <f t="shared" si="140"/>
        <v>1</v>
      </c>
      <c r="AG527" s="8">
        <f t="shared" si="143"/>
        <v>-0.60944061424243812</v>
      </c>
      <c r="AH527" s="8">
        <f t="shared" si="144"/>
        <v>0.42030854710629034</v>
      </c>
      <c r="AI527" s="8">
        <f t="shared" si="145"/>
        <v>0.67225208288349614</v>
      </c>
      <c r="AJ527" s="8"/>
      <c r="AK527" s="8"/>
      <c r="AL527" s="8"/>
      <c r="AN527" s="8">
        <f t="shared" si="151"/>
        <v>1</v>
      </c>
      <c r="AO527" s="8">
        <f t="shared" si="152"/>
        <v>2.537838121515207</v>
      </c>
      <c r="AP527" s="8">
        <f t="shared" si="153"/>
        <v>0.83354969441190319</v>
      </c>
      <c r="AQ527" s="8"/>
      <c r="AR527" s="8">
        <f t="shared" si="154"/>
        <v>145.40741345023034</v>
      </c>
      <c r="AS527" s="8">
        <f t="shared" si="155"/>
        <v>42.241120495778446</v>
      </c>
    </row>
    <row r="528" spans="1:45">
      <c r="A528" s="19">
        <v>16.54986667</v>
      </c>
      <c r="B528" s="19">
        <v>1026.3825200000001</v>
      </c>
      <c r="C528" s="19">
        <v>-416.58526879999999</v>
      </c>
      <c r="E528" s="9">
        <f t="shared" si="141"/>
        <v>66.382520000000113</v>
      </c>
      <c r="F528" s="9">
        <f t="shared" si="146"/>
        <v>123.41473120000001</v>
      </c>
      <c r="I528">
        <v>1</v>
      </c>
      <c r="J528">
        <f t="shared" si="142"/>
        <v>9.1533686845531093E-2</v>
      </c>
      <c r="K528">
        <f t="shared" si="147"/>
        <v>1.0773046085500042</v>
      </c>
      <c r="O528">
        <f t="shared" si="148"/>
        <v>4.3299339292160163E-2</v>
      </c>
      <c r="P528">
        <f t="shared" si="149"/>
        <v>8.0499750836207112E-2</v>
      </c>
      <c r="Q528">
        <f t="shared" si="150"/>
        <v>0.99581371617997461</v>
      </c>
      <c r="R528">
        <f t="shared" si="140"/>
        <v>1</v>
      </c>
      <c r="AG528" s="8">
        <f t="shared" si="143"/>
        <v>-0.60930876390508504</v>
      </c>
      <c r="AH528" s="8">
        <f t="shared" si="144"/>
        <v>0.42052513277348652</v>
      </c>
      <c r="AI528" s="8">
        <f t="shared" si="145"/>
        <v>0.67223615116586743</v>
      </c>
      <c r="AJ528" s="8"/>
      <c r="AK528" s="8"/>
      <c r="AL528" s="8"/>
      <c r="AN528" s="8">
        <f t="shared" si="151"/>
        <v>1</v>
      </c>
      <c r="AO528" s="8">
        <f t="shared" si="152"/>
        <v>2.5374961801084179</v>
      </c>
      <c r="AP528" s="8">
        <f t="shared" si="153"/>
        <v>0.83357121417639723</v>
      </c>
      <c r="AQ528" s="8"/>
      <c r="AR528" s="8">
        <f t="shared" si="154"/>
        <v>145.38782165078055</v>
      </c>
      <c r="AS528" s="8">
        <f t="shared" si="155"/>
        <v>42.239887504096821</v>
      </c>
    </row>
    <row r="529" spans="1:45">
      <c r="A529" s="19">
        <v>16.583233329999999</v>
      </c>
      <c r="B529" s="19">
        <v>1025.5908830000001</v>
      </c>
      <c r="C529" s="19">
        <v>-416.54814800000003</v>
      </c>
      <c r="E529" s="9">
        <f t="shared" si="141"/>
        <v>65.590883000000076</v>
      </c>
      <c r="F529" s="9">
        <f t="shared" si="146"/>
        <v>123.45185199999997</v>
      </c>
      <c r="I529">
        <v>1</v>
      </c>
      <c r="J529">
        <f t="shared" si="142"/>
        <v>9.1310316543829817E-2</v>
      </c>
      <c r="K529">
        <f t="shared" si="147"/>
        <v>1.0824176078363159</v>
      </c>
      <c r="O529">
        <f t="shared" si="148"/>
        <v>4.2782813431752421E-2</v>
      </c>
      <c r="P529">
        <f t="shared" si="149"/>
        <v>8.052365375109076E-2</v>
      </c>
      <c r="Q529">
        <f t="shared" si="150"/>
        <v>0.99583410870558065</v>
      </c>
      <c r="R529">
        <f t="shared" si="140"/>
        <v>1</v>
      </c>
      <c r="AG529" s="8">
        <f t="shared" si="143"/>
        <v>-0.60906335352780039</v>
      </c>
      <c r="AH529" s="8">
        <f t="shared" si="144"/>
        <v>0.42097671793424152</v>
      </c>
      <c r="AI529" s="8">
        <f t="shared" si="145"/>
        <v>0.67217589539255551</v>
      </c>
      <c r="AJ529" s="8"/>
      <c r="AK529" s="8"/>
      <c r="AL529" s="8"/>
      <c r="AN529" s="8">
        <f t="shared" si="151"/>
        <v>1</v>
      </c>
      <c r="AO529" s="8">
        <f t="shared" si="152"/>
        <v>2.5368059245047974</v>
      </c>
      <c r="AP529" s="8">
        <f t="shared" si="153"/>
        <v>0.8336526008481423</v>
      </c>
      <c r="AQ529" s="8"/>
      <c r="AR529" s="8">
        <f t="shared" si="154"/>
        <v>145.34827291790782</v>
      </c>
      <c r="AS529" s="8">
        <f t="shared" si="155"/>
        <v>42.235224391297216</v>
      </c>
    </row>
    <row r="530" spans="1:45">
      <c r="A530" s="19">
        <v>16.616599999999998</v>
      </c>
      <c r="B530" s="19">
        <v>1025.2991280000001</v>
      </c>
      <c r="C530" s="19">
        <v>-416.49756580000002</v>
      </c>
      <c r="E530" s="9">
        <f t="shared" si="141"/>
        <v>65.29912800000011</v>
      </c>
      <c r="F530" s="9">
        <f t="shared" si="146"/>
        <v>123.50243419999998</v>
      </c>
      <c r="I530">
        <v>1</v>
      </c>
      <c r="J530">
        <f t="shared" si="142"/>
        <v>9.1250001073538506E-2</v>
      </c>
      <c r="K530">
        <f t="shared" si="147"/>
        <v>1.0844317458225827</v>
      </c>
      <c r="O530">
        <f t="shared" si="148"/>
        <v>4.2592466017086036E-2</v>
      </c>
      <c r="P530">
        <f t="shared" si="149"/>
        <v>8.0556561669413024E-2</v>
      </c>
      <c r="Q530">
        <f t="shared" si="150"/>
        <v>0.99583960666895821</v>
      </c>
      <c r="R530">
        <f t="shared" si="140"/>
        <v>1</v>
      </c>
      <c r="AG530" s="8">
        <f t="shared" si="143"/>
        <v>-0.60895702736398361</v>
      </c>
      <c r="AH530" s="8">
        <f t="shared" si="144"/>
        <v>0.42113801858322031</v>
      </c>
      <c r="AI530" s="8">
        <f t="shared" si="145"/>
        <v>0.67217118959965827</v>
      </c>
      <c r="AJ530" s="8"/>
      <c r="AK530" s="8"/>
      <c r="AL530" s="8"/>
      <c r="AN530" s="8">
        <f t="shared" si="151"/>
        <v>1</v>
      </c>
      <c r="AO530" s="8">
        <f t="shared" si="152"/>
        <v>2.5365450568273085</v>
      </c>
      <c r="AP530" s="8">
        <f t="shared" si="153"/>
        <v>0.83365895664686951</v>
      </c>
      <c r="AQ530" s="8"/>
      <c r="AR530" s="8">
        <f t="shared" si="154"/>
        <v>145.33332630097632</v>
      </c>
      <c r="AS530" s="8">
        <f t="shared" si="155"/>
        <v>42.234860230854707</v>
      </c>
    </row>
    <row r="531" spans="1:45">
      <c r="A531" s="19">
        <v>16.649966670000001</v>
      </c>
      <c r="B531" s="19">
        <v>1024.5439679999999</v>
      </c>
      <c r="C531" s="19">
        <v>-416.34405809999998</v>
      </c>
      <c r="E531" s="9">
        <f t="shared" si="141"/>
        <v>64.54396799999995</v>
      </c>
      <c r="F531" s="9">
        <f t="shared" si="146"/>
        <v>123.65594190000002</v>
      </c>
      <c r="I531">
        <v>1</v>
      </c>
      <c r="J531">
        <f t="shared" si="142"/>
        <v>9.1108748327918543E-2</v>
      </c>
      <c r="K531">
        <f t="shared" si="147"/>
        <v>1.0897321940411335</v>
      </c>
      <c r="O531">
        <f t="shared" si="148"/>
        <v>4.2099794462994063E-2</v>
      </c>
      <c r="P531">
        <f t="shared" si="149"/>
        <v>8.065648734391323E-2</v>
      </c>
      <c r="Q531">
        <f t="shared" si="150"/>
        <v>0.99585246816760709</v>
      </c>
      <c r="R531">
        <f t="shared" si="140"/>
        <v>1</v>
      </c>
      <c r="AG531" s="8">
        <f t="shared" si="143"/>
        <v>-0.608672014695951</v>
      </c>
      <c r="AH531" s="8">
        <f t="shared" si="144"/>
        <v>0.42155231460751796</v>
      </c>
      <c r="AI531" s="8">
        <f t="shared" si="145"/>
        <v>0.67216963973019206</v>
      </c>
      <c r="AJ531" s="8"/>
      <c r="AK531" s="8"/>
      <c r="AL531" s="8"/>
      <c r="AN531" s="8">
        <f t="shared" si="151"/>
        <v>1</v>
      </c>
      <c r="AO531" s="8">
        <f t="shared" si="152"/>
        <v>2.5358658757825538</v>
      </c>
      <c r="AP531" s="8">
        <f t="shared" si="153"/>
        <v>0.83366104994353929</v>
      </c>
      <c r="AQ531" s="8"/>
      <c r="AR531" s="8">
        <f t="shared" si="154"/>
        <v>145.2944120935866</v>
      </c>
      <c r="AS531" s="8">
        <f t="shared" si="155"/>
        <v>42.23474029379026</v>
      </c>
    </row>
    <row r="532" spans="1:45">
      <c r="A532" s="19">
        <v>16.68333333</v>
      </c>
      <c r="B532" s="19">
        <v>1023.58581</v>
      </c>
      <c r="C532" s="19">
        <v>-415.93351799999999</v>
      </c>
      <c r="E532" s="9">
        <f t="shared" si="141"/>
        <v>63.585810000000038</v>
      </c>
      <c r="F532" s="9">
        <f t="shared" si="146"/>
        <v>124.06648200000001</v>
      </c>
      <c r="I532">
        <v>1</v>
      </c>
      <c r="J532">
        <f t="shared" si="142"/>
        <v>9.1059188514167486E-2</v>
      </c>
      <c r="K532">
        <f t="shared" si="147"/>
        <v>1.0971877030616941</v>
      </c>
      <c r="O532">
        <f t="shared" si="148"/>
        <v>4.1474784256827893E-2</v>
      </c>
      <c r="P532">
        <f t="shared" si="149"/>
        <v>8.0924196364780404E-2</v>
      </c>
      <c r="Q532">
        <f t="shared" si="150"/>
        <v>0.9958569760329864</v>
      </c>
      <c r="R532">
        <f t="shared" si="140"/>
        <v>1</v>
      </c>
      <c r="AG532" s="8">
        <f t="shared" si="143"/>
        <v>-0.60821751196564655</v>
      </c>
      <c r="AH532" s="8">
        <f t="shared" si="144"/>
        <v>0.42204797530190802</v>
      </c>
      <c r="AI532" s="8">
        <f t="shared" si="145"/>
        <v>0.672270008762758</v>
      </c>
      <c r="AJ532" s="8"/>
      <c r="AK532" s="8"/>
      <c r="AL532" s="8"/>
      <c r="AN532" s="8">
        <f t="shared" si="151"/>
        <v>1</v>
      </c>
      <c r="AO532" s="8">
        <f t="shared" si="152"/>
        <v>2.5349659066390755</v>
      </c>
      <c r="AP532" s="8">
        <f t="shared" si="153"/>
        <v>0.83352548053119058</v>
      </c>
      <c r="AQ532" s="8"/>
      <c r="AR532" s="8">
        <f t="shared" si="154"/>
        <v>145.24284765997331</v>
      </c>
      <c r="AS532" s="8">
        <f t="shared" si="155"/>
        <v>42.242507848948911</v>
      </c>
    </row>
    <row r="533" spans="1:45">
      <c r="A533" s="19">
        <v>16.716699999999999</v>
      </c>
      <c r="B533" s="19">
        <v>1022.775414</v>
      </c>
      <c r="C533" s="19">
        <v>-415.7692351</v>
      </c>
      <c r="E533" s="9">
        <f t="shared" si="141"/>
        <v>62.775413999999955</v>
      </c>
      <c r="F533" s="9">
        <f t="shared" si="146"/>
        <v>124.2307649</v>
      </c>
      <c r="I533">
        <v>1</v>
      </c>
      <c r="J533">
        <f t="shared" si="142"/>
        <v>9.0914103542872868E-2</v>
      </c>
      <c r="K533">
        <f t="shared" si="147"/>
        <v>1.1029073987256388</v>
      </c>
      <c r="O533">
        <f t="shared" si="148"/>
        <v>4.094608347387995E-2</v>
      </c>
      <c r="P533">
        <f t="shared" si="149"/>
        <v>8.1031138554010326E-2</v>
      </c>
      <c r="Q533">
        <f t="shared" si="150"/>
        <v>0.99587015862148964</v>
      </c>
      <c r="R533">
        <f t="shared" si="140"/>
        <v>1</v>
      </c>
      <c r="AG533" s="8">
        <f t="shared" si="143"/>
        <v>-0.60791143589476049</v>
      </c>
      <c r="AH533" s="8">
        <f t="shared" si="144"/>
        <v>0.42249232566392653</v>
      </c>
      <c r="AI533" s="8">
        <f t="shared" si="145"/>
        <v>0.67226774492270369</v>
      </c>
      <c r="AJ533" s="8"/>
      <c r="AK533" s="8"/>
      <c r="AL533" s="8"/>
      <c r="AN533" s="8">
        <f t="shared" si="151"/>
        <v>1.0000000000000002</v>
      </c>
      <c r="AO533" s="8">
        <f t="shared" si="152"/>
        <v>2.5342370731904134</v>
      </c>
      <c r="AP533" s="8">
        <f t="shared" si="153"/>
        <v>0.83352853850557374</v>
      </c>
      <c r="AQ533" s="8"/>
      <c r="AR533" s="8">
        <f t="shared" si="154"/>
        <v>145.20108857939698</v>
      </c>
      <c r="AS533" s="8">
        <f t="shared" si="155"/>
        <v>42.2423326399229</v>
      </c>
    </row>
    <row r="534" spans="1:45">
      <c r="A534" s="19">
        <v>16.750066669999999</v>
      </c>
      <c r="B534" s="19">
        <v>1022.416641</v>
      </c>
      <c r="C534" s="19">
        <v>-415.73818360000001</v>
      </c>
      <c r="E534" s="9">
        <f t="shared" si="141"/>
        <v>62.416641000000027</v>
      </c>
      <c r="F534" s="9">
        <f t="shared" si="146"/>
        <v>124.26181639999999</v>
      </c>
      <c r="I534">
        <v>1</v>
      </c>
      <c r="J534">
        <f t="shared" si="142"/>
        <v>9.0826392657868196E-2</v>
      </c>
      <c r="K534">
        <f t="shared" si="147"/>
        <v>1.1053108569419186</v>
      </c>
      <c r="O534">
        <f t="shared" si="148"/>
        <v>4.0712003258525781E-2</v>
      </c>
      <c r="P534">
        <f t="shared" si="149"/>
        <v>8.1051261220339108E-2</v>
      </c>
      <c r="Q534">
        <f t="shared" si="150"/>
        <v>0.99587811796688763</v>
      </c>
      <c r="R534">
        <f t="shared" si="140"/>
        <v>1</v>
      </c>
      <c r="AG534" s="8">
        <f t="shared" si="143"/>
        <v>-0.60779377208117202</v>
      </c>
      <c r="AH534" s="8">
        <f t="shared" si="144"/>
        <v>0.42269476493866026</v>
      </c>
      <c r="AI534" s="8">
        <f t="shared" si="145"/>
        <v>0.67224687899074032</v>
      </c>
      <c r="AJ534" s="8"/>
      <c r="AK534" s="8"/>
      <c r="AL534" s="8"/>
      <c r="AN534" s="8">
        <f t="shared" si="151"/>
        <v>1</v>
      </c>
      <c r="AO534" s="8">
        <f t="shared" si="152"/>
        <v>2.5339218266383181</v>
      </c>
      <c r="AP534" s="8">
        <f t="shared" si="153"/>
        <v>0.83355672361527777</v>
      </c>
      <c r="AQ534" s="8"/>
      <c r="AR534" s="8">
        <f t="shared" si="154"/>
        <v>145.18302628245587</v>
      </c>
      <c r="AS534" s="8">
        <f t="shared" si="155"/>
        <v>42.240717752091747</v>
      </c>
    </row>
    <row r="535" spans="1:45">
      <c r="A535" s="19">
        <v>16.783433330000001</v>
      </c>
      <c r="B535" s="19">
        <v>1021.805551</v>
      </c>
      <c r="C535" s="19">
        <v>-415.6260532</v>
      </c>
      <c r="E535" s="9">
        <f t="shared" si="141"/>
        <v>61.805551000000037</v>
      </c>
      <c r="F535" s="9">
        <f t="shared" si="146"/>
        <v>124.3739468</v>
      </c>
      <c r="I535">
        <v>1</v>
      </c>
      <c r="J535">
        <f t="shared" si="142"/>
        <v>9.0713016141005257E-2</v>
      </c>
      <c r="K535">
        <f t="shared" si="147"/>
        <v>1.1096051170997647</v>
      </c>
      <c r="O535">
        <f t="shared" si="148"/>
        <v>4.0313327185101729E-2</v>
      </c>
      <c r="P535">
        <f t="shared" si="149"/>
        <v>8.1124227994518378E-2</v>
      </c>
      <c r="Q535">
        <f t="shared" si="150"/>
        <v>0.99588839499391713</v>
      </c>
      <c r="R535">
        <f t="shared" si="140"/>
        <v>1</v>
      </c>
      <c r="AG535" s="8">
        <f t="shared" si="143"/>
        <v>-0.60756783428217287</v>
      </c>
      <c r="AH535" s="8">
        <f t="shared" si="144"/>
        <v>0.42303131918953918</v>
      </c>
      <c r="AI535" s="8">
        <f t="shared" si="145"/>
        <v>0.67223941399655252</v>
      </c>
      <c r="AJ535" s="8"/>
      <c r="AK535" s="8"/>
      <c r="AL535" s="8"/>
      <c r="AN535" s="8">
        <f t="shared" si="151"/>
        <v>1</v>
      </c>
      <c r="AO535" s="8">
        <f t="shared" si="152"/>
        <v>2.5333743640286159</v>
      </c>
      <c r="AP535" s="8">
        <f t="shared" si="153"/>
        <v>0.83356680694272423</v>
      </c>
      <c r="AQ535" s="8"/>
      <c r="AR535" s="8">
        <f t="shared" si="154"/>
        <v>145.15165898547872</v>
      </c>
      <c r="AS535" s="8">
        <f t="shared" si="155"/>
        <v>42.240140019985617</v>
      </c>
    </row>
    <row r="536" spans="1:45">
      <c r="A536" s="19">
        <v>16.816800000000001</v>
      </c>
      <c r="B536" s="19">
        <v>1021.3973580000001</v>
      </c>
      <c r="C536" s="19">
        <v>-415.57323810000003</v>
      </c>
      <c r="E536" s="9">
        <f t="shared" si="141"/>
        <v>61.397358000000054</v>
      </c>
      <c r="F536" s="9">
        <f t="shared" si="146"/>
        <v>124.42676189999997</v>
      </c>
      <c r="I536">
        <v>1</v>
      </c>
      <c r="J536">
        <f t="shared" si="142"/>
        <v>9.0625226851236154E-2</v>
      </c>
      <c r="K536">
        <f t="shared" si="147"/>
        <v>1.112409076239663</v>
      </c>
      <c r="O536">
        <f t="shared" si="148"/>
        <v>4.0047012582899749E-2</v>
      </c>
      <c r="P536">
        <f t="shared" si="149"/>
        <v>8.1158542676360232E-2</v>
      </c>
      <c r="Q536">
        <f t="shared" si="150"/>
        <v>0.99589634387010106</v>
      </c>
      <c r="R536">
        <f t="shared" si="140"/>
        <v>1</v>
      </c>
      <c r="AG536" s="8">
        <f t="shared" si="143"/>
        <v>-0.60742634101177151</v>
      </c>
      <c r="AH536" s="8">
        <f t="shared" si="144"/>
        <v>0.42325914016881211</v>
      </c>
      <c r="AI536" s="8">
        <f t="shared" si="145"/>
        <v>0.67222387677663542</v>
      </c>
      <c r="AJ536" s="8"/>
      <c r="AK536" s="8"/>
      <c r="AL536" s="8"/>
      <c r="AN536" s="8">
        <f t="shared" si="151"/>
        <v>1.0000000000000002</v>
      </c>
      <c r="AO536" s="8">
        <f t="shared" si="152"/>
        <v>2.5330126214291329</v>
      </c>
      <c r="AP536" s="8">
        <f t="shared" si="153"/>
        <v>0.83358779351848933</v>
      </c>
      <c r="AQ536" s="8"/>
      <c r="AR536" s="8">
        <f t="shared" si="154"/>
        <v>145.13093266125827</v>
      </c>
      <c r="AS536" s="8">
        <f t="shared" si="155"/>
        <v>42.238937577767842</v>
      </c>
    </row>
    <row r="537" spans="1:45">
      <c r="A537" s="19">
        <v>16.85016667</v>
      </c>
      <c r="B537" s="19">
        <v>1020.660299</v>
      </c>
      <c r="C537" s="19">
        <v>-415.46949389999997</v>
      </c>
      <c r="E537" s="9">
        <f t="shared" si="141"/>
        <v>60.660299000000009</v>
      </c>
      <c r="F537" s="9">
        <f t="shared" si="146"/>
        <v>124.53050610000003</v>
      </c>
      <c r="I537">
        <v>1</v>
      </c>
      <c r="J537">
        <f t="shared" si="142"/>
        <v>9.0473466922199444E-2</v>
      </c>
      <c r="K537">
        <f t="shared" si="147"/>
        <v>1.1175122060862239</v>
      </c>
      <c r="O537">
        <f t="shared" si="148"/>
        <v>3.9566143854358644E-2</v>
      </c>
      <c r="P537">
        <f t="shared" si="149"/>
        <v>8.122597481111471E-2</v>
      </c>
      <c r="Q537">
        <f t="shared" si="150"/>
        <v>0.99591006686170236</v>
      </c>
      <c r="R537">
        <f t="shared" si="140"/>
        <v>1</v>
      </c>
      <c r="AG537" s="8">
        <f t="shared" si="143"/>
        <v>-0.6071671370502707</v>
      </c>
      <c r="AH537" s="8">
        <f t="shared" si="144"/>
        <v>0.42366926031796237</v>
      </c>
      <c r="AI537" s="8">
        <f t="shared" si="145"/>
        <v>0.67219969171951321</v>
      </c>
      <c r="AJ537" s="8"/>
      <c r="AK537" s="8"/>
      <c r="AL537" s="8"/>
      <c r="AN537" s="8">
        <f t="shared" si="151"/>
        <v>1</v>
      </c>
      <c r="AO537" s="8">
        <f t="shared" si="152"/>
        <v>2.5323579822174631</v>
      </c>
      <c r="AP537" s="8">
        <f t="shared" si="153"/>
        <v>0.83362046018429969</v>
      </c>
      <c r="AQ537" s="8"/>
      <c r="AR537" s="8">
        <f t="shared" si="154"/>
        <v>145.09342459732582</v>
      </c>
      <c r="AS537" s="8">
        <f t="shared" si="155"/>
        <v>42.237065915686145</v>
      </c>
    </row>
    <row r="538" spans="1:45">
      <c r="A538" s="19">
        <v>16.883533329999999</v>
      </c>
      <c r="B538" s="19">
        <v>1020.149935</v>
      </c>
      <c r="C538" s="19">
        <v>-415.34375299999999</v>
      </c>
      <c r="E538" s="9">
        <f t="shared" si="141"/>
        <v>60.149935000000028</v>
      </c>
      <c r="F538" s="9">
        <f t="shared" si="146"/>
        <v>124.65624700000001</v>
      </c>
      <c r="I538">
        <v>1</v>
      </c>
      <c r="J538">
        <f t="shared" si="142"/>
        <v>9.0401624027213523E-2</v>
      </c>
      <c r="K538">
        <f t="shared" si="147"/>
        <v>1.121225028389973</v>
      </c>
      <c r="O538">
        <f t="shared" si="148"/>
        <v>3.9233200371029099E-2</v>
      </c>
      <c r="P538">
        <f t="shared" si="149"/>
        <v>8.1307876991911873E-2</v>
      </c>
      <c r="Q538">
        <f t="shared" si="150"/>
        <v>0.99591655530356293</v>
      </c>
      <c r="R538">
        <f t="shared" si="140"/>
        <v>1</v>
      </c>
      <c r="AG538" s="8">
        <f t="shared" si="143"/>
        <v>-0.60696441096223352</v>
      </c>
      <c r="AH538" s="8">
        <f t="shared" si="144"/>
        <v>0.42394571355503791</v>
      </c>
      <c r="AI538" s="8">
        <f t="shared" si="145"/>
        <v>0.67220847642943227</v>
      </c>
      <c r="AJ538" s="8"/>
      <c r="AK538" s="8"/>
      <c r="AL538" s="8"/>
      <c r="AN538" s="8">
        <f t="shared" si="151"/>
        <v>1</v>
      </c>
      <c r="AO538" s="8">
        <f t="shared" si="152"/>
        <v>2.5318950687855493</v>
      </c>
      <c r="AP538" s="8">
        <f t="shared" si="153"/>
        <v>0.83360859482165739</v>
      </c>
      <c r="AQ538" s="8"/>
      <c r="AR538" s="8">
        <f t="shared" si="154"/>
        <v>145.06690161139724</v>
      </c>
      <c r="AS538" s="8">
        <f t="shared" si="155"/>
        <v>42.237745750887939</v>
      </c>
    </row>
    <row r="539" spans="1:45">
      <c r="A539" s="19">
        <v>16.916899999999998</v>
      </c>
      <c r="B539" s="19">
        <v>1019.575675</v>
      </c>
      <c r="C539" s="19">
        <v>-415.14014780000002</v>
      </c>
      <c r="E539" s="9">
        <f t="shared" si="141"/>
        <v>59.575675000000047</v>
      </c>
      <c r="F539" s="9">
        <f t="shared" si="146"/>
        <v>124.85985219999998</v>
      </c>
      <c r="I539">
        <v>1</v>
      </c>
      <c r="J539">
        <f t="shared" si="142"/>
        <v>9.0359068646402613E-2</v>
      </c>
      <c r="K539">
        <f t="shared" si="147"/>
        <v>1.1256030967744062</v>
      </c>
      <c r="O539">
        <f t="shared" si="148"/>
        <v>3.8858603138344834E-2</v>
      </c>
      <c r="P539">
        <f t="shared" si="149"/>
        <v>8.144061220543769E-2</v>
      </c>
      <c r="Q539">
        <f t="shared" si="150"/>
        <v>0.9959203962394485</v>
      </c>
      <c r="R539">
        <f t="shared" ref="R539:R602" si="156">SQRT(O539^2+P539^2+Q539^2)</f>
        <v>1</v>
      </c>
      <c r="AG539" s="8">
        <f t="shared" si="143"/>
        <v>-0.6067095235125306</v>
      </c>
      <c r="AH539" s="8">
        <f t="shared" si="144"/>
        <v>0.42424810902552956</v>
      </c>
      <c r="AI539" s="8">
        <f t="shared" si="145"/>
        <v>0.67224779365012455</v>
      </c>
      <c r="AJ539" s="8"/>
      <c r="AK539" s="8"/>
      <c r="AL539" s="8"/>
      <c r="AN539" s="8">
        <f t="shared" si="151"/>
        <v>1</v>
      </c>
      <c r="AO539" s="8">
        <f t="shared" si="152"/>
        <v>2.5313630549585047</v>
      </c>
      <c r="AP539" s="8">
        <f t="shared" si="153"/>
        <v>0.83355548813441371</v>
      </c>
      <c r="AQ539" s="8"/>
      <c r="AR539" s="8">
        <f t="shared" si="154"/>
        <v>145.03641946446498</v>
      </c>
      <c r="AS539" s="8">
        <f t="shared" si="155"/>
        <v>42.240788539930925</v>
      </c>
    </row>
    <row r="540" spans="1:45">
      <c r="A540" s="19">
        <v>16.950266670000001</v>
      </c>
      <c r="B540" s="19">
        <v>1018.803505</v>
      </c>
      <c r="C540" s="19">
        <v>-414.92873859999997</v>
      </c>
      <c r="E540" s="9">
        <f t="shared" si="141"/>
        <v>58.803504999999973</v>
      </c>
      <c r="F540" s="9">
        <f t="shared" si="146"/>
        <v>125.07126140000003</v>
      </c>
      <c r="I540">
        <v>1</v>
      </c>
      <c r="J540">
        <f t="shared" si="142"/>
        <v>9.0267561628346246E-2</v>
      </c>
      <c r="K540">
        <f t="shared" si="147"/>
        <v>1.1313043918717016</v>
      </c>
      <c r="O540">
        <f t="shared" si="148"/>
        <v>3.8354881441634195E-2</v>
      </c>
      <c r="P540">
        <f t="shared" si="149"/>
        <v>8.1578358343650459E-2</v>
      </c>
      <c r="Q540">
        <f t="shared" si="150"/>
        <v>0.99592864931156244</v>
      </c>
      <c r="R540">
        <f t="shared" si="156"/>
        <v>1</v>
      </c>
      <c r="AG540" s="8">
        <f t="shared" si="143"/>
        <v>-0.6063934319323907</v>
      </c>
      <c r="AH540" s="8">
        <f t="shared" si="144"/>
        <v>0.42466323624413332</v>
      </c>
      <c r="AI540" s="8">
        <f t="shared" si="145"/>
        <v>0.6722708840132201</v>
      </c>
      <c r="AJ540" s="8"/>
      <c r="AK540" s="8"/>
      <c r="AL540" s="8"/>
      <c r="AN540" s="8">
        <f t="shared" si="151"/>
        <v>1</v>
      </c>
      <c r="AO540" s="8">
        <f t="shared" si="152"/>
        <v>2.5306588296434587</v>
      </c>
      <c r="AP540" s="8">
        <f t="shared" si="153"/>
        <v>0.83352429824861729</v>
      </c>
      <c r="AQ540" s="8"/>
      <c r="AR540" s="8">
        <f t="shared" si="154"/>
        <v>144.99607032608657</v>
      </c>
      <c r="AS540" s="8">
        <f t="shared" si="155"/>
        <v>42.242575588750555</v>
      </c>
    </row>
    <row r="541" spans="1:45">
      <c r="A541" s="19">
        <v>16.98363333</v>
      </c>
      <c r="B541" s="19">
        <v>1018.1546520000001</v>
      </c>
      <c r="C541" s="19">
        <v>-414.64701229999997</v>
      </c>
      <c r="E541" s="9">
        <f t="shared" si="141"/>
        <v>58.154652000000056</v>
      </c>
      <c r="F541" s="9">
        <f t="shared" si="146"/>
        <v>125.35298770000003</v>
      </c>
      <c r="I541">
        <v>1</v>
      </c>
      <c r="J541">
        <f t="shared" si="142"/>
        <v>9.025489136861943E-2</v>
      </c>
      <c r="K541">
        <f t="shared" si="147"/>
        <v>1.1364211457052544</v>
      </c>
      <c r="O541">
        <f t="shared" si="148"/>
        <v>3.7931654305868853E-2</v>
      </c>
      <c r="P541">
        <f t="shared" si="149"/>
        <v>8.1762095242943367E-2</v>
      </c>
      <c r="Q541">
        <f t="shared" si="150"/>
        <v>0.99592979139249771</v>
      </c>
      <c r="R541">
        <f t="shared" si="156"/>
        <v>1</v>
      </c>
      <c r="AG541" s="8">
        <f t="shared" si="143"/>
        <v>-0.60608295278875779</v>
      </c>
      <c r="AH541" s="8">
        <f t="shared" si="144"/>
        <v>0.42499754480811264</v>
      </c>
      <c r="AI541" s="8">
        <f t="shared" si="145"/>
        <v>0.6723396026160714</v>
      </c>
      <c r="AJ541" s="8"/>
      <c r="AK541" s="8"/>
      <c r="AL541" s="8"/>
      <c r="AN541" s="8">
        <f t="shared" si="151"/>
        <v>1</v>
      </c>
      <c r="AO541" s="8">
        <f t="shared" si="152"/>
        <v>2.5300483037993153</v>
      </c>
      <c r="AP541" s="8">
        <f t="shared" si="153"/>
        <v>0.83343146964883097</v>
      </c>
      <c r="AQ541" s="8"/>
      <c r="AR541" s="8">
        <f t="shared" si="154"/>
        <v>144.9610897719335</v>
      </c>
      <c r="AS541" s="8">
        <f t="shared" si="155"/>
        <v>42.247894275736421</v>
      </c>
    </row>
    <row r="542" spans="1:45">
      <c r="A542" s="19">
        <v>17.016999999999999</v>
      </c>
      <c r="B542" s="19">
        <v>1017.457871</v>
      </c>
      <c r="C542" s="19">
        <v>-414.47481219999997</v>
      </c>
      <c r="E542" s="9">
        <f t="shared" si="141"/>
        <v>57.457870999999955</v>
      </c>
      <c r="F542" s="9">
        <f t="shared" si="146"/>
        <v>125.52518780000003</v>
      </c>
      <c r="I542">
        <v>1</v>
      </c>
      <c r="J542">
        <f t="shared" si="142"/>
        <v>9.0166167462874189E-2</v>
      </c>
      <c r="K542">
        <f t="shared" si="147"/>
        <v>1.1415246753384198</v>
      </c>
      <c r="O542">
        <f t="shared" si="148"/>
        <v>3.7477109356979593E-2</v>
      </c>
      <c r="P542">
        <f t="shared" si="149"/>
        <v>8.1874269066391378E-2</v>
      </c>
      <c r="Q542">
        <f t="shared" si="150"/>
        <v>0.99593778437163893</v>
      </c>
      <c r="R542">
        <f t="shared" si="156"/>
        <v>1</v>
      </c>
      <c r="AG542" s="8">
        <f t="shared" si="143"/>
        <v>-0.60580541364533236</v>
      </c>
      <c r="AH542" s="8">
        <f t="shared" si="144"/>
        <v>0.42537449568530211</v>
      </c>
      <c r="AI542" s="8">
        <f t="shared" si="145"/>
        <v>0.67235135102004728</v>
      </c>
      <c r="AJ542" s="8"/>
      <c r="AK542" s="8"/>
      <c r="AL542" s="8"/>
      <c r="AN542" s="8">
        <f t="shared" si="151"/>
        <v>1.0000000000000002</v>
      </c>
      <c r="AO542" s="8">
        <f t="shared" si="152"/>
        <v>2.5294161001452076</v>
      </c>
      <c r="AP542" s="8">
        <f t="shared" si="153"/>
        <v>0.83341559852106484</v>
      </c>
      <c r="AQ542" s="8"/>
      <c r="AR542" s="8">
        <f t="shared" si="154"/>
        <v>144.92486717076036</v>
      </c>
      <c r="AS542" s="8">
        <f t="shared" si="155"/>
        <v>42.248803624373529</v>
      </c>
    </row>
    <row r="543" spans="1:45">
      <c r="A543" s="19">
        <v>17.050366669999999</v>
      </c>
      <c r="B543" s="19">
        <v>1016.641333</v>
      </c>
      <c r="C543" s="19">
        <v>-414.55507899999998</v>
      </c>
      <c r="E543" s="9">
        <f t="shared" si="141"/>
        <v>56.641333000000031</v>
      </c>
      <c r="F543" s="9">
        <f t="shared" si="146"/>
        <v>125.44492100000002</v>
      </c>
      <c r="I543">
        <v>1</v>
      </c>
      <c r="J543">
        <f t="shared" si="142"/>
        <v>8.9896502514472634E-2</v>
      </c>
      <c r="K543">
        <f t="shared" si="147"/>
        <v>1.1466761581017937</v>
      </c>
      <c r="O543">
        <f t="shared" si="148"/>
        <v>3.6944317238899974E-2</v>
      </c>
      <c r="P543">
        <f t="shared" si="149"/>
        <v>8.1821466974174931E-2</v>
      </c>
      <c r="Q543">
        <f t="shared" si="150"/>
        <v>0.9959620298816344</v>
      </c>
      <c r="R543">
        <f t="shared" si="156"/>
        <v>1</v>
      </c>
      <c r="AG543" s="8">
        <f t="shared" si="143"/>
        <v>-0.60560124810693261</v>
      </c>
      <c r="AH543" s="8">
        <f t="shared" si="144"/>
        <v>0.42585519239903863</v>
      </c>
      <c r="AI543" s="8">
        <f t="shared" si="145"/>
        <v>0.67223097473867077</v>
      </c>
      <c r="AJ543" s="8"/>
      <c r="AK543" s="8"/>
      <c r="AL543" s="8"/>
      <c r="AN543" s="8">
        <f t="shared" si="151"/>
        <v>1.0000000000000002</v>
      </c>
      <c r="AO543" s="8">
        <f t="shared" si="152"/>
        <v>2.5287262487656434</v>
      </c>
      <c r="AP543" s="8">
        <f t="shared" si="153"/>
        <v>0.83357820614391931</v>
      </c>
      <c r="AQ543" s="8"/>
      <c r="AR543" s="8">
        <f t="shared" si="154"/>
        <v>144.88534159822007</v>
      </c>
      <c r="AS543" s="8">
        <f t="shared" si="155"/>
        <v>42.239486893867316</v>
      </c>
    </row>
    <row r="544" spans="1:45">
      <c r="A544" s="19">
        <v>17.083733330000001</v>
      </c>
      <c r="B544" s="19">
        <v>1016.205924</v>
      </c>
      <c r="C544" s="19">
        <v>-414.62676210000001</v>
      </c>
      <c r="E544" s="9">
        <f t="shared" ref="E544:E607" si="157">(B544-($B$15/2))</f>
        <v>56.205923999999982</v>
      </c>
      <c r="F544" s="9">
        <f t="shared" si="146"/>
        <v>125.37323789999999</v>
      </c>
      <c r="I544">
        <v>1</v>
      </c>
      <c r="J544">
        <f t="shared" ref="J544:J607" si="158">ATAN((SQRT(E544^2+F544^2)^$B$16)/($F$24))</f>
        <v>8.9736396965011525E-2</v>
      </c>
      <c r="K544">
        <f t="shared" si="147"/>
        <v>1.1493497058970175</v>
      </c>
      <c r="O544">
        <f t="shared" si="148"/>
        <v>3.6660199736170386E-2</v>
      </c>
      <c r="P544">
        <f t="shared" si="149"/>
        <v>8.1774439701132032E-2</v>
      </c>
      <c r="Q544">
        <f t="shared" si="150"/>
        <v>0.99597639066740429</v>
      </c>
      <c r="R544">
        <f t="shared" si="156"/>
        <v>1</v>
      </c>
      <c r="AG544" s="8">
        <f t="shared" ref="AG544:AG607" si="159">$O544*$Z$27+$P544*$Z$31+$Q544*$Z$35</f>
        <v>-0.60550472095859831</v>
      </c>
      <c r="AH544" s="8">
        <f t="shared" ref="AH544:AH607" si="160">$O544*$AA$27+$P544*$AA$31+$Q544*$AA$35</f>
        <v>0.42611546464466432</v>
      </c>
      <c r="AI544" s="8">
        <f t="shared" ref="AI544:AI607" si="161">$AB$27*$O544+$P544*$AB$31+$AB$35*$Q544</f>
        <v>0.67215299128063977</v>
      </c>
      <c r="AJ544" s="8"/>
      <c r="AK544" s="8"/>
      <c r="AL544" s="8"/>
      <c r="AN544" s="8">
        <f t="shared" si="151"/>
        <v>1</v>
      </c>
      <c r="AO544" s="8">
        <f t="shared" si="152"/>
        <v>2.5283637112993969</v>
      </c>
      <c r="AP544" s="8">
        <f t="shared" si="153"/>
        <v>0.83368353555019825</v>
      </c>
      <c r="AQ544" s="8"/>
      <c r="AR544" s="8">
        <f t="shared" si="154"/>
        <v>144.86456973148876</v>
      </c>
      <c r="AS544" s="8">
        <f t="shared" si="155"/>
        <v>42.233451963428912</v>
      </c>
    </row>
    <row r="545" spans="1:45">
      <c r="A545" s="19">
        <v>17.117100000000001</v>
      </c>
      <c r="B545" s="19">
        <v>1015.652211</v>
      </c>
      <c r="C545" s="19">
        <v>-414.53524160000001</v>
      </c>
      <c r="E545" s="9">
        <f t="shared" si="157"/>
        <v>55.652210999999966</v>
      </c>
      <c r="F545" s="9">
        <f t="shared" ref="F545:F608" si="162">(($C$15/2)+C545)</f>
        <v>125.46475839999999</v>
      </c>
      <c r="I545">
        <v>1</v>
      </c>
      <c r="J545">
        <f t="shared" si="158"/>
        <v>8.964327475256928E-2</v>
      </c>
      <c r="K545">
        <f t="shared" ref="K545:K608" si="163">ATAN2(E545,F545)</f>
        <v>1.1533037182683354</v>
      </c>
      <c r="O545">
        <f t="shared" ref="O545:O608" si="164">COS(K545)*SIN(J545)</f>
        <v>3.6298970387269244E-2</v>
      </c>
      <c r="P545">
        <f t="shared" ref="P545:P608" si="165">SIN(K545)*SIN(J545)</f>
        <v>8.183397331343209E-2</v>
      </c>
      <c r="Q545">
        <f t="shared" ref="Q545:Q608" si="166">COS(J545)</f>
        <v>0.9959847315900785</v>
      </c>
      <c r="R545">
        <f t="shared" si="156"/>
        <v>1</v>
      </c>
      <c r="AG545" s="8">
        <f t="shared" si="159"/>
        <v>-0.60530336871480628</v>
      </c>
      <c r="AH545" s="8">
        <f t="shared" si="160"/>
        <v>0.42642108279382152</v>
      </c>
      <c r="AI545" s="8">
        <f t="shared" si="161"/>
        <v>0.67214052992767237</v>
      </c>
      <c r="AJ545" s="8"/>
      <c r="AK545" s="8"/>
      <c r="AL545" s="8"/>
      <c r="AN545" s="8">
        <f t="shared" ref="AN545:AN608" si="167">AG545^2+AH545^2+AI545^2</f>
        <v>1.0000000000000002</v>
      </c>
      <c r="AO545" s="8">
        <f t="shared" ref="AO545:AO608" si="168">IF(ATAN2(AG545,AH545)&gt;=0,ATAN2(AG545,AH545),ATAN2(AG545,AH545)+2*PI())</f>
        <v>2.527869652026697</v>
      </c>
      <c r="AP545" s="8">
        <f t="shared" ref="AP545:AP608" si="169">ACOS(AI545/AN545)</f>
        <v>0.83370036571087214</v>
      </c>
      <c r="AQ545" s="8"/>
      <c r="AR545" s="8">
        <f t="shared" ref="AR545:AR608" si="170">DEGREES(AO545)</f>
        <v>144.83626222033377</v>
      </c>
      <c r="AS545" s="8">
        <f t="shared" ref="AS545:AS608" si="171">90-DEGREES(AP545)</f>
        <v>42.232487666253775</v>
      </c>
    </row>
    <row r="546" spans="1:45">
      <c r="A546" s="19">
        <v>17.15046667</v>
      </c>
      <c r="B546" s="19">
        <v>1015.150304</v>
      </c>
      <c r="C546" s="19">
        <v>-414.42536130000002</v>
      </c>
      <c r="E546" s="9">
        <f t="shared" si="157"/>
        <v>55.150304000000006</v>
      </c>
      <c r="F546" s="9">
        <f t="shared" si="162"/>
        <v>125.57463869999998</v>
      </c>
      <c r="I546">
        <v>1</v>
      </c>
      <c r="J546">
        <f t="shared" si="158"/>
        <v>8.9576256839056553E-2</v>
      </c>
      <c r="K546">
        <f t="shared" si="163"/>
        <v>1.1569737586929951</v>
      </c>
      <c r="O546">
        <f t="shared" si="164"/>
        <v>3.5971552019881115E-2</v>
      </c>
      <c r="P546">
        <f t="shared" si="165"/>
        <v>8.1905525822211694E-2</v>
      </c>
      <c r="Q546">
        <f t="shared" si="166"/>
        <v>0.99599072901562091</v>
      </c>
      <c r="R546">
        <f t="shared" si="156"/>
        <v>1</v>
      </c>
      <c r="AG546" s="8">
        <f t="shared" si="159"/>
        <v>-0.60510920706525895</v>
      </c>
      <c r="AH546" s="8">
        <f t="shared" si="160"/>
        <v>0.42669431848746814</v>
      </c>
      <c r="AI546" s="8">
        <f t="shared" si="161"/>
        <v>0.67214195382773778</v>
      </c>
      <c r="AJ546" s="8"/>
      <c r="AK546" s="8"/>
      <c r="AL546" s="8"/>
      <c r="AN546" s="8">
        <f t="shared" si="167"/>
        <v>1</v>
      </c>
      <c r="AO546" s="8">
        <f t="shared" si="168"/>
        <v>2.5274169463053546</v>
      </c>
      <c r="AP546" s="8">
        <f t="shared" si="169"/>
        <v>0.8336984426207551</v>
      </c>
      <c r="AQ546" s="8"/>
      <c r="AR546" s="8">
        <f t="shared" si="170"/>
        <v>144.81032409313943</v>
      </c>
      <c r="AS546" s="8">
        <f t="shared" si="171"/>
        <v>42.232597851201099</v>
      </c>
    </row>
    <row r="547" spans="1:45">
      <c r="A547" s="19">
        <v>17.183833329999999</v>
      </c>
      <c r="B547" s="19">
        <v>1014.488029</v>
      </c>
      <c r="C547" s="19">
        <v>-414.15260030000002</v>
      </c>
      <c r="E547" s="9">
        <f t="shared" si="157"/>
        <v>54.488028999999983</v>
      </c>
      <c r="F547" s="9">
        <f t="shared" si="162"/>
        <v>125.84739969999998</v>
      </c>
      <c r="I547">
        <v>1</v>
      </c>
      <c r="J547">
        <f t="shared" si="158"/>
        <v>8.9566610426168231E-2</v>
      </c>
      <c r="K547">
        <f t="shared" si="163"/>
        <v>1.1621952323934523</v>
      </c>
      <c r="O547">
        <f t="shared" si="164"/>
        <v>3.5539578649494301E-2</v>
      </c>
      <c r="P547">
        <f t="shared" si="165"/>
        <v>8.2083416147655047E-2</v>
      </c>
      <c r="Q547">
        <f t="shared" si="166"/>
        <v>0.99599159190374054</v>
      </c>
      <c r="R547">
        <f t="shared" si="156"/>
        <v>1</v>
      </c>
      <c r="AG547" s="8">
        <f t="shared" si="159"/>
        <v>-0.60479795909225609</v>
      </c>
      <c r="AH547" s="8">
        <f t="shared" si="160"/>
        <v>0.42703705674645254</v>
      </c>
      <c r="AI547" s="8">
        <f t="shared" si="161"/>
        <v>0.67220441894052496</v>
      </c>
      <c r="AJ547" s="8"/>
      <c r="AK547" s="8"/>
      <c r="AL547" s="8"/>
      <c r="AN547" s="8">
        <f t="shared" si="167"/>
        <v>0.99999999999999989</v>
      </c>
      <c r="AO547" s="8">
        <f t="shared" si="168"/>
        <v>2.5267963475043906</v>
      </c>
      <c r="AP547" s="8">
        <f t="shared" si="169"/>
        <v>0.83361407522081588</v>
      </c>
      <c r="AQ547" s="8"/>
      <c r="AR547" s="8">
        <f t="shared" si="170"/>
        <v>144.77476640107329</v>
      </c>
      <c r="AS547" s="8">
        <f t="shared" si="171"/>
        <v>42.237431747146111</v>
      </c>
    </row>
    <row r="548" spans="1:45">
      <c r="A548" s="19">
        <v>17.217199999999998</v>
      </c>
      <c r="B548" s="19">
        <v>1013.890189</v>
      </c>
      <c r="C548" s="19">
        <v>-413.9729744</v>
      </c>
      <c r="E548" s="9">
        <f t="shared" si="157"/>
        <v>53.890188999999964</v>
      </c>
      <c r="F548" s="9">
        <f t="shared" si="162"/>
        <v>126.0270256</v>
      </c>
      <c r="I548">
        <v>1</v>
      </c>
      <c r="J548">
        <f t="shared" si="158"/>
        <v>8.9519830775594583E-2</v>
      </c>
      <c r="K548">
        <f t="shared" si="163"/>
        <v>1.1667185901131145</v>
      </c>
      <c r="O548">
        <f t="shared" si="164"/>
        <v>3.5149604965346089E-2</v>
      </c>
      <c r="P548">
        <f t="shared" si="165"/>
        <v>8.2200494134425151E-2</v>
      </c>
      <c r="Q548">
        <f t="shared" si="166"/>
        <v>0.99599577510892912</v>
      </c>
      <c r="R548">
        <f t="shared" si="156"/>
        <v>1</v>
      </c>
      <c r="AG548" s="8">
        <f t="shared" si="159"/>
        <v>-0.60454551130881817</v>
      </c>
      <c r="AH548" s="8">
        <f t="shared" si="160"/>
        <v>0.42735559522868455</v>
      </c>
      <c r="AI548" s="8">
        <f t="shared" si="161"/>
        <v>0.6722290680884726</v>
      </c>
      <c r="AJ548" s="8"/>
      <c r="AK548" s="8"/>
      <c r="AL548" s="8"/>
      <c r="AN548" s="8">
        <f t="shared" si="167"/>
        <v>1</v>
      </c>
      <c r="AO548" s="8">
        <f t="shared" si="168"/>
        <v>2.5262481948209126</v>
      </c>
      <c r="AP548" s="8">
        <f t="shared" si="169"/>
        <v>0.83358078150678039</v>
      </c>
      <c r="AQ548" s="8"/>
      <c r="AR548" s="8">
        <f t="shared" si="170"/>
        <v>144.74335956578125</v>
      </c>
      <c r="AS548" s="8">
        <f t="shared" si="171"/>
        <v>42.239339336444658</v>
      </c>
    </row>
    <row r="549" spans="1:45">
      <c r="A549" s="19">
        <v>17.250566670000001</v>
      </c>
      <c r="B549" s="19">
        <v>1013.350452</v>
      </c>
      <c r="C549" s="19">
        <v>-413.71577530000002</v>
      </c>
      <c r="E549" s="9">
        <f t="shared" si="157"/>
        <v>53.350452000000018</v>
      </c>
      <c r="F549" s="9">
        <f t="shared" si="162"/>
        <v>126.28422469999998</v>
      </c>
      <c r="I549">
        <v>1</v>
      </c>
      <c r="J549">
        <f t="shared" si="158"/>
        <v>8.9536613500347251E-2</v>
      </c>
      <c r="K549">
        <f t="shared" si="163"/>
        <v>1.1710762361888183</v>
      </c>
      <c r="O549">
        <f t="shared" si="164"/>
        <v>3.4797576726112042E-2</v>
      </c>
      <c r="P549">
        <f t="shared" si="165"/>
        <v>8.2368280559194179E-2</v>
      </c>
      <c r="Q549">
        <f t="shared" si="166"/>
        <v>0.9959942745878172</v>
      </c>
      <c r="R549">
        <f t="shared" si="156"/>
        <v>1</v>
      </c>
      <c r="AG549" s="8">
        <f t="shared" si="159"/>
        <v>-0.60427663350719318</v>
      </c>
      <c r="AH549" s="8">
        <f t="shared" si="160"/>
        <v>0.42762992055706139</v>
      </c>
      <c r="AI549" s="8">
        <f t="shared" si="161"/>
        <v>0.67229636414424754</v>
      </c>
      <c r="AJ549" s="8"/>
      <c r="AK549" s="8"/>
      <c r="AL549" s="8"/>
      <c r="AN549" s="8">
        <f t="shared" si="167"/>
        <v>1</v>
      </c>
      <c r="AO549" s="8">
        <f t="shared" si="168"/>
        <v>2.5257359386124563</v>
      </c>
      <c r="AP549" s="8">
        <f t="shared" si="169"/>
        <v>0.83348987929866569</v>
      </c>
      <c r="AQ549" s="8"/>
      <c r="AR549" s="8">
        <f t="shared" si="170"/>
        <v>144.71400944700733</v>
      </c>
      <c r="AS549" s="8">
        <f t="shared" si="171"/>
        <v>42.244547649318051</v>
      </c>
    </row>
    <row r="550" spans="1:45">
      <c r="A550" s="19">
        <v>17.28393333</v>
      </c>
      <c r="B550" s="19">
        <v>1012.5719319999999</v>
      </c>
      <c r="C550" s="19">
        <v>-413.61312500000003</v>
      </c>
      <c r="E550" s="9">
        <f t="shared" si="157"/>
        <v>52.571931999999947</v>
      </c>
      <c r="F550" s="9">
        <f t="shared" si="162"/>
        <v>126.38687499999997</v>
      </c>
      <c r="I550">
        <v>1</v>
      </c>
      <c r="J550">
        <f t="shared" si="158"/>
        <v>8.9401242253904015E-2</v>
      </c>
      <c r="K550">
        <f t="shared" si="163"/>
        <v>1.1766071680787711</v>
      </c>
      <c r="O550">
        <f t="shared" si="164"/>
        <v>3.428969076161166E-2</v>
      </c>
      <c r="P550">
        <f t="shared" si="165"/>
        <v>8.2434993259834374E-2</v>
      </c>
      <c r="Q550">
        <f t="shared" si="166"/>
        <v>0.99600636995639946</v>
      </c>
      <c r="R550">
        <f t="shared" si="156"/>
        <v>1</v>
      </c>
      <c r="AG550" s="8">
        <f t="shared" si="159"/>
        <v>-0.60400406113340677</v>
      </c>
      <c r="AH550" s="8">
        <f t="shared" si="160"/>
        <v>0.42806272461338074</v>
      </c>
      <c r="AI550" s="8">
        <f t="shared" si="161"/>
        <v>0.67226586848576564</v>
      </c>
      <c r="AJ550" s="8"/>
      <c r="AK550" s="8"/>
      <c r="AL550" s="8"/>
      <c r="AN550" s="8">
        <f t="shared" si="167"/>
        <v>1</v>
      </c>
      <c r="AO550" s="8">
        <f t="shared" si="168"/>
        <v>2.5250460349166333</v>
      </c>
      <c r="AP550" s="8">
        <f t="shared" si="169"/>
        <v>0.83353107317294384</v>
      </c>
      <c r="AQ550" s="8"/>
      <c r="AR550" s="8">
        <f t="shared" si="170"/>
        <v>144.67448087696619</v>
      </c>
      <c r="AS550" s="8">
        <f t="shared" si="171"/>
        <v>42.242187414180123</v>
      </c>
    </row>
    <row r="551" spans="1:45">
      <c r="A551" s="19">
        <v>17.317299999999999</v>
      </c>
      <c r="B551" s="19">
        <v>1011.991676</v>
      </c>
      <c r="C551" s="19">
        <v>-413.55581530000001</v>
      </c>
      <c r="E551" s="9">
        <f t="shared" si="157"/>
        <v>51.991675999999984</v>
      </c>
      <c r="F551" s="9">
        <f t="shared" si="162"/>
        <v>126.44418469999999</v>
      </c>
      <c r="I551">
        <v>1</v>
      </c>
      <c r="J551">
        <f t="shared" si="158"/>
        <v>8.9290485859682453E-2</v>
      </c>
      <c r="K551">
        <f t="shared" si="163"/>
        <v>1.1806869176084249</v>
      </c>
      <c r="O551">
        <f t="shared" si="164"/>
        <v>3.3911140701062679E-2</v>
      </c>
      <c r="P551">
        <f t="shared" si="165"/>
        <v>8.2472173780142363E-2</v>
      </c>
      <c r="Q551">
        <f t="shared" si="166"/>
        <v>0.99601625242178193</v>
      </c>
      <c r="R551">
        <f t="shared" si="156"/>
        <v>1</v>
      </c>
      <c r="AG551" s="8">
        <f t="shared" si="159"/>
        <v>-0.60380905383314876</v>
      </c>
      <c r="AH551" s="8">
        <f t="shared" si="160"/>
        <v>0.42838788866006761</v>
      </c>
      <c r="AI551" s="8">
        <f t="shared" si="161"/>
        <v>0.67223392011894734</v>
      </c>
      <c r="AJ551" s="8"/>
      <c r="AK551" s="8"/>
      <c r="AL551" s="8"/>
      <c r="AN551" s="8">
        <f t="shared" si="167"/>
        <v>1</v>
      </c>
      <c r="AO551" s="8">
        <f t="shared" si="168"/>
        <v>2.524535387323477</v>
      </c>
      <c r="AP551" s="8">
        <f t="shared" si="169"/>
        <v>0.83357422772902512</v>
      </c>
      <c r="AQ551" s="8"/>
      <c r="AR551" s="8">
        <f t="shared" si="170"/>
        <v>144.64522292505981</v>
      </c>
      <c r="AS551" s="8">
        <f t="shared" si="171"/>
        <v>42.239714840249903</v>
      </c>
    </row>
    <row r="552" spans="1:45">
      <c r="A552" s="19">
        <v>17.350666669999999</v>
      </c>
      <c r="B552" s="19">
        <v>1011.381247</v>
      </c>
      <c r="C552" s="19">
        <v>-413.52120079999997</v>
      </c>
      <c r="E552" s="9">
        <f t="shared" si="157"/>
        <v>51.38124700000003</v>
      </c>
      <c r="F552" s="9">
        <f t="shared" si="162"/>
        <v>126.47879920000003</v>
      </c>
      <c r="I552">
        <v>1</v>
      </c>
      <c r="J552">
        <f t="shared" si="158"/>
        <v>8.9159976768999061E-2</v>
      </c>
      <c r="K552">
        <f t="shared" si="163"/>
        <v>1.1849188502192001</v>
      </c>
      <c r="O552">
        <f t="shared" si="164"/>
        <v>3.351289679768954E-2</v>
      </c>
      <c r="P552">
        <f t="shared" si="165"/>
        <v>8.2494512923855207E-2</v>
      </c>
      <c r="Q552">
        <f t="shared" si="166"/>
        <v>0.99602788168087109</v>
      </c>
      <c r="R552">
        <f t="shared" si="156"/>
        <v>1</v>
      </c>
      <c r="AG552" s="8">
        <f t="shared" si="159"/>
        <v>-0.60361485194847841</v>
      </c>
      <c r="AH552" s="8">
        <f t="shared" si="160"/>
        <v>0.42873344866749585</v>
      </c>
      <c r="AI552" s="8">
        <f t="shared" si="161"/>
        <v>0.67218802466340632</v>
      </c>
      <c r="AJ552" s="8"/>
      <c r="AK552" s="8"/>
      <c r="AL552" s="8"/>
      <c r="AN552" s="8">
        <f t="shared" si="167"/>
        <v>1</v>
      </c>
      <c r="AO552" s="8">
        <f t="shared" si="168"/>
        <v>2.5240029502582164</v>
      </c>
      <c r="AP552" s="8">
        <f t="shared" si="169"/>
        <v>0.83363621848673553</v>
      </c>
      <c r="AQ552" s="8"/>
      <c r="AR552" s="8">
        <f t="shared" si="170"/>
        <v>144.61471652836406</v>
      </c>
      <c r="AS552" s="8">
        <f t="shared" si="171"/>
        <v>42.23616303146428</v>
      </c>
    </row>
    <row r="553" spans="1:45">
      <c r="A553" s="19">
        <v>17.384033330000001</v>
      </c>
      <c r="B553" s="19">
        <v>1010.720049</v>
      </c>
      <c r="C553" s="19">
        <v>-413.39714830000003</v>
      </c>
      <c r="E553" s="9">
        <f t="shared" si="157"/>
        <v>50.720049000000017</v>
      </c>
      <c r="F553" s="9">
        <f t="shared" si="162"/>
        <v>126.60285169999997</v>
      </c>
      <c r="I553">
        <v>1</v>
      </c>
      <c r="J553">
        <f t="shared" si="158"/>
        <v>8.9073147194997898E-2</v>
      </c>
      <c r="K553">
        <f t="shared" si="163"/>
        <v>1.1897527596467494</v>
      </c>
      <c r="O553">
        <f t="shared" si="164"/>
        <v>3.3081572946588735E-2</v>
      </c>
      <c r="P553">
        <f t="shared" si="165"/>
        <v>8.2575264739190302E-2</v>
      </c>
      <c r="Q553">
        <f t="shared" si="166"/>
        <v>0.99603560939588509</v>
      </c>
      <c r="R553">
        <f t="shared" si="156"/>
        <v>1</v>
      </c>
      <c r="AG553" s="8">
        <f t="shared" si="159"/>
        <v>-0.60336714461389573</v>
      </c>
      <c r="AH553" s="8">
        <f t="shared" si="160"/>
        <v>0.42909564455767746</v>
      </c>
      <c r="AI553" s="8">
        <f t="shared" si="161"/>
        <v>0.67217930392277447</v>
      </c>
      <c r="AJ553" s="8"/>
      <c r="AK553" s="8"/>
      <c r="AL553" s="8"/>
      <c r="AN553" s="8">
        <f t="shared" si="167"/>
        <v>1</v>
      </c>
      <c r="AO553" s="8">
        <f t="shared" si="168"/>
        <v>2.5234103826640766</v>
      </c>
      <c r="AP553" s="8">
        <f t="shared" si="169"/>
        <v>0.83364799715217108</v>
      </c>
      <c r="AQ553" s="8"/>
      <c r="AR553" s="8">
        <f t="shared" si="170"/>
        <v>144.58076490614363</v>
      </c>
      <c r="AS553" s="8">
        <f t="shared" si="171"/>
        <v>42.235488163646522</v>
      </c>
    </row>
    <row r="554" spans="1:45">
      <c r="A554" s="19">
        <v>17.417400000000001</v>
      </c>
      <c r="B554" s="19">
        <v>1010.1938239999999</v>
      </c>
      <c r="C554" s="19">
        <v>-413.17862769999999</v>
      </c>
      <c r="E554" s="9">
        <f t="shared" si="157"/>
        <v>50.19382399999995</v>
      </c>
      <c r="F554" s="9">
        <f t="shared" si="162"/>
        <v>126.82137230000001</v>
      </c>
      <c r="I554">
        <v>1</v>
      </c>
      <c r="J554">
        <f t="shared" si="158"/>
        <v>8.9078619583646823E-2</v>
      </c>
      <c r="K554">
        <f t="shared" si="163"/>
        <v>1.1939300215371076</v>
      </c>
      <c r="O554">
        <f t="shared" si="164"/>
        <v>3.2738352716188565E-2</v>
      </c>
      <c r="P554">
        <f t="shared" si="165"/>
        <v>8.2717802459292014E-2</v>
      </c>
      <c r="Q554">
        <f t="shared" si="166"/>
        <v>0.99603512258239968</v>
      </c>
      <c r="R554">
        <f t="shared" si="156"/>
        <v>1</v>
      </c>
      <c r="AG554" s="8">
        <f t="shared" si="159"/>
        <v>-0.60311837002234381</v>
      </c>
      <c r="AH554" s="8">
        <f t="shared" si="160"/>
        <v>0.42936720186927968</v>
      </c>
      <c r="AI554" s="8">
        <f t="shared" si="161"/>
        <v>0.67222915564600161</v>
      </c>
      <c r="AJ554" s="8"/>
      <c r="AK554" s="8"/>
      <c r="AL554" s="8"/>
      <c r="AN554" s="8">
        <f t="shared" si="167"/>
        <v>0.99999999999999978</v>
      </c>
      <c r="AO554" s="8">
        <f t="shared" si="168"/>
        <v>2.5229167202095519</v>
      </c>
      <c r="AP554" s="8">
        <f t="shared" si="169"/>
        <v>0.83358066324064151</v>
      </c>
      <c r="AQ554" s="8"/>
      <c r="AR554" s="8">
        <f t="shared" si="170"/>
        <v>144.55248013099529</v>
      </c>
      <c r="AS554" s="8">
        <f t="shared" si="171"/>
        <v>42.239346112595278</v>
      </c>
    </row>
    <row r="555" spans="1:45">
      <c r="A555" s="19">
        <v>17.45076667</v>
      </c>
      <c r="B555" s="19">
        <v>1009.498939</v>
      </c>
      <c r="C555" s="19">
        <v>-412.90836380000002</v>
      </c>
      <c r="E555" s="9">
        <f t="shared" si="157"/>
        <v>49.49893899999995</v>
      </c>
      <c r="F555" s="9">
        <f t="shared" si="162"/>
        <v>127.09163619999998</v>
      </c>
      <c r="I555">
        <v>1</v>
      </c>
      <c r="J555">
        <f t="shared" si="158"/>
        <v>8.9077052512054944E-2</v>
      </c>
      <c r="K555">
        <f t="shared" si="163"/>
        <v>1.1993965428168087</v>
      </c>
      <c r="O555">
        <f t="shared" si="164"/>
        <v>3.2285120717432614E-2</v>
      </c>
      <c r="P555">
        <f t="shared" si="165"/>
        <v>8.2894076111268408E-2</v>
      </c>
      <c r="Q555">
        <f t="shared" si="166"/>
        <v>0.99603526198921288</v>
      </c>
      <c r="R555">
        <f t="shared" si="156"/>
        <v>1</v>
      </c>
      <c r="AG555" s="8">
        <f t="shared" si="159"/>
        <v>-0.60279759619777273</v>
      </c>
      <c r="AH555" s="8">
        <f t="shared" si="160"/>
        <v>0.42972823439593077</v>
      </c>
      <c r="AI555" s="8">
        <f t="shared" si="161"/>
        <v>0.67228617610444941</v>
      </c>
      <c r="AJ555" s="8"/>
      <c r="AK555" s="8"/>
      <c r="AL555" s="8"/>
      <c r="AN555" s="8">
        <f t="shared" si="167"/>
        <v>0.99999999999999978</v>
      </c>
      <c r="AO555" s="8">
        <f t="shared" si="168"/>
        <v>2.5222681253688344</v>
      </c>
      <c r="AP555" s="8">
        <f t="shared" si="169"/>
        <v>0.83350364158743073</v>
      </c>
      <c r="AQ555" s="8"/>
      <c r="AR555" s="8">
        <f t="shared" si="170"/>
        <v>144.51531838400822</v>
      </c>
      <c r="AS555" s="8">
        <f t="shared" si="171"/>
        <v>42.243759128255377</v>
      </c>
    </row>
    <row r="556" spans="1:45">
      <c r="A556" s="19">
        <v>17.484133329999999</v>
      </c>
      <c r="B556" s="19">
        <v>1008.69595</v>
      </c>
      <c r="C556" s="19">
        <v>-412.6686115</v>
      </c>
      <c r="E556" s="9">
        <f t="shared" si="157"/>
        <v>48.695950000000039</v>
      </c>
      <c r="F556" s="9">
        <f t="shared" si="162"/>
        <v>127.3313885</v>
      </c>
      <c r="I556">
        <v>1</v>
      </c>
      <c r="J556">
        <f t="shared" si="158"/>
        <v>8.9034103516942215E-2</v>
      </c>
      <c r="K556">
        <f t="shared" si="163"/>
        <v>1.2055234890495139</v>
      </c>
      <c r="O556">
        <f t="shared" si="164"/>
        <v>3.1761349603318445E-2</v>
      </c>
      <c r="P556">
        <f t="shared" si="165"/>
        <v>8.3050371655639957E-2</v>
      </c>
      <c r="Q556">
        <f t="shared" si="166"/>
        <v>0.99603908178305722</v>
      </c>
      <c r="R556">
        <f t="shared" si="156"/>
        <v>1</v>
      </c>
      <c r="AG556" s="8">
        <f t="shared" si="159"/>
        <v>-0.60245795967991111</v>
      </c>
      <c r="AH556" s="8">
        <f t="shared" si="160"/>
        <v>0.43015537333515919</v>
      </c>
      <c r="AI556" s="8">
        <f t="shared" si="161"/>
        <v>0.67231745597538095</v>
      </c>
      <c r="AJ556" s="8"/>
      <c r="AK556" s="8"/>
      <c r="AL556" s="8"/>
      <c r="AN556" s="8">
        <f t="shared" si="167"/>
        <v>0.99999999999999989</v>
      </c>
      <c r="AO556" s="8">
        <f t="shared" si="168"/>
        <v>2.5215319534623379</v>
      </c>
      <c r="AP556" s="8">
        <f t="shared" si="169"/>
        <v>0.83346138731729258</v>
      </c>
      <c r="AQ556" s="8"/>
      <c r="AR556" s="8">
        <f t="shared" si="170"/>
        <v>144.47313884076988</v>
      </c>
      <c r="AS556" s="8">
        <f t="shared" si="171"/>
        <v>42.246180119600695</v>
      </c>
    </row>
    <row r="557" spans="1:45">
      <c r="A557" s="19">
        <v>17.517499999999998</v>
      </c>
      <c r="B557" s="19">
        <v>1008.244296</v>
      </c>
      <c r="C557" s="19">
        <v>-412.63715300000001</v>
      </c>
      <c r="E557" s="9">
        <f t="shared" si="157"/>
        <v>48.244295999999963</v>
      </c>
      <c r="F557" s="9">
        <f t="shared" si="162"/>
        <v>127.36284699999999</v>
      </c>
      <c r="I557">
        <v>1</v>
      </c>
      <c r="J557">
        <f t="shared" si="158"/>
        <v>8.8947976222367359E-2</v>
      </c>
      <c r="K557">
        <f t="shared" si="163"/>
        <v>1.2087034716710034</v>
      </c>
      <c r="O557">
        <f t="shared" si="164"/>
        <v>3.1466702389785717E-2</v>
      </c>
      <c r="P557">
        <f t="shared" si="165"/>
        <v>8.3070728238314753E-2</v>
      </c>
      <c r="Q557">
        <f t="shared" si="166"/>
        <v>0.99604673622810924</v>
      </c>
      <c r="R557">
        <f t="shared" si="156"/>
        <v>1</v>
      </c>
      <c r="AG557" s="8">
        <f t="shared" si="159"/>
        <v>-0.6023113491613723</v>
      </c>
      <c r="AH557" s="8">
        <f t="shared" si="160"/>
        <v>0.43040993076093176</v>
      </c>
      <c r="AI557" s="8">
        <f t="shared" si="161"/>
        <v>0.67228589913352887</v>
      </c>
      <c r="AJ557" s="8"/>
      <c r="AK557" s="8"/>
      <c r="AL557" s="8"/>
      <c r="AN557" s="8">
        <f t="shared" si="167"/>
        <v>1</v>
      </c>
      <c r="AO557" s="8">
        <f t="shared" si="168"/>
        <v>2.5211370240337936</v>
      </c>
      <c r="AP557" s="8">
        <f t="shared" si="169"/>
        <v>0.83350401572508592</v>
      </c>
      <c r="AQ557" s="8"/>
      <c r="AR557" s="8">
        <f t="shared" si="170"/>
        <v>144.45051105130878</v>
      </c>
      <c r="AS557" s="8">
        <f t="shared" si="171"/>
        <v>42.243737691746773</v>
      </c>
    </row>
    <row r="558" spans="1:45">
      <c r="A558" s="19">
        <v>17.550866670000001</v>
      </c>
      <c r="B558" s="19">
        <v>1007.527934</v>
      </c>
      <c r="C558" s="19">
        <v>-412.62219169999997</v>
      </c>
      <c r="E558" s="9">
        <f t="shared" si="157"/>
        <v>47.527933999999959</v>
      </c>
      <c r="F558" s="9">
        <f t="shared" si="162"/>
        <v>127.37780830000003</v>
      </c>
      <c r="I558">
        <v>1</v>
      </c>
      <c r="J558">
        <f t="shared" si="158"/>
        <v>8.8791751115263814E-2</v>
      </c>
      <c r="K558">
        <f t="shared" si="163"/>
        <v>1.2136698893687665</v>
      </c>
      <c r="O558">
        <f t="shared" si="164"/>
        <v>3.0999353899525479E-2</v>
      </c>
      <c r="P558">
        <f t="shared" si="165"/>
        <v>8.3080189398462345E-2</v>
      </c>
      <c r="Q558">
        <f t="shared" si="166"/>
        <v>0.99606060166403909</v>
      </c>
      <c r="R558">
        <f t="shared" si="156"/>
        <v>1</v>
      </c>
      <c r="AG558" s="8">
        <f t="shared" si="159"/>
        <v>-0.6020937368283068</v>
      </c>
      <c r="AH558" s="8">
        <f t="shared" si="160"/>
        <v>0.43081844865265156</v>
      </c>
      <c r="AI558" s="8">
        <f t="shared" si="161"/>
        <v>0.67221915799287379</v>
      </c>
      <c r="AJ558" s="8"/>
      <c r="AK558" s="8"/>
      <c r="AL558" s="8"/>
      <c r="AN558" s="8">
        <f t="shared" si="167"/>
        <v>1</v>
      </c>
      <c r="AO558" s="8">
        <f t="shared" si="168"/>
        <v>2.5205171881680841</v>
      </c>
      <c r="AP558" s="8">
        <f t="shared" si="169"/>
        <v>0.83359416723807056</v>
      </c>
      <c r="AQ558" s="8"/>
      <c r="AR558" s="8">
        <f t="shared" si="170"/>
        <v>144.41499707221277</v>
      </c>
      <c r="AS558" s="8">
        <f t="shared" si="171"/>
        <v>42.238572390536035</v>
      </c>
    </row>
    <row r="559" spans="1:45">
      <c r="A559" s="19">
        <v>17.58423333</v>
      </c>
      <c r="B559" s="19">
        <v>1006.7538479999999</v>
      </c>
      <c r="C559" s="19">
        <v>-412.57818759999998</v>
      </c>
      <c r="E559" s="9">
        <f t="shared" si="157"/>
        <v>46.753847999999948</v>
      </c>
      <c r="F559" s="9">
        <f t="shared" si="162"/>
        <v>127.42181240000002</v>
      </c>
      <c r="I559">
        <v>1</v>
      </c>
      <c r="J559">
        <f t="shared" si="158"/>
        <v>8.8642565957273406E-2</v>
      </c>
      <c r="K559">
        <f t="shared" si="163"/>
        <v>1.2191266041373803</v>
      </c>
      <c r="O559">
        <f t="shared" si="164"/>
        <v>3.0494362654570523E-2</v>
      </c>
      <c r="P559">
        <f t="shared" si="165"/>
        <v>8.3108602257257094E-2</v>
      </c>
      <c r="Q559">
        <f t="shared" si="166"/>
        <v>0.99607381959227126</v>
      </c>
      <c r="R559">
        <f t="shared" si="156"/>
        <v>1</v>
      </c>
      <c r="AG559" s="8">
        <f t="shared" si="159"/>
        <v>-0.60184644940194232</v>
      </c>
      <c r="AH559" s="8">
        <f t="shared" si="160"/>
        <v>0.43125589533473652</v>
      </c>
      <c r="AI559" s="8">
        <f t="shared" si="161"/>
        <v>0.67216010301215445</v>
      </c>
      <c r="AJ559" s="8"/>
      <c r="AK559" s="8"/>
      <c r="AL559" s="8"/>
      <c r="AN559" s="8">
        <f t="shared" si="167"/>
        <v>1</v>
      </c>
      <c r="AO559" s="8">
        <f t="shared" si="168"/>
        <v>2.5198423502015119</v>
      </c>
      <c r="AP559" s="8">
        <f t="shared" si="169"/>
        <v>0.83367393041177007</v>
      </c>
      <c r="AQ559" s="8"/>
      <c r="AR559" s="8">
        <f t="shared" si="170"/>
        <v>144.376331704873</v>
      </c>
      <c r="AS559" s="8">
        <f t="shared" si="171"/>
        <v>42.234002297322483</v>
      </c>
    </row>
    <row r="560" spans="1:45">
      <c r="A560" s="19">
        <v>17.617599999999999</v>
      </c>
      <c r="B560" s="19">
        <v>1006.2807749999999</v>
      </c>
      <c r="C560" s="19">
        <v>-412.50268</v>
      </c>
      <c r="E560" s="9">
        <f t="shared" si="157"/>
        <v>46.280774999999949</v>
      </c>
      <c r="F560" s="9">
        <f t="shared" si="162"/>
        <v>127.49732</v>
      </c>
      <c r="I560">
        <v>1</v>
      </c>
      <c r="J560">
        <f t="shared" si="158"/>
        <v>8.8582686386781309E-2</v>
      </c>
      <c r="K560">
        <f t="shared" si="163"/>
        <v>1.2225926944148033</v>
      </c>
      <c r="O560">
        <f t="shared" si="164"/>
        <v>3.0185766804518805E-2</v>
      </c>
      <c r="P560">
        <f t="shared" si="165"/>
        <v>8.315773384782589E-2</v>
      </c>
      <c r="Q560">
        <f t="shared" si="166"/>
        <v>0.99607911873691912</v>
      </c>
      <c r="R560">
        <f t="shared" si="156"/>
        <v>1</v>
      </c>
      <c r="AG560" s="8">
        <f t="shared" si="159"/>
        <v>-0.60167431246226377</v>
      </c>
      <c r="AH560" s="8">
        <f t="shared" si="160"/>
        <v>0.43151641572100552</v>
      </c>
      <c r="AI560" s="8">
        <f t="shared" si="161"/>
        <v>0.67214701121581921</v>
      </c>
      <c r="AJ560" s="8"/>
      <c r="AK560" s="8"/>
      <c r="AL560" s="8"/>
      <c r="AN560" s="8">
        <f t="shared" si="167"/>
        <v>1</v>
      </c>
      <c r="AO560" s="8">
        <f t="shared" si="168"/>
        <v>2.5194209268112076</v>
      </c>
      <c r="AP560" s="8">
        <f t="shared" si="169"/>
        <v>0.8336916121893817</v>
      </c>
      <c r="AQ560" s="8"/>
      <c r="AR560" s="8">
        <f t="shared" si="170"/>
        <v>144.35218592322047</v>
      </c>
      <c r="AS560" s="8">
        <f t="shared" si="171"/>
        <v>42.232989206091048</v>
      </c>
    </row>
    <row r="561" spans="1:45">
      <c r="A561" s="19">
        <v>17.650966669999999</v>
      </c>
      <c r="B561" s="19">
        <v>1005.52919</v>
      </c>
      <c r="C561" s="19">
        <v>-412.54344400000002</v>
      </c>
      <c r="E561" s="9">
        <f t="shared" si="157"/>
        <v>45.529189999999971</v>
      </c>
      <c r="F561" s="9">
        <f t="shared" si="162"/>
        <v>127.45655599999998</v>
      </c>
      <c r="I561">
        <v>1</v>
      </c>
      <c r="J561">
        <f t="shared" si="158"/>
        <v>8.8390431246244003E-2</v>
      </c>
      <c r="K561">
        <f t="shared" si="163"/>
        <v>1.2277098229352932</v>
      </c>
      <c r="O561">
        <f t="shared" si="164"/>
        <v>2.9695423943531783E-2</v>
      </c>
      <c r="P561">
        <f t="shared" si="165"/>
        <v>8.313076654345268E-2</v>
      </c>
      <c r="Q561">
        <f t="shared" si="166"/>
        <v>0.99609610854109454</v>
      </c>
      <c r="R561">
        <f t="shared" si="156"/>
        <v>1</v>
      </c>
      <c r="AG561" s="8">
        <f t="shared" si="159"/>
        <v>-0.60146990417793078</v>
      </c>
      <c r="AH561" s="8">
        <f t="shared" si="160"/>
        <v>0.43195255836077834</v>
      </c>
      <c r="AI561" s="8">
        <f t="shared" si="161"/>
        <v>0.67204980596215447</v>
      </c>
      <c r="AJ561" s="8"/>
      <c r="AK561" s="8"/>
      <c r="AL561" s="8"/>
      <c r="AN561" s="8">
        <f t="shared" si="167"/>
        <v>1.0000000000000004</v>
      </c>
      <c r="AO561" s="8">
        <f t="shared" si="168"/>
        <v>2.5187814378707887</v>
      </c>
      <c r="AP561" s="8">
        <f t="shared" si="169"/>
        <v>0.83382288871074384</v>
      </c>
      <c r="AQ561" s="8"/>
      <c r="AR561" s="8">
        <f t="shared" si="170"/>
        <v>144.31554590588917</v>
      </c>
      <c r="AS561" s="8">
        <f t="shared" si="171"/>
        <v>42.225467615467842</v>
      </c>
    </row>
    <row r="562" spans="1:45">
      <c r="A562" s="19">
        <v>17.684333330000001</v>
      </c>
      <c r="B562" s="19">
        <v>1004.894949</v>
      </c>
      <c r="C562" s="19">
        <v>-412.54526069999997</v>
      </c>
      <c r="E562" s="9">
        <f t="shared" si="157"/>
        <v>44.894948999999997</v>
      </c>
      <c r="F562" s="9">
        <f t="shared" si="162"/>
        <v>127.45473930000003</v>
      </c>
      <c r="I562">
        <v>1</v>
      </c>
      <c r="J562">
        <f t="shared" si="158"/>
        <v>8.8250172888115083E-2</v>
      </c>
      <c r="K562">
        <f t="shared" si="163"/>
        <v>1.2321253216516499</v>
      </c>
      <c r="O562">
        <f t="shared" si="164"/>
        <v>2.9281654912137946E-2</v>
      </c>
      <c r="P562">
        <f t="shared" si="165"/>
        <v>8.3129300204775963E-2</v>
      </c>
      <c r="Q562">
        <f t="shared" si="166"/>
        <v>0.99610848010298092</v>
      </c>
      <c r="R562">
        <f t="shared" si="156"/>
        <v>1</v>
      </c>
      <c r="AG562" s="8">
        <f t="shared" si="159"/>
        <v>-0.60128326339478022</v>
      </c>
      <c r="AH562" s="8">
        <f t="shared" si="160"/>
        <v>0.43231598568499763</v>
      </c>
      <c r="AI562" s="8">
        <f t="shared" si="161"/>
        <v>0.67198312901629631</v>
      </c>
      <c r="AJ562" s="8"/>
      <c r="AK562" s="8"/>
      <c r="AL562" s="8"/>
      <c r="AN562" s="8">
        <f t="shared" si="167"/>
        <v>1</v>
      </c>
      <c r="AO562" s="8">
        <f t="shared" si="168"/>
        <v>2.5182358253177037</v>
      </c>
      <c r="AP562" s="8">
        <f t="shared" si="169"/>
        <v>0.83391292744983336</v>
      </c>
      <c r="AQ562" s="8"/>
      <c r="AR562" s="8">
        <f t="shared" si="170"/>
        <v>144.28428460934805</v>
      </c>
      <c r="AS562" s="8">
        <f t="shared" si="171"/>
        <v>42.220308775725336</v>
      </c>
    </row>
    <row r="563" spans="1:45">
      <c r="A563" s="19">
        <v>17.717700000000001</v>
      </c>
      <c r="B563" s="19">
        <v>1004.334906</v>
      </c>
      <c r="C563" s="19">
        <v>-412.37649149999999</v>
      </c>
      <c r="E563" s="9">
        <f t="shared" si="157"/>
        <v>44.334906000000046</v>
      </c>
      <c r="F563" s="9">
        <f t="shared" si="162"/>
        <v>127.62350850000001</v>
      </c>
      <c r="I563">
        <v>1</v>
      </c>
      <c r="J563">
        <f t="shared" si="158"/>
        <v>8.8233361982331157E-2</v>
      </c>
      <c r="K563">
        <f t="shared" si="163"/>
        <v>1.2364501345065904</v>
      </c>
      <c r="O563">
        <f t="shared" si="164"/>
        <v>2.8916368462362153E-2</v>
      </c>
      <c r="P563">
        <f t="shared" si="165"/>
        <v>8.3239341846025425E-2</v>
      </c>
      <c r="Q563">
        <f t="shared" si="166"/>
        <v>0.99610996160262821</v>
      </c>
      <c r="R563">
        <f t="shared" si="156"/>
        <v>1</v>
      </c>
      <c r="AG563" s="8">
        <f t="shared" si="159"/>
        <v>-0.60104500915445858</v>
      </c>
      <c r="AH563" s="8">
        <f t="shared" si="160"/>
        <v>0.43261313977604188</v>
      </c>
      <c r="AI563" s="8">
        <f t="shared" si="161"/>
        <v>0.67200503589157112</v>
      </c>
      <c r="AJ563" s="8"/>
      <c r="AK563" s="8"/>
      <c r="AL563" s="8"/>
      <c r="AN563" s="8">
        <f t="shared" si="167"/>
        <v>1.0000000000000002</v>
      </c>
      <c r="AO563" s="8">
        <f t="shared" si="168"/>
        <v>2.5177222173520537</v>
      </c>
      <c r="AP563" s="8">
        <f t="shared" si="169"/>
        <v>0.83388334581114809</v>
      </c>
      <c r="AQ563" s="8"/>
      <c r="AR563" s="8">
        <f t="shared" si="170"/>
        <v>144.25485704059199</v>
      </c>
      <c r="AS563" s="8">
        <f t="shared" si="171"/>
        <v>42.222003678773078</v>
      </c>
    </row>
    <row r="564" spans="1:45">
      <c r="A564" s="19">
        <v>17.75106667</v>
      </c>
      <c r="B564" s="19">
        <v>1003.626261</v>
      </c>
      <c r="C564" s="19">
        <v>-412.05499329999998</v>
      </c>
      <c r="E564" s="9">
        <f t="shared" si="157"/>
        <v>43.626261</v>
      </c>
      <c r="F564" s="9">
        <f t="shared" si="162"/>
        <v>127.94500670000002</v>
      </c>
      <c r="I564">
        <v>1</v>
      </c>
      <c r="J564">
        <f t="shared" si="158"/>
        <v>8.8281508408556295E-2</v>
      </c>
      <c r="K564">
        <f t="shared" si="163"/>
        <v>1.2421826239295253</v>
      </c>
      <c r="O564">
        <f t="shared" si="164"/>
        <v>2.8454205190869861E-2</v>
      </c>
      <c r="P564">
        <f t="shared" si="165"/>
        <v>8.3449128812322929E-2</v>
      </c>
      <c r="Q564">
        <f t="shared" si="166"/>
        <v>0.99610571783692725</v>
      </c>
      <c r="R564">
        <f t="shared" si="156"/>
        <v>1</v>
      </c>
      <c r="AG564" s="8">
        <f t="shared" si="159"/>
        <v>-0.60069691043652862</v>
      </c>
      <c r="AH564" s="8">
        <f t="shared" si="160"/>
        <v>0.43297402386838679</v>
      </c>
      <c r="AI564" s="8">
        <f t="shared" si="161"/>
        <v>0.67208386117152585</v>
      </c>
      <c r="AJ564" s="8"/>
      <c r="AK564" s="8"/>
      <c r="AL564" s="8"/>
      <c r="AN564" s="8">
        <f t="shared" si="167"/>
        <v>1</v>
      </c>
      <c r="AO564" s="8">
        <f t="shared" si="168"/>
        <v>2.5170520331679498</v>
      </c>
      <c r="AP564" s="8">
        <f t="shared" si="169"/>
        <v>0.83377689864108984</v>
      </c>
      <c r="AQ564" s="8"/>
      <c r="AR564" s="8">
        <f t="shared" si="170"/>
        <v>144.21645831534642</v>
      </c>
      <c r="AS564" s="8">
        <f t="shared" si="171"/>
        <v>42.22810265235853</v>
      </c>
    </row>
    <row r="565" spans="1:45">
      <c r="A565" s="19">
        <v>17.784433329999999</v>
      </c>
      <c r="B565" s="19">
        <v>1003.051698</v>
      </c>
      <c r="C565" s="19">
        <v>-411.84437910000003</v>
      </c>
      <c r="E565" s="9">
        <f t="shared" si="157"/>
        <v>43.051697999999988</v>
      </c>
      <c r="F565" s="9">
        <f t="shared" si="162"/>
        <v>128.15562089999997</v>
      </c>
      <c r="I565">
        <v>1</v>
      </c>
      <c r="J565">
        <f t="shared" si="158"/>
        <v>8.8291547503147591E-2</v>
      </c>
      <c r="K565">
        <f t="shared" si="163"/>
        <v>1.2467079293874479</v>
      </c>
      <c r="O565">
        <f t="shared" si="164"/>
        <v>2.8079466780187533E-2</v>
      </c>
      <c r="P565">
        <f t="shared" si="165"/>
        <v>8.3586517301962371E-2</v>
      </c>
      <c r="Q565">
        <f t="shared" si="166"/>
        <v>0.99610483267107441</v>
      </c>
      <c r="R565">
        <f t="shared" si="156"/>
        <v>1</v>
      </c>
      <c r="AG565" s="8">
        <f t="shared" si="159"/>
        <v>-0.60043611163321042</v>
      </c>
      <c r="AH565" s="8">
        <f t="shared" si="160"/>
        <v>0.43327349890368638</v>
      </c>
      <c r="AI565" s="8">
        <f t="shared" si="161"/>
        <v>0.67212391044698627</v>
      </c>
      <c r="AJ565" s="8"/>
      <c r="AK565" s="8"/>
      <c r="AL565" s="8"/>
      <c r="AN565" s="8">
        <f t="shared" si="167"/>
        <v>1.0000000000000004</v>
      </c>
      <c r="AO565" s="8">
        <f t="shared" si="168"/>
        <v>2.5165179724860902</v>
      </c>
      <c r="AP565" s="8">
        <f t="shared" si="169"/>
        <v>0.8337228113911066</v>
      </c>
      <c r="AQ565" s="8"/>
      <c r="AR565" s="8">
        <f t="shared" si="170"/>
        <v>144.18585889227199</v>
      </c>
      <c r="AS565" s="8">
        <f t="shared" si="171"/>
        <v>42.231201623508035</v>
      </c>
    </row>
    <row r="566" spans="1:45">
      <c r="A566" s="19">
        <v>17.817799999999998</v>
      </c>
      <c r="B566" s="19">
        <v>1002.497979</v>
      </c>
      <c r="C566" s="19">
        <v>-411.73852959999999</v>
      </c>
      <c r="E566" s="9">
        <f t="shared" si="157"/>
        <v>42.497978999999987</v>
      </c>
      <c r="F566" s="9">
        <f t="shared" si="162"/>
        <v>128.26147040000001</v>
      </c>
      <c r="I566">
        <v>1</v>
      </c>
      <c r="J566">
        <f t="shared" si="158"/>
        <v>8.8242441887453324E-2</v>
      </c>
      <c r="K566">
        <f t="shared" si="163"/>
        <v>1.2508420846078394</v>
      </c>
      <c r="O566">
        <f t="shared" si="164"/>
        <v>2.7718283446695979E-2</v>
      </c>
      <c r="P566">
        <f t="shared" si="165"/>
        <v>8.3655455517948452E-2</v>
      </c>
      <c r="Q566">
        <f t="shared" si="166"/>
        <v>0.99610916145011597</v>
      </c>
      <c r="R566">
        <f t="shared" si="156"/>
        <v>1</v>
      </c>
      <c r="AG566" s="8">
        <f t="shared" si="159"/>
        <v>-0.60022651565115948</v>
      </c>
      <c r="AH566" s="8">
        <f t="shared" si="160"/>
        <v>0.4335755531603343</v>
      </c>
      <c r="AI566" s="8">
        <f t="shared" si="161"/>
        <v>0.67211633636668777</v>
      </c>
      <c r="AJ566" s="8"/>
      <c r="AK566" s="8"/>
      <c r="AL566" s="8"/>
      <c r="AN566" s="8">
        <f t="shared" si="167"/>
        <v>1</v>
      </c>
      <c r="AO566" s="8">
        <f t="shared" si="168"/>
        <v>2.5160215303057756</v>
      </c>
      <c r="AP566" s="8">
        <f t="shared" si="169"/>
        <v>0.8337330405231993</v>
      </c>
      <c r="AQ566" s="8"/>
      <c r="AR566" s="8">
        <f t="shared" si="170"/>
        <v>144.1574148505677</v>
      </c>
      <c r="AS566" s="8">
        <f t="shared" si="171"/>
        <v>42.23061553741104</v>
      </c>
    </row>
    <row r="567" spans="1:45">
      <c r="A567" s="19">
        <v>17.851166670000001</v>
      </c>
      <c r="B567" s="19">
        <v>1001.725097</v>
      </c>
      <c r="C567" s="19">
        <v>-411.57862210000002</v>
      </c>
      <c r="E567" s="9">
        <f t="shared" si="157"/>
        <v>41.725097000000005</v>
      </c>
      <c r="F567" s="9">
        <f t="shared" si="162"/>
        <v>128.42137789999998</v>
      </c>
      <c r="I567">
        <v>1</v>
      </c>
      <c r="J567">
        <f t="shared" si="158"/>
        <v>8.8184027294082243E-2</v>
      </c>
      <c r="K567">
        <f t="shared" si="163"/>
        <v>1.2566478947317239</v>
      </c>
      <c r="O567">
        <f t="shared" si="164"/>
        <v>2.7214151014831298E-2</v>
      </c>
      <c r="P567">
        <f t="shared" si="165"/>
        <v>8.3759632043595225E-2</v>
      </c>
      <c r="Q567">
        <f t="shared" si="166"/>
        <v>0.99611430770994525</v>
      </c>
      <c r="R567">
        <f t="shared" si="156"/>
        <v>1</v>
      </c>
      <c r="AG567" s="8">
        <f t="shared" si="159"/>
        <v>-0.5999285744104409</v>
      </c>
      <c r="AH567" s="8">
        <f t="shared" si="160"/>
        <v>0.43399535716475629</v>
      </c>
      <c r="AI567" s="8">
        <f t="shared" si="161"/>
        <v>0.67211140115704915</v>
      </c>
      <c r="AJ567" s="8"/>
      <c r="AK567" s="8"/>
      <c r="AL567" s="8"/>
      <c r="AN567" s="8">
        <f t="shared" si="167"/>
        <v>1</v>
      </c>
      <c r="AO567" s="8">
        <f t="shared" si="168"/>
        <v>2.5153263208892098</v>
      </c>
      <c r="AP567" s="8">
        <f t="shared" si="169"/>
        <v>0.83373970569206823</v>
      </c>
      <c r="AQ567" s="8"/>
      <c r="AR567" s="8">
        <f t="shared" si="170"/>
        <v>144.11758228512073</v>
      </c>
      <c r="AS567" s="8">
        <f t="shared" si="171"/>
        <v>42.230233651365111</v>
      </c>
    </row>
    <row r="568" spans="1:45">
      <c r="A568" s="19">
        <v>17.88453333</v>
      </c>
      <c r="B568" s="19">
        <v>1001.256403</v>
      </c>
      <c r="C568" s="19">
        <v>-411.42103520000001</v>
      </c>
      <c r="E568" s="9">
        <f t="shared" si="157"/>
        <v>41.256402999999978</v>
      </c>
      <c r="F568" s="9">
        <f t="shared" si="162"/>
        <v>128.57896479999999</v>
      </c>
      <c r="I568">
        <v>1</v>
      </c>
      <c r="J568">
        <f t="shared" si="158"/>
        <v>8.8187931771559772E-2</v>
      </c>
      <c r="K568">
        <f t="shared" si="163"/>
        <v>1.2603095379400604</v>
      </c>
      <c r="O568">
        <f t="shared" si="164"/>
        <v>2.6908459642958838E-2</v>
      </c>
      <c r="P568">
        <f t="shared" si="165"/>
        <v>8.3862422161578784E-2</v>
      </c>
      <c r="Q568">
        <f t="shared" si="166"/>
        <v>0.9961139638358838</v>
      </c>
      <c r="R568">
        <f t="shared" si="156"/>
        <v>1</v>
      </c>
      <c r="AG568" s="8">
        <f t="shared" si="159"/>
        <v>-0.5997216944405579</v>
      </c>
      <c r="AH568" s="8">
        <f t="shared" si="160"/>
        <v>0.43424143433295626</v>
      </c>
      <c r="AI568" s="8">
        <f t="shared" si="161"/>
        <v>0.67213708864025867</v>
      </c>
      <c r="AJ568" s="8"/>
      <c r="AK568" s="8"/>
      <c r="AL568" s="8"/>
      <c r="AN568" s="8">
        <f t="shared" si="167"/>
        <v>1</v>
      </c>
      <c r="AO568" s="8">
        <f t="shared" si="168"/>
        <v>2.5148932810131801</v>
      </c>
      <c r="AP568" s="8">
        <f t="shared" si="169"/>
        <v>0.83370501342895165</v>
      </c>
      <c r="AQ568" s="8"/>
      <c r="AR568" s="8">
        <f t="shared" si="170"/>
        <v>144.09277092786334</v>
      </c>
      <c r="AS568" s="8">
        <f t="shared" si="171"/>
        <v>42.232221371623453</v>
      </c>
    </row>
    <row r="569" spans="1:45">
      <c r="A569" s="19">
        <v>17.917899999999999</v>
      </c>
      <c r="B569" s="19">
        <v>1000.553162</v>
      </c>
      <c r="C569" s="19">
        <v>-411.19988210000002</v>
      </c>
      <c r="E569" s="9">
        <f t="shared" si="157"/>
        <v>40.553162000000043</v>
      </c>
      <c r="F569" s="9">
        <f t="shared" si="162"/>
        <v>128.80011789999998</v>
      </c>
      <c r="I569">
        <v>1</v>
      </c>
      <c r="J569">
        <f t="shared" si="158"/>
        <v>8.8186445624451534E-2</v>
      </c>
      <c r="K569">
        <f t="shared" si="163"/>
        <v>1.2657688253165322</v>
      </c>
      <c r="O569">
        <f t="shared" si="164"/>
        <v>2.6449787283597388E-2</v>
      </c>
      <c r="P569">
        <f t="shared" si="165"/>
        <v>8.4006660702740266E-2</v>
      </c>
      <c r="Q569">
        <f t="shared" si="166"/>
        <v>0.99611409472521129</v>
      </c>
      <c r="R569">
        <f t="shared" si="156"/>
        <v>1</v>
      </c>
      <c r="AG569" s="8">
        <f t="shared" si="159"/>
        <v>-0.59941774948558169</v>
      </c>
      <c r="AH569" s="8">
        <f t="shared" si="160"/>
        <v>0.4346126901082632</v>
      </c>
      <c r="AI569" s="8">
        <f t="shared" si="161"/>
        <v>0.6721682610764208</v>
      </c>
      <c r="AJ569" s="8"/>
      <c r="AK569" s="8"/>
      <c r="AL569" s="8"/>
      <c r="AN569" s="8">
        <f t="shared" si="167"/>
        <v>1.0000000000000002</v>
      </c>
      <c r="AO569" s="8">
        <f t="shared" si="168"/>
        <v>2.5142463844674605</v>
      </c>
      <c r="AP569" s="8">
        <f t="shared" si="169"/>
        <v>0.83366291198820164</v>
      </c>
      <c r="AQ569" s="8"/>
      <c r="AR569" s="8">
        <f t="shared" si="170"/>
        <v>144.05570648601201</v>
      </c>
      <c r="AS569" s="8">
        <f t="shared" si="171"/>
        <v>42.234633606489844</v>
      </c>
    </row>
    <row r="570" spans="1:45">
      <c r="A570" s="19">
        <v>17.951266669999999</v>
      </c>
      <c r="B570" s="19">
        <v>999.97260270000004</v>
      </c>
      <c r="C570" s="19">
        <v>-410.90829280000003</v>
      </c>
      <c r="E570" s="9">
        <f t="shared" si="157"/>
        <v>39.972602700000039</v>
      </c>
      <c r="F570" s="9">
        <f t="shared" si="162"/>
        <v>129.09170719999997</v>
      </c>
      <c r="I570">
        <v>1</v>
      </c>
      <c r="J570">
        <f t="shared" si="158"/>
        <v>8.8255540517167538E-2</v>
      </c>
      <c r="K570">
        <f t="shared" si="163"/>
        <v>1.2705145575820751</v>
      </c>
      <c r="O570">
        <f t="shared" si="164"/>
        <v>2.6071175864605278E-2</v>
      </c>
      <c r="P570">
        <f t="shared" si="165"/>
        <v>8.4196984277766992E-2</v>
      </c>
      <c r="Q570">
        <f t="shared" si="166"/>
        <v>0.99610800700906243</v>
      </c>
      <c r="R570">
        <f t="shared" si="156"/>
        <v>1</v>
      </c>
      <c r="AG570" s="8">
        <f t="shared" si="159"/>
        <v>-0.59911972642802669</v>
      </c>
      <c r="AH570" s="8">
        <f t="shared" si="160"/>
        <v>0.43490390822025499</v>
      </c>
      <c r="AI570" s="8">
        <f t="shared" si="161"/>
        <v>0.67224559799195016</v>
      </c>
      <c r="AJ570" s="8"/>
      <c r="AK570" s="8"/>
      <c r="AL570" s="8"/>
      <c r="AN570" s="8">
        <f t="shared" si="167"/>
        <v>1.0000000000000002</v>
      </c>
      <c r="AO570" s="8">
        <f t="shared" si="168"/>
        <v>2.5136916226876558</v>
      </c>
      <c r="AP570" s="8">
        <f t="shared" si="169"/>
        <v>0.83355845392864725</v>
      </c>
      <c r="AQ570" s="8"/>
      <c r="AR570" s="8">
        <f t="shared" si="170"/>
        <v>144.02392097739406</v>
      </c>
      <c r="AS570" s="8">
        <f t="shared" si="171"/>
        <v>42.240618612438439</v>
      </c>
    </row>
    <row r="571" spans="1:45">
      <c r="A571" s="19">
        <v>17.984633330000001</v>
      </c>
      <c r="B571" s="19">
        <v>999.36082109999995</v>
      </c>
      <c r="C571" s="19">
        <v>-410.72440239999997</v>
      </c>
      <c r="E571" s="9">
        <f t="shared" si="157"/>
        <v>39.360821099999953</v>
      </c>
      <c r="F571" s="9">
        <f t="shared" si="162"/>
        <v>129.27559760000003</v>
      </c>
      <c r="I571">
        <v>1</v>
      </c>
      <c r="J571">
        <f t="shared" si="158"/>
        <v>8.825305570275116E-2</v>
      </c>
      <c r="K571">
        <f t="shared" si="163"/>
        <v>1.2752416954011374</v>
      </c>
      <c r="O571">
        <f t="shared" si="164"/>
        <v>2.5672154371451889E-2</v>
      </c>
      <c r="P571">
        <f t="shared" si="165"/>
        <v>8.4316917312705644E-2</v>
      </c>
      <c r="Q571">
        <f t="shared" si="166"/>
        <v>0.99610822602004989</v>
      </c>
      <c r="R571">
        <f t="shared" si="156"/>
        <v>1</v>
      </c>
      <c r="AG571" s="8">
        <f t="shared" si="159"/>
        <v>-0.59885873716216664</v>
      </c>
      <c r="AH571" s="8">
        <f t="shared" si="160"/>
        <v>0.43522788900021275</v>
      </c>
      <c r="AI571" s="8">
        <f t="shared" si="161"/>
        <v>0.67226847134233025</v>
      </c>
      <c r="AJ571" s="8"/>
      <c r="AK571" s="8"/>
      <c r="AL571" s="8"/>
      <c r="AN571" s="8">
        <f t="shared" si="167"/>
        <v>1</v>
      </c>
      <c r="AO571" s="8">
        <f t="shared" si="168"/>
        <v>2.5131303654115902</v>
      </c>
      <c r="AP571" s="8">
        <f t="shared" si="169"/>
        <v>0.83352755726552941</v>
      </c>
      <c r="AQ571" s="8"/>
      <c r="AR571" s="8">
        <f t="shared" si="170"/>
        <v>143.99176330425448</v>
      </c>
      <c r="AS571" s="8">
        <f t="shared" si="171"/>
        <v>42.24238886083613</v>
      </c>
    </row>
    <row r="572" spans="1:45">
      <c r="A572" s="19">
        <v>18.018000000000001</v>
      </c>
      <c r="B572" s="19">
        <v>998.63328779999995</v>
      </c>
      <c r="C572" s="19">
        <v>-410.68843249999998</v>
      </c>
      <c r="E572" s="9">
        <f t="shared" si="157"/>
        <v>38.633287799999948</v>
      </c>
      <c r="F572" s="9">
        <f t="shared" si="162"/>
        <v>129.31156750000002</v>
      </c>
      <c r="I572">
        <v>1</v>
      </c>
      <c r="J572">
        <f t="shared" si="158"/>
        <v>8.8137796680851088E-2</v>
      </c>
      <c r="K572">
        <f t="shared" si="163"/>
        <v>1.2804763713129657</v>
      </c>
      <c r="O572">
        <f t="shared" si="164"/>
        <v>2.5197567247291504E-2</v>
      </c>
      <c r="P572">
        <f t="shared" si="165"/>
        <v>8.4340140419887591E-2</v>
      </c>
      <c r="Q572">
        <f t="shared" si="166"/>
        <v>0.99611837816535231</v>
      </c>
      <c r="R572">
        <f t="shared" si="156"/>
        <v>1</v>
      </c>
      <c r="AG572" s="8">
        <f t="shared" si="159"/>
        <v>-0.59862699211383297</v>
      </c>
      <c r="AH572" s="8">
        <f t="shared" si="160"/>
        <v>0.43563852322242225</v>
      </c>
      <c r="AI572" s="8">
        <f t="shared" si="161"/>
        <v>0.67220889714234822</v>
      </c>
      <c r="AJ572" s="8"/>
      <c r="AK572" s="8"/>
      <c r="AL572" s="8"/>
      <c r="AN572" s="8">
        <f t="shared" si="167"/>
        <v>1</v>
      </c>
      <c r="AO572" s="8">
        <f t="shared" si="168"/>
        <v>2.5124976763180049</v>
      </c>
      <c r="AP572" s="8">
        <f t="shared" si="169"/>
        <v>0.83360802656846067</v>
      </c>
      <c r="AQ572" s="8"/>
      <c r="AR572" s="8">
        <f t="shared" si="170"/>
        <v>143.95551288944807</v>
      </c>
      <c r="AS572" s="8">
        <f t="shared" si="171"/>
        <v>42.237778309397804</v>
      </c>
    </row>
    <row r="573" spans="1:45">
      <c r="A573" s="19">
        <v>18.05136667</v>
      </c>
      <c r="B573" s="19">
        <v>998.29412579999996</v>
      </c>
      <c r="C573" s="19">
        <v>-410.64458930000001</v>
      </c>
      <c r="E573" s="9">
        <f t="shared" si="157"/>
        <v>38.294125799999961</v>
      </c>
      <c r="F573" s="9">
        <f t="shared" si="162"/>
        <v>129.35541069999999</v>
      </c>
      <c r="I573">
        <v>1</v>
      </c>
      <c r="J573">
        <f t="shared" si="158"/>
        <v>8.8101931013727125E-2</v>
      </c>
      <c r="K573">
        <f t="shared" si="163"/>
        <v>1.2829782846055713</v>
      </c>
      <c r="O573">
        <f t="shared" si="164"/>
        <v>2.4976335534924014E-2</v>
      </c>
      <c r="P573">
        <f t="shared" si="165"/>
        <v>8.4368661600341427E-2</v>
      </c>
      <c r="Q573">
        <f t="shared" si="166"/>
        <v>0.99612153455440067</v>
      </c>
      <c r="R573">
        <f t="shared" si="156"/>
        <v>1</v>
      </c>
      <c r="AG573" s="8">
        <f t="shared" si="159"/>
        <v>-0.5985072350718933</v>
      </c>
      <c r="AH573" s="8">
        <f t="shared" si="160"/>
        <v>0.43582614190942509</v>
      </c>
      <c r="AI573" s="8">
        <f t="shared" si="161"/>
        <v>0.67219391814783869</v>
      </c>
      <c r="AJ573" s="8"/>
      <c r="AK573" s="8"/>
      <c r="AL573" s="8"/>
      <c r="AN573" s="8">
        <f t="shared" si="167"/>
        <v>1</v>
      </c>
      <c r="AO573" s="8">
        <f t="shared" si="168"/>
        <v>2.5121976018607244</v>
      </c>
      <c r="AP573" s="8">
        <f t="shared" si="169"/>
        <v>0.833628258382621</v>
      </c>
      <c r="AQ573" s="8"/>
      <c r="AR573" s="8">
        <f t="shared" si="170"/>
        <v>143.93831988950623</v>
      </c>
      <c r="AS573" s="8">
        <f t="shared" si="171"/>
        <v>42.236619111834528</v>
      </c>
    </row>
    <row r="574" spans="1:45">
      <c r="A574" s="19">
        <v>18.084733329999999</v>
      </c>
      <c r="B574" s="19">
        <v>997.62363800000003</v>
      </c>
      <c r="C574" s="19">
        <v>-410.63721550000002</v>
      </c>
      <c r="E574" s="9">
        <f t="shared" si="157"/>
        <v>37.623638000000028</v>
      </c>
      <c r="F574" s="9">
        <f t="shared" si="162"/>
        <v>129.36278449999998</v>
      </c>
      <c r="I574">
        <v>1</v>
      </c>
      <c r="J574">
        <f t="shared" si="158"/>
        <v>8.7982693678473459E-2</v>
      </c>
      <c r="K574">
        <f t="shared" si="163"/>
        <v>1.2877659122983849</v>
      </c>
      <c r="O574">
        <f t="shared" si="164"/>
        <v>2.4538955040712601E-2</v>
      </c>
      <c r="P574">
        <f t="shared" si="165"/>
        <v>8.437322177049679E-2</v>
      </c>
      <c r="Q574">
        <f t="shared" si="166"/>
        <v>0.99613201892800152</v>
      </c>
      <c r="R574">
        <f t="shared" si="156"/>
        <v>1</v>
      </c>
      <c r="AG574" s="8">
        <f t="shared" si="159"/>
        <v>-0.59830458232679473</v>
      </c>
      <c r="AH574" s="8">
        <f t="shared" si="160"/>
        <v>0.43620802474182996</v>
      </c>
      <c r="AI574" s="8">
        <f t="shared" si="161"/>
        <v>0.6721266144987792</v>
      </c>
      <c r="AJ574" s="8"/>
      <c r="AK574" s="8"/>
      <c r="AL574" s="8"/>
      <c r="AN574" s="8">
        <f t="shared" si="167"/>
        <v>0.99999999999999978</v>
      </c>
      <c r="AO574" s="8">
        <f t="shared" si="168"/>
        <v>2.5116195633922818</v>
      </c>
      <c r="AP574" s="8">
        <f t="shared" si="169"/>
        <v>0.83371915942596309</v>
      </c>
      <c r="AQ574" s="8"/>
      <c r="AR574" s="8">
        <f t="shared" si="170"/>
        <v>143.90520072486828</v>
      </c>
      <c r="AS574" s="8">
        <f t="shared" si="171"/>
        <v>42.23141086569769</v>
      </c>
    </row>
    <row r="575" spans="1:45">
      <c r="A575" s="19">
        <v>18.118099999999998</v>
      </c>
      <c r="B575" s="19">
        <v>996.83210740000004</v>
      </c>
      <c r="C575" s="19">
        <v>-410.56682599999999</v>
      </c>
      <c r="E575" s="9">
        <f t="shared" si="157"/>
        <v>36.832107400000041</v>
      </c>
      <c r="F575" s="9">
        <f t="shared" si="162"/>
        <v>129.43317400000001</v>
      </c>
      <c r="I575">
        <v>1</v>
      </c>
      <c r="J575">
        <f t="shared" si="158"/>
        <v>8.7883476221967669E-2</v>
      </c>
      <c r="K575">
        <f t="shared" si="163"/>
        <v>1.293559849988545</v>
      </c>
      <c r="O575">
        <f t="shared" si="164"/>
        <v>2.4022641935190988E-2</v>
      </c>
      <c r="P575">
        <f t="shared" si="165"/>
        <v>8.441892177848255E-2</v>
      </c>
      <c r="Q575">
        <f t="shared" si="166"/>
        <v>0.99614073218607624</v>
      </c>
      <c r="R575">
        <f t="shared" si="156"/>
        <v>1</v>
      </c>
      <c r="AG575" s="8">
        <f t="shared" si="159"/>
        <v>-0.5980385914207017</v>
      </c>
      <c r="AH575" s="8">
        <f t="shared" si="160"/>
        <v>0.43665013045116446</v>
      </c>
      <c r="AI575" s="8">
        <f t="shared" si="161"/>
        <v>0.67207626557446898</v>
      </c>
      <c r="AJ575" s="8"/>
      <c r="AK575" s="8"/>
      <c r="AL575" s="8"/>
      <c r="AN575" s="8">
        <f t="shared" si="167"/>
        <v>1</v>
      </c>
      <c r="AO575" s="8">
        <f t="shared" si="168"/>
        <v>2.5109254992076155</v>
      </c>
      <c r="AP575" s="8">
        <f t="shared" si="169"/>
        <v>0.83378715632878686</v>
      </c>
      <c r="AQ575" s="8"/>
      <c r="AR575" s="8">
        <f t="shared" si="170"/>
        <v>143.86543377637571</v>
      </c>
      <c r="AS575" s="8">
        <f t="shared" si="171"/>
        <v>42.227514930145922</v>
      </c>
    </row>
    <row r="576" spans="1:45">
      <c r="A576" s="19">
        <v>18.151466670000001</v>
      </c>
      <c r="B576" s="19">
        <v>996.19643110000004</v>
      </c>
      <c r="C576" s="19">
        <v>-410.49035409999999</v>
      </c>
      <c r="E576" s="9">
        <f t="shared" si="157"/>
        <v>36.196431100000041</v>
      </c>
      <c r="F576" s="9">
        <f t="shared" si="162"/>
        <v>129.50964590000001</v>
      </c>
      <c r="I576">
        <v>1</v>
      </c>
      <c r="J576">
        <f t="shared" si="158"/>
        <v>8.7818548246415634E-2</v>
      </c>
      <c r="K576">
        <f t="shared" si="163"/>
        <v>1.2982621835902499</v>
      </c>
      <c r="O576">
        <f t="shared" si="164"/>
        <v>2.3608002418380909E-2</v>
      </c>
      <c r="P576">
        <f t="shared" si="165"/>
        <v>8.4468660050047065E-2</v>
      </c>
      <c r="Q576">
        <f t="shared" si="166"/>
        <v>0.99614642884023996</v>
      </c>
      <c r="R576">
        <f t="shared" si="156"/>
        <v>1</v>
      </c>
      <c r="AG576" s="8">
        <f t="shared" si="159"/>
        <v>-0.59781625010417161</v>
      </c>
      <c r="AH576" s="8">
        <f t="shared" si="160"/>
        <v>0.43700230908990922</v>
      </c>
      <c r="AI576" s="8">
        <f t="shared" si="161"/>
        <v>0.67204517181620604</v>
      </c>
      <c r="AJ576" s="8"/>
      <c r="AK576" s="8"/>
      <c r="AL576" s="8"/>
      <c r="AN576" s="8">
        <f t="shared" si="167"/>
        <v>0.99999999999999989</v>
      </c>
      <c r="AO576" s="8">
        <f t="shared" si="168"/>
        <v>2.5103643419944008</v>
      </c>
      <c r="AP576" s="8">
        <f t="shared" si="169"/>
        <v>0.8338291467736314</v>
      </c>
      <c r="AQ576" s="8"/>
      <c r="AR576" s="8">
        <f t="shared" si="170"/>
        <v>143.83328183641518</v>
      </c>
      <c r="AS576" s="8">
        <f t="shared" si="171"/>
        <v>42.225109054876455</v>
      </c>
    </row>
    <row r="577" spans="1:45">
      <c r="A577" s="19">
        <v>18.18483333</v>
      </c>
      <c r="B577" s="19">
        <v>995.52123159999996</v>
      </c>
      <c r="C577" s="19">
        <v>-409.90046560000002</v>
      </c>
      <c r="E577" s="9">
        <f t="shared" si="157"/>
        <v>35.521231599999965</v>
      </c>
      <c r="F577" s="9">
        <f t="shared" si="162"/>
        <v>130.09953439999998</v>
      </c>
      <c r="I577">
        <v>1</v>
      </c>
      <c r="J577">
        <f t="shared" si="158"/>
        <v>8.8073676695865757E-2</v>
      </c>
      <c r="K577">
        <f t="shared" si="163"/>
        <v>1.3042614161583461</v>
      </c>
      <c r="O577">
        <f t="shared" si="164"/>
        <v>2.3167772137691656E-2</v>
      </c>
      <c r="P577">
        <f t="shared" si="165"/>
        <v>8.4853937558825518E-2</v>
      </c>
      <c r="Q577">
        <f t="shared" si="166"/>
        <v>0.99612402019775581</v>
      </c>
      <c r="R577">
        <f t="shared" si="156"/>
        <v>1</v>
      </c>
      <c r="AG577" s="8">
        <f t="shared" si="159"/>
        <v>-0.59736058353657095</v>
      </c>
      <c r="AH577" s="8">
        <f t="shared" si="160"/>
        <v>0.43730535691043737</v>
      </c>
      <c r="AI577" s="8">
        <f t="shared" si="161"/>
        <v>0.67225319490076252</v>
      </c>
      <c r="AJ577" s="8"/>
      <c r="AK577" s="8"/>
      <c r="AL577" s="8"/>
      <c r="AN577" s="8">
        <f t="shared" si="167"/>
        <v>1.0000000000000002</v>
      </c>
      <c r="AO577" s="8">
        <f t="shared" si="168"/>
        <v>2.509670647048913</v>
      </c>
      <c r="AP577" s="8">
        <f t="shared" si="169"/>
        <v>0.83354819233909649</v>
      </c>
      <c r="AQ577" s="8"/>
      <c r="AR577" s="8">
        <f t="shared" si="170"/>
        <v>143.79353604376917</v>
      </c>
      <c r="AS577" s="8">
        <f t="shared" si="171"/>
        <v>42.241206558210791</v>
      </c>
    </row>
    <row r="578" spans="1:45">
      <c r="A578" s="19">
        <v>18.2182</v>
      </c>
      <c r="B578" s="19">
        <v>994.72838990000002</v>
      </c>
      <c r="C578" s="19">
        <v>-409.82945949999998</v>
      </c>
      <c r="E578" s="9">
        <f t="shared" si="157"/>
        <v>34.728389900000025</v>
      </c>
      <c r="F578" s="9">
        <f t="shared" si="162"/>
        <v>130.17054050000002</v>
      </c>
      <c r="I578">
        <v>1</v>
      </c>
      <c r="J578">
        <f t="shared" si="158"/>
        <v>8.7983089493562761E-2</v>
      </c>
      <c r="K578">
        <f t="shared" si="163"/>
        <v>1.3100774206798351</v>
      </c>
      <c r="O578">
        <f t="shared" si="164"/>
        <v>2.2650611479765406E-2</v>
      </c>
      <c r="P578">
        <f t="shared" si="165"/>
        <v>8.4900058639820974E-2</v>
      </c>
      <c r="Q578">
        <f t="shared" si="166"/>
        <v>0.99613198414795801</v>
      </c>
      <c r="R578">
        <f t="shared" si="156"/>
        <v>1</v>
      </c>
      <c r="AG578" s="8">
        <f t="shared" si="159"/>
        <v>-0.59709345744619136</v>
      </c>
      <c r="AH578" s="8">
        <f t="shared" si="160"/>
        <v>0.43774776683412148</v>
      </c>
      <c r="AI578" s="8">
        <f t="shared" si="161"/>
        <v>0.67220257044040888</v>
      </c>
      <c r="AJ578" s="8"/>
      <c r="AK578" s="8"/>
      <c r="AL578" s="8"/>
      <c r="AN578" s="8">
        <f t="shared" si="167"/>
        <v>0.99999999999999989</v>
      </c>
      <c r="AO578" s="8">
        <f t="shared" si="168"/>
        <v>2.5089753592796997</v>
      </c>
      <c r="AP578" s="8">
        <f t="shared" si="169"/>
        <v>0.83361657195759731</v>
      </c>
      <c r="AQ578" s="8"/>
      <c r="AR578" s="8">
        <f t="shared" si="170"/>
        <v>143.75369898904617</v>
      </c>
      <c r="AS578" s="8">
        <f t="shared" si="171"/>
        <v>42.237288694665978</v>
      </c>
    </row>
    <row r="579" spans="1:45">
      <c r="A579" s="19">
        <v>18.251566669999999</v>
      </c>
      <c r="B579" s="19">
        <v>994.22462410000003</v>
      </c>
      <c r="C579" s="19">
        <v>-409.63659419999999</v>
      </c>
      <c r="E579" s="9">
        <f t="shared" si="157"/>
        <v>34.224624100000028</v>
      </c>
      <c r="F579" s="9">
        <f t="shared" si="162"/>
        <v>130.36340580000001</v>
      </c>
      <c r="I579">
        <v>1</v>
      </c>
      <c r="J579">
        <f t="shared" si="158"/>
        <v>8.8020857898483823E-2</v>
      </c>
      <c r="K579">
        <f t="shared" si="163"/>
        <v>1.3140576400116919</v>
      </c>
      <c r="O579">
        <f t="shared" si="164"/>
        <v>2.2322065424796648E-2</v>
      </c>
      <c r="P579">
        <f t="shared" si="165"/>
        <v>8.5025929423339142E-2</v>
      </c>
      <c r="Q579">
        <f t="shared" si="166"/>
        <v>0.99612866474209472</v>
      </c>
      <c r="R579">
        <f t="shared" si="156"/>
        <v>1</v>
      </c>
      <c r="AG579" s="8">
        <f t="shared" si="159"/>
        <v>-0.59685989616142743</v>
      </c>
      <c r="AH579" s="8">
        <f t="shared" si="160"/>
        <v>0.43800818680727921</v>
      </c>
      <c r="AI579" s="8">
        <f t="shared" si="161"/>
        <v>0.67224035332905274</v>
      </c>
      <c r="AJ579" s="8"/>
      <c r="AK579" s="8"/>
      <c r="AL579" s="8"/>
      <c r="AN579" s="8">
        <f t="shared" si="167"/>
        <v>1</v>
      </c>
      <c r="AO579" s="8">
        <f t="shared" si="168"/>
        <v>2.5085051396208766</v>
      </c>
      <c r="AP579" s="8">
        <f t="shared" si="169"/>
        <v>0.83356553814611989</v>
      </c>
      <c r="AQ579" s="8"/>
      <c r="AR579" s="8">
        <f t="shared" si="170"/>
        <v>143.72675738715154</v>
      </c>
      <c r="AS579" s="8">
        <f t="shared" si="171"/>
        <v>42.240212716676105</v>
      </c>
    </row>
    <row r="580" spans="1:45">
      <c r="A580" s="19">
        <v>18.284933330000001</v>
      </c>
      <c r="B580" s="19">
        <v>993.72187550000001</v>
      </c>
      <c r="C580" s="19">
        <v>-409.55626649999999</v>
      </c>
      <c r="E580" s="9">
        <f t="shared" si="157"/>
        <v>33.72187550000001</v>
      </c>
      <c r="F580" s="9">
        <f t="shared" si="162"/>
        <v>130.44373350000001</v>
      </c>
      <c r="I580">
        <v>1</v>
      </c>
      <c r="J580">
        <f t="shared" si="158"/>
        <v>8.7988695029338759E-2</v>
      </c>
      <c r="K580">
        <f t="shared" si="163"/>
        <v>1.3178182051004266</v>
      </c>
      <c r="O580">
        <f t="shared" si="164"/>
        <v>2.1994143959022768E-2</v>
      </c>
      <c r="P580">
        <f t="shared" si="165"/>
        <v>8.5078252932622361E-2</v>
      </c>
      <c r="Q580">
        <f t="shared" si="166"/>
        <v>0.996131491576008</v>
      </c>
      <c r="R580">
        <f t="shared" si="156"/>
        <v>1</v>
      </c>
      <c r="AG580" s="8">
        <f t="shared" si="159"/>
        <v>-0.59667511405204987</v>
      </c>
      <c r="AH580" s="8">
        <f t="shared" si="160"/>
        <v>0.43828367365337317</v>
      </c>
      <c r="AI580" s="8">
        <f t="shared" si="161"/>
        <v>0.67222483566131108</v>
      </c>
      <c r="AJ580" s="8"/>
      <c r="AK580" s="8"/>
      <c r="AL580" s="8"/>
      <c r="AN580" s="8">
        <f t="shared" si="167"/>
        <v>1</v>
      </c>
      <c r="AO580" s="8">
        <f t="shared" si="168"/>
        <v>2.5080574810902863</v>
      </c>
      <c r="AP580" s="8">
        <f t="shared" si="169"/>
        <v>0.83358649833659038</v>
      </c>
      <c r="AQ580" s="8"/>
      <c r="AR580" s="8">
        <f t="shared" si="170"/>
        <v>143.70110844268567</v>
      </c>
      <c r="AS580" s="8">
        <f t="shared" si="171"/>
        <v>42.239011786224353</v>
      </c>
    </row>
    <row r="581" spans="1:45">
      <c r="A581" s="19">
        <v>18.318300000000001</v>
      </c>
      <c r="B581" s="19">
        <v>992.85097370000005</v>
      </c>
      <c r="C581" s="19">
        <v>-409.7210091</v>
      </c>
      <c r="E581" s="9">
        <f t="shared" si="157"/>
        <v>32.850973700000054</v>
      </c>
      <c r="F581" s="9">
        <f t="shared" si="162"/>
        <v>130.2789909</v>
      </c>
      <c r="I581">
        <v>1</v>
      </c>
      <c r="J581">
        <f t="shared" si="158"/>
        <v>8.7742565708813405E-2</v>
      </c>
      <c r="K581">
        <f t="shared" si="163"/>
        <v>1.3237870328160966</v>
      </c>
      <c r="O581">
        <f t="shared" si="164"/>
        <v>2.1425990025681338E-2</v>
      </c>
      <c r="P581">
        <f t="shared" si="165"/>
        <v>8.4970277747938527E-2</v>
      </c>
      <c r="Q581">
        <f t="shared" si="166"/>
        <v>0.99615309006741404</v>
      </c>
      <c r="R581">
        <f t="shared" si="156"/>
        <v>1</v>
      </c>
      <c r="AG581" s="8">
        <f t="shared" si="159"/>
        <v>-0.59648596911836704</v>
      </c>
      <c r="AH581" s="8">
        <f t="shared" si="160"/>
        <v>0.43880317594937079</v>
      </c>
      <c r="AI581" s="8">
        <f t="shared" si="161"/>
        <v>0.67205376378803794</v>
      </c>
      <c r="AJ581" s="8"/>
      <c r="AK581" s="8"/>
      <c r="AL581" s="8"/>
      <c r="AN581" s="8">
        <f t="shared" si="167"/>
        <v>0.99999999999999978</v>
      </c>
      <c r="AO581" s="8">
        <f t="shared" si="168"/>
        <v>2.5073408582076278</v>
      </c>
      <c r="AP581" s="8">
        <f t="shared" si="169"/>
        <v>0.83381754393870489</v>
      </c>
      <c r="AQ581" s="8"/>
      <c r="AR581" s="8">
        <f t="shared" si="170"/>
        <v>143.66004897600683</v>
      </c>
      <c r="AS581" s="8">
        <f t="shared" si="171"/>
        <v>42.225773848348133</v>
      </c>
    </row>
    <row r="582" spans="1:45">
      <c r="A582" s="19">
        <v>18.35166667</v>
      </c>
      <c r="B582" s="19">
        <v>992.51843140000005</v>
      </c>
      <c r="C582" s="19">
        <v>-409.55039019999998</v>
      </c>
      <c r="E582" s="9">
        <f t="shared" si="157"/>
        <v>32.518431400000054</v>
      </c>
      <c r="F582" s="9">
        <f t="shared" si="162"/>
        <v>130.44960980000002</v>
      </c>
      <c r="I582">
        <v>1</v>
      </c>
      <c r="J582">
        <f t="shared" si="158"/>
        <v>8.7798097161218336E-2</v>
      </c>
      <c r="K582">
        <f t="shared" si="163"/>
        <v>1.3264957670459423</v>
      </c>
      <c r="O582">
        <f t="shared" si="164"/>
        <v>2.1209129920487856E-2</v>
      </c>
      <c r="P582">
        <f t="shared" si="165"/>
        <v>8.50816783962446E-2</v>
      </c>
      <c r="Q582">
        <f t="shared" si="166"/>
        <v>0.99614822230895628</v>
      </c>
      <c r="R582">
        <f t="shared" si="156"/>
        <v>1</v>
      </c>
      <c r="AG582" s="8">
        <f t="shared" si="159"/>
        <v>-0.59631293786274631</v>
      </c>
      <c r="AH582" s="8">
        <f t="shared" si="160"/>
        <v>0.43896891279965328</v>
      </c>
      <c r="AI582" s="8">
        <f t="shared" si="161"/>
        <v>0.67209908029470689</v>
      </c>
      <c r="AJ582" s="8"/>
      <c r="AK582" s="8"/>
      <c r="AL582" s="8"/>
      <c r="AN582" s="8">
        <f t="shared" si="167"/>
        <v>1</v>
      </c>
      <c r="AO582" s="8">
        <f t="shared" si="168"/>
        <v>2.5070220872073667</v>
      </c>
      <c r="AP582" s="8">
        <f t="shared" si="169"/>
        <v>0.83375634526071085</v>
      </c>
      <c r="AQ582" s="8"/>
      <c r="AR582" s="8">
        <f t="shared" si="170"/>
        <v>143.64178474306073</v>
      </c>
      <c r="AS582" s="8">
        <f t="shared" si="171"/>
        <v>42.229280274308969</v>
      </c>
    </row>
    <row r="583" spans="1:45">
      <c r="A583" s="19">
        <v>18.385033329999999</v>
      </c>
      <c r="B583" s="19">
        <v>991.77554410000005</v>
      </c>
      <c r="C583" s="19">
        <v>-409.3082789</v>
      </c>
      <c r="E583" s="9">
        <f t="shared" si="157"/>
        <v>31.775544100000047</v>
      </c>
      <c r="F583" s="9">
        <f t="shared" si="162"/>
        <v>130.6917211</v>
      </c>
      <c r="I583">
        <v>1</v>
      </c>
      <c r="J583">
        <f t="shared" si="158"/>
        <v>8.7835823936193658E-2</v>
      </c>
      <c r="K583">
        <f t="shared" si="163"/>
        <v>1.3322905580461148</v>
      </c>
      <c r="O583">
        <f t="shared" si="164"/>
        <v>2.0724624680589908E-2</v>
      </c>
      <c r="P583">
        <f t="shared" si="165"/>
        <v>8.5239669229073209E-2</v>
      </c>
      <c r="Q583">
        <f t="shared" si="166"/>
        <v>0.99614491351487955</v>
      </c>
      <c r="R583">
        <f t="shared" si="156"/>
        <v>1</v>
      </c>
      <c r="AG583" s="8">
        <f t="shared" si="159"/>
        <v>-0.59598625794030435</v>
      </c>
      <c r="AH583" s="8">
        <f t="shared" si="160"/>
        <v>0.43935847337566414</v>
      </c>
      <c r="AI583" s="8">
        <f t="shared" si="161"/>
        <v>0.67213429626773169</v>
      </c>
      <c r="AJ583" s="8"/>
      <c r="AK583" s="8"/>
      <c r="AL583" s="8"/>
      <c r="AN583" s="8">
        <f t="shared" si="167"/>
        <v>1</v>
      </c>
      <c r="AO583" s="8">
        <f t="shared" si="168"/>
        <v>2.5063368230090668</v>
      </c>
      <c r="AP583" s="8">
        <f t="shared" si="169"/>
        <v>0.833708784724146</v>
      </c>
      <c r="AQ583" s="8"/>
      <c r="AR583" s="8">
        <f t="shared" si="170"/>
        <v>143.60252199664671</v>
      </c>
      <c r="AS583" s="8">
        <f t="shared" si="171"/>
        <v>42.232005292325518</v>
      </c>
    </row>
    <row r="584" spans="1:45">
      <c r="A584" s="19">
        <v>18.418399999999998</v>
      </c>
      <c r="B584" s="19">
        <v>991.0338107</v>
      </c>
      <c r="C584" s="19">
        <v>-408.90538600000002</v>
      </c>
      <c r="E584" s="9">
        <f t="shared" si="157"/>
        <v>31.033810700000004</v>
      </c>
      <c r="F584" s="9">
        <f t="shared" si="162"/>
        <v>131.09461399999998</v>
      </c>
      <c r="I584">
        <v>1</v>
      </c>
      <c r="J584">
        <f t="shared" si="158"/>
        <v>8.7979350060471362E-2</v>
      </c>
      <c r="K584">
        <f t="shared" si="163"/>
        <v>1.3383471078963056</v>
      </c>
      <c r="O584">
        <f t="shared" si="164"/>
        <v>2.0240924657051389E-2</v>
      </c>
      <c r="P584">
        <f t="shared" si="165"/>
        <v>8.5502751517371162E-2</v>
      </c>
      <c r="Q584">
        <f t="shared" si="166"/>
        <v>0.99613231272355895</v>
      </c>
      <c r="R584">
        <f t="shared" si="156"/>
        <v>1</v>
      </c>
      <c r="AG584" s="8">
        <f t="shared" si="159"/>
        <v>-0.59559035321688725</v>
      </c>
      <c r="AH584" s="8">
        <f t="shared" si="160"/>
        <v>0.43972479742526771</v>
      </c>
      <c r="AI584" s="8">
        <f t="shared" si="161"/>
        <v>0.67224566468240665</v>
      </c>
      <c r="AJ584" s="8"/>
      <c r="AK584" s="8"/>
      <c r="AL584" s="8"/>
      <c r="AN584" s="8">
        <f t="shared" si="167"/>
        <v>1</v>
      </c>
      <c r="AO584" s="8">
        <f t="shared" si="168"/>
        <v>2.5056212148238353</v>
      </c>
      <c r="AP584" s="8">
        <f t="shared" si="169"/>
        <v>0.83355836384635862</v>
      </c>
      <c r="AQ584" s="8"/>
      <c r="AR584" s="8">
        <f t="shared" si="170"/>
        <v>143.56152066784793</v>
      </c>
      <c r="AS584" s="8">
        <f t="shared" si="171"/>
        <v>42.240623773773386</v>
      </c>
    </row>
    <row r="585" spans="1:45">
      <c r="A585" s="19">
        <v>18.451766670000001</v>
      </c>
      <c r="B585" s="19">
        <v>990.5082678</v>
      </c>
      <c r="C585" s="19">
        <v>-408.67206820000001</v>
      </c>
      <c r="E585" s="9">
        <f t="shared" si="157"/>
        <v>30.508267799999999</v>
      </c>
      <c r="F585" s="9">
        <f t="shared" si="162"/>
        <v>131.32793179999999</v>
      </c>
      <c r="I585">
        <v>1</v>
      </c>
      <c r="J585">
        <f t="shared" si="158"/>
        <v>8.8049669432305813E-2</v>
      </c>
      <c r="K585">
        <f t="shared" si="163"/>
        <v>1.3425388942603766</v>
      </c>
      <c r="O585">
        <f t="shared" si="164"/>
        <v>1.9898188922740444E-2</v>
      </c>
      <c r="P585">
        <f t="shared" si="165"/>
        <v>8.5655076024643118E-2</v>
      </c>
      <c r="Q585">
        <f t="shared" si="166"/>
        <v>0.99612613158615992</v>
      </c>
      <c r="R585">
        <f t="shared" si="156"/>
        <v>1</v>
      </c>
      <c r="AG585" s="8">
        <f t="shared" si="159"/>
        <v>-0.595332233422598</v>
      </c>
      <c r="AH585" s="8">
        <f t="shared" si="160"/>
        <v>0.43999154922014327</v>
      </c>
      <c r="AI585" s="8">
        <f t="shared" si="161"/>
        <v>0.67229976086781384</v>
      </c>
      <c r="AJ585" s="8"/>
      <c r="AK585" s="8"/>
      <c r="AL585" s="8"/>
      <c r="AN585" s="8">
        <f t="shared" si="167"/>
        <v>1.0000000000000002</v>
      </c>
      <c r="AO585" s="8">
        <f t="shared" si="168"/>
        <v>2.5051242222492012</v>
      </c>
      <c r="AP585" s="8">
        <f t="shared" si="169"/>
        <v>0.83348529087135037</v>
      </c>
      <c r="AQ585" s="8"/>
      <c r="AR585" s="8">
        <f t="shared" si="170"/>
        <v>143.53304509087206</v>
      </c>
      <c r="AS585" s="8">
        <f t="shared" si="171"/>
        <v>42.244810546837826</v>
      </c>
    </row>
    <row r="586" spans="1:45">
      <c r="A586" s="19">
        <v>18.48513333</v>
      </c>
      <c r="B586" s="19">
        <v>989.50003619999995</v>
      </c>
      <c r="C586" s="19">
        <v>-408.5814499</v>
      </c>
      <c r="E586" s="9">
        <f t="shared" si="157"/>
        <v>29.500036199999954</v>
      </c>
      <c r="F586" s="9">
        <f t="shared" si="162"/>
        <v>131.4185501</v>
      </c>
      <c r="I586">
        <v>1</v>
      </c>
      <c r="J586">
        <f t="shared" si="158"/>
        <v>8.7960332574393854E-2</v>
      </c>
      <c r="K586">
        <f t="shared" si="163"/>
        <v>1.349982677875508</v>
      </c>
      <c r="O586">
        <f t="shared" si="164"/>
        <v>1.9240554527001848E-2</v>
      </c>
      <c r="P586">
        <f t="shared" si="165"/>
        <v>8.5713989024141499E-2</v>
      </c>
      <c r="Q586">
        <f t="shared" si="166"/>
        <v>0.99613398353186544</v>
      </c>
      <c r="R586">
        <f t="shared" si="156"/>
        <v>1</v>
      </c>
      <c r="AG586" s="8">
        <f t="shared" si="159"/>
        <v>-0.59499093233218714</v>
      </c>
      <c r="AH586" s="8">
        <f t="shared" si="160"/>
        <v>0.44055300512018591</v>
      </c>
      <c r="AI586" s="8">
        <f t="shared" si="161"/>
        <v>0.67223421522713955</v>
      </c>
      <c r="AJ586" s="8"/>
      <c r="AK586" s="8"/>
      <c r="AL586" s="8"/>
      <c r="AN586" s="8">
        <f t="shared" si="167"/>
        <v>1</v>
      </c>
      <c r="AO586" s="8">
        <f t="shared" si="168"/>
        <v>2.5042403317587802</v>
      </c>
      <c r="AP586" s="8">
        <f t="shared" si="169"/>
        <v>0.83357382911660494</v>
      </c>
      <c r="AQ586" s="8"/>
      <c r="AR586" s="8">
        <f t="shared" si="170"/>
        <v>143.48240189621919</v>
      </c>
      <c r="AS586" s="8">
        <f t="shared" si="171"/>
        <v>42.239737679059239</v>
      </c>
    </row>
    <row r="587" spans="1:45">
      <c r="A587" s="19">
        <v>18.5185</v>
      </c>
      <c r="B587" s="19">
        <v>989.39259070000003</v>
      </c>
      <c r="C587" s="19">
        <v>-408.45295279999999</v>
      </c>
      <c r="E587" s="9">
        <f t="shared" si="157"/>
        <v>29.392590700000028</v>
      </c>
      <c r="F587" s="9">
        <f t="shared" si="162"/>
        <v>131.54704720000001</v>
      </c>
      <c r="I587">
        <v>1</v>
      </c>
      <c r="J587">
        <f t="shared" si="158"/>
        <v>8.8027205216643145E-2</v>
      </c>
      <c r="K587">
        <f t="shared" si="163"/>
        <v>1.3509692483954716</v>
      </c>
      <c r="O587">
        <f t="shared" si="164"/>
        <v>1.9170508170384973E-2</v>
      </c>
      <c r="P587">
        <f t="shared" si="165"/>
        <v>8.5797940333909251E-2</v>
      </c>
      <c r="Q587">
        <f t="shared" si="166"/>
        <v>0.99612810674679197</v>
      </c>
      <c r="R587">
        <f t="shared" si="156"/>
        <v>1</v>
      </c>
      <c r="AG587" s="8">
        <f t="shared" si="159"/>
        <v>-0.59490323131769318</v>
      </c>
      <c r="AH587" s="8">
        <f t="shared" si="160"/>
        <v>0.4405962197593068</v>
      </c>
      <c r="AI587" s="8">
        <f t="shared" si="161"/>
        <v>0.67228350902099032</v>
      </c>
      <c r="AJ587" s="8"/>
      <c r="AK587" s="8"/>
      <c r="AL587" s="8"/>
      <c r="AN587" s="8">
        <f t="shared" si="167"/>
        <v>1</v>
      </c>
      <c r="AO587" s="8">
        <f t="shared" si="168"/>
        <v>2.5041229206681357</v>
      </c>
      <c r="AP587" s="8">
        <f t="shared" si="169"/>
        <v>0.83350724432986567</v>
      </c>
      <c r="AQ587" s="8"/>
      <c r="AR587" s="8">
        <f t="shared" si="170"/>
        <v>143.47567473625725</v>
      </c>
      <c r="AS587" s="8">
        <f t="shared" si="171"/>
        <v>42.243552706319178</v>
      </c>
    </row>
    <row r="588" spans="1:45">
      <c r="A588" s="19">
        <v>18.551866669999999</v>
      </c>
      <c r="B588" s="19">
        <v>988.45364610000001</v>
      </c>
      <c r="C588" s="19">
        <v>-408.55988059999999</v>
      </c>
      <c r="E588" s="9">
        <f t="shared" si="157"/>
        <v>28.453646100000014</v>
      </c>
      <c r="F588" s="9">
        <f t="shared" si="162"/>
        <v>131.44011940000001</v>
      </c>
      <c r="I588">
        <v>1</v>
      </c>
      <c r="J588">
        <f t="shared" si="158"/>
        <v>8.7826318912245238E-2</v>
      </c>
      <c r="K588">
        <f t="shared" si="163"/>
        <v>1.3576097014487771</v>
      </c>
      <c r="O588">
        <f t="shared" si="164"/>
        <v>1.8558014075971078E-2</v>
      </c>
      <c r="P588">
        <f t="shared" si="165"/>
        <v>8.5727768504596596E-2</v>
      </c>
      <c r="Q588">
        <f t="shared" si="166"/>
        <v>0.99614574727836802</v>
      </c>
      <c r="R588">
        <f t="shared" si="156"/>
        <v>1</v>
      </c>
      <c r="AG588" s="8">
        <f t="shared" si="159"/>
        <v>-0.59466770925251955</v>
      </c>
      <c r="AH588" s="8">
        <f t="shared" si="160"/>
        <v>0.44114561217954085</v>
      </c>
      <c r="AI588" s="8">
        <f t="shared" si="161"/>
        <v>0.67213158267343676</v>
      </c>
      <c r="AJ588" s="8"/>
      <c r="AK588" s="8"/>
      <c r="AL588" s="8"/>
      <c r="AN588" s="8">
        <f t="shared" si="167"/>
        <v>1</v>
      </c>
      <c r="AO588" s="8">
        <f t="shared" si="168"/>
        <v>2.5033373405998001</v>
      </c>
      <c r="AP588" s="8">
        <f t="shared" si="169"/>
        <v>0.8337124496114362</v>
      </c>
      <c r="AQ588" s="8"/>
      <c r="AR588" s="8">
        <f t="shared" si="170"/>
        <v>143.430664313872</v>
      </c>
      <c r="AS588" s="8">
        <f t="shared" si="171"/>
        <v>42.231795309751398</v>
      </c>
    </row>
    <row r="589" spans="1:45">
      <c r="A589" s="19">
        <v>18.585233330000001</v>
      </c>
      <c r="B589" s="19">
        <v>988.06139510000003</v>
      </c>
      <c r="C589" s="19">
        <v>-408.51434160000002</v>
      </c>
      <c r="E589" s="9">
        <f t="shared" si="157"/>
        <v>28.061395100000027</v>
      </c>
      <c r="F589" s="9">
        <f t="shared" si="162"/>
        <v>131.48565839999998</v>
      </c>
      <c r="I589">
        <v>1</v>
      </c>
      <c r="J589">
        <f t="shared" si="158"/>
        <v>8.7801443437076729E-2</v>
      </c>
      <c r="K589">
        <f t="shared" si="163"/>
        <v>1.3605328414715663</v>
      </c>
      <c r="O589">
        <f t="shared" si="164"/>
        <v>1.8302168931160011E-2</v>
      </c>
      <c r="P589">
        <f t="shared" si="165"/>
        <v>8.575741596188835E-2</v>
      </c>
      <c r="Q589">
        <f t="shared" si="166"/>
        <v>0.99614792888403625</v>
      </c>
      <c r="R589">
        <f t="shared" si="156"/>
        <v>1</v>
      </c>
      <c r="AG589" s="8">
        <f t="shared" si="159"/>
        <v>-0.59453029564802562</v>
      </c>
      <c r="AH589" s="8">
        <f t="shared" si="160"/>
        <v>0.4413624652572013</v>
      </c>
      <c r="AI589" s="8">
        <f t="shared" si="161"/>
        <v>0.67211078091246024</v>
      </c>
      <c r="AJ589" s="8"/>
      <c r="AK589" s="8"/>
      <c r="AL589" s="8"/>
      <c r="AN589" s="8">
        <f t="shared" si="167"/>
        <v>1</v>
      </c>
      <c r="AO589" s="8">
        <f t="shared" si="168"/>
        <v>2.5029915606495972</v>
      </c>
      <c r="AP589" s="8">
        <f t="shared" si="169"/>
        <v>0.8337405433506786</v>
      </c>
      <c r="AQ589" s="8"/>
      <c r="AR589" s="8">
        <f t="shared" si="170"/>
        <v>143.41085258208514</v>
      </c>
      <c r="AS589" s="8">
        <f t="shared" si="171"/>
        <v>42.230185657062066</v>
      </c>
    </row>
    <row r="590" spans="1:45">
      <c r="A590" s="19">
        <v>18.618600000000001</v>
      </c>
      <c r="B590" s="19">
        <v>987.54858690000003</v>
      </c>
      <c r="C590" s="19">
        <v>-408.45471880000002</v>
      </c>
      <c r="E590" s="9">
        <f t="shared" si="157"/>
        <v>27.548586900000032</v>
      </c>
      <c r="F590" s="9">
        <f t="shared" si="162"/>
        <v>131.54528119999998</v>
      </c>
      <c r="I590">
        <v>1</v>
      </c>
      <c r="J590">
        <f t="shared" si="158"/>
        <v>8.7770116448695451E-2</v>
      </c>
      <c r="K590">
        <f t="shared" si="163"/>
        <v>1.3643569751909723</v>
      </c>
      <c r="O590">
        <f t="shared" si="164"/>
        <v>1.7967691519724015E-2</v>
      </c>
      <c r="P590">
        <f t="shared" si="165"/>
        <v>8.5796234923285614E-2</v>
      </c>
      <c r="Q590">
        <f t="shared" si="166"/>
        <v>0.99615067541734892</v>
      </c>
      <c r="R590">
        <f t="shared" si="156"/>
        <v>1</v>
      </c>
      <c r="AG590" s="8">
        <f t="shared" si="159"/>
        <v>-0.59435054523120567</v>
      </c>
      <c r="AH590" s="8">
        <f t="shared" si="160"/>
        <v>0.44164590635433992</v>
      </c>
      <c r="AI590" s="8">
        <f t="shared" si="161"/>
        <v>0.67208356830369098</v>
      </c>
      <c r="AJ590" s="8"/>
      <c r="AK590" s="8"/>
      <c r="AL590" s="8"/>
      <c r="AN590" s="8">
        <f t="shared" si="167"/>
        <v>0.99999999999999978</v>
      </c>
      <c r="AO590" s="8">
        <f t="shared" si="168"/>
        <v>2.5025395161112618</v>
      </c>
      <c r="AP590" s="8">
        <f t="shared" si="169"/>
        <v>0.83377729415446533</v>
      </c>
      <c r="AQ590" s="8"/>
      <c r="AR590" s="8">
        <f t="shared" si="170"/>
        <v>143.38495233788657</v>
      </c>
      <c r="AS590" s="8">
        <f t="shared" si="171"/>
        <v>42.228079991111372</v>
      </c>
    </row>
    <row r="591" spans="1:45">
      <c r="A591" s="19">
        <v>18.65196667</v>
      </c>
      <c r="B591" s="19">
        <v>986.92996289999996</v>
      </c>
      <c r="C591" s="19">
        <v>-408.3761829</v>
      </c>
      <c r="E591" s="9">
        <f t="shared" si="157"/>
        <v>26.929962899999964</v>
      </c>
      <c r="F591" s="9">
        <f t="shared" si="162"/>
        <v>131.6238171</v>
      </c>
      <c r="I591">
        <v>1</v>
      </c>
      <c r="J591">
        <f t="shared" si="158"/>
        <v>8.7738292519778618E-2</v>
      </c>
      <c r="K591">
        <f t="shared" si="163"/>
        <v>1.3689835975079163</v>
      </c>
      <c r="O591">
        <f t="shared" si="164"/>
        <v>1.756419943542277E-2</v>
      </c>
      <c r="P591">
        <f t="shared" si="165"/>
        <v>8.5847388003494549E-2</v>
      </c>
      <c r="Q591">
        <f t="shared" si="166"/>
        <v>0.99615346451797782</v>
      </c>
      <c r="R591">
        <f t="shared" si="156"/>
        <v>1</v>
      </c>
      <c r="AG591" s="8">
        <f t="shared" si="159"/>
        <v>-0.59413075091636181</v>
      </c>
      <c r="AH591" s="8">
        <f t="shared" si="160"/>
        <v>0.44198683678623885</v>
      </c>
      <c r="AI591" s="8">
        <f t="shared" si="161"/>
        <v>0.67205378276091476</v>
      </c>
      <c r="AJ591" s="8"/>
      <c r="AK591" s="8"/>
      <c r="AL591" s="8"/>
      <c r="AN591" s="8">
        <f t="shared" si="167"/>
        <v>1.0000000000000002</v>
      </c>
      <c r="AO591" s="8">
        <f t="shared" si="168"/>
        <v>2.5019929348395582</v>
      </c>
      <c r="AP591" s="8">
        <f t="shared" si="169"/>
        <v>0.83381751831707551</v>
      </c>
      <c r="AQ591" s="8"/>
      <c r="AR591" s="8">
        <f t="shared" si="170"/>
        <v>143.35363553785709</v>
      </c>
      <c r="AS591" s="8">
        <f t="shared" si="171"/>
        <v>42.225775316359361</v>
      </c>
    </row>
    <row r="592" spans="1:45">
      <c r="A592" s="19">
        <v>18.685333329999999</v>
      </c>
      <c r="B592" s="19">
        <v>986.32525380000004</v>
      </c>
      <c r="C592" s="19">
        <v>-408.32023370000002</v>
      </c>
      <c r="E592" s="9">
        <f t="shared" si="157"/>
        <v>26.325253800000041</v>
      </c>
      <c r="F592" s="9">
        <f t="shared" si="162"/>
        <v>131.67976629999998</v>
      </c>
      <c r="I592">
        <v>1</v>
      </c>
      <c r="J592">
        <f t="shared" si="158"/>
        <v>8.7695612311532695E-2</v>
      </c>
      <c r="K592">
        <f t="shared" si="163"/>
        <v>1.373478896663306</v>
      </c>
      <c r="O592">
        <f t="shared" si="164"/>
        <v>1.716977873922047E-2</v>
      </c>
      <c r="P592">
        <f t="shared" si="165"/>
        <v>8.5883785546001359E-2</v>
      </c>
      <c r="Q592">
        <f t="shared" si="166"/>
        <v>0.99615720349668435</v>
      </c>
      <c r="R592">
        <f t="shared" si="156"/>
        <v>1</v>
      </c>
      <c r="AG592" s="8">
        <f t="shared" si="159"/>
        <v>-0.59392478747879485</v>
      </c>
      <c r="AH592" s="8">
        <f t="shared" si="160"/>
        <v>0.44232293040616011</v>
      </c>
      <c r="AI592" s="8">
        <f t="shared" si="161"/>
        <v>0.67201471118955092</v>
      </c>
      <c r="AJ592" s="8"/>
      <c r="AK592" s="8"/>
      <c r="AL592" s="8"/>
      <c r="AN592" s="8">
        <f t="shared" si="167"/>
        <v>1</v>
      </c>
      <c r="AO592" s="8">
        <f t="shared" si="168"/>
        <v>2.5014627878354725</v>
      </c>
      <c r="AP592" s="8">
        <f t="shared" si="169"/>
        <v>0.83387028065678204</v>
      </c>
      <c r="AQ592" s="8"/>
      <c r="AR592" s="8">
        <f t="shared" si="170"/>
        <v>143.32326035200145</v>
      </c>
      <c r="AS592" s="8">
        <f t="shared" si="171"/>
        <v>42.222752256976939</v>
      </c>
    </row>
    <row r="593" spans="1:45">
      <c r="A593" s="19">
        <v>18.718699999999998</v>
      </c>
      <c r="B593" s="19">
        <v>985.5672611</v>
      </c>
      <c r="C593" s="19">
        <v>-407.89546100000001</v>
      </c>
      <c r="E593" s="9">
        <f t="shared" si="157"/>
        <v>25.567261099999996</v>
      </c>
      <c r="F593" s="9">
        <f t="shared" si="162"/>
        <v>132.10453899999999</v>
      </c>
      <c r="I593">
        <v>1</v>
      </c>
      <c r="J593">
        <f t="shared" si="158"/>
        <v>8.787309756357628E-2</v>
      </c>
      <c r="K593">
        <f t="shared" si="163"/>
        <v>1.3796217856323909</v>
      </c>
      <c r="O593">
        <f t="shared" si="164"/>
        <v>1.6675478047401011E-2</v>
      </c>
      <c r="P593">
        <f t="shared" si="165"/>
        <v>8.6161217325563672E-2</v>
      </c>
      <c r="Q593">
        <f t="shared" si="166"/>
        <v>0.99614164307133934</v>
      </c>
      <c r="R593">
        <f t="shared" si="156"/>
        <v>1</v>
      </c>
      <c r="AG593" s="8">
        <f t="shared" si="159"/>
        <v>-0.59351328860798103</v>
      </c>
      <c r="AH593" s="8">
        <f t="shared" si="160"/>
        <v>0.44269452975918744</v>
      </c>
      <c r="AI593" s="8">
        <f t="shared" si="161"/>
        <v>0.67213356527332524</v>
      </c>
      <c r="AJ593" s="8"/>
      <c r="AK593" s="8"/>
      <c r="AL593" s="8"/>
      <c r="AN593" s="8">
        <f t="shared" si="167"/>
        <v>1</v>
      </c>
      <c r="AO593" s="8">
        <f t="shared" si="168"/>
        <v>2.5007283258880091</v>
      </c>
      <c r="AP593" s="8">
        <f t="shared" si="169"/>
        <v>0.83370977198129437</v>
      </c>
      <c r="AQ593" s="8"/>
      <c r="AR593" s="8">
        <f t="shared" si="170"/>
        <v>143.28117878219885</v>
      </c>
      <c r="AS593" s="8">
        <f t="shared" si="171"/>
        <v>42.23194872665762</v>
      </c>
    </row>
    <row r="594" spans="1:45">
      <c r="A594" s="19">
        <v>18.752066670000001</v>
      </c>
      <c r="B594" s="19">
        <v>985.13595610000004</v>
      </c>
      <c r="C594" s="19">
        <v>-407.65029049999998</v>
      </c>
      <c r="E594" s="9">
        <f t="shared" si="157"/>
        <v>25.135956100000044</v>
      </c>
      <c r="F594" s="9">
        <f t="shared" si="162"/>
        <v>132.34970950000002</v>
      </c>
      <c r="I594">
        <v>1</v>
      </c>
      <c r="J594">
        <f t="shared" si="158"/>
        <v>8.7977807599483357E-2</v>
      </c>
      <c r="K594">
        <f t="shared" si="163"/>
        <v>1.3831108700795629</v>
      </c>
      <c r="O594">
        <f t="shared" si="164"/>
        <v>1.6394215295334906E-2</v>
      </c>
      <c r="P594">
        <f t="shared" si="165"/>
        <v>8.6321348715994464E-2</v>
      </c>
      <c r="Q594">
        <f t="shared" si="166"/>
        <v>0.99613244825208958</v>
      </c>
      <c r="R594">
        <f t="shared" si="156"/>
        <v>1</v>
      </c>
      <c r="AG594" s="8">
        <f t="shared" si="159"/>
        <v>-0.59327754816239309</v>
      </c>
      <c r="AH594" s="8">
        <f t="shared" si="160"/>
        <v>0.44290542087618845</v>
      </c>
      <c r="AI594" s="8">
        <f t="shared" si="161"/>
        <v>0.67220275141128794</v>
      </c>
      <c r="AJ594" s="8"/>
      <c r="AK594" s="8"/>
      <c r="AL594" s="8"/>
      <c r="AN594" s="8">
        <f t="shared" si="167"/>
        <v>1</v>
      </c>
      <c r="AO594" s="8">
        <f t="shared" si="168"/>
        <v>2.5003096248756189</v>
      </c>
      <c r="AP594" s="8">
        <f t="shared" si="169"/>
        <v>0.83361632752364567</v>
      </c>
      <c r="AQ594" s="8"/>
      <c r="AR594" s="8">
        <f t="shared" si="170"/>
        <v>143.25718898131103</v>
      </c>
      <c r="AS594" s="8">
        <f t="shared" si="171"/>
        <v>42.237302699699775</v>
      </c>
    </row>
    <row r="595" spans="1:45">
      <c r="A595" s="19">
        <v>18.78543333</v>
      </c>
      <c r="B595" s="19">
        <v>984.52454169999999</v>
      </c>
      <c r="C595" s="19">
        <v>-407.61620920000001</v>
      </c>
      <c r="E595" s="9">
        <f t="shared" si="157"/>
        <v>24.524541699999986</v>
      </c>
      <c r="F595" s="9">
        <f t="shared" si="162"/>
        <v>132.38379079999999</v>
      </c>
      <c r="I595">
        <v>1</v>
      </c>
      <c r="J595">
        <f t="shared" si="158"/>
        <v>8.7925817230380413E-2</v>
      </c>
      <c r="K595">
        <f t="shared" si="163"/>
        <v>1.3876195985547684</v>
      </c>
      <c r="O595">
        <f t="shared" si="164"/>
        <v>1.5995416803112179E-2</v>
      </c>
      <c r="P595">
        <f t="shared" si="165"/>
        <v>8.6343465159310531E-2</v>
      </c>
      <c r="Q595">
        <f t="shared" si="166"/>
        <v>0.99613701500625784</v>
      </c>
      <c r="R595">
        <f t="shared" si="156"/>
        <v>1</v>
      </c>
      <c r="AG595" s="8">
        <f t="shared" si="159"/>
        <v>-0.59307869710796179</v>
      </c>
      <c r="AH595" s="8">
        <f t="shared" si="160"/>
        <v>0.44324815206644247</v>
      </c>
      <c r="AI595" s="8">
        <f t="shared" si="161"/>
        <v>0.67215231512389095</v>
      </c>
      <c r="AJ595" s="8"/>
      <c r="AK595" s="8"/>
      <c r="AL595" s="8"/>
      <c r="AN595" s="8">
        <f t="shared" si="167"/>
        <v>1</v>
      </c>
      <c r="AO595" s="8">
        <f t="shared" si="168"/>
        <v>2.4997780324311534</v>
      </c>
      <c r="AP595" s="8">
        <f t="shared" si="169"/>
        <v>0.83368444876636105</v>
      </c>
      <c r="AQ595" s="8"/>
      <c r="AR595" s="8">
        <f t="shared" si="170"/>
        <v>143.22673097782211</v>
      </c>
      <c r="AS595" s="8">
        <f t="shared" si="171"/>
        <v>42.233399639997003</v>
      </c>
    </row>
    <row r="596" spans="1:45">
      <c r="A596" s="19">
        <v>18.8188</v>
      </c>
      <c r="B596" s="19">
        <v>983.83460790000004</v>
      </c>
      <c r="C596" s="19">
        <v>-407.62199140000001</v>
      </c>
      <c r="E596" s="9">
        <f t="shared" si="157"/>
        <v>23.834607900000037</v>
      </c>
      <c r="F596" s="9">
        <f t="shared" si="162"/>
        <v>132.37800859999999</v>
      </c>
      <c r="I596">
        <v>1</v>
      </c>
      <c r="J596">
        <f t="shared" si="158"/>
        <v>8.7840738095717436E-2</v>
      </c>
      <c r="K596">
        <f t="shared" si="163"/>
        <v>1.3926553426381056</v>
      </c>
      <c r="O596">
        <f t="shared" si="164"/>
        <v>1.554539437117883E-2</v>
      </c>
      <c r="P596">
        <f t="shared" si="165"/>
        <v>8.6339509271234918E-2</v>
      </c>
      <c r="Q596">
        <f t="shared" si="166"/>
        <v>0.99614448241841247</v>
      </c>
      <c r="R596">
        <f t="shared" si="156"/>
        <v>1</v>
      </c>
      <c r="AG596" s="8">
        <f t="shared" si="159"/>
        <v>-0.59287329930152655</v>
      </c>
      <c r="AH596" s="8">
        <f t="shared" si="160"/>
        <v>0.4436409923626663</v>
      </c>
      <c r="AI596" s="8">
        <f t="shared" si="161"/>
        <v>0.67207434177387793</v>
      </c>
      <c r="AJ596" s="8"/>
      <c r="AK596" s="8"/>
      <c r="AL596" s="8"/>
      <c r="AN596" s="8">
        <f t="shared" si="167"/>
        <v>1</v>
      </c>
      <c r="AO596" s="8">
        <f t="shared" si="168"/>
        <v>2.499187025866302</v>
      </c>
      <c r="AP596" s="8">
        <f t="shared" si="169"/>
        <v>0.83378975436425107</v>
      </c>
      <c r="AQ596" s="8"/>
      <c r="AR596" s="8">
        <f t="shared" si="170"/>
        <v>143.19286879599161</v>
      </c>
      <c r="AS596" s="8">
        <f t="shared" si="171"/>
        <v>42.227366073678802</v>
      </c>
    </row>
    <row r="597" spans="1:45">
      <c r="A597" s="19">
        <v>18.852166669999999</v>
      </c>
      <c r="B597" s="19">
        <v>983.32693270000004</v>
      </c>
      <c r="C597" s="19">
        <v>-407.54733290000001</v>
      </c>
      <c r="E597" s="9">
        <f t="shared" si="157"/>
        <v>23.326932700000043</v>
      </c>
      <c r="F597" s="9">
        <f t="shared" si="162"/>
        <v>132.45266709999999</v>
      </c>
      <c r="I597">
        <v>1</v>
      </c>
      <c r="J597">
        <f t="shared" si="158"/>
        <v>8.7830563501854045E-2</v>
      </c>
      <c r="K597">
        <f t="shared" si="163"/>
        <v>1.39646876903741</v>
      </c>
      <c r="O597">
        <f t="shared" si="164"/>
        <v>1.521427483442638E-2</v>
      </c>
      <c r="P597">
        <f t="shared" si="165"/>
        <v>8.6388180809223225E-2</v>
      </c>
      <c r="Q597">
        <f t="shared" si="166"/>
        <v>0.99614537496177513</v>
      </c>
      <c r="R597">
        <f t="shared" si="156"/>
        <v>1</v>
      </c>
      <c r="AG597" s="8">
        <f t="shared" si="159"/>
        <v>-0.59268798006932277</v>
      </c>
      <c r="AH597" s="8">
        <f t="shared" si="160"/>
        <v>0.44391895479278176</v>
      </c>
      <c r="AI597" s="8">
        <f t="shared" si="161"/>
        <v>0.67205425365593086</v>
      </c>
      <c r="AJ597" s="8"/>
      <c r="AK597" s="8"/>
      <c r="AL597" s="8"/>
      <c r="AN597" s="8">
        <f t="shared" si="167"/>
        <v>1</v>
      </c>
      <c r="AO597" s="8">
        <f t="shared" si="168"/>
        <v>2.4987365454824126</v>
      </c>
      <c r="AP597" s="8">
        <f t="shared" si="169"/>
        <v>0.83381688240395591</v>
      </c>
      <c r="AQ597" s="8"/>
      <c r="AR597" s="8">
        <f t="shared" si="170"/>
        <v>143.16705817124131</v>
      </c>
      <c r="AS597" s="8">
        <f t="shared" si="171"/>
        <v>42.225811751497254</v>
      </c>
    </row>
    <row r="598" spans="1:45">
      <c r="A598" s="19">
        <v>18.885533330000001</v>
      </c>
      <c r="B598" s="19">
        <v>982.56113630000004</v>
      </c>
      <c r="C598" s="19">
        <v>-407.49427989999998</v>
      </c>
      <c r="E598" s="9">
        <f t="shared" si="157"/>
        <v>22.561136300000044</v>
      </c>
      <c r="F598" s="9">
        <f t="shared" si="162"/>
        <v>132.50572010000002</v>
      </c>
      <c r="I598">
        <v>1</v>
      </c>
      <c r="J598">
        <f t="shared" si="158"/>
        <v>8.7779112222796205E-2</v>
      </c>
      <c r="K598">
        <f t="shared" si="163"/>
        <v>1.4021482585787481</v>
      </c>
      <c r="O598">
        <f t="shared" si="164"/>
        <v>1.4714788507993664E-2</v>
      </c>
      <c r="P598">
        <f t="shared" si="165"/>
        <v>8.642267044727267E-2</v>
      </c>
      <c r="Q598">
        <f t="shared" si="166"/>
        <v>0.99614988683025363</v>
      </c>
      <c r="R598">
        <f t="shared" si="156"/>
        <v>1</v>
      </c>
      <c r="AG598" s="8">
        <f t="shared" si="159"/>
        <v>-0.59243403772412651</v>
      </c>
      <c r="AH598" s="8">
        <f t="shared" si="160"/>
        <v>0.44434647394400351</v>
      </c>
      <c r="AI598" s="8">
        <f t="shared" si="161"/>
        <v>0.67199562650319344</v>
      </c>
      <c r="AJ598" s="8"/>
      <c r="AK598" s="8"/>
      <c r="AL598" s="8"/>
      <c r="AN598" s="8">
        <f t="shared" si="167"/>
        <v>1.0000000000000002</v>
      </c>
      <c r="AO598" s="8">
        <f t="shared" si="168"/>
        <v>2.4980689178233169</v>
      </c>
      <c r="AP598" s="8">
        <f t="shared" si="169"/>
        <v>0.83389605174273163</v>
      </c>
      <c r="AQ598" s="8"/>
      <c r="AR598" s="8">
        <f t="shared" si="170"/>
        <v>143.12880592408894</v>
      </c>
      <c r="AS598" s="8">
        <f t="shared" si="171"/>
        <v>42.221275682518559</v>
      </c>
    </row>
    <row r="599" spans="1:45">
      <c r="A599" s="19">
        <v>18.918900000000001</v>
      </c>
      <c r="B599" s="19">
        <v>982.28442299999995</v>
      </c>
      <c r="C599" s="19">
        <v>-407.42341340000002</v>
      </c>
      <c r="E599" s="9">
        <f t="shared" si="157"/>
        <v>22.284422999999947</v>
      </c>
      <c r="F599" s="9">
        <f t="shared" si="162"/>
        <v>132.57658659999998</v>
      </c>
      <c r="I599">
        <v>1</v>
      </c>
      <c r="J599">
        <f t="shared" si="158"/>
        <v>8.779467492283996E-2</v>
      </c>
      <c r="K599">
        <f t="shared" si="163"/>
        <v>1.4042658590398223</v>
      </c>
      <c r="O599">
        <f t="shared" si="164"/>
        <v>1.4534316733307878E-2</v>
      </c>
      <c r="P599">
        <f t="shared" si="165"/>
        <v>8.6468925000446478E-2</v>
      </c>
      <c r="Q599">
        <f t="shared" si="166"/>
        <v>0.99614852238326546</v>
      </c>
      <c r="R599">
        <f t="shared" si="156"/>
        <v>1</v>
      </c>
      <c r="AG599" s="8">
        <f t="shared" si="159"/>
        <v>-0.592319898238582</v>
      </c>
      <c r="AH599" s="8">
        <f t="shared" si="160"/>
        <v>0.44449369144035999</v>
      </c>
      <c r="AI599" s="8">
        <f t="shared" si="161"/>
        <v>0.67199888126421614</v>
      </c>
      <c r="AJ599" s="8"/>
      <c r="AK599" s="8"/>
      <c r="AL599" s="8"/>
      <c r="AN599" s="8">
        <f t="shared" si="167"/>
        <v>1.0000000000000002</v>
      </c>
      <c r="AO599" s="8">
        <f t="shared" si="168"/>
        <v>2.4978174058198159</v>
      </c>
      <c r="AP599" s="8">
        <f t="shared" si="169"/>
        <v>0.83389165670521415</v>
      </c>
      <c r="AQ599" s="8"/>
      <c r="AR599" s="8">
        <f t="shared" si="170"/>
        <v>143.11439534779146</v>
      </c>
      <c r="AS599" s="8">
        <f t="shared" si="171"/>
        <v>42.221527499619114</v>
      </c>
    </row>
    <row r="600" spans="1:45">
      <c r="A600" s="19">
        <v>18.95226667</v>
      </c>
      <c r="B600" s="19">
        <v>981.49740199999997</v>
      </c>
      <c r="C600" s="19">
        <v>-407.1723452</v>
      </c>
      <c r="E600" s="9">
        <f t="shared" si="157"/>
        <v>21.497401999999965</v>
      </c>
      <c r="F600" s="9">
        <f t="shared" si="162"/>
        <v>132.8276548</v>
      </c>
      <c r="I600">
        <v>1</v>
      </c>
      <c r="J600">
        <f t="shared" si="158"/>
        <v>8.7873170978350526E-2</v>
      </c>
      <c r="K600">
        <f t="shared" si="163"/>
        <v>1.410343295976342</v>
      </c>
      <c r="O600">
        <f t="shared" si="164"/>
        <v>1.4021034728244564E-2</v>
      </c>
      <c r="P600">
        <f t="shared" si="165"/>
        <v>8.6632848044711802E-2</v>
      </c>
      <c r="Q600">
        <f t="shared" si="166"/>
        <v>0.99614163662845212</v>
      </c>
      <c r="R600">
        <f t="shared" si="156"/>
        <v>1</v>
      </c>
      <c r="AG600" s="8">
        <f t="shared" si="159"/>
        <v>-0.59197374160368588</v>
      </c>
      <c r="AH600" s="8">
        <f t="shared" si="160"/>
        <v>0.44490538372289007</v>
      </c>
      <c r="AI600" s="8">
        <f t="shared" si="161"/>
        <v>0.67203146413402437</v>
      </c>
      <c r="AJ600" s="8"/>
      <c r="AK600" s="8"/>
      <c r="AL600" s="8"/>
      <c r="AN600" s="8">
        <f t="shared" si="167"/>
        <v>1</v>
      </c>
      <c r="AO600" s="8">
        <f t="shared" si="168"/>
        <v>2.4970921665925632</v>
      </c>
      <c r="AP600" s="8">
        <f t="shared" si="169"/>
        <v>0.83384765775147895</v>
      </c>
      <c r="AQ600" s="8"/>
      <c r="AR600" s="8">
        <f t="shared" si="170"/>
        <v>143.07284220093254</v>
      </c>
      <c r="AS600" s="8">
        <f t="shared" si="171"/>
        <v>42.224048453971129</v>
      </c>
    </row>
    <row r="601" spans="1:45">
      <c r="A601" s="19">
        <v>18.985633329999999</v>
      </c>
      <c r="B601" s="19">
        <v>980.55829759999995</v>
      </c>
      <c r="C601" s="19">
        <v>-406.82371389999997</v>
      </c>
      <c r="E601" s="9">
        <f t="shared" si="157"/>
        <v>20.558297599999946</v>
      </c>
      <c r="F601" s="9">
        <f t="shared" si="162"/>
        <v>133.17628610000003</v>
      </c>
      <c r="I601">
        <v>1</v>
      </c>
      <c r="J601">
        <f t="shared" si="158"/>
        <v>8.8002901453828095E-2</v>
      </c>
      <c r="K601">
        <f t="shared" si="163"/>
        <v>1.4176362264099798</v>
      </c>
      <c r="O601">
        <f t="shared" si="164"/>
        <v>1.3408575592424496E-2</v>
      </c>
      <c r="P601">
        <f t="shared" si="165"/>
        <v>8.6860514135674638E-2</v>
      </c>
      <c r="Q601">
        <f t="shared" si="166"/>
        <v>0.9961302430830361</v>
      </c>
      <c r="R601">
        <f t="shared" si="156"/>
        <v>1</v>
      </c>
      <c r="AG601" s="8">
        <f t="shared" si="159"/>
        <v>-0.59153924058746465</v>
      </c>
      <c r="AH601" s="8">
        <f t="shared" si="160"/>
        <v>0.44538958324272915</v>
      </c>
      <c r="AI601" s="8">
        <f t="shared" si="161"/>
        <v>0.6720933313045695</v>
      </c>
      <c r="AJ601" s="8"/>
      <c r="AK601" s="8"/>
      <c r="AL601" s="8"/>
      <c r="AN601" s="8">
        <f t="shared" si="167"/>
        <v>1.0000000000000002</v>
      </c>
      <c r="AO601" s="8">
        <f t="shared" si="168"/>
        <v>2.4962168844835881</v>
      </c>
      <c r="AP601" s="8">
        <f t="shared" si="169"/>
        <v>0.83376410929977651</v>
      </c>
      <c r="AQ601" s="8"/>
      <c r="AR601" s="8">
        <f t="shared" si="170"/>
        <v>143.02269223020494</v>
      </c>
      <c r="AS601" s="8">
        <f t="shared" si="171"/>
        <v>42.228835427638536</v>
      </c>
    </row>
    <row r="602" spans="1:45">
      <c r="A602" s="19">
        <v>19.018999999999998</v>
      </c>
      <c r="B602" s="19">
        <v>980.23565210000004</v>
      </c>
      <c r="C602" s="19">
        <v>-406.68235129999999</v>
      </c>
      <c r="E602" s="9">
        <f t="shared" si="157"/>
        <v>20.235652100000038</v>
      </c>
      <c r="F602" s="9">
        <f t="shared" si="162"/>
        <v>133.31764870000001</v>
      </c>
      <c r="I602">
        <v>1</v>
      </c>
      <c r="J602">
        <f t="shared" si="158"/>
        <v>8.8062558725529455E-2</v>
      </c>
      <c r="K602">
        <f t="shared" si="163"/>
        <v>1.4201608762674809</v>
      </c>
      <c r="O602">
        <f t="shared" si="164"/>
        <v>1.3198158593951709E-2</v>
      </c>
      <c r="P602">
        <f t="shared" si="165"/>
        <v>8.6952842548391973E-2</v>
      </c>
      <c r="Q602">
        <f t="shared" si="166"/>
        <v>0.99612499807126786</v>
      </c>
      <c r="R602">
        <f t="shared" si="156"/>
        <v>1</v>
      </c>
      <c r="AG602" s="8">
        <f t="shared" si="159"/>
        <v>-0.59138056363237901</v>
      </c>
      <c r="AH602" s="8">
        <f t="shared" si="160"/>
        <v>0.44555286921954185</v>
      </c>
      <c r="AI602" s="8">
        <f t="shared" si="161"/>
        <v>0.67212474265428102</v>
      </c>
      <c r="AJ602" s="8"/>
      <c r="AK602" s="8"/>
      <c r="AL602" s="8"/>
      <c r="AN602" s="8">
        <f t="shared" si="167"/>
        <v>1</v>
      </c>
      <c r="AO602" s="8">
        <f t="shared" si="168"/>
        <v>2.4959118097968123</v>
      </c>
      <c r="AP602" s="8">
        <f t="shared" si="169"/>
        <v>0.83372168745237363</v>
      </c>
      <c r="AQ602" s="8"/>
      <c r="AR602" s="8">
        <f t="shared" si="170"/>
        <v>143.00521273821641</v>
      </c>
      <c r="AS602" s="8">
        <f t="shared" si="171"/>
        <v>42.231266020453866</v>
      </c>
    </row>
    <row r="603" spans="1:45">
      <c r="A603" s="19">
        <v>19.052366670000001</v>
      </c>
      <c r="B603" s="19">
        <v>979.53902989999995</v>
      </c>
      <c r="C603" s="19">
        <v>-406.62759949999997</v>
      </c>
      <c r="E603" s="9">
        <f t="shared" si="157"/>
        <v>19.539029899999946</v>
      </c>
      <c r="F603" s="9">
        <f t="shared" si="162"/>
        <v>133.37240050000003</v>
      </c>
      <c r="I603">
        <v>1</v>
      </c>
      <c r="J603">
        <f t="shared" si="158"/>
        <v>8.8030663765803568E-2</v>
      </c>
      <c r="K603">
        <f t="shared" si="163"/>
        <v>1.4253313036285267</v>
      </c>
      <c r="O603">
        <f t="shared" si="164"/>
        <v>1.2743795478625955E-2</v>
      </c>
      <c r="P603">
        <f t="shared" si="165"/>
        <v>8.6988484237152233E-2</v>
      </c>
      <c r="Q603">
        <f t="shared" si="166"/>
        <v>0.99612780268744716</v>
      </c>
      <c r="R603">
        <f t="shared" ref="R603:R666" si="172">SQRT(O603^2+P603^2+Q603^2)</f>
        <v>1</v>
      </c>
      <c r="AG603" s="8">
        <f t="shared" si="159"/>
        <v>-0.5911461449967772</v>
      </c>
      <c r="AH603" s="8">
        <f t="shared" si="160"/>
        <v>0.44594041422947472</v>
      </c>
      <c r="AI603" s="8">
        <f t="shared" si="161"/>
        <v>0.67207394103051921</v>
      </c>
      <c r="AJ603" s="8"/>
      <c r="AK603" s="8"/>
      <c r="AL603" s="8"/>
      <c r="AN603" s="8">
        <f t="shared" si="167"/>
        <v>1</v>
      </c>
      <c r="AO603" s="8">
        <f t="shared" si="168"/>
        <v>2.4953033050221296</v>
      </c>
      <c r="AP603" s="8">
        <f t="shared" si="169"/>
        <v>0.8337902955554638</v>
      </c>
      <c r="AQ603" s="8"/>
      <c r="AR603" s="8">
        <f t="shared" si="170"/>
        <v>142.97034798281354</v>
      </c>
      <c r="AS603" s="8">
        <f t="shared" si="171"/>
        <v>42.227335065706406</v>
      </c>
    </row>
    <row r="604" spans="1:45">
      <c r="A604" s="19">
        <v>19.08573333</v>
      </c>
      <c r="B604" s="19">
        <v>978.88566820000005</v>
      </c>
      <c r="C604" s="19">
        <v>-406.64226380000002</v>
      </c>
      <c r="E604" s="9">
        <f t="shared" si="157"/>
        <v>18.885668200000055</v>
      </c>
      <c r="F604" s="9">
        <f t="shared" si="162"/>
        <v>133.35773619999998</v>
      </c>
      <c r="I604">
        <v>1</v>
      </c>
      <c r="J604">
        <f t="shared" si="158"/>
        <v>8.7960008154684341E-2</v>
      </c>
      <c r="K604">
        <f t="shared" si="163"/>
        <v>1.4301152220077005</v>
      </c>
      <c r="O604">
        <f t="shared" si="164"/>
        <v>1.2317636608150984E-2</v>
      </c>
      <c r="P604">
        <f t="shared" si="165"/>
        <v>8.6978766967708204E-2</v>
      </c>
      <c r="Q604">
        <f t="shared" si="166"/>
        <v>0.99613401203109542</v>
      </c>
      <c r="R604">
        <f t="shared" si="172"/>
        <v>1</v>
      </c>
      <c r="AG604" s="8">
        <f t="shared" si="159"/>
        <v>-0.59095470374782677</v>
      </c>
      <c r="AH604" s="8">
        <f t="shared" si="160"/>
        <v>0.44631304535126315</v>
      </c>
      <c r="AI604" s="8">
        <f t="shared" si="161"/>
        <v>0.67199494318603281</v>
      </c>
      <c r="AJ604" s="8"/>
      <c r="AK604" s="8"/>
      <c r="AL604" s="8"/>
      <c r="AN604" s="8">
        <f t="shared" si="167"/>
        <v>0.99999999999999989</v>
      </c>
      <c r="AO604" s="8">
        <f t="shared" si="168"/>
        <v>2.494745924017431</v>
      </c>
      <c r="AP604" s="8">
        <f t="shared" si="169"/>
        <v>0.83389697445173838</v>
      </c>
      <c r="AQ604" s="8"/>
      <c r="AR604" s="8">
        <f t="shared" si="170"/>
        <v>142.93841240366356</v>
      </c>
      <c r="AS604" s="8">
        <f t="shared" si="171"/>
        <v>42.221222815186756</v>
      </c>
    </row>
    <row r="605" spans="1:45">
      <c r="A605" s="19">
        <v>19.1191</v>
      </c>
      <c r="B605" s="19">
        <v>978.42662570000005</v>
      </c>
      <c r="C605" s="19">
        <v>-406.54953410000002</v>
      </c>
      <c r="E605" s="9">
        <f t="shared" si="157"/>
        <v>18.426625700000045</v>
      </c>
      <c r="F605" s="9">
        <f t="shared" si="162"/>
        <v>133.45046589999998</v>
      </c>
      <c r="I605">
        <v>1</v>
      </c>
      <c r="J605">
        <f t="shared" si="158"/>
        <v>8.797855161342763E-2</v>
      </c>
      <c r="K605">
        <f t="shared" si="163"/>
        <v>1.4335855493019634</v>
      </c>
      <c r="O605">
        <f t="shared" si="164"/>
        <v>1.2018244831851653E-2</v>
      </c>
      <c r="P605">
        <f t="shared" si="165"/>
        <v>8.7039287508339919E-2</v>
      </c>
      <c r="Q605">
        <f t="shared" si="166"/>
        <v>0.99613238287950578</v>
      </c>
      <c r="R605">
        <f t="shared" si="172"/>
        <v>1</v>
      </c>
      <c r="AG605" s="8">
        <f t="shared" si="159"/>
        <v>-0.59077557987501261</v>
      </c>
      <c r="AH605" s="8">
        <f t="shared" si="160"/>
        <v>0.44656036919800007</v>
      </c>
      <c r="AI605" s="8">
        <f t="shared" si="161"/>
        <v>0.6719881329942432</v>
      </c>
      <c r="AJ605" s="8"/>
      <c r="AK605" s="8"/>
      <c r="AL605" s="8"/>
      <c r="AN605" s="8">
        <f t="shared" si="167"/>
        <v>1.0000000000000002</v>
      </c>
      <c r="AO605" s="8">
        <f t="shared" si="168"/>
        <v>2.4943336497047195</v>
      </c>
      <c r="AP605" s="8">
        <f t="shared" si="169"/>
        <v>0.83390617046907467</v>
      </c>
      <c r="AQ605" s="8"/>
      <c r="AR605" s="8">
        <f t="shared" si="170"/>
        <v>142.91479082554352</v>
      </c>
      <c r="AS605" s="8">
        <f t="shared" si="171"/>
        <v>42.220695922205053</v>
      </c>
    </row>
    <row r="606" spans="1:45">
      <c r="A606" s="19">
        <v>19.152466669999999</v>
      </c>
      <c r="B606" s="19">
        <v>977.6245831</v>
      </c>
      <c r="C606" s="19">
        <v>-406.40159030000001</v>
      </c>
      <c r="E606" s="9">
        <f t="shared" si="157"/>
        <v>17.624583099999995</v>
      </c>
      <c r="F606" s="9">
        <f t="shared" si="162"/>
        <v>133.59840969999999</v>
      </c>
      <c r="I606">
        <v>1</v>
      </c>
      <c r="J606">
        <f t="shared" si="158"/>
        <v>8.8004348255465589E-2</v>
      </c>
      <c r="K606">
        <f t="shared" si="163"/>
        <v>1.4396316305043682</v>
      </c>
      <c r="O606">
        <f t="shared" si="164"/>
        <v>1.1495142636738617E-2</v>
      </c>
      <c r="P606">
        <f t="shared" si="165"/>
        <v>8.7135835601293982E-2</v>
      </c>
      <c r="Q606">
        <f t="shared" si="166"/>
        <v>0.99613011592352996</v>
      </c>
      <c r="R606">
        <f t="shared" si="172"/>
        <v>1</v>
      </c>
      <c r="AG606" s="8">
        <f t="shared" si="159"/>
        <v>-0.59046855197037107</v>
      </c>
      <c r="AH606" s="8">
        <f t="shared" si="160"/>
        <v>0.44699435897402212</v>
      </c>
      <c r="AI606" s="8">
        <f t="shared" si="161"/>
        <v>0.67196944289113048</v>
      </c>
      <c r="AJ606" s="8"/>
      <c r="AK606" s="8"/>
      <c r="AL606" s="8"/>
      <c r="AN606" s="8">
        <f t="shared" si="167"/>
        <v>1</v>
      </c>
      <c r="AO606" s="8">
        <f t="shared" si="168"/>
        <v>2.4936161713020217</v>
      </c>
      <c r="AP606" s="8">
        <f t="shared" si="169"/>
        <v>0.83393140791208398</v>
      </c>
      <c r="AQ606" s="8"/>
      <c r="AR606" s="8">
        <f t="shared" si="170"/>
        <v>142.87368234117716</v>
      </c>
      <c r="AS606" s="8">
        <f t="shared" si="171"/>
        <v>42.219249923234919</v>
      </c>
    </row>
    <row r="607" spans="1:45">
      <c r="A607" s="19">
        <v>19.185833330000001</v>
      </c>
      <c r="B607" s="19">
        <v>976.89870380000002</v>
      </c>
      <c r="C607" s="19">
        <v>-406.28925199999998</v>
      </c>
      <c r="E607" s="9">
        <f t="shared" si="157"/>
        <v>16.898703800000021</v>
      </c>
      <c r="F607" s="9">
        <f t="shared" si="162"/>
        <v>133.71074800000002</v>
      </c>
      <c r="I607">
        <v>1</v>
      </c>
      <c r="J607">
        <f t="shared" si="158"/>
        <v>8.8016446487212699E-2</v>
      </c>
      <c r="K607">
        <f t="shared" si="163"/>
        <v>1.4450802956870332</v>
      </c>
      <c r="O607">
        <f t="shared" si="164"/>
        <v>1.1021711426477199E-2</v>
      </c>
      <c r="P607">
        <f t="shared" si="165"/>
        <v>8.7209131334345963E-2</v>
      </c>
      <c r="Q607">
        <f t="shared" si="166"/>
        <v>0.99612905252740236</v>
      </c>
      <c r="R607">
        <f t="shared" si="172"/>
        <v>1</v>
      </c>
      <c r="AG607" s="8">
        <f t="shared" si="159"/>
        <v>-0.59019984190158914</v>
      </c>
      <c r="AH607" s="8">
        <f t="shared" si="160"/>
        <v>0.44739003865553761</v>
      </c>
      <c r="AI607" s="8">
        <f t="shared" si="161"/>
        <v>0.67194218496172409</v>
      </c>
      <c r="AJ607" s="8"/>
      <c r="AK607" s="8"/>
      <c r="AL607" s="8"/>
      <c r="AN607" s="8">
        <f t="shared" si="167"/>
        <v>1</v>
      </c>
      <c r="AO607" s="8">
        <f t="shared" si="168"/>
        <v>2.4929712046752388</v>
      </c>
      <c r="AP607" s="8">
        <f t="shared" si="169"/>
        <v>0.83396821354514483</v>
      </c>
      <c r="AQ607" s="8"/>
      <c r="AR607" s="8">
        <f t="shared" si="170"/>
        <v>142.83672847553569</v>
      </c>
      <c r="AS607" s="8">
        <f t="shared" si="171"/>
        <v>42.217141115798228</v>
      </c>
    </row>
    <row r="608" spans="1:45">
      <c r="A608" s="19">
        <v>19.219200000000001</v>
      </c>
      <c r="B608" s="19">
        <v>976.26214800000002</v>
      </c>
      <c r="C608" s="19">
        <v>-406.2224076</v>
      </c>
      <c r="E608" s="9">
        <f t="shared" ref="E608:E671" si="173">(B608-($B$15/2))</f>
        <v>16.262148000000025</v>
      </c>
      <c r="F608" s="9">
        <f t="shared" si="162"/>
        <v>133.7775924</v>
      </c>
      <c r="I608">
        <v>1</v>
      </c>
      <c r="J608">
        <f t="shared" ref="J608:J671" si="174">ATAN((SQRT(E608^2+F608^2)^$B$16)/($F$24))</f>
        <v>8.800858628586497E-2</v>
      </c>
      <c r="K608">
        <f t="shared" si="163"/>
        <v>1.4498287710804472</v>
      </c>
      <c r="O608">
        <f t="shared" si="164"/>
        <v>1.06065334690484E-2</v>
      </c>
      <c r="P608">
        <f t="shared" si="165"/>
        <v>8.7252711708152825E-2</v>
      </c>
      <c r="Q608">
        <f t="shared" si="166"/>
        <v>0.99612974343071592</v>
      </c>
      <c r="R608">
        <f t="shared" si="172"/>
        <v>1</v>
      </c>
      <c r="AG608" s="8">
        <f t="shared" ref="AG608:AG671" si="175">$O608*$Z$27+$P608*$Z$31+$Q608*$Z$35</f>
        <v>-0.5899777710159948</v>
      </c>
      <c r="AH608" s="8">
        <f t="shared" ref="AH608:AH671" si="176">$O608*$AA$27+$P608*$AA$31+$Q608*$AA$35</f>
        <v>0.44774137341955117</v>
      </c>
      <c r="AI608" s="8">
        <f t="shared" ref="AI608:AI671" si="177">$AB$27*$O608+$P608*$AB$31+$AB$35*$Q608</f>
        <v>0.67190318665368187</v>
      </c>
      <c r="AJ608" s="8"/>
      <c r="AK608" s="8"/>
      <c r="AL608" s="8"/>
      <c r="AN608" s="8">
        <f t="shared" si="167"/>
        <v>1</v>
      </c>
      <c r="AO608" s="8">
        <f t="shared" si="168"/>
        <v>2.4924120453112701</v>
      </c>
      <c r="AP608" s="8">
        <f t="shared" si="169"/>
        <v>0.83402086975184719</v>
      </c>
      <c r="AQ608" s="8"/>
      <c r="AR608" s="8">
        <f t="shared" si="170"/>
        <v>142.80469100390508</v>
      </c>
      <c r="AS608" s="8">
        <f t="shared" si="171"/>
        <v>42.214124137389014</v>
      </c>
    </row>
    <row r="609" spans="1:45">
      <c r="A609" s="19">
        <v>19.25256667</v>
      </c>
      <c r="B609" s="19">
        <v>975.7071962</v>
      </c>
      <c r="C609" s="19">
        <v>-406.2643309</v>
      </c>
      <c r="E609" s="9">
        <f t="shared" si="173"/>
        <v>15.707196199999998</v>
      </c>
      <c r="F609" s="9">
        <f t="shared" ref="F609:F672" si="178">(($C$15/2)+C609)</f>
        <v>133.7356691</v>
      </c>
      <c r="I609">
        <v>1</v>
      </c>
      <c r="J609">
        <f t="shared" si="174"/>
        <v>8.7938059490308751E-2</v>
      </c>
      <c r="K609">
        <f t="shared" ref="K609:K672" si="179">ATAN2(E609,F609)</f>
        <v>1.4538823840627546</v>
      </c>
      <c r="O609">
        <f t="shared" ref="O609:O672" si="180">COS(K609)*SIN(J609)</f>
        <v>1.0244563591099964E-2</v>
      </c>
      <c r="P609">
        <f t="shared" ref="P609:P672" si="181">SIN(K609)*SIN(J609)</f>
        <v>8.7225215057366703E-2</v>
      </c>
      <c r="Q609">
        <f t="shared" ref="Q609:Q672" si="182">COS(J609)</f>
        <v>0.99613593990731208</v>
      </c>
      <c r="R609">
        <f t="shared" si="172"/>
        <v>1</v>
      </c>
      <c r="AG609" s="8">
        <f t="shared" si="175"/>
        <v>-0.58982741147481899</v>
      </c>
      <c r="AH609" s="8">
        <f t="shared" si="176"/>
        <v>0.4480616363698402</v>
      </c>
      <c r="AI609" s="8">
        <f t="shared" si="177"/>
        <v>0.67182169858266394</v>
      </c>
      <c r="AJ609" s="8"/>
      <c r="AK609" s="8"/>
      <c r="AL609" s="8"/>
      <c r="AN609" s="8">
        <f t="shared" ref="AN609:AN672" si="183">AG609^2+AH609^2+AI609^2</f>
        <v>1</v>
      </c>
      <c r="AO609" s="8">
        <f t="shared" ref="AO609:AO672" si="184">IF(ATAN2(AG609,AH609)&gt;=0,ATAN2(AG609,AH609),ATAN2(AG609,AH609)+2*PI())</f>
        <v>2.4919449111160441</v>
      </c>
      <c r="AP609" s="8">
        <f t="shared" ref="AP609:AP672" si="185">ACOS(AI609/AN609)</f>
        <v>0.83413088827143089</v>
      </c>
      <c r="AQ609" s="8"/>
      <c r="AR609" s="8">
        <f t="shared" ref="AR609:AR672" si="186">DEGREES(AO609)</f>
        <v>142.77792618605238</v>
      </c>
      <c r="AS609" s="8">
        <f t="shared" ref="AS609:AS672" si="187">90-DEGREES(AP609)</f>
        <v>42.207820540548589</v>
      </c>
    </row>
    <row r="610" spans="1:45">
      <c r="A610" s="19">
        <v>19.285933329999999</v>
      </c>
      <c r="B610" s="19">
        <v>975.28923729999997</v>
      </c>
      <c r="C610" s="19">
        <v>-406.26336959999998</v>
      </c>
      <c r="E610" s="9">
        <f t="shared" si="173"/>
        <v>15.289237299999968</v>
      </c>
      <c r="F610" s="9">
        <f t="shared" si="178"/>
        <v>133.73663040000002</v>
      </c>
      <c r="I610">
        <v>1</v>
      </c>
      <c r="J610">
        <f t="shared" si="174"/>
        <v>8.7907113934396111E-2</v>
      </c>
      <c r="K610">
        <f t="shared" si="179"/>
        <v>1.4569670387204501</v>
      </c>
      <c r="O610">
        <f t="shared" si="180"/>
        <v>9.9719542813779313E-3</v>
      </c>
      <c r="P610">
        <f t="shared" si="181"/>
        <v>8.7225774440320855E-2</v>
      </c>
      <c r="Q610">
        <f t="shared" si="182"/>
        <v>0.9961386572165023</v>
      </c>
      <c r="R610">
        <f t="shared" si="172"/>
        <v>1</v>
      </c>
      <c r="AG610" s="8">
        <f t="shared" si="175"/>
        <v>-0.58970004115631525</v>
      </c>
      <c r="AH610" s="8">
        <f t="shared" si="176"/>
        <v>0.44829824062654633</v>
      </c>
      <c r="AI610" s="8">
        <f t="shared" si="177"/>
        <v>0.67177566859137072</v>
      </c>
      <c r="AJ610" s="8"/>
      <c r="AK610" s="8"/>
      <c r="AL610" s="8"/>
      <c r="AN610" s="8">
        <f t="shared" si="183"/>
        <v>0.99999999999999978</v>
      </c>
      <c r="AO610" s="8">
        <f t="shared" si="184"/>
        <v>2.4915865545243925</v>
      </c>
      <c r="AP610" s="8">
        <f t="shared" si="185"/>
        <v>0.83419302934388329</v>
      </c>
      <c r="AQ610" s="8"/>
      <c r="AR610" s="8">
        <f t="shared" si="186"/>
        <v>142.75739386579005</v>
      </c>
      <c r="AS610" s="8">
        <f t="shared" si="187"/>
        <v>42.204260119362651</v>
      </c>
    </row>
    <row r="611" spans="1:45">
      <c r="A611" s="19">
        <v>19.319299999999998</v>
      </c>
      <c r="B611" s="19">
        <v>974.49604999999997</v>
      </c>
      <c r="C611" s="19">
        <v>-406.23047000000003</v>
      </c>
      <c r="E611" s="9">
        <f t="shared" si="173"/>
        <v>14.496049999999968</v>
      </c>
      <c r="F611" s="9">
        <f t="shared" si="178"/>
        <v>133.76952999999997</v>
      </c>
      <c r="I611">
        <v>1</v>
      </c>
      <c r="J611">
        <f t="shared" si="174"/>
        <v>8.7870972618165094E-2</v>
      </c>
      <c r="K611">
        <f t="shared" si="179"/>
        <v>1.4628516899159962</v>
      </c>
      <c r="O611">
        <f t="shared" si="180"/>
        <v>9.4546126658131939E-3</v>
      </c>
      <c r="P611">
        <f t="shared" si="181"/>
        <v>8.7247153027057683E-2</v>
      </c>
      <c r="Q611">
        <f t="shared" si="182"/>
        <v>0.99614182955441266</v>
      </c>
      <c r="R611">
        <f t="shared" si="172"/>
        <v>1</v>
      </c>
      <c r="AG611" s="8">
        <f t="shared" si="175"/>
        <v>-0.5894447484508516</v>
      </c>
      <c r="AH611" s="8">
        <f t="shared" si="176"/>
        <v>0.44874280710990072</v>
      </c>
      <c r="AI611" s="8">
        <f t="shared" si="177"/>
        <v>0.67170289681587547</v>
      </c>
      <c r="AJ611" s="8"/>
      <c r="AK611" s="8"/>
      <c r="AL611" s="8"/>
      <c r="AN611" s="8">
        <f t="shared" si="183"/>
        <v>0.99999999999999989</v>
      </c>
      <c r="AO611" s="8">
        <f t="shared" si="184"/>
        <v>2.4909002730390966</v>
      </c>
      <c r="AP611" s="8">
        <f t="shared" si="185"/>
        <v>0.83429126502048467</v>
      </c>
      <c r="AQ611" s="8"/>
      <c r="AR611" s="8">
        <f t="shared" si="186"/>
        <v>142.71807283312464</v>
      </c>
      <c r="AS611" s="8">
        <f t="shared" si="187"/>
        <v>42.198631629695782</v>
      </c>
    </row>
    <row r="612" spans="1:45">
      <c r="A612" s="19">
        <v>19.352666670000001</v>
      </c>
      <c r="B612" s="19">
        <v>973.81497239999999</v>
      </c>
      <c r="C612" s="19">
        <v>-406.34257459999998</v>
      </c>
      <c r="E612" s="9">
        <f t="shared" si="173"/>
        <v>13.814972399999988</v>
      </c>
      <c r="F612" s="9">
        <f t="shared" si="178"/>
        <v>133.65742540000002</v>
      </c>
      <c r="I612">
        <v>1</v>
      </c>
      <c r="J612">
        <f t="shared" si="174"/>
        <v>8.7750767798826415E-2</v>
      </c>
      <c r="K612">
        <f t="shared" si="179"/>
        <v>1.467801017114384</v>
      </c>
      <c r="O612">
        <f t="shared" si="180"/>
        <v>9.010372883489208E-3</v>
      </c>
      <c r="P612">
        <f t="shared" si="181"/>
        <v>8.7173771081956203E-2</v>
      </c>
      <c r="Q612">
        <f t="shared" si="182"/>
        <v>0.99615237128455969</v>
      </c>
      <c r="R612">
        <f t="shared" si="172"/>
        <v>1</v>
      </c>
      <c r="AG612" s="8">
        <f t="shared" si="175"/>
        <v>-0.58928610308755525</v>
      </c>
      <c r="AH612" s="8">
        <f t="shared" si="176"/>
        <v>0.44914409322923754</v>
      </c>
      <c r="AI612" s="8">
        <f t="shared" si="177"/>
        <v>0.67157387696750781</v>
      </c>
      <c r="AJ612" s="8"/>
      <c r="AK612" s="8"/>
      <c r="AL612" s="8"/>
      <c r="AN612" s="8">
        <f t="shared" si="183"/>
        <v>1.0000000000000002</v>
      </c>
      <c r="AO612" s="8">
        <f t="shared" si="184"/>
        <v>2.4903396501001533</v>
      </c>
      <c r="AP612" s="8">
        <f t="shared" si="185"/>
        <v>0.83446540928322688</v>
      </c>
      <c r="AQ612" s="8"/>
      <c r="AR612" s="8">
        <f t="shared" si="186"/>
        <v>142.68595150482497</v>
      </c>
      <c r="AS612" s="8">
        <f t="shared" si="187"/>
        <v>42.188653898414231</v>
      </c>
    </row>
    <row r="613" spans="1:45">
      <c r="A613" s="19">
        <v>19.38603333</v>
      </c>
      <c r="B613" s="19">
        <v>973.35149209999997</v>
      </c>
      <c r="C613" s="19">
        <v>-406.06678310000001</v>
      </c>
      <c r="E613" s="9">
        <f t="shared" si="173"/>
        <v>13.351492099999973</v>
      </c>
      <c r="F613" s="9">
        <f t="shared" si="178"/>
        <v>133.93321689999999</v>
      </c>
      <c r="I613">
        <v>1</v>
      </c>
      <c r="J613">
        <f t="shared" si="174"/>
        <v>8.7900098291855466E-2</v>
      </c>
      <c r="K613">
        <f t="shared" si="179"/>
        <v>1.47143690838314</v>
      </c>
      <c r="O613">
        <f t="shared" si="180"/>
        <v>8.7081155694527079E-3</v>
      </c>
      <c r="P613">
        <f t="shared" si="181"/>
        <v>8.7353976815353784E-2</v>
      </c>
      <c r="Q613">
        <f t="shared" si="182"/>
        <v>0.99613927312287598</v>
      </c>
      <c r="R613">
        <f t="shared" si="172"/>
        <v>1</v>
      </c>
      <c r="AG613" s="8">
        <f t="shared" si="175"/>
        <v>-0.5890257868879496</v>
      </c>
      <c r="AH613" s="8">
        <f t="shared" si="176"/>
        <v>0.4493678001298535</v>
      </c>
      <c r="AI613" s="8">
        <f t="shared" si="177"/>
        <v>0.67165259069513594</v>
      </c>
      <c r="AJ613" s="8"/>
      <c r="AK613" s="8"/>
      <c r="AL613" s="8"/>
      <c r="AN613" s="8">
        <f t="shared" si="183"/>
        <v>1</v>
      </c>
      <c r="AO613" s="8">
        <f t="shared" si="184"/>
        <v>2.4898865061750279</v>
      </c>
      <c r="AP613" s="8">
        <f t="shared" si="185"/>
        <v>0.83435916886869899</v>
      </c>
      <c r="AQ613" s="8"/>
      <c r="AR613" s="8">
        <f t="shared" si="186"/>
        <v>142.65998827040329</v>
      </c>
      <c r="AS613" s="8">
        <f t="shared" si="187"/>
        <v>42.194741025780402</v>
      </c>
    </row>
    <row r="614" spans="1:45">
      <c r="A614" s="19">
        <v>19.4194</v>
      </c>
      <c r="B614" s="19">
        <v>972.56095310000001</v>
      </c>
      <c r="C614" s="19">
        <v>-405.58321419999999</v>
      </c>
      <c r="E614" s="9">
        <f t="shared" si="173"/>
        <v>12.560953100000006</v>
      </c>
      <c r="F614" s="9">
        <f t="shared" si="178"/>
        <v>134.41678580000001</v>
      </c>
      <c r="I614">
        <v>1</v>
      </c>
      <c r="J614">
        <f t="shared" si="174"/>
        <v>8.8166083484242527E-2</v>
      </c>
      <c r="K614">
        <f t="shared" si="179"/>
        <v>1.4776191197704773</v>
      </c>
      <c r="O614">
        <f t="shared" si="180"/>
        <v>8.1925639255589471E-3</v>
      </c>
      <c r="P614">
        <f t="shared" si="181"/>
        <v>8.7669948416148794E-2</v>
      </c>
      <c r="Q614">
        <f t="shared" si="182"/>
        <v>0.99611588785694782</v>
      </c>
      <c r="R614">
        <f t="shared" si="172"/>
        <v>1</v>
      </c>
      <c r="AG614" s="8">
        <f t="shared" si="175"/>
        <v>-0.58857589540608246</v>
      </c>
      <c r="AH614" s="8">
        <f t="shared" si="176"/>
        <v>0.44974739156717297</v>
      </c>
      <c r="AI614" s="8">
        <f t="shared" si="177"/>
        <v>0.67179289898409333</v>
      </c>
      <c r="AJ614" s="8"/>
      <c r="AK614" s="8"/>
      <c r="AL614" s="8"/>
      <c r="AN614" s="8">
        <f t="shared" si="183"/>
        <v>1</v>
      </c>
      <c r="AO614" s="8">
        <f t="shared" si="184"/>
        <v>2.4891106956370366</v>
      </c>
      <c r="AP614" s="8">
        <f t="shared" si="185"/>
        <v>0.83416976850513158</v>
      </c>
      <c r="AQ614" s="8"/>
      <c r="AR614" s="8">
        <f t="shared" si="186"/>
        <v>142.6155376008746</v>
      </c>
      <c r="AS614" s="8">
        <f t="shared" si="187"/>
        <v>42.205592867251056</v>
      </c>
    </row>
    <row r="615" spans="1:45">
      <c r="A615" s="19">
        <v>19.452766669999999</v>
      </c>
      <c r="B615" s="19">
        <v>971.98187589999998</v>
      </c>
      <c r="C615" s="19">
        <v>-405.50733100000002</v>
      </c>
      <c r="E615" s="9">
        <f t="shared" si="173"/>
        <v>11.981875899999977</v>
      </c>
      <c r="F615" s="9">
        <f t="shared" si="178"/>
        <v>134.49266899999998</v>
      </c>
      <c r="I615">
        <v>1</v>
      </c>
      <c r="J615">
        <f t="shared" si="174"/>
        <v>8.8181134202625786E-2</v>
      </c>
      <c r="K615">
        <f t="shared" si="179"/>
        <v>1.4819414744253689</v>
      </c>
      <c r="O615">
        <f t="shared" si="180"/>
        <v>7.8148783480984901E-3</v>
      </c>
      <c r="P615">
        <f t="shared" si="181"/>
        <v>8.7719473621495112E-2</v>
      </c>
      <c r="Q615">
        <f t="shared" si="182"/>
        <v>0.99611456249970176</v>
      </c>
      <c r="R615">
        <f t="shared" si="172"/>
        <v>1</v>
      </c>
      <c r="AG615" s="8">
        <f t="shared" si="175"/>
        <v>-0.58836664276612771</v>
      </c>
      <c r="AH615" s="8">
        <f t="shared" si="176"/>
        <v>0.4500643682030398</v>
      </c>
      <c r="AI615" s="8">
        <f t="shared" si="177"/>
        <v>0.6717639154897459</v>
      </c>
      <c r="AJ615" s="8"/>
      <c r="AK615" s="8"/>
      <c r="AL615" s="8"/>
      <c r="AN615" s="8">
        <f t="shared" si="183"/>
        <v>1</v>
      </c>
      <c r="AO615" s="8">
        <f t="shared" si="184"/>
        <v>2.4885991800466822</v>
      </c>
      <c r="AP615" s="8">
        <f t="shared" si="185"/>
        <v>0.83420889561900391</v>
      </c>
      <c r="AQ615" s="8"/>
      <c r="AR615" s="8">
        <f t="shared" si="186"/>
        <v>142.58622991639217</v>
      </c>
      <c r="AS615" s="8">
        <f t="shared" si="187"/>
        <v>42.203351048761647</v>
      </c>
    </row>
    <row r="616" spans="1:45">
      <c r="A616" s="19">
        <v>19.486133330000001</v>
      </c>
      <c r="B616" s="19">
        <v>971.42447660000005</v>
      </c>
      <c r="C616" s="19">
        <v>-405.47116729999999</v>
      </c>
      <c r="E616" s="9">
        <f t="shared" si="173"/>
        <v>11.424476600000048</v>
      </c>
      <c r="F616" s="9">
        <f t="shared" si="178"/>
        <v>134.52883270000001</v>
      </c>
      <c r="I616">
        <v>1</v>
      </c>
      <c r="J616">
        <f t="shared" si="174"/>
        <v>8.8173071841802078E-2</v>
      </c>
      <c r="K616">
        <f t="shared" si="179"/>
        <v>1.486077452538763</v>
      </c>
      <c r="O616">
        <f t="shared" si="180"/>
        <v>7.4513271507693889E-3</v>
      </c>
      <c r="P616">
        <f t="shared" si="181"/>
        <v>8.774304318316152E-2</v>
      </c>
      <c r="Q616">
        <f t="shared" si="182"/>
        <v>0.99611527249442877</v>
      </c>
      <c r="R616">
        <f t="shared" si="172"/>
        <v>1</v>
      </c>
      <c r="AG616" s="8">
        <f t="shared" si="175"/>
        <v>-0.58818109169182342</v>
      </c>
      <c r="AH616" s="8">
        <f t="shared" si="176"/>
        <v>0.45037458326920887</v>
      </c>
      <c r="AI616" s="8">
        <f t="shared" si="177"/>
        <v>0.67171849618817348</v>
      </c>
      <c r="AJ616" s="8"/>
      <c r="AK616" s="8"/>
      <c r="AL616" s="8"/>
      <c r="AN616" s="8">
        <f t="shared" si="183"/>
        <v>1</v>
      </c>
      <c r="AO616" s="8">
        <f t="shared" si="184"/>
        <v>2.4881143992389632</v>
      </c>
      <c r="AP616" s="8">
        <f t="shared" si="185"/>
        <v>0.83427020793810147</v>
      </c>
      <c r="AQ616" s="8"/>
      <c r="AR616" s="8">
        <f t="shared" si="186"/>
        <v>142.55845402212091</v>
      </c>
      <c r="AS616" s="8">
        <f t="shared" si="187"/>
        <v>42.199838111645199</v>
      </c>
    </row>
    <row r="617" spans="1:45">
      <c r="A617" s="19">
        <v>19.519500000000001</v>
      </c>
      <c r="B617" s="19">
        <v>970.62146170000005</v>
      </c>
      <c r="C617" s="19">
        <v>-405.39381479999997</v>
      </c>
      <c r="E617" s="9">
        <f t="shared" si="173"/>
        <v>10.621461700000054</v>
      </c>
      <c r="F617" s="9">
        <f t="shared" si="178"/>
        <v>134.60618520000003</v>
      </c>
      <c r="I617">
        <v>1</v>
      </c>
      <c r="J617">
        <f t="shared" si="174"/>
        <v>8.8180641370239288E-2</v>
      </c>
      <c r="K617">
        <f t="shared" si="179"/>
        <v>1.4920518091644082</v>
      </c>
      <c r="O617">
        <f t="shared" si="180"/>
        <v>6.9275821880370606E-3</v>
      </c>
      <c r="P617">
        <f t="shared" si="181"/>
        <v>8.7793510660696808E-2</v>
      </c>
      <c r="Q617">
        <f t="shared" si="182"/>
        <v>0.9961146059017999</v>
      </c>
      <c r="R617">
        <f t="shared" si="172"/>
        <v>1</v>
      </c>
      <c r="AG617" s="8">
        <f t="shared" si="175"/>
        <v>-0.58790269661724337</v>
      </c>
      <c r="AH617" s="8">
        <f t="shared" si="176"/>
        <v>0.45081783982324591</v>
      </c>
      <c r="AI617" s="8">
        <f t="shared" si="177"/>
        <v>0.67166486777802803</v>
      </c>
      <c r="AJ617" s="8"/>
      <c r="AK617" s="8"/>
      <c r="AL617" s="8"/>
      <c r="AN617" s="8">
        <f t="shared" si="183"/>
        <v>1.0000000000000002</v>
      </c>
      <c r="AO617" s="8">
        <f t="shared" si="184"/>
        <v>2.4874109081348066</v>
      </c>
      <c r="AP617" s="8">
        <f t="shared" si="185"/>
        <v>0.83434259749006312</v>
      </c>
      <c r="AQ617" s="8"/>
      <c r="AR617" s="8">
        <f t="shared" si="186"/>
        <v>142.51814695092776</v>
      </c>
      <c r="AS617" s="8">
        <f t="shared" si="187"/>
        <v>42.195690495836949</v>
      </c>
    </row>
    <row r="618" spans="1:45">
      <c r="A618" s="19">
        <v>19.55286667</v>
      </c>
      <c r="B618" s="19">
        <v>970.02876479999998</v>
      </c>
      <c r="C618" s="19">
        <v>-405.28092020000003</v>
      </c>
      <c r="E618" s="9">
        <f t="shared" si="173"/>
        <v>10.028764799999976</v>
      </c>
      <c r="F618" s="9">
        <f t="shared" si="178"/>
        <v>134.71907979999997</v>
      </c>
      <c r="I618">
        <v>1</v>
      </c>
      <c r="J618">
        <f t="shared" si="174"/>
        <v>8.8224771660995627E-2</v>
      </c>
      <c r="K618">
        <f t="shared" si="179"/>
        <v>1.4964913287988166</v>
      </c>
      <c r="O618">
        <f t="shared" si="180"/>
        <v>6.5410175344058222E-3</v>
      </c>
      <c r="P618">
        <f t="shared" si="181"/>
        <v>8.7867237966416198E-2</v>
      </c>
      <c r="Q618">
        <f t="shared" si="182"/>
        <v>0.99611071853572974</v>
      </c>
      <c r="R618">
        <f t="shared" si="172"/>
        <v>1</v>
      </c>
      <c r="AG618" s="8">
        <f t="shared" si="175"/>
        <v>-0.58767294977079221</v>
      </c>
      <c r="AH618" s="8">
        <f t="shared" si="176"/>
        <v>0.45113709291334342</v>
      </c>
      <c r="AI618" s="8">
        <f t="shared" si="177"/>
        <v>0.67165156703858997</v>
      </c>
      <c r="AJ618" s="8"/>
      <c r="AK618" s="8"/>
      <c r="AL618" s="8"/>
      <c r="AN618" s="8">
        <f t="shared" si="183"/>
        <v>1.0000000000000002</v>
      </c>
      <c r="AO618" s="8">
        <f t="shared" si="184"/>
        <v>2.4868802524909781</v>
      </c>
      <c r="AP618" s="8">
        <f t="shared" si="185"/>
        <v>0.83436055057006242</v>
      </c>
      <c r="AQ618" s="8"/>
      <c r="AR618" s="8">
        <f t="shared" si="186"/>
        <v>142.48774262216159</v>
      </c>
      <c r="AS618" s="8">
        <f t="shared" si="187"/>
        <v>42.19466186012373</v>
      </c>
    </row>
    <row r="619" spans="1:45">
      <c r="A619" s="19">
        <v>19.586233329999999</v>
      </c>
      <c r="B619" s="19">
        <v>969.4949034</v>
      </c>
      <c r="C619" s="19">
        <v>-405.42103980000002</v>
      </c>
      <c r="E619" s="9">
        <f t="shared" si="173"/>
        <v>9.4949033999999983</v>
      </c>
      <c r="F619" s="9">
        <f t="shared" si="178"/>
        <v>134.57896019999998</v>
      </c>
      <c r="I619">
        <v>1</v>
      </c>
      <c r="J619">
        <f t="shared" si="174"/>
        <v>8.8107737039442968E-2</v>
      </c>
      <c r="K619">
        <f t="shared" si="179"/>
        <v>1.5003603828590193</v>
      </c>
      <c r="O619">
        <f t="shared" si="180"/>
        <v>6.1928016933450432E-3</v>
      </c>
      <c r="P619">
        <f t="shared" si="181"/>
        <v>8.7775596812830592E-2</v>
      </c>
      <c r="Q619">
        <f t="shared" si="182"/>
        <v>0.99612102367701205</v>
      </c>
      <c r="R619">
        <f t="shared" si="172"/>
        <v>1</v>
      </c>
      <c r="AG619" s="8">
        <f t="shared" si="175"/>
        <v>-0.58757057125378098</v>
      </c>
      <c r="AH619" s="8">
        <f t="shared" si="176"/>
        <v>0.45145849642501079</v>
      </c>
      <c r="AI619" s="8">
        <f t="shared" si="177"/>
        <v>0.67152516691645592</v>
      </c>
      <c r="AJ619" s="8"/>
      <c r="AK619" s="8"/>
      <c r="AL619" s="8"/>
      <c r="AN619" s="8">
        <f t="shared" si="183"/>
        <v>1</v>
      </c>
      <c r="AO619" s="8">
        <f t="shared" si="184"/>
        <v>2.4864520554888978</v>
      </c>
      <c r="AP619" s="8">
        <f t="shared" si="185"/>
        <v>0.8345311484222695</v>
      </c>
      <c r="AQ619" s="8"/>
      <c r="AR619" s="8">
        <f t="shared" si="186"/>
        <v>142.46320874114221</v>
      </c>
      <c r="AS619" s="8">
        <f t="shared" si="187"/>
        <v>42.184887323198268</v>
      </c>
    </row>
    <row r="620" spans="1:45">
      <c r="A620" s="19">
        <v>19.619599999999998</v>
      </c>
      <c r="B620" s="19">
        <v>968.75802350000004</v>
      </c>
      <c r="C620" s="19">
        <v>-405.44266729999998</v>
      </c>
      <c r="E620" s="9">
        <f t="shared" si="173"/>
        <v>8.7580235000000357</v>
      </c>
      <c r="F620" s="9">
        <f t="shared" si="178"/>
        <v>134.55733270000002</v>
      </c>
      <c r="I620">
        <v>1</v>
      </c>
      <c r="J620">
        <f t="shared" si="174"/>
        <v>8.8060859616424875E-2</v>
      </c>
      <c r="K620">
        <f t="shared" si="179"/>
        <v>1.5058003347190974</v>
      </c>
      <c r="O620">
        <f t="shared" si="180"/>
        <v>5.7121844996747785E-3</v>
      </c>
      <c r="P620">
        <f t="shared" si="181"/>
        <v>8.7761389332481149E-2</v>
      </c>
      <c r="Q620">
        <f t="shared" si="182"/>
        <v>0.99612514750440584</v>
      </c>
      <c r="R620">
        <f t="shared" si="172"/>
        <v>1</v>
      </c>
      <c r="AG620" s="8">
        <f t="shared" si="175"/>
        <v>-0.58735479018637626</v>
      </c>
      <c r="AH620" s="8">
        <f t="shared" si="176"/>
        <v>0.45187794225028943</v>
      </c>
      <c r="AI620" s="8">
        <f t="shared" si="177"/>
        <v>0.67143181020321197</v>
      </c>
      <c r="AJ620" s="8"/>
      <c r="AK620" s="8"/>
      <c r="AL620" s="8"/>
      <c r="AN620" s="8">
        <f t="shared" si="183"/>
        <v>1</v>
      </c>
      <c r="AO620" s="8">
        <f t="shared" si="184"/>
        <v>2.4858258310753163</v>
      </c>
      <c r="AP620" s="8">
        <f t="shared" si="185"/>
        <v>0.83465713180126544</v>
      </c>
      <c r="AQ620" s="8"/>
      <c r="AR620" s="8">
        <f t="shared" si="186"/>
        <v>142.42732872521594</v>
      </c>
      <c r="AS620" s="8">
        <f t="shared" si="187"/>
        <v>42.177669007293005</v>
      </c>
    </row>
    <row r="621" spans="1:45">
      <c r="A621" s="19">
        <v>19.652966670000001</v>
      </c>
      <c r="B621" s="19">
        <v>968.29602050000005</v>
      </c>
      <c r="C621" s="19">
        <v>-405.37100770000001</v>
      </c>
      <c r="E621" s="9">
        <f t="shared" si="173"/>
        <v>8.2960205000000542</v>
      </c>
      <c r="F621" s="9">
        <f t="shared" si="178"/>
        <v>134.62899229999999</v>
      </c>
      <c r="I621">
        <v>1</v>
      </c>
      <c r="J621">
        <f t="shared" si="174"/>
        <v>8.8088619798107656E-2</v>
      </c>
      <c r="K621">
        <f t="shared" si="179"/>
        <v>1.5092527937678808</v>
      </c>
      <c r="O621">
        <f t="shared" si="180"/>
        <v>5.4108592192079717E-3</v>
      </c>
      <c r="P621">
        <f t="shared" si="181"/>
        <v>8.7808187571273316E-2</v>
      </c>
      <c r="Q621">
        <f t="shared" si="182"/>
        <v>0.99612270569340899</v>
      </c>
      <c r="R621">
        <f t="shared" si="172"/>
        <v>1</v>
      </c>
      <c r="AG621" s="8">
        <f t="shared" si="175"/>
        <v>-0.58718254446091056</v>
      </c>
      <c r="AH621" s="8">
        <f t="shared" si="176"/>
        <v>0.45212891920854592</v>
      </c>
      <c r="AI621" s="8">
        <f t="shared" si="177"/>
        <v>0.67141350887193429</v>
      </c>
      <c r="AJ621" s="8"/>
      <c r="AK621" s="8"/>
      <c r="AL621" s="8"/>
      <c r="AN621" s="8">
        <f t="shared" si="183"/>
        <v>1</v>
      </c>
      <c r="AO621" s="8">
        <f t="shared" si="184"/>
        <v>2.485415689033776</v>
      </c>
      <c r="AP621" s="8">
        <f t="shared" si="185"/>
        <v>0.83468182746679587</v>
      </c>
      <c r="AQ621" s="8"/>
      <c r="AR621" s="8">
        <f t="shared" si="186"/>
        <v>142.40382931723479</v>
      </c>
      <c r="AS621" s="8">
        <f t="shared" si="187"/>
        <v>42.176254049885841</v>
      </c>
    </row>
    <row r="622" spans="1:45">
      <c r="A622" s="19">
        <v>19.68633333</v>
      </c>
      <c r="B622" s="19">
        <v>967.55109600000003</v>
      </c>
      <c r="C622" s="19">
        <v>-405.32231289999999</v>
      </c>
      <c r="E622" s="9">
        <f t="shared" si="173"/>
        <v>7.5510960000000296</v>
      </c>
      <c r="F622" s="9">
        <f t="shared" si="178"/>
        <v>134.67768710000001</v>
      </c>
      <c r="I622">
        <v>1</v>
      </c>
      <c r="J622">
        <f t="shared" si="174"/>
        <v>8.8091803610524211E-2</v>
      </c>
      <c r="K622">
        <f t="shared" si="179"/>
        <v>1.514787061369941</v>
      </c>
      <c r="O622">
        <f t="shared" si="180"/>
        <v>4.9250023688708275E-3</v>
      </c>
      <c r="P622">
        <f t="shared" si="181"/>
        <v>8.7839954359147571E-2</v>
      </c>
      <c r="Q622">
        <f t="shared" si="182"/>
        <v>0.9961224255932849</v>
      </c>
      <c r="R622">
        <f t="shared" si="172"/>
        <v>1</v>
      </c>
      <c r="AG622" s="8">
        <f t="shared" si="175"/>
        <v>-0.58693362121122861</v>
      </c>
      <c r="AH622" s="8">
        <f t="shared" si="176"/>
        <v>0.45254286810076594</v>
      </c>
      <c r="AI622" s="8">
        <f t="shared" si="177"/>
        <v>0.67135227475819781</v>
      </c>
      <c r="AJ622" s="8"/>
      <c r="AK622" s="8"/>
      <c r="AL622" s="8"/>
      <c r="AN622" s="8">
        <f t="shared" si="183"/>
        <v>1</v>
      </c>
      <c r="AO622" s="8">
        <f t="shared" si="184"/>
        <v>2.4847682384753562</v>
      </c>
      <c r="AP622" s="8">
        <f t="shared" si="185"/>
        <v>0.83476445225817775</v>
      </c>
      <c r="AQ622" s="8"/>
      <c r="AR622" s="8">
        <f t="shared" si="186"/>
        <v>142.36673313279397</v>
      </c>
      <c r="AS622" s="8">
        <f t="shared" si="187"/>
        <v>42.17151999805651</v>
      </c>
    </row>
    <row r="623" spans="1:45">
      <c r="A623" s="19">
        <v>19.7197</v>
      </c>
      <c r="B623" s="19">
        <v>966.84927140000002</v>
      </c>
      <c r="C623" s="19">
        <v>-404.89184740000002</v>
      </c>
      <c r="E623" s="9">
        <f t="shared" si="173"/>
        <v>6.8492714000000205</v>
      </c>
      <c r="F623" s="9">
        <f t="shared" si="178"/>
        <v>135.10815259999998</v>
      </c>
      <c r="I623">
        <v>1</v>
      </c>
      <c r="J623">
        <f t="shared" si="174"/>
        <v>8.8349319949200394E-2</v>
      </c>
      <c r="K623">
        <f t="shared" si="179"/>
        <v>1.5201449570752767</v>
      </c>
      <c r="O623">
        <f t="shared" si="180"/>
        <v>4.4672838905371239E-3</v>
      </c>
      <c r="P623">
        <f t="shared" si="181"/>
        <v>8.8121266970120321E-2</v>
      </c>
      <c r="Q623">
        <f t="shared" si="182"/>
        <v>0.99609973681465358</v>
      </c>
      <c r="R623">
        <f t="shared" si="172"/>
        <v>1</v>
      </c>
      <c r="AG623" s="8">
        <f t="shared" si="175"/>
        <v>-0.58653248759858678</v>
      </c>
      <c r="AH623" s="8">
        <f t="shared" si="176"/>
        <v>0.45287882947003832</v>
      </c>
      <c r="AI623" s="8">
        <f t="shared" si="177"/>
        <v>0.67147628908939261</v>
      </c>
      <c r="AJ623" s="8"/>
      <c r="AK623" s="8"/>
      <c r="AL623" s="8"/>
      <c r="AN623" s="8">
        <f t="shared" si="183"/>
        <v>1</v>
      </c>
      <c r="AO623" s="8">
        <f t="shared" si="184"/>
        <v>2.4840786622880984</v>
      </c>
      <c r="AP623" s="8">
        <f t="shared" si="185"/>
        <v>0.8345971100554388</v>
      </c>
      <c r="AQ623" s="8"/>
      <c r="AR623" s="8">
        <f t="shared" si="186"/>
        <v>142.32722332761136</v>
      </c>
      <c r="AS623" s="8">
        <f t="shared" si="187"/>
        <v>42.181108000007875</v>
      </c>
    </row>
    <row r="624" spans="1:45">
      <c r="A624" s="19">
        <v>19.753066669999999</v>
      </c>
      <c r="B624" s="19">
        <v>966.36566949999997</v>
      </c>
      <c r="C624" s="19">
        <v>-404.62644449999999</v>
      </c>
      <c r="E624" s="9">
        <f t="shared" si="173"/>
        <v>6.3656694999999672</v>
      </c>
      <c r="F624" s="9">
        <f t="shared" si="178"/>
        <v>135.37355550000001</v>
      </c>
      <c r="I624">
        <v>1</v>
      </c>
      <c r="J624">
        <f t="shared" si="174"/>
        <v>8.8507778272549562E-2</v>
      </c>
      <c r="K624">
        <f t="shared" si="179"/>
        <v>1.5238079482314262</v>
      </c>
      <c r="O624">
        <f t="shared" si="180"/>
        <v>4.1518810994408337E-3</v>
      </c>
      <c r="P624">
        <f t="shared" si="181"/>
        <v>8.8294704342498101E-2</v>
      </c>
      <c r="Q624">
        <f t="shared" si="182"/>
        <v>0.99608574282960549</v>
      </c>
      <c r="R624">
        <f t="shared" si="172"/>
        <v>1</v>
      </c>
      <c r="AG624" s="8">
        <f t="shared" si="175"/>
        <v>-0.58626948803170742</v>
      </c>
      <c r="AH624" s="8">
        <f t="shared" si="176"/>
        <v>0.45311463200076996</v>
      </c>
      <c r="AI624" s="8">
        <f t="shared" si="177"/>
        <v>0.67154688419338715</v>
      </c>
      <c r="AJ624" s="8"/>
      <c r="AK624" s="8"/>
      <c r="AL624" s="8"/>
      <c r="AN624" s="8">
        <f t="shared" si="183"/>
        <v>1</v>
      </c>
      <c r="AO624" s="8">
        <f t="shared" si="184"/>
        <v>2.4836098481739284</v>
      </c>
      <c r="AP624" s="8">
        <f t="shared" si="185"/>
        <v>0.83450183924503851</v>
      </c>
      <c r="AQ624" s="8"/>
      <c r="AR624" s="8">
        <f t="shared" si="186"/>
        <v>142.30036225749328</v>
      </c>
      <c r="AS624" s="8">
        <f t="shared" si="187"/>
        <v>42.186566615354607</v>
      </c>
    </row>
    <row r="625" spans="1:45">
      <c r="A625" s="19">
        <v>19.786433330000001</v>
      </c>
      <c r="B625" s="19">
        <v>965.58963019999999</v>
      </c>
      <c r="C625" s="19">
        <v>-404.64773509999998</v>
      </c>
      <c r="E625" s="9">
        <f t="shared" si="173"/>
        <v>5.5896301999999878</v>
      </c>
      <c r="F625" s="9">
        <f t="shared" si="178"/>
        <v>135.35226490000002</v>
      </c>
      <c r="I625">
        <v>1</v>
      </c>
      <c r="J625">
        <f t="shared" si="174"/>
        <v>8.8471356440903787E-2</v>
      </c>
      <c r="K625">
        <f t="shared" si="179"/>
        <v>1.5295228699484815</v>
      </c>
      <c r="O625">
        <f t="shared" si="180"/>
        <v>3.6457217739909167E-3</v>
      </c>
      <c r="P625">
        <f t="shared" si="181"/>
        <v>8.828074159627175E-2</v>
      </c>
      <c r="Q625">
        <f t="shared" si="182"/>
        <v>0.99608896157720717</v>
      </c>
      <c r="R625">
        <f t="shared" si="172"/>
        <v>1</v>
      </c>
      <c r="AG625" s="8">
        <f t="shared" si="175"/>
        <v>-0.58604091397097513</v>
      </c>
      <c r="AH625" s="8">
        <f t="shared" si="176"/>
        <v>0.45355566382064283</v>
      </c>
      <c r="AI625" s="8">
        <f t="shared" si="177"/>
        <v>0.67144866294325156</v>
      </c>
      <c r="AJ625" s="8"/>
      <c r="AK625" s="8"/>
      <c r="AL625" s="8"/>
      <c r="AN625" s="8">
        <f t="shared" si="183"/>
        <v>1</v>
      </c>
      <c r="AO625" s="8">
        <f t="shared" si="184"/>
        <v>2.4829503328066682</v>
      </c>
      <c r="AP625" s="8">
        <f t="shared" si="185"/>
        <v>0.83463439036410425</v>
      </c>
      <c r="AQ625" s="8"/>
      <c r="AR625" s="8">
        <f t="shared" si="186"/>
        <v>142.26257481042524</v>
      </c>
      <c r="AS625" s="8">
        <f t="shared" si="187"/>
        <v>42.178971995662401</v>
      </c>
    </row>
    <row r="626" spans="1:45">
      <c r="A626" s="19">
        <v>19.819800000000001</v>
      </c>
      <c r="B626" s="19">
        <v>965.13115240000002</v>
      </c>
      <c r="C626" s="19">
        <v>-404.6958831</v>
      </c>
      <c r="E626" s="9">
        <f t="shared" si="173"/>
        <v>5.131152400000019</v>
      </c>
      <c r="F626" s="9">
        <f t="shared" si="178"/>
        <v>135.3041169</v>
      </c>
      <c r="I626">
        <v>1</v>
      </c>
      <c r="J626">
        <f t="shared" si="174"/>
        <v>8.8427880562432795E-2</v>
      </c>
      <c r="K626">
        <f t="shared" si="179"/>
        <v>1.5328913847395742</v>
      </c>
      <c r="O626">
        <f t="shared" si="180"/>
        <v>3.3466855531829247E-3</v>
      </c>
      <c r="P626">
        <f t="shared" si="181"/>
        <v>8.8249246566015419E-2</v>
      </c>
      <c r="Q626">
        <f t="shared" si="182"/>
        <v>0.99609280199002481</v>
      </c>
      <c r="R626">
        <f t="shared" si="172"/>
        <v>1</v>
      </c>
      <c r="AG626" s="8">
        <f t="shared" si="175"/>
        <v>-0.58592119545308075</v>
      </c>
      <c r="AH626" s="8">
        <f t="shared" si="176"/>
        <v>0.45382115387119176</v>
      </c>
      <c r="AI626" s="8">
        <f t="shared" si="177"/>
        <v>0.67137375061723481</v>
      </c>
      <c r="AJ626" s="8"/>
      <c r="AK626" s="8"/>
      <c r="AL626" s="8"/>
      <c r="AN626" s="8">
        <f t="shared" si="183"/>
        <v>1.0000000000000002</v>
      </c>
      <c r="AO626" s="8">
        <f t="shared" si="184"/>
        <v>2.4825681689712886</v>
      </c>
      <c r="AP626" s="8">
        <f t="shared" si="185"/>
        <v>0.83473547502397449</v>
      </c>
      <c r="AQ626" s="8"/>
      <c r="AR626" s="8">
        <f t="shared" si="186"/>
        <v>142.24067843557546</v>
      </c>
      <c r="AS626" s="8">
        <f t="shared" si="187"/>
        <v>42.173180271278319</v>
      </c>
    </row>
    <row r="627" spans="1:45">
      <c r="A627" s="19">
        <v>19.85316667</v>
      </c>
      <c r="B627" s="19">
        <v>964.46949210000002</v>
      </c>
      <c r="C627" s="19">
        <v>-404.57459640000002</v>
      </c>
      <c r="E627" s="9">
        <f t="shared" si="173"/>
        <v>4.4694921000000249</v>
      </c>
      <c r="F627" s="9">
        <f t="shared" si="178"/>
        <v>135.42540359999998</v>
      </c>
      <c r="I627">
        <v>1</v>
      </c>
      <c r="J627">
        <f t="shared" si="174"/>
        <v>8.8492029020999008E-2</v>
      </c>
      <c r="K627">
        <f t="shared" si="179"/>
        <v>1.5378049508358624</v>
      </c>
      <c r="O627">
        <f t="shared" si="180"/>
        <v>2.9151360809362694E-3</v>
      </c>
      <c r="P627">
        <f t="shared" si="181"/>
        <v>8.8328488221226062E-2</v>
      </c>
      <c r="Q627">
        <f t="shared" si="182"/>
        <v>0.99608713481812539</v>
      </c>
      <c r="R627">
        <f t="shared" si="172"/>
        <v>1</v>
      </c>
      <c r="AG627" s="8">
        <f t="shared" si="175"/>
        <v>-0.5856657195771694</v>
      </c>
      <c r="AH627" s="8">
        <f t="shared" si="176"/>
        <v>0.45417745883100247</v>
      </c>
      <c r="AI627" s="8">
        <f t="shared" si="177"/>
        <v>0.67135571852928266</v>
      </c>
      <c r="AJ627" s="8"/>
      <c r="AK627" s="8"/>
      <c r="AL627" s="8"/>
      <c r="AN627" s="8">
        <f t="shared" si="183"/>
        <v>1</v>
      </c>
      <c r="AO627" s="8">
        <f t="shared" si="184"/>
        <v>2.4819770073157024</v>
      </c>
      <c r="AP627" s="8">
        <f t="shared" si="185"/>
        <v>0.83475980565189289</v>
      </c>
      <c r="AQ627" s="8"/>
      <c r="AR627" s="8">
        <f t="shared" si="186"/>
        <v>142.20680736770041</v>
      </c>
      <c r="AS627" s="8">
        <f t="shared" si="187"/>
        <v>42.171786228985695</v>
      </c>
    </row>
    <row r="628" spans="1:45">
      <c r="A628" s="19">
        <v>19.886533329999999</v>
      </c>
      <c r="B628" s="19">
        <v>963.63268400000004</v>
      </c>
      <c r="C628" s="19">
        <v>-404.4960494</v>
      </c>
      <c r="E628" s="9">
        <f t="shared" si="173"/>
        <v>3.6326840000000402</v>
      </c>
      <c r="F628" s="9">
        <f t="shared" si="178"/>
        <v>135.5039506</v>
      </c>
      <c r="I628">
        <v>1</v>
      </c>
      <c r="J628">
        <f t="shared" si="174"/>
        <v>8.8527132990096472E-2</v>
      </c>
      <c r="K628">
        <f t="shared" si="179"/>
        <v>1.5439940521628048</v>
      </c>
      <c r="O628">
        <f t="shared" si="180"/>
        <v>2.3693468464747471E-3</v>
      </c>
      <c r="P628">
        <f t="shared" si="181"/>
        <v>8.8379792472721791E-2</v>
      </c>
      <c r="Q628">
        <f t="shared" si="182"/>
        <v>0.99608403183566785</v>
      </c>
      <c r="R628">
        <f t="shared" si="172"/>
        <v>1</v>
      </c>
      <c r="AG628" s="8">
        <f t="shared" si="175"/>
        <v>-0.58537484467999501</v>
      </c>
      <c r="AH628" s="8">
        <f t="shared" si="176"/>
        <v>0.45463845307094042</v>
      </c>
      <c r="AI628" s="8">
        <f t="shared" si="177"/>
        <v>0.67129737687937829</v>
      </c>
      <c r="AJ628" s="8"/>
      <c r="AK628" s="8"/>
      <c r="AL628" s="8"/>
      <c r="AN628" s="8">
        <f t="shared" si="183"/>
        <v>1</v>
      </c>
      <c r="AO628" s="8">
        <f t="shared" si="184"/>
        <v>2.4812450170464899</v>
      </c>
      <c r="AP628" s="8">
        <f t="shared" si="185"/>
        <v>0.83483852214508736</v>
      </c>
      <c r="AQ628" s="8"/>
      <c r="AR628" s="8">
        <f t="shared" si="186"/>
        <v>142.16486741462987</v>
      </c>
      <c r="AS628" s="8">
        <f t="shared" si="187"/>
        <v>42.167276106147582</v>
      </c>
    </row>
    <row r="629" spans="1:45">
      <c r="A629" s="19">
        <v>19.919899999999998</v>
      </c>
      <c r="B629" s="19">
        <v>963.40515100000005</v>
      </c>
      <c r="C629" s="19">
        <v>-404.14905879999998</v>
      </c>
      <c r="E629" s="9">
        <f t="shared" si="173"/>
        <v>3.4051510000000462</v>
      </c>
      <c r="F629" s="9">
        <f t="shared" si="178"/>
        <v>135.85094120000002</v>
      </c>
      <c r="I629">
        <v>1</v>
      </c>
      <c r="J629">
        <f t="shared" si="174"/>
        <v>8.8750869645536148E-2</v>
      </c>
      <c r="K629">
        <f t="shared" si="179"/>
        <v>1.5457362269626289</v>
      </c>
      <c r="O629">
        <f t="shared" si="180"/>
        <v>2.2209545480026474E-3</v>
      </c>
      <c r="P629">
        <f t="shared" si="181"/>
        <v>8.8606574483356862E-2</v>
      </c>
      <c r="Q629">
        <f t="shared" si="182"/>
        <v>0.99606422600112543</v>
      </c>
      <c r="R629">
        <f t="shared" si="172"/>
        <v>1</v>
      </c>
      <c r="AG629" s="8">
        <f t="shared" si="175"/>
        <v>-0.5851547022132001</v>
      </c>
      <c r="AH629" s="8">
        <f t="shared" si="176"/>
        <v>0.45471807186296254</v>
      </c>
      <c r="AI629" s="8">
        <f t="shared" si="177"/>
        <v>0.67143536516854019</v>
      </c>
      <c r="AJ629" s="8"/>
      <c r="AK629" s="8"/>
      <c r="AL629" s="8"/>
      <c r="AN629" s="8">
        <f t="shared" si="183"/>
        <v>1.0000000000000002</v>
      </c>
      <c r="AO629" s="8">
        <f t="shared" si="184"/>
        <v>2.4809779483506347</v>
      </c>
      <c r="AP629" s="8">
        <f t="shared" si="185"/>
        <v>0.83465233469627098</v>
      </c>
      <c r="AQ629" s="8"/>
      <c r="AR629" s="8">
        <f t="shared" si="186"/>
        <v>142.1495655055173</v>
      </c>
      <c r="AS629" s="8">
        <f t="shared" si="187"/>
        <v>42.177943861163065</v>
      </c>
    </row>
    <row r="630" spans="1:45">
      <c r="A630" s="19">
        <v>19.953266670000001</v>
      </c>
      <c r="B630" s="19">
        <v>962.75860869999997</v>
      </c>
      <c r="C630" s="19">
        <v>-403.67759999999998</v>
      </c>
      <c r="E630" s="9">
        <f t="shared" si="173"/>
        <v>2.7586086999999679</v>
      </c>
      <c r="F630" s="9">
        <f t="shared" si="178"/>
        <v>136.32240000000002</v>
      </c>
      <c r="I630">
        <v>1</v>
      </c>
      <c r="J630">
        <f t="shared" si="174"/>
        <v>8.9050535513230875E-2</v>
      </c>
      <c r="K630">
        <f t="shared" si="179"/>
        <v>1.5505631717927373</v>
      </c>
      <c r="O630">
        <f t="shared" si="180"/>
        <v>1.7992701187987045E-3</v>
      </c>
      <c r="P630">
        <f t="shared" si="181"/>
        <v>8.8914684001006647E-2</v>
      </c>
      <c r="Q630">
        <f t="shared" si="182"/>
        <v>0.99603762057265721</v>
      </c>
      <c r="R630">
        <f t="shared" si="172"/>
        <v>1</v>
      </c>
      <c r="AG630" s="8">
        <f t="shared" si="175"/>
        <v>-0.58475185074237246</v>
      </c>
      <c r="AH630" s="8">
        <f t="shared" si="176"/>
        <v>0.45501643501294897</v>
      </c>
      <c r="AI630" s="8">
        <f t="shared" si="177"/>
        <v>0.67158418453793023</v>
      </c>
      <c r="AJ630" s="8"/>
      <c r="AK630" s="8"/>
      <c r="AL630" s="8"/>
      <c r="AN630" s="8">
        <f t="shared" si="183"/>
        <v>0.99999999999999978</v>
      </c>
      <c r="AO630" s="8">
        <f t="shared" si="184"/>
        <v>2.4803263566278004</v>
      </c>
      <c r="AP630" s="8">
        <f t="shared" si="185"/>
        <v>0.83445149767258331</v>
      </c>
      <c r="AQ630" s="8"/>
      <c r="AR630" s="8">
        <f t="shared" si="186"/>
        <v>142.11223204983324</v>
      </c>
      <c r="AS630" s="8">
        <f t="shared" si="187"/>
        <v>42.189450974990336</v>
      </c>
    </row>
    <row r="631" spans="1:45">
      <c r="A631" s="19">
        <v>19.98663333</v>
      </c>
      <c r="B631" s="19">
        <v>962.06181730000003</v>
      </c>
      <c r="C631" s="19">
        <v>-403.6874186</v>
      </c>
      <c r="E631" s="9">
        <f t="shared" si="173"/>
        <v>2.0618173000000297</v>
      </c>
      <c r="F631" s="9">
        <f t="shared" si="178"/>
        <v>136.3125814</v>
      </c>
      <c r="I631">
        <v>1</v>
      </c>
      <c r="J631">
        <f t="shared" si="174"/>
        <v>8.903601164889241E-2</v>
      </c>
      <c r="K631">
        <f t="shared" si="179"/>
        <v>1.555671823521265</v>
      </c>
      <c r="O631">
        <f t="shared" si="180"/>
        <v>1.3447956739265252E-3</v>
      </c>
      <c r="P631">
        <f t="shared" si="181"/>
        <v>8.8908250875804465E-2</v>
      </c>
      <c r="Q631">
        <f t="shared" si="182"/>
        <v>0.99603891211679096</v>
      </c>
      <c r="R631">
        <f t="shared" si="172"/>
        <v>1</v>
      </c>
      <c r="AG631" s="8">
        <f t="shared" si="175"/>
        <v>-0.5845418960735338</v>
      </c>
      <c r="AH631" s="8">
        <f t="shared" si="176"/>
        <v>0.45541062134954197</v>
      </c>
      <c r="AI631" s="8">
        <f t="shared" si="177"/>
        <v>0.67149976745847217</v>
      </c>
      <c r="AJ631" s="8"/>
      <c r="AK631" s="8"/>
      <c r="AL631" s="8"/>
      <c r="AN631" s="8">
        <f t="shared" si="183"/>
        <v>1.0000000000000002</v>
      </c>
      <c r="AO631" s="8">
        <f t="shared" si="184"/>
        <v>2.479732521645126</v>
      </c>
      <c r="AP631" s="8">
        <f t="shared" si="185"/>
        <v>0.8345654260054457</v>
      </c>
      <c r="AQ631" s="8"/>
      <c r="AR631" s="8">
        <f t="shared" si="186"/>
        <v>142.07820781159879</v>
      </c>
      <c r="AS631" s="8">
        <f t="shared" si="187"/>
        <v>42.182923362350365</v>
      </c>
    </row>
    <row r="632" spans="1:45">
      <c r="A632" s="19">
        <v>20.02</v>
      </c>
      <c r="B632" s="19">
        <v>961.40596679999999</v>
      </c>
      <c r="C632" s="19">
        <v>-403.63938510000003</v>
      </c>
      <c r="E632" s="9">
        <f t="shared" si="173"/>
        <v>1.4059667999999874</v>
      </c>
      <c r="F632" s="9">
        <f t="shared" si="178"/>
        <v>136.36061489999997</v>
      </c>
      <c r="I632">
        <v>1</v>
      </c>
      <c r="J632">
        <f t="shared" si="174"/>
        <v>8.9062053765082555E-2</v>
      </c>
      <c r="K632">
        <f t="shared" si="179"/>
        <v>1.5604860404878964</v>
      </c>
      <c r="O632">
        <f t="shared" si="180"/>
        <v>9.1702556658957823E-4</v>
      </c>
      <c r="P632">
        <f t="shared" si="181"/>
        <v>8.8939632243930491E-2</v>
      </c>
      <c r="Q632">
        <f t="shared" si="182"/>
        <v>0.9960365961551938</v>
      </c>
      <c r="R632">
        <f t="shared" si="172"/>
        <v>1</v>
      </c>
      <c r="AG632" s="8">
        <f t="shared" si="175"/>
        <v>-0.5843193409279871</v>
      </c>
      <c r="AH632" s="8">
        <f t="shared" si="176"/>
        <v>0.45577351103965236</v>
      </c>
      <c r="AI632" s="8">
        <f t="shared" si="177"/>
        <v>0.67144725366336155</v>
      </c>
      <c r="AJ632" s="8"/>
      <c r="AK632" s="8"/>
      <c r="AL632" s="8"/>
      <c r="AN632" s="8">
        <f t="shared" si="183"/>
        <v>0.99999999999999989</v>
      </c>
      <c r="AO632" s="8">
        <f t="shared" si="184"/>
        <v>2.4791616512984205</v>
      </c>
      <c r="AP632" s="8">
        <f t="shared" si="185"/>
        <v>0.83463629209358925</v>
      </c>
      <c r="AQ632" s="8"/>
      <c r="AR632" s="8">
        <f t="shared" si="186"/>
        <v>142.04549935008339</v>
      </c>
      <c r="AS632" s="8">
        <f t="shared" si="187"/>
        <v>42.178863034589135</v>
      </c>
    </row>
    <row r="633" spans="1:45">
      <c r="A633" s="19">
        <v>20.053366669999999</v>
      </c>
      <c r="B633" s="19">
        <v>960.6180799</v>
      </c>
      <c r="C633" s="19">
        <v>-403.61906290000002</v>
      </c>
      <c r="E633" s="9">
        <f t="shared" si="173"/>
        <v>0.61807989999999791</v>
      </c>
      <c r="F633" s="9">
        <f t="shared" si="178"/>
        <v>136.38093709999998</v>
      </c>
      <c r="I633">
        <v>1</v>
      </c>
      <c r="J633">
        <f t="shared" si="174"/>
        <v>8.9071551361449078E-2</v>
      </c>
      <c r="K633">
        <f t="shared" si="179"/>
        <v>1.5662643468746198</v>
      </c>
      <c r="O633">
        <f t="shared" si="180"/>
        <v>4.0313554441775821E-4</v>
      </c>
      <c r="P633">
        <f t="shared" si="181"/>
        <v>8.8952906130764856E-2</v>
      </c>
      <c r="Q633">
        <f t="shared" si="182"/>
        <v>0.996035751352643</v>
      </c>
      <c r="R633">
        <f t="shared" si="172"/>
        <v>1</v>
      </c>
      <c r="AG633" s="8">
        <f t="shared" si="175"/>
        <v>-0.5840680156215825</v>
      </c>
      <c r="AH633" s="8">
        <f t="shared" si="176"/>
        <v>0.45621459244509271</v>
      </c>
      <c r="AI633" s="8">
        <f t="shared" si="177"/>
        <v>0.67136636702178099</v>
      </c>
      <c r="AJ633" s="8"/>
      <c r="AK633" s="8"/>
      <c r="AL633" s="8"/>
      <c r="AN633" s="8">
        <f t="shared" si="183"/>
        <v>1</v>
      </c>
      <c r="AO633" s="8">
        <f t="shared" si="184"/>
        <v>2.4784838087928183</v>
      </c>
      <c r="AP633" s="8">
        <f t="shared" si="185"/>
        <v>0.8347454377461655</v>
      </c>
      <c r="AQ633" s="8"/>
      <c r="AR633" s="8">
        <f t="shared" si="186"/>
        <v>142.00666183533781</v>
      </c>
      <c r="AS633" s="8">
        <f t="shared" si="187"/>
        <v>42.172609449344314</v>
      </c>
    </row>
    <row r="634" spans="1:45">
      <c r="A634" s="19">
        <v>20.086733330000001</v>
      </c>
      <c r="B634" s="19">
        <v>960.22452150000004</v>
      </c>
      <c r="C634" s="19">
        <v>-403.62589930000001</v>
      </c>
      <c r="E634" s="9">
        <f t="shared" si="173"/>
        <v>0.22452150000003712</v>
      </c>
      <c r="F634" s="9">
        <f t="shared" si="178"/>
        <v>136.37410069999999</v>
      </c>
      <c r="I634">
        <v>1</v>
      </c>
      <c r="J634">
        <f t="shared" si="174"/>
        <v>8.9066267951124739E-2</v>
      </c>
      <c r="K634">
        <f t="shared" si="179"/>
        <v>1.5691499636218931</v>
      </c>
      <c r="O634">
        <f t="shared" si="180"/>
        <v>1.464415626556266E-4</v>
      </c>
      <c r="P634">
        <f t="shared" si="181"/>
        <v>8.8948436618585883E-2</v>
      </c>
      <c r="Q634">
        <f t="shared" si="182"/>
        <v>0.99603622131827019</v>
      </c>
      <c r="R634">
        <f t="shared" si="172"/>
        <v>1</v>
      </c>
      <c r="AG634" s="8">
        <f t="shared" si="175"/>
        <v>-0.58394977027795936</v>
      </c>
      <c r="AH634" s="8">
        <f t="shared" si="176"/>
        <v>0.45643725613164676</v>
      </c>
      <c r="AI634" s="8">
        <f t="shared" si="177"/>
        <v>0.67131788074453369</v>
      </c>
      <c r="AJ634" s="8"/>
      <c r="AK634" s="8"/>
      <c r="AL634" s="8"/>
      <c r="AN634" s="8">
        <f t="shared" si="183"/>
        <v>1</v>
      </c>
      <c r="AO634" s="8">
        <f t="shared" si="184"/>
        <v>2.4781488441549091</v>
      </c>
      <c r="AP634" s="8">
        <f t="shared" si="185"/>
        <v>0.83481085828833468</v>
      </c>
      <c r="AQ634" s="8"/>
      <c r="AR634" s="8">
        <f t="shared" si="186"/>
        <v>141.98746977529947</v>
      </c>
      <c r="AS634" s="8">
        <f t="shared" si="187"/>
        <v>42.168861128384563</v>
      </c>
    </row>
    <row r="635" spans="1:45">
      <c r="A635" s="19">
        <v>20.120100000000001</v>
      </c>
      <c r="B635" s="19">
        <v>959.56045940000001</v>
      </c>
      <c r="C635" s="19">
        <v>-403.59815570000001</v>
      </c>
      <c r="E635" s="9">
        <f t="shared" si="173"/>
        <v>-0.43954059999998663</v>
      </c>
      <c r="F635" s="9">
        <f t="shared" si="178"/>
        <v>136.40184429999999</v>
      </c>
      <c r="I635">
        <v>1</v>
      </c>
      <c r="J635">
        <f t="shared" si="174"/>
        <v>8.9084815298411765E-2</v>
      </c>
      <c r="K635">
        <f t="shared" si="179"/>
        <v>1.5740187104869479</v>
      </c>
      <c r="O635">
        <f t="shared" si="180"/>
        <v>-2.866854136175861E-4</v>
      </c>
      <c r="P635">
        <f t="shared" si="181"/>
        <v>8.8966569075417348E-2</v>
      </c>
      <c r="Q635">
        <f t="shared" si="182"/>
        <v>0.99603457138716955</v>
      </c>
      <c r="R635">
        <f t="shared" si="172"/>
        <v>1</v>
      </c>
      <c r="AG635" s="8">
        <f t="shared" si="175"/>
        <v>-0.5837331362578545</v>
      </c>
      <c r="AH635" s="8">
        <f t="shared" si="176"/>
        <v>0.45680737408777389</v>
      </c>
      <c r="AI635" s="8">
        <f t="shared" si="177"/>
        <v>0.67125453340264429</v>
      </c>
      <c r="AJ635" s="8"/>
      <c r="AK635" s="8"/>
      <c r="AL635" s="8"/>
      <c r="AN635" s="8">
        <f t="shared" si="183"/>
        <v>1</v>
      </c>
      <c r="AO635" s="8">
        <f t="shared" si="184"/>
        <v>2.4775754466568936</v>
      </c>
      <c r="AP635" s="8">
        <f t="shared" si="185"/>
        <v>0.83489632441426176</v>
      </c>
      <c r="AQ635" s="8"/>
      <c r="AR635" s="8">
        <f t="shared" si="186"/>
        <v>141.95461651867981</v>
      </c>
      <c r="AS635" s="8">
        <f t="shared" si="187"/>
        <v>42.163964280077607</v>
      </c>
    </row>
    <row r="636" spans="1:45">
      <c r="A636" s="19">
        <v>20.15346667</v>
      </c>
      <c r="B636" s="19">
        <v>958.84760400000005</v>
      </c>
      <c r="C636" s="19">
        <v>-403.5866886</v>
      </c>
      <c r="E636" s="9">
        <f t="shared" si="173"/>
        <v>-1.1523959999999533</v>
      </c>
      <c r="F636" s="9">
        <f t="shared" si="178"/>
        <v>136.4133114</v>
      </c>
      <c r="I636">
        <v>1</v>
      </c>
      <c r="J636">
        <f t="shared" si="174"/>
        <v>8.9095068571846778E-2</v>
      </c>
      <c r="K636">
        <f t="shared" si="179"/>
        <v>1.5792439524369215</v>
      </c>
      <c r="O636">
        <f t="shared" si="180"/>
        <v>-7.5163750466947124E-4</v>
      </c>
      <c r="P636">
        <f t="shared" si="181"/>
        <v>8.8974068796143196E-2</v>
      </c>
      <c r="Q636">
        <f t="shared" si="182"/>
        <v>0.99603365913151787</v>
      </c>
      <c r="R636">
        <f t="shared" si="172"/>
        <v>1</v>
      </c>
      <c r="AG636" s="8">
        <f t="shared" si="175"/>
        <v>-0.58350838187930776</v>
      </c>
      <c r="AH636" s="8">
        <f t="shared" si="176"/>
        <v>0.45720715951375523</v>
      </c>
      <c r="AI636" s="8">
        <f t="shared" si="177"/>
        <v>0.67117775705542837</v>
      </c>
      <c r="AJ636" s="8"/>
      <c r="AK636" s="8"/>
      <c r="AL636" s="8"/>
      <c r="AN636" s="8">
        <f t="shared" si="183"/>
        <v>1.0000000000000002</v>
      </c>
      <c r="AO636" s="8">
        <f t="shared" si="184"/>
        <v>2.4769638788508352</v>
      </c>
      <c r="AP636" s="8">
        <f t="shared" si="185"/>
        <v>0.83499989964125265</v>
      </c>
      <c r="AQ636" s="8"/>
      <c r="AR636" s="8">
        <f t="shared" si="186"/>
        <v>141.91957626450662</v>
      </c>
      <c r="AS636" s="8">
        <f t="shared" si="187"/>
        <v>42.158029856708922</v>
      </c>
    </row>
    <row r="637" spans="1:45">
      <c r="A637" s="19">
        <v>20.186833329999999</v>
      </c>
      <c r="B637" s="19">
        <v>958.22869809999997</v>
      </c>
      <c r="C637" s="19">
        <v>-403.49200739999998</v>
      </c>
      <c r="E637" s="9">
        <f t="shared" si="173"/>
        <v>-1.7713019000000259</v>
      </c>
      <c r="F637" s="9">
        <f t="shared" si="178"/>
        <v>136.50799260000002</v>
      </c>
      <c r="I637">
        <v>1</v>
      </c>
      <c r="J637">
        <f t="shared" si="174"/>
        <v>8.9161539685078159E-2</v>
      </c>
      <c r="K637">
        <f t="shared" si="179"/>
        <v>1.5837714095278137</v>
      </c>
      <c r="O637">
        <f t="shared" si="180"/>
        <v>-1.1553137243936315E-3</v>
      </c>
      <c r="P637">
        <f t="shared" si="181"/>
        <v>8.9035955609940612E-2</v>
      </c>
      <c r="Q637">
        <f t="shared" si="182"/>
        <v>0.99602774251464643</v>
      </c>
      <c r="R637">
        <f t="shared" si="172"/>
        <v>1</v>
      </c>
      <c r="AG637" s="8">
        <f t="shared" si="175"/>
        <v>-0.58327642475936492</v>
      </c>
      <c r="AH637" s="8">
        <f t="shared" si="176"/>
        <v>0.45754227160688804</v>
      </c>
      <c r="AI637" s="8">
        <f t="shared" si="177"/>
        <v>0.67115101282255518</v>
      </c>
      <c r="AJ637" s="8"/>
      <c r="AK637" s="8"/>
      <c r="AL637" s="8"/>
      <c r="AN637" s="8">
        <f t="shared" si="183"/>
        <v>1</v>
      </c>
      <c r="AO637" s="8">
        <f t="shared" si="184"/>
        <v>2.4764150669681766</v>
      </c>
      <c r="AP637" s="8">
        <f t="shared" si="185"/>
        <v>0.83503597670096996</v>
      </c>
      <c r="AQ637" s="8"/>
      <c r="AR637" s="8">
        <f t="shared" si="186"/>
        <v>141.88813165988364</v>
      </c>
      <c r="AS637" s="8">
        <f t="shared" si="187"/>
        <v>42.155962793449881</v>
      </c>
    </row>
    <row r="638" spans="1:45">
      <c r="A638" s="19">
        <v>20.220199999999998</v>
      </c>
      <c r="B638" s="19">
        <v>957.51667320000001</v>
      </c>
      <c r="C638" s="19">
        <v>-403.29195060000001</v>
      </c>
      <c r="E638" s="9">
        <f t="shared" si="173"/>
        <v>-2.4833267999999862</v>
      </c>
      <c r="F638" s="9">
        <f t="shared" si="178"/>
        <v>136.70804939999999</v>
      </c>
      <c r="I638">
        <v>1</v>
      </c>
      <c r="J638">
        <f t="shared" si="174"/>
        <v>8.93000634449089E-2</v>
      </c>
      <c r="K638">
        <f t="shared" si="179"/>
        <v>1.5889595126543106</v>
      </c>
      <c r="O638">
        <f t="shared" si="180"/>
        <v>-1.6197297085636406E-3</v>
      </c>
      <c r="P638">
        <f t="shared" si="181"/>
        <v>8.9166713383421525E-2</v>
      </c>
      <c r="Q638">
        <f t="shared" si="182"/>
        <v>0.99601539832477992</v>
      </c>
      <c r="R638">
        <f t="shared" si="172"/>
        <v>1</v>
      </c>
      <c r="AG638" s="8">
        <f t="shared" si="175"/>
        <v>-0.58296994447803097</v>
      </c>
      <c r="AH638" s="8">
        <f t="shared" si="176"/>
        <v>0.45791490347085195</v>
      </c>
      <c r="AI638" s="8">
        <f t="shared" si="177"/>
        <v>0.67116315826672268</v>
      </c>
      <c r="AJ638" s="8"/>
      <c r="AK638" s="8"/>
      <c r="AL638" s="8"/>
      <c r="AN638" s="8">
        <f t="shared" si="183"/>
        <v>1</v>
      </c>
      <c r="AO638" s="8">
        <f t="shared" si="184"/>
        <v>2.4757643959031719</v>
      </c>
      <c r="AP638" s="8">
        <f t="shared" si="185"/>
        <v>0.83501959305630369</v>
      </c>
      <c r="AQ638" s="8"/>
      <c r="AR638" s="8">
        <f t="shared" si="186"/>
        <v>141.8508509540076</v>
      </c>
      <c r="AS638" s="8">
        <f t="shared" si="187"/>
        <v>42.156901507142294</v>
      </c>
    </row>
    <row r="639" spans="1:45">
      <c r="A639" s="19">
        <v>20.253566670000001</v>
      </c>
      <c r="B639" s="19">
        <v>956.73868430000005</v>
      </c>
      <c r="C639" s="19">
        <v>-402.91381139999999</v>
      </c>
      <c r="E639" s="9">
        <f t="shared" si="173"/>
        <v>-3.2613156999999546</v>
      </c>
      <c r="F639" s="9">
        <f t="shared" si="178"/>
        <v>137.08618860000001</v>
      </c>
      <c r="I639">
        <v>1</v>
      </c>
      <c r="J639">
        <f t="shared" si="174"/>
        <v>8.955882567711318E-2</v>
      </c>
      <c r="K639">
        <f t="shared" si="179"/>
        <v>1.5945820973842639</v>
      </c>
      <c r="O639">
        <f t="shared" si="180"/>
        <v>-2.1271785508567656E-3</v>
      </c>
      <c r="P639">
        <f t="shared" si="181"/>
        <v>8.9413852209594483E-2</v>
      </c>
      <c r="Q639">
        <f t="shared" si="182"/>
        <v>0.99599228819527186</v>
      </c>
      <c r="R639">
        <f t="shared" si="172"/>
        <v>1</v>
      </c>
      <c r="AG639" s="8">
        <f t="shared" si="175"/>
        <v>-0.5825657497350063</v>
      </c>
      <c r="AH639" s="8">
        <f t="shared" si="176"/>
        <v>0.45829950851468243</v>
      </c>
      <c r="AI639" s="8">
        <f t="shared" si="177"/>
        <v>0.67125159793544664</v>
      </c>
      <c r="AJ639" s="8"/>
      <c r="AK639" s="8"/>
      <c r="AL639" s="8"/>
      <c r="AN639" s="8">
        <f t="shared" si="183"/>
        <v>1</v>
      </c>
      <c r="AO639" s="8">
        <f t="shared" si="184"/>
        <v>2.4750195106823361</v>
      </c>
      <c r="AP639" s="8">
        <f t="shared" si="185"/>
        <v>0.83490028468856203</v>
      </c>
      <c r="AQ639" s="8"/>
      <c r="AR639" s="8">
        <f t="shared" si="186"/>
        <v>141.80817217463203</v>
      </c>
      <c r="AS639" s="8">
        <f t="shared" si="187"/>
        <v>42.16373737307449</v>
      </c>
    </row>
    <row r="640" spans="1:45">
      <c r="A640" s="19">
        <v>20.28693333</v>
      </c>
      <c r="B640" s="19">
        <v>956.43884460000004</v>
      </c>
      <c r="C640" s="19">
        <v>-402.70317160000002</v>
      </c>
      <c r="E640" s="9">
        <f t="shared" si="173"/>
        <v>-3.5611553999999614</v>
      </c>
      <c r="F640" s="9">
        <f t="shared" si="178"/>
        <v>137.29682839999998</v>
      </c>
      <c r="I640">
        <v>1</v>
      </c>
      <c r="J640">
        <f t="shared" si="174"/>
        <v>8.9701879036019533E-2</v>
      </c>
      <c r="K640">
        <f t="shared" si="179"/>
        <v>1.5967281502862254</v>
      </c>
      <c r="O640">
        <f t="shared" si="180"/>
        <v>-2.3227546916546249E-3</v>
      </c>
      <c r="P640">
        <f t="shared" si="181"/>
        <v>8.955151249939991E-2</v>
      </c>
      <c r="Q640">
        <f t="shared" si="182"/>
        <v>0.99597948343312381</v>
      </c>
      <c r="R640">
        <f t="shared" si="172"/>
        <v>1</v>
      </c>
      <c r="AG640" s="8">
        <f t="shared" si="175"/>
        <v>-0.5823817843956457</v>
      </c>
      <c r="AH640" s="8">
        <f t="shared" si="176"/>
        <v>0.4584385725787683</v>
      </c>
      <c r="AI640" s="8">
        <f t="shared" si="177"/>
        <v>0.67131626851736959</v>
      </c>
      <c r="AJ640" s="8"/>
      <c r="AK640" s="8"/>
      <c r="AL640" s="8"/>
      <c r="AN640" s="8">
        <f t="shared" si="183"/>
        <v>1</v>
      </c>
      <c r="AO640" s="8">
        <f t="shared" si="184"/>
        <v>2.4747185790387185</v>
      </c>
      <c r="AP640" s="8">
        <f t="shared" si="185"/>
        <v>0.83481303353362668</v>
      </c>
      <c r="AQ640" s="8"/>
      <c r="AR640" s="8">
        <f t="shared" si="186"/>
        <v>141.79093006153082</v>
      </c>
      <c r="AS640" s="8">
        <f t="shared" si="187"/>
        <v>42.168736496009927</v>
      </c>
    </row>
    <row r="641" spans="1:45">
      <c r="A641" s="19">
        <v>20.3203</v>
      </c>
      <c r="B641" s="19">
        <v>955.7005709</v>
      </c>
      <c r="C641" s="19">
        <v>-402.61916009999999</v>
      </c>
      <c r="E641" s="9">
        <f t="shared" si="173"/>
        <v>-4.2994290999999976</v>
      </c>
      <c r="F641" s="9">
        <f t="shared" si="178"/>
        <v>137.38083990000001</v>
      </c>
      <c r="I641">
        <v>1</v>
      </c>
      <c r="J641">
        <f t="shared" si="174"/>
        <v>8.9770834364737928E-2</v>
      </c>
      <c r="K641">
        <f t="shared" si="179"/>
        <v>1.6020818122931171</v>
      </c>
      <c r="O641">
        <f t="shared" si="180"/>
        <v>-2.8042959149337013E-3</v>
      </c>
      <c r="P641">
        <f t="shared" si="181"/>
        <v>8.9606438241238387E-2</v>
      </c>
      <c r="Q641">
        <f t="shared" si="182"/>
        <v>0.99597330393446826</v>
      </c>
      <c r="R641">
        <f t="shared" si="172"/>
        <v>1</v>
      </c>
      <c r="AG641" s="8">
        <f t="shared" si="175"/>
        <v>-0.58211709460146854</v>
      </c>
      <c r="AH641" s="8">
        <f t="shared" si="176"/>
        <v>0.45884200237258876</v>
      </c>
      <c r="AI641" s="8">
        <f t="shared" si="177"/>
        <v>0.67127021759605743</v>
      </c>
      <c r="AJ641" s="8"/>
      <c r="AK641" s="8"/>
      <c r="AL641" s="8"/>
      <c r="AN641" s="8">
        <f t="shared" si="183"/>
        <v>1</v>
      </c>
      <c r="AO641" s="8">
        <f t="shared" si="184"/>
        <v>2.4740700230643258</v>
      </c>
      <c r="AP641" s="8">
        <f t="shared" si="185"/>
        <v>0.83487516443854748</v>
      </c>
      <c r="AQ641" s="8"/>
      <c r="AR641" s="8">
        <f t="shared" si="186"/>
        <v>141.7537705414201</v>
      </c>
      <c r="AS641" s="8">
        <f t="shared" si="187"/>
        <v>42.165176657380634</v>
      </c>
    </row>
    <row r="642" spans="1:45">
      <c r="A642" s="19">
        <v>20.353666669999999</v>
      </c>
      <c r="B642" s="19">
        <v>955.18499610000003</v>
      </c>
      <c r="C642" s="19">
        <v>-402.62378539999997</v>
      </c>
      <c r="E642" s="9">
        <f t="shared" si="173"/>
        <v>-4.8150038999999651</v>
      </c>
      <c r="F642" s="9">
        <f t="shared" si="178"/>
        <v>137.37621460000003</v>
      </c>
      <c r="I642">
        <v>1</v>
      </c>
      <c r="J642">
        <f t="shared" si="174"/>
        <v>8.9779016698887715E-2</v>
      </c>
      <c r="K642">
        <f t="shared" si="179"/>
        <v>1.6058317486437443</v>
      </c>
      <c r="O642">
        <f t="shared" si="180"/>
        <v>-3.1405793090924631E-3</v>
      </c>
      <c r="P642">
        <f t="shared" si="181"/>
        <v>8.960343669383361E-2</v>
      </c>
      <c r="Q642">
        <f t="shared" si="182"/>
        <v>0.99597257035234532</v>
      </c>
      <c r="R642">
        <f t="shared" si="172"/>
        <v>1</v>
      </c>
      <c r="AG642" s="8">
        <f t="shared" si="175"/>
        <v>-0.58195959412815856</v>
      </c>
      <c r="AH642" s="8">
        <f t="shared" si="176"/>
        <v>0.4591325723575625</v>
      </c>
      <c r="AI642" s="8">
        <f t="shared" si="177"/>
        <v>0.67120809873132248</v>
      </c>
      <c r="AJ642" s="8"/>
      <c r="AK642" s="8"/>
      <c r="AL642" s="8"/>
      <c r="AN642" s="8">
        <f t="shared" si="183"/>
        <v>1</v>
      </c>
      <c r="AO642" s="8">
        <f t="shared" si="184"/>
        <v>2.4736306402765669</v>
      </c>
      <c r="AP642" s="8">
        <f t="shared" si="185"/>
        <v>0.83495896832643302</v>
      </c>
      <c r="AQ642" s="8"/>
      <c r="AR642" s="8">
        <f t="shared" si="186"/>
        <v>141.72859576209083</v>
      </c>
      <c r="AS642" s="8">
        <f t="shared" si="187"/>
        <v>42.160375048298008</v>
      </c>
    </row>
    <row r="643" spans="1:45">
      <c r="A643" s="19">
        <v>20.387033330000001</v>
      </c>
      <c r="B643" s="19">
        <v>954.63373530000001</v>
      </c>
      <c r="C643" s="19">
        <v>-402.5713389</v>
      </c>
      <c r="E643" s="9">
        <f t="shared" si="173"/>
        <v>-5.3662646999999879</v>
      </c>
      <c r="F643" s="9">
        <f t="shared" si="178"/>
        <v>137.4286611</v>
      </c>
      <c r="I643">
        <v>1</v>
      </c>
      <c r="J643">
        <f t="shared" si="174"/>
        <v>8.9826795190431991E-2</v>
      </c>
      <c r="K643">
        <f t="shared" si="179"/>
        <v>1.6098241380423544</v>
      </c>
      <c r="O643">
        <f t="shared" si="180"/>
        <v>-3.5001418450359757E-3</v>
      </c>
      <c r="P643">
        <f t="shared" si="181"/>
        <v>8.9637733938726358E-2</v>
      </c>
      <c r="Q643">
        <f t="shared" si="182"/>
        <v>0.99596828546967031</v>
      </c>
      <c r="R643">
        <f t="shared" si="172"/>
        <v>1</v>
      </c>
      <c r="AG643" s="8">
        <f t="shared" si="175"/>
        <v>-0.58176623103717973</v>
      </c>
      <c r="AH643" s="8">
        <f t="shared" si="176"/>
        <v>0.45943512486052757</v>
      </c>
      <c r="AI643" s="8">
        <f t="shared" si="177"/>
        <v>0.67116869598424089</v>
      </c>
      <c r="AJ643" s="8"/>
      <c r="AK643" s="8"/>
      <c r="AL643" s="8"/>
      <c r="AN643" s="8">
        <f t="shared" si="183"/>
        <v>1</v>
      </c>
      <c r="AO643" s="8">
        <f t="shared" si="184"/>
        <v>2.4731486572395349</v>
      </c>
      <c r="AP643" s="8">
        <f t="shared" si="185"/>
        <v>0.83501212284981796</v>
      </c>
      <c r="AQ643" s="8"/>
      <c r="AR643" s="8">
        <f t="shared" si="186"/>
        <v>141.700980168272</v>
      </c>
      <c r="AS643" s="8">
        <f t="shared" si="187"/>
        <v>42.157329518446019</v>
      </c>
    </row>
    <row r="644" spans="1:45">
      <c r="A644" s="19">
        <v>20.420400000000001</v>
      </c>
      <c r="B644" s="19">
        <v>953.98595609999995</v>
      </c>
      <c r="C644" s="19">
        <v>-402.29004750000001</v>
      </c>
      <c r="E644" s="9">
        <f t="shared" si="173"/>
        <v>-6.014043900000047</v>
      </c>
      <c r="F644" s="9">
        <f t="shared" si="178"/>
        <v>137.70995249999999</v>
      </c>
      <c r="I644">
        <v>1</v>
      </c>
      <c r="J644">
        <f t="shared" si="174"/>
        <v>9.0028759888275245E-2</v>
      </c>
      <c r="K644">
        <f t="shared" si="179"/>
        <v>1.6144404118926026</v>
      </c>
      <c r="O644">
        <f t="shared" si="180"/>
        <v>-3.9226715686223011E-3</v>
      </c>
      <c r="P644">
        <f t="shared" si="181"/>
        <v>8.9821578353971587E-2</v>
      </c>
      <c r="Q644">
        <f t="shared" si="182"/>
        <v>0.99595014770306955</v>
      </c>
      <c r="R644">
        <f t="shared" si="172"/>
        <v>1</v>
      </c>
      <c r="AG644" s="8">
        <f t="shared" si="175"/>
        <v>-0.58144367139326047</v>
      </c>
      <c r="AH644" s="8">
        <f t="shared" si="176"/>
        <v>0.45975967793411027</v>
      </c>
      <c r="AI644" s="8">
        <f t="shared" si="177"/>
        <v>0.67122596459214057</v>
      </c>
      <c r="AJ644" s="8"/>
      <c r="AK644" s="8"/>
      <c r="AL644" s="8"/>
      <c r="AN644" s="8">
        <f t="shared" si="183"/>
        <v>1.0000000000000002</v>
      </c>
      <c r="AO644" s="8">
        <f t="shared" si="184"/>
        <v>2.4725353490270314</v>
      </c>
      <c r="AP644" s="8">
        <f t="shared" si="185"/>
        <v>0.8349348663385453</v>
      </c>
      <c r="AQ644" s="8"/>
      <c r="AR644" s="8">
        <f t="shared" si="186"/>
        <v>141.66584019615485</v>
      </c>
      <c r="AS644" s="8">
        <f t="shared" si="187"/>
        <v>42.161755990481851</v>
      </c>
    </row>
    <row r="645" spans="1:45">
      <c r="A645" s="19">
        <v>20.45376667</v>
      </c>
      <c r="B645" s="19">
        <v>953.32946939999999</v>
      </c>
      <c r="C645" s="19">
        <v>-402.02413150000001</v>
      </c>
      <c r="E645" s="9">
        <f t="shared" si="173"/>
        <v>-6.6705306000000064</v>
      </c>
      <c r="F645" s="9">
        <f t="shared" si="178"/>
        <v>137.97586849999999</v>
      </c>
      <c r="I645">
        <v>1</v>
      </c>
      <c r="J645">
        <f t="shared" si="174"/>
        <v>9.022284000883049E-2</v>
      </c>
      <c r="K645">
        <f t="shared" si="179"/>
        <v>1.6191043457097734</v>
      </c>
      <c r="O645">
        <f t="shared" si="180"/>
        <v>-4.3508832262302375E-3</v>
      </c>
      <c r="P645">
        <f t="shared" si="181"/>
        <v>8.9995373363732242E-2</v>
      </c>
      <c r="Q645">
        <f t="shared" si="182"/>
        <v>0.9959326797471173</v>
      </c>
      <c r="R645">
        <f t="shared" si="172"/>
        <v>1</v>
      </c>
      <c r="AG645" s="8">
        <f t="shared" si="175"/>
        <v>-0.58112494375507695</v>
      </c>
      <c r="AH645" s="8">
        <f t="shared" si="176"/>
        <v>0.46009118954497735</v>
      </c>
      <c r="AI645" s="8">
        <f t="shared" si="177"/>
        <v>0.67127482974467789</v>
      </c>
      <c r="AJ645" s="8"/>
      <c r="AK645" s="8"/>
      <c r="AL645" s="8"/>
      <c r="AN645" s="8">
        <f t="shared" si="183"/>
        <v>0.99999999999999978</v>
      </c>
      <c r="AO645" s="8">
        <f t="shared" si="184"/>
        <v>2.4719178038459066</v>
      </c>
      <c r="AP645" s="8">
        <f t="shared" si="185"/>
        <v>0.8348689419851314</v>
      </c>
      <c r="AQ645" s="8"/>
      <c r="AR645" s="8">
        <f t="shared" si="186"/>
        <v>141.63045746361774</v>
      </c>
      <c r="AS645" s="8">
        <f t="shared" si="187"/>
        <v>42.165533177699594</v>
      </c>
    </row>
    <row r="646" spans="1:45">
      <c r="A646" s="19">
        <v>20.487133329999999</v>
      </c>
      <c r="B646" s="19">
        <v>952.61319119999996</v>
      </c>
      <c r="C646" s="19">
        <v>-401.6488559</v>
      </c>
      <c r="E646" s="9">
        <f t="shared" si="173"/>
        <v>-7.3868088000000398</v>
      </c>
      <c r="F646" s="9">
        <f t="shared" si="178"/>
        <v>138.3511441</v>
      </c>
      <c r="I646">
        <v>1</v>
      </c>
      <c r="J646">
        <f t="shared" si="174"/>
        <v>9.0492612375814643E-2</v>
      </c>
      <c r="K646">
        <f t="shared" si="179"/>
        <v>1.6241374226762701</v>
      </c>
      <c r="O646">
        <f t="shared" si="180"/>
        <v>-4.8181043017654713E-3</v>
      </c>
      <c r="P646">
        <f t="shared" si="181"/>
        <v>9.0240624955986878E-2</v>
      </c>
      <c r="Q646">
        <f t="shared" si="182"/>
        <v>0.99590833688572478</v>
      </c>
      <c r="R646">
        <f t="shared" si="172"/>
        <v>1</v>
      </c>
      <c r="AG646" s="8">
        <f t="shared" si="175"/>
        <v>-0.58074010505560147</v>
      </c>
      <c r="AH646" s="8">
        <f t="shared" si="176"/>
        <v>0.46044079733963039</v>
      </c>
      <c r="AI646" s="8">
        <f t="shared" si="177"/>
        <v>0.67136815721722642</v>
      </c>
      <c r="AJ646" s="8"/>
      <c r="AK646" s="8"/>
      <c r="AL646" s="8"/>
      <c r="AN646" s="8">
        <f t="shared" si="183"/>
        <v>1</v>
      </c>
      <c r="AO646" s="8">
        <f t="shared" si="184"/>
        <v>2.4712256361093132</v>
      </c>
      <c r="AP646" s="8">
        <f t="shared" si="185"/>
        <v>0.83474302223477492</v>
      </c>
      <c r="AQ646" s="8"/>
      <c r="AR646" s="8">
        <f t="shared" si="186"/>
        <v>141.59079917359583</v>
      </c>
      <c r="AS646" s="8">
        <f t="shared" si="187"/>
        <v>42.172747847952358</v>
      </c>
    </row>
    <row r="647" spans="1:45">
      <c r="A647" s="19">
        <v>20.520499999999998</v>
      </c>
      <c r="B647" s="19">
        <v>952.07411179999997</v>
      </c>
      <c r="C647" s="19">
        <v>-401.64339999999999</v>
      </c>
      <c r="E647" s="9">
        <f t="shared" si="173"/>
        <v>-7.9258882000000312</v>
      </c>
      <c r="F647" s="9">
        <f t="shared" si="178"/>
        <v>138.35660000000001</v>
      </c>
      <c r="I647">
        <v>1</v>
      </c>
      <c r="J647">
        <f t="shared" si="174"/>
        <v>9.0515728838100537E-2</v>
      </c>
      <c r="K647">
        <f t="shared" si="179"/>
        <v>1.6280197274669721</v>
      </c>
      <c r="O647">
        <f t="shared" si="180"/>
        <v>-5.169725392273514E-3</v>
      </c>
      <c r="P647">
        <f t="shared" si="181"/>
        <v>9.0244223758875308E-2</v>
      </c>
      <c r="Q647">
        <f t="shared" si="182"/>
        <v>0.99590624760442514</v>
      </c>
      <c r="R647">
        <f t="shared" si="172"/>
        <v>1</v>
      </c>
      <c r="AG647" s="8">
        <f t="shared" si="175"/>
        <v>-0.58057049359213142</v>
      </c>
      <c r="AH647" s="8">
        <f t="shared" si="176"/>
        <v>0.46074283074541572</v>
      </c>
      <c r="AI647" s="8">
        <f t="shared" si="177"/>
        <v>0.67130763878187039</v>
      </c>
      <c r="AJ647" s="8"/>
      <c r="AK647" s="8"/>
      <c r="AL647" s="8"/>
      <c r="AN647" s="8">
        <f t="shared" si="183"/>
        <v>1</v>
      </c>
      <c r="AO647" s="8">
        <f t="shared" si="184"/>
        <v>2.4707641461129066</v>
      </c>
      <c r="AP647" s="8">
        <f t="shared" si="185"/>
        <v>0.83482467685192518</v>
      </c>
      <c r="AQ647" s="8"/>
      <c r="AR647" s="8">
        <f t="shared" si="186"/>
        <v>141.56435774451421</v>
      </c>
      <c r="AS647" s="8">
        <f t="shared" si="187"/>
        <v>42.168069383011897</v>
      </c>
    </row>
    <row r="648" spans="1:45">
      <c r="A648" s="19">
        <v>20.553866670000001</v>
      </c>
      <c r="B648" s="19">
        <v>951.4885865</v>
      </c>
      <c r="C648" s="19">
        <v>-401.6153516</v>
      </c>
      <c r="E648" s="9">
        <f t="shared" si="173"/>
        <v>-8.5114135000000033</v>
      </c>
      <c r="F648" s="9">
        <f t="shared" si="178"/>
        <v>138.3846484</v>
      </c>
      <c r="I648">
        <v>1</v>
      </c>
      <c r="J648">
        <f t="shared" si="174"/>
        <v>9.055687543684858E-2</v>
      </c>
      <c r="K648">
        <f t="shared" si="179"/>
        <v>1.6322244202865814</v>
      </c>
      <c r="O648">
        <f t="shared" si="180"/>
        <v>-5.5516434374319728E-3</v>
      </c>
      <c r="P648">
        <f t="shared" si="181"/>
        <v>9.0262589772097418E-2</v>
      </c>
      <c r="Q648">
        <f t="shared" si="182"/>
        <v>0.99590252743066054</v>
      </c>
      <c r="R648">
        <f t="shared" si="172"/>
        <v>1</v>
      </c>
      <c r="AG648" s="8">
        <f t="shared" si="175"/>
        <v>-0.58037658189394215</v>
      </c>
      <c r="AH648" s="8">
        <f t="shared" si="176"/>
        <v>0.46106770574974099</v>
      </c>
      <c r="AI648" s="8">
        <f t="shared" si="177"/>
        <v>0.67125225802508437</v>
      </c>
      <c r="AJ648" s="8"/>
      <c r="AK648" s="8"/>
      <c r="AL648" s="8"/>
      <c r="AN648" s="8">
        <f t="shared" si="183"/>
        <v>1</v>
      </c>
      <c r="AO648" s="8">
        <f t="shared" si="184"/>
        <v>2.4702582036967229</v>
      </c>
      <c r="AP648" s="8">
        <f t="shared" si="185"/>
        <v>0.8348993941548859</v>
      </c>
      <c r="AQ648" s="8"/>
      <c r="AR648" s="8">
        <f t="shared" si="186"/>
        <v>141.53536937939023</v>
      </c>
      <c r="AS648" s="8">
        <f t="shared" si="187"/>
        <v>42.163788396895647</v>
      </c>
    </row>
    <row r="649" spans="1:45">
      <c r="A649" s="19">
        <v>20.58723333</v>
      </c>
      <c r="B649" s="19">
        <v>950.73365339999998</v>
      </c>
      <c r="C649" s="19">
        <v>-401.60512549999999</v>
      </c>
      <c r="E649" s="9">
        <f t="shared" si="173"/>
        <v>-9.2663466000000199</v>
      </c>
      <c r="F649" s="9">
        <f t="shared" si="178"/>
        <v>138.39487450000001</v>
      </c>
      <c r="I649">
        <v>1</v>
      </c>
      <c r="J649">
        <f t="shared" si="174"/>
        <v>9.059531854978263E-2</v>
      </c>
      <c r="K649">
        <f t="shared" si="179"/>
        <v>1.637652389821004</v>
      </c>
      <c r="O649">
        <f t="shared" si="180"/>
        <v>-6.0440595487342499E-3</v>
      </c>
      <c r="P649">
        <f t="shared" si="181"/>
        <v>9.0269326070493011E-2</v>
      </c>
      <c r="Q649">
        <f t="shared" si="182"/>
        <v>0.99589905016269109</v>
      </c>
      <c r="R649">
        <f t="shared" si="172"/>
        <v>1</v>
      </c>
      <c r="AG649" s="8">
        <f t="shared" si="175"/>
        <v>-0.58013767449508491</v>
      </c>
      <c r="AH649" s="8">
        <f t="shared" si="176"/>
        <v>0.46149012436883519</v>
      </c>
      <c r="AI649" s="8">
        <f t="shared" si="177"/>
        <v>0.67116849132052669</v>
      </c>
      <c r="AJ649" s="8"/>
      <c r="AK649" s="8"/>
      <c r="AL649" s="8"/>
      <c r="AN649" s="8">
        <f t="shared" si="183"/>
        <v>1</v>
      </c>
      <c r="AO649" s="8">
        <f t="shared" si="184"/>
        <v>2.4696115622073171</v>
      </c>
      <c r="AP649" s="8">
        <f t="shared" si="185"/>
        <v>0.8350123989356204</v>
      </c>
      <c r="AQ649" s="8"/>
      <c r="AR649" s="8">
        <f t="shared" si="186"/>
        <v>141.49831955118924</v>
      </c>
      <c r="AS649" s="8">
        <f t="shared" si="187"/>
        <v>42.157313699894758</v>
      </c>
    </row>
    <row r="650" spans="1:45">
      <c r="A650" s="19">
        <v>20.6206</v>
      </c>
      <c r="B650" s="19">
        <v>950.30017899999996</v>
      </c>
      <c r="C650" s="19">
        <v>-401.58618519999999</v>
      </c>
      <c r="E650" s="9">
        <f t="shared" si="173"/>
        <v>-9.6998210000000427</v>
      </c>
      <c r="F650" s="9">
        <f t="shared" si="178"/>
        <v>138.41381480000001</v>
      </c>
      <c r="I650">
        <v>1</v>
      </c>
      <c r="J650">
        <f t="shared" si="174"/>
        <v>9.0627156072503962E-2</v>
      </c>
      <c r="K650">
        <f t="shared" si="179"/>
        <v>1.6407603624025475</v>
      </c>
      <c r="O650">
        <f t="shared" si="180"/>
        <v>-6.326801030424576E-3</v>
      </c>
      <c r="P650">
        <f t="shared" si="181"/>
        <v>9.0281734694035443E-2</v>
      </c>
      <c r="Q650">
        <f t="shared" si="182"/>
        <v>0.99589616927135394</v>
      </c>
      <c r="R650">
        <f t="shared" si="172"/>
        <v>1</v>
      </c>
      <c r="AG650" s="8">
        <f t="shared" si="175"/>
        <v>-0.57999475630795483</v>
      </c>
      <c r="AH650" s="8">
        <f t="shared" si="176"/>
        <v>0.46173078075971852</v>
      </c>
      <c r="AI650" s="8">
        <f t="shared" si="177"/>
        <v>0.67112649236511057</v>
      </c>
      <c r="AJ650" s="8"/>
      <c r="AK650" s="8"/>
      <c r="AL650" s="8"/>
      <c r="AN650" s="8">
        <f t="shared" si="183"/>
        <v>1</v>
      </c>
      <c r="AO650" s="8">
        <f t="shared" si="184"/>
        <v>2.4692375015305021</v>
      </c>
      <c r="AP650" s="8">
        <f t="shared" si="185"/>
        <v>0.83506905292790656</v>
      </c>
      <c r="AQ650" s="8"/>
      <c r="AR650" s="8">
        <f t="shared" si="186"/>
        <v>141.47688745312593</v>
      </c>
      <c r="AS650" s="8">
        <f t="shared" si="187"/>
        <v>42.154067665244192</v>
      </c>
    </row>
    <row r="651" spans="1:45">
      <c r="A651" s="19">
        <v>20.653966669999999</v>
      </c>
      <c r="B651" s="19">
        <v>949.55707180000002</v>
      </c>
      <c r="C651" s="19">
        <v>-401.47784100000001</v>
      </c>
      <c r="E651" s="9">
        <f t="shared" si="173"/>
        <v>-10.442928199999983</v>
      </c>
      <c r="F651" s="9">
        <f t="shared" si="178"/>
        <v>138.52215899999999</v>
      </c>
      <c r="I651">
        <v>1</v>
      </c>
      <c r="J651">
        <f t="shared" si="174"/>
        <v>9.0733417555242793E-2</v>
      </c>
      <c r="K651">
        <f t="shared" si="179"/>
        <v>1.6460421342788234</v>
      </c>
      <c r="O651">
        <f t="shared" si="180"/>
        <v>-6.811513458421915E-3</v>
      </c>
      <c r="P651">
        <f t="shared" si="181"/>
        <v>9.0352584279777354E-2</v>
      </c>
      <c r="Q651">
        <f t="shared" si="182"/>
        <v>0.99588654664995424</v>
      </c>
      <c r="R651">
        <f t="shared" si="172"/>
        <v>1</v>
      </c>
      <c r="AG651" s="8">
        <f t="shared" si="175"/>
        <v>-0.57971671860670582</v>
      </c>
      <c r="AH651" s="8">
        <f t="shared" si="176"/>
        <v>0.46213256929447916</v>
      </c>
      <c r="AI651" s="8">
        <f t="shared" si="177"/>
        <v>0.67109016872932725</v>
      </c>
      <c r="AJ651" s="8"/>
      <c r="AK651" s="8"/>
      <c r="AL651" s="8"/>
      <c r="AN651" s="8">
        <f t="shared" si="183"/>
        <v>1</v>
      </c>
      <c r="AO651" s="8">
        <f t="shared" si="184"/>
        <v>2.4685799234991332</v>
      </c>
      <c r="AP651" s="8">
        <f t="shared" si="185"/>
        <v>0.83511804892201635</v>
      </c>
      <c r="AQ651" s="8"/>
      <c r="AR651" s="8">
        <f t="shared" si="186"/>
        <v>141.43921100722795</v>
      </c>
      <c r="AS651" s="8">
        <f t="shared" si="187"/>
        <v>42.151260401568656</v>
      </c>
    </row>
    <row r="652" spans="1:45">
      <c r="A652" s="19">
        <v>20.687333330000001</v>
      </c>
      <c r="B652" s="19">
        <v>948.9909179</v>
      </c>
      <c r="C652" s="19">
        <v>-401.28576980000003</v>
      </c>
      <c r="E652" s="9">
        <f t="shared" si="173"/>
        <v>-11.009082100000001</v>
      </c>
      <c r="F652" s="9">
        <f t="shared" si="178"/>
        <v>138.71423019999997</v>
      </c>
      <c r="I652">
        <v>1</v>
      </c>
      <c r="J652">
        <f t="shared" si="174"/>
        <v>9.0887709218303928E-2</v>
      </c>
      <c r="K652">
        <f t="shared" si="179"/>
        <v>1.6499955138997964</v>
      </c>
      <c r="O652">
        <f t="shared" si="180"/>
        <v>-7.1808140693461683E-3</v>
      </c>
      <c r="P652">
        <f t="shared" si="181"/>
        <v>9.0478124042574243E-2</v>
      </c>
      <c r="Q652">
        <f t="shared" si="182"/>
        <v>0.9958725545866991</v>
      </c>
      <c r="R652">
        <f t="shared" si="172"/>
        <v>1</v>
      </c>
      <c r="AG652" s="8">
        <f t="shared" si="175"/>
        <v>-0.57945727309880768</v>
      </c>
      <c r="AH652" s="8">
        <f t="shared" si="176"/>
        <v>0.46242318359355861</v>
      </c>
      <c r="AI652" s="8">
        <f t="shared" si="177"/>
        <v>0.67111404986640821</v>
      </c>
      <c r="AJ652" s="8"/>
      <c r="AK652" s="8"/>
      <c r="AL652" s="8"/>
      <c r="AN652" s="8">
        <f t="shared" si="183"/>
        <v>1</v>
      </c>
      <c r="AO652" s="8">
        <f t="shared" si="184"/>
        <v>2.4680552497742938</v>
      </c>
      <c r="AP652" s="8">
        <f t="shared" si="185"/>
        <v>0.83508583653088486</v>
      </c>
      <c r="AQ652" s="8"/>
      <c r="AR652" s="8">
        <f t="shared" si="186"/>
        <v>141.40914941717327</v>
      </c>
      <c r="AS652" s="8">
        <f t="shared" si="187"/>
        <v>42.153106035628511</v>
      </c>
    </row>
    <row r="653" spans="1:45">
      <c r="A653" s="19">
        <v>20.720700000000001</v>
      </c>
      <c r="B653" s="19">
        <v>948.21340599999996</v>
      </c>
      <c r="C653" s="19">
        <v>-400.950761</v>
      </c>
      <c r="E653" s="9">
        <f t="shared" si="173"/>
        <v>-11.786594000000036</v>
      </c>
      <c r="F653" s="9">
        <f t="shared" si="178"/>
        <v>139.049239</v>
      </c>
      <c r="I653">
        <v>1</v>
      </c>
      <c r="J653">
        <f t="shared" si="174"/>
        <v>9.1148480221365111E-2</v>
      </c>
      <c r="K653">
        <f t="shared" si="179"/>
        <v>1.6553597911535214</v>
      </c>
      <c r="O653">
        <f t="shared" si="180"/>
        <v>-7.6879924263081626E-3</v>
      </c>
      <c r="P653">
        <f t="shared" si="181"/>
        <v>9.0697066202154175E-2</v>
      </c>
      <c r="Q653">
        <f t="shared" si="182"/>
        <v>0.99584885246445665</v>
      </c>
      <c r="R653">
        <f t="shared" si="172"/>
        <v>1</v>
      </c>
      <c r="AG653" s="8">
        <f t="shared" si="175"/>
        <v>-0.57906990623268206</v>
      </c>
      <c r="AH653" s="8">
        <f t="shared" si="176"/>
        <v>0.46281214129280079</v>
      </c>
      <c r="AI653" s="8">
        <f t="shared" si="177"/>
        <v>0.6711802779936592</v>
      </c>
      <c r="AJ653" s="8"/>
      <c r="AK653" s="8"/>
      <c r="AL653" s="8"/>
      <c r="AN653" s="8">
        <f t="shared" si="183"/>
        <v>1.0000000000000002</v>
      </c>
      <c r="AO653" s="8">
        <f t="shared" si="184"/>
        <v>2.4673191868634397</v>
      </c>
      <c r="AP653" s="8">
        <f t="shared" si="185"/>
        <v>0.83499649892062178</v>
      </c>
      <c r="AQ653" s="8"/>
      <c r="AR653" s="8">
        <f t="shared" si="186"/>
        <v>141.36697611892521</v>
      </c>
      <c r="AS653" s="8">
        <f t="shared" si="187"/>
        <v>42.158224703648372</v>
      </c>
    </row>
    <row r="654" spans="1:45">
      <c r="A654" s="19">
        <v>20.75406667</v>
      </c>
      <c r="B654" s="19">
        <v>947.57947990000002</v>
      </c>
      <c r="C654" s="19">
        <v>-400.68855309999998</v>
      </c>
      <c r="E654" s="9">
        <f t="shared" si="173"/>
        <v>-12.420520099999976</v>
      </c>
      <c r="F654" s="9">
        <f t="shared" si="178"/>
        <v>139.31144690000002</v>
      </c>
      <c r="I654">
        <v>1</v>
      </c>
      <c r="J654">
        <f t="shared" si="174"/>
        <v>9.1355884887535904E-2</v>
      </c>
      <c r="K654">
        <f t="shared" si="179"/>
        <v>1.6597177090985624</v>
      </c>
      <c r="O654">
        <f t="shared" si="180"/>
        <v>-8.101510327889503E-3</v>
      </c>
      <c r="P654">
        <f t="shared" si="181"/>
        <v>9.0868427148520572E-2</v>
      </c>
      <c r="Q654">
        <f t="shared" si="182"/>
        <v>0.99582995259128504</v>
      </c>
      <c r="R654">
        <f t="shared" si="172"/>
        <v>1</v>
      </c>
      <c r="AG654" s="8">
        <f t="shared" si="175"/>
        <v>-0.57875867692463356</v>
      </c>
      <c r="AH654" s="8">
        <f t="shared" si="176"/>
        <v>0.46313070570787629</v>
      </c>
      <c r="AI654" s="8">
        <f t="shared" si="177"/>
        <v>0.67122897979376006</v>
      </c>
      <c r="AJ654" s="8"/>
      <c r="AK654" s="8"/>
      <c r="AL654" s="8"/>
      <c r="AN654" s="8">
        <f t="shared" si="183"/>
        <v>0.99999999999999978</v>
      </c>
      <c r="AO654" s="8">
        <f t="shared" si="184"/>
        <v>2.4667213321815646</v>
      </c>
      <c r="AP654" s="8">
        <f t="shared" si="185"/>
        <v>0.83493079862076036</v>
      </c>
      <c r="AQ654" s="8"/>
      <c r="AR654" s="8">
        <f t="shared" si="186"/>
        <v>141.33272156889163</v>
      </c>
      <c r="AS654" s="8">
        <f t="shared" si="187"/>
        <v>42.161989053543174</v>
      </c>
    </row>
    <row r="655" spans="1:45">
      <c r="A655" s="19">
        <v>20.787433329999999</v>
      </c>
      <c r="B655" s="19">
        <v>946.91441829999997</v>
      </c>
      <c r="C655" s="19">
        <v>-400.67758550000002</v>
      </c>
      <c r="E655" s="9">
        <f t="shared" si="173"/>
        <v>-13.085581700000034</v>
      </c>
      <c r="F655" s="9">
        <f t="shared" si="178"/>
        <v>139.32241449999998</v>
      </c>
      <c r="I655">
        <v>1</v>
      </c>
      <c r="J655">
        <f t="shared" si="174"/>
        <v>9.1402823350682602E-2</v>
      </c>
      <c r="K655">
        <f t="shared" si="179"/>
        <v>1.6644446161689987</v>
      </c>
      <c r="O655">
        <f t="shared" si="180"/>
        <v>-8.5353158022507952E-3</v>
      </c>
      <c r="P655">
        <f t="shared" si="181"/>
        <v>9.0875654850680776E-2</v>
      </c>
      <c r="Q655">
        <f t="shared" si="182"/>
        <v>0.99582566935162697</v>
      </c>
      <c r="R655">
        <f t="shared" si="172"/>
        <v>1</v>
      </c>
      <c r="AG655" s="8">
        <f t="shared" si="175"/>
        <v>-0.57854664148752688</v>
      </c>
      <c r="AH655" s="8">
        <f t="shared" si="176"/>
        <v>0.4635020440888829</v>
      </c>
      <c r="AI655" s="8">
        <f t="shared" si="177"/>
        <v>0.67115545050973879</v>
      </c>
      <c r="AJ655" s="8"/>
      <c r="AK655" s="8"/>
      <c r="AL655" s="8"/>
      <c r="AN655" s="8">
        <f t="shared" si="183"/>
        <v>1.0000000000000002</v>
      </c>
      <c r="AO655" s="8">
        <f t="shared" si="184"/>
        <v>2.4661515143926946</v>
      </c>
      <c r="AP655" s="8">
        <f t="shared" si="185"/>
        <v>0.83502999049356985</v>
      </c>
      <c r="AQ655" s="8"/>
      <c r="AR655" s="8">
        <f t="shared" si="186"/>
        <v>141.30007341449789</v>
      </c>
      <c r="AS655" s="8">
        <f t="shared" si="187"/>
        <v>42.156305777869193</v>
      </c>
    </row>
    <row r="656" spans="1:45">
      <c r="A656" s="19">
        <v>20.820799999999998</v>
      </c>
      <c r="B656" s="19">
        <v>946.32996219999995</v>
      </c>
      <c r="C656" s="19">
        <v>-400.61740709999998</v>
      </c>
      <c r="E656" s="9">
        <f t="shared" si="173"/>
        <v>-13.670037800000046</v>
      </c>
      <c r="F656" s="9">
        <f t="shared" si="178"/>
        <v>139.38259290000002</v>
      </c>
      <c r="I656">
        <v>1</v>
      </c>
      <c r="J656">
        <f t="shared" si="174"/>
        <v>9.1478762319558191E-2</v>
      </c>
      <c r="K656">
        <f t="shared" si="179"/>
        <v>1.6685593172334467</v>
      </c>
      <c r="O656">
        <f t="shared" si="180"/>
        <v>-8.9165498799398443E-3</v>
      </c>
      <c r="P656">
        <f t="shared" si="181"/>
        <v>9.0915025998552626E-2</v>
      </c>
      <c r="Q656">
        <f t="shared" si="182"/>
        <v>0.99581873510489904</v>
      </c>
      <c r="R656">
        <f t="shared" si="172"/>
        <v>1</v>
      </c>
      <c r="AG656" s="8">
        <f t="shared" si="175"/>
        <v>-0.5783382717774439</v>
      </c>
      <c r="AH656" s="8">
        <f t="shared" si="176"/>
        <v>0.46382118017429885</v>
      </c>
      <c r="AI656" s="8">
        <f t="shared" si="177"/>
        <v>0.67111456266363345</v>
      </c>
      <c r="AJ656" s="8"/>
      <c r="AK656" s="8"/>
      <c r="AL656" s="8"/>
      <c r="AN656" s="8">
        <f t="shared" si="183"/>
        <v>1</v>
      </c>
      <c r="AO656" s="8">
        <f t="shared" si="184"/>
        <v>2.4656398217655915</v>
      </c>
      <c r="AP656" s="8">
        <f t="shared" si="185"/>
        <v>0.83508514482718821</v>
      </c>
      <c r="AQ656" s="8"/>
      <c r="AR656" s="8">
        <f t="shared" si="186"/>
        <v>141.27075558655693</v>
      </c>
      <c r="AS656" s="8">
        <f t="shared" si="187"/>
        <v>42.153145667331003</v>
      </c>
    </row>
    <row r="657" spans="1:45">
      <c r="A657" s="19">
        <v>20.854166670000001</v>
      </c>
      <c r="B657" s="19">
        <v>945.64558199999999</v>
      </c>
      <c r="C657" s="19">
        <v>-400.62363599999998</v>
      </c>
      <c r="E657" s="9">
        <f t="shared" si="173"/>
        <v>-14.35441800000001</v>
      </c>
      <c r="F657" s="9">
        <f t="shared" si="178"/>
        <v>139.37636400000002</v>
      </c>
      <c r="I657">
        <v>1</v>
      </c>
      <c r="J657">
        <f t="shared" si="174"/>
        <v>9.1519607052164248E-2</v>
      </c>
      <c r="K657">
        <f t="shared" si="179"/>
        <v>1.6734248190561591</v>
      </c>
      <c r="O657">
        <f t="shared" si="180"/>
        <v>-9.3629567928325812E-3</v>
      </c>
      <c r="P657">
        <f t="shared" si="181"/>
        <v>9.0911026422255972E-2</v>
      </c>
      <c r="Q657">
        <f t="shared" si="182"/>
        <v>0.99581500305777049</v>
      </c>
      <c r="R657">
        <f t="shared" si="172"/>
        <v>1</v>
      </c>
      <c r="AG657" s="8">
        <f t="shared" si="175"/>
        <v>-0.57812743731255123</v>
      </c>
      <c r="AH657" s="8">
        <f t="shared" si="176"/>
        <v>0.4642055995702562</v>
      </c>
      <c r="AI657" s="8">
        <f t="shared" si="177"/>
        <v>0.671030422226922</v>
      </c>
      <c r="AJ657" s="8"/>
      <c r="AK657" s="8"/>
      <c r="AL657" s="8"/>
      <c r="AN657" s="8">
        <f t="shared" si="183"/>
        <v>1</v>
      </c>
      <c r="AO657" s="8">
        <f t="shared" si="184"/>
        <v>2.4650574381749517</v>
      </c>
      <c r="AP657" s="8">
        <f t="shared" si="185"/>
        <v>0.83519863467675182</v>
      </c>
      <c r="AQ657" s="8"/>
      <c r="AR657" s="8">
        <f t="shared" si="186"/>
        <v>141.23738746475559</v>
      </c>
      <c r="AS657" s="8">
        <f t="shared" si="187"/>
        <v>42.146643177933434</v>
      </c>
    </row>
    <row r="658" spans="1:45">
      <c r="A658" s="19">
        <v>20.88753333</v>
      </c>
      <c r="B658" s="19">
        <v>945.28841869999997</v>
      </c>
      <c r="C658" s="19">
        <v>-400.58600430000001</v>
      </c>
      <c r="E658" s="9">
        <f t="shared" si="173"/>
        <v>-14.711581300000034</v>
      </c>
      <c r="F658" s="9">
        <f t="shared" si="178"/>
        <v>139.41399569999999</v>
      </c>
      <c r="I658">
        <v>1</v>
      </c>
      <c r="J658">
        <f t="shared" si="174"/>
        <v>9.1568458661601862E-2</v>
      </c>
      <c r="K658">
        <f t="shared" si="179"/>
        <v>1.6759316593219515</v>
      </c>
      <c r="O658">
        <f t="shared" si="180"/>
        <v>-9.5959316637107481E-3</v>
      </c>
      <c r="P658">
        <f t="shared" si="181"/>
        <v>9.0935647801644745E-2</v>
      </c>
      <c r="Q658">
        <f t="shared" si="182"/>
        <v>0.99581053722804147</v>
      </c>
      <c r="R658">
        <f t="shared" si="172"/>
        <v>1</v>
      </c>
      <c r="AG658" s="8">
        <f t="shared" si="175"/>
        <v>-0.5779996148952522</v>
      </c>
      <c r="AH658" s="8">
        <f t="shared" si="176"/>
        <v>0.46440042086957528</v>
      </c>
      <c r="AI658" s="8">
        <f t="shared" si="177"/>
        <v>0.67100573341596825</v>
      </c>
      <c r="AJ658" s="8"/>
      <c r="AK658" s="8"/>
      <c r="AL658" s="8"/>
      <c r="AN658" s="8">
        <f t="shared" si="183"/>
        <v>0.99999999999999989</v>
      </c>
      <c r="AO658" s="8">
        <f t="shared" si="184"/>
        <v>2.4647446192624356</v>
      </c>
      <c r="AP658" s="8">
        <f t="shared" si="185"/>
        <v>0.83523193309340915</v>
      </c>
      <c r="AQ658" s="8"/>
      <c r="AR658" s="8">
        <f t="shared" si="186"/>
        <v>141.21946426131655</v>
      </c>
      <c r="AS658" s="8">
        <f t="shared" si="187"/>
        <v>42.144735319194503</v>
      </c>
    </row>
    <row r="659" spans="1:45">
      <c r="A659" s="19">
        <v>20.9209</v>
      </c>
      <c r="B659" s="19">
        <v>944.72061729999996</v>
      </c>
      <c r="C659" s="19">
        <v>-400.3898883</v>
      </c>
      <c r="E659" s="9">
        <f t="shared" si="173"/>
        <v>-15.279382700000042</v>
      </c>
      <c r="F659" s="9">
        <f t="shared" si="178"/>
        <v>139.6101117</v>
      </c>
      <c r="I659">
        <v>1</v>
      </c>
      <c r="J659">
        <f t="shared" si="174"/>
        <v>9.1736187675159564E-2</v>
      </c>
      <c r="K659">
        <f t="shared" si="179"/>
        <v>1.6798057147412326</v>
      </c>
      <c r="O659">
        <f t="shared" si="180"/>
        <v>-9.9663197706686881E-3</v>
      </c>
      <c r="P659">
        <f t="shared" si="181"/>
        <v>9.1063823960700369E-2</v>
      </c>
      <c r="Q659">
        <f t="shared" si="182"/>
        <v>0.99579518598750183</v>
      </c>
      <c r="R659">
        <f t="shared" si="172"/>
        <v>1</v>
      </c>
      <c r="AG659" s="8">
        <f t="shared" si="175"/>
        <v>-0.57773718850914113</v>
      </c>
      <c r="AH659" s="8">
        <f t="shared" si="176"/>
        <v>0.46469087527252578</v>
      </c>
      <c r="AI659" s="8">
        <f t="shared" si="177"/>
        <v>0.67103064866815665</v>
      </c>
      <c r="AJ659" s="8"/>
      <c r="AK659" s="8"/>
      <c r="AL659" s="8"/>
      <c r="AN659" s="8">
        <f t="shared" si="183"/>
        <v>1</v>
      </c>
      <c r="AO659" s="8">
        <f t="shared" si="184"/>
        <v>2.4642175404183204</v>
      </c>
      <c r="AP659" s="8">
        <f t="shared" si="185"/>
        <v>0.83519832926515247</v>
      </c>
      <c r="AQ659" s="8"/>
      <c r="AR659" s="8">
        <f t="shared" si="186"/>
        <v>141.18926486807811</v>
      </c>
      <c r="AS659" s="8">
        <f t="shared" si="187"/>
        <v>42.146660676729091</v>
      </c>
    </row>
    <row r="660" spans="1:45">
      <c r="A660" s="19">
        <v>20.954266669999999</v>
      </c>
      <c r="B660" s="19">
        <v>944.33861009999998</v>
      </c>
      <c r="C660" s="19">
        <v>-399.9106286</v>
      </c>
      <c r="E660" s="9">
        <f t="shared" si="173"/>
        <v>-15.661389900000017</v>
      </c>
      <c r="F660" s="9">
        <f t="shared" si="178"/>
        <v>140.0893714</v>
      </c>
      <c r="I660">
        <v>1</v>
      </c>
      <c r="J660">
        <f t="shared" si="174"/>
        <v>9.2076237541298692E-2</v>
      </c>
      <c r="K660">
        <f t="shared" si="179"/>
        <v>1.6821297412628782</v>
      </c>
      <c r="O660">
        <f t="shared" si="180"/>
        <v>-1.0215548707592597E-2</v>
      </c>
      <c r="P660">
        <f t="shared" si="181"/>
        <v>9.1376934364729046E-2</v>
      </c>
      <c r="Q660">
        <f t="shared" si="182"/>
        <v>0.99576397727107346</v>
      </c>
      <c r="R660">
        <f t="shared" si="172"/>
        <v>1</v>
      </c>
      <c r="AG660" s="8">
        <f t="shared" si="175"/>
        <v>-0.57740982257063755</v>
      </c>
      <c r="AH660" s="8">
        <f t="shared" si="176"/>
        <v>0.46483726931660813</v>
      </c>
      <c r="AI660" s="8">
        <f t="shared" si="177"/>
        <v>0.67121100248224785</v>
      </c>
      <c r="AJ660" s="8"/>
      <c r="AK660" s="8"/>
      <c r="AL660" s="8"/>
      <c r="AN660" s="8">
        <f t="shared" si="183"/>
        <v>1</v>
      </c>
      <c r="AO660" s="8">
        <f t="shared" si="184"/>
        <v>2.4637868587834224</v>
      </c>
      <c r="AP660" s="8">
        <f t="shared" si="185"/>
        <v>0.83495505104918732</v>
      </c>
      <c r="AQ660" s="8"/>
      <c r="AR660" s="8">
        <f t="shared" si="186"/>
        <v>141.16458862808466</v>
      </c>
      <c r="AS660" s="8">
        <f t="shared" si="187"/>
        <v>42.16059949175137</v>
      </c>
    </row>
    <row r="661" spans="1:45">
      <c r="A661" s="19">
        <v>20.987633330000001</v>
      </c>
      <c r="B661" s="19">
        <v>943.43420289999995</v>
      </c>
      <c r="C661" s="19">
        <v>-399.66545100000002</v>
      </c>
      <c r="E661" s="9">
        <f t="shared" si="173"/>
        <v>-16.565797100000054</v>
      </c>
      <c r="F661" s="9">
        <f t="shared" si="178"/>
        <v>140.33454899999998</v>
      </c>
      <c r="I661">
        <v>1</v>
      </c>
      <c r="J661">
        <f t="shared" si="174"/>
        <v>9.2303759085233639E-2</v>
      </c>
      <c r="K661">
        <f t="shared" si="179"/>
        <v>1.6882975987397142</v>
      </c>
      <c r="O661">
        <f t="shared" si="180"/>
        <v>-1.0805510061035858E-2</v>
      </c>
      <c r="P661">
        <f t="shared" si="181"/>
        <v>9.1537181819667787E-2</v>
      </c>
      <c r="Q661">
        <f t="shared" si="182"/>
        <v>0.99574303175911505</v>
      </c>
      <c r="R661">
        <f t="shared" si="172"/>
        <v>1</v>
      </c>
      <c r="AG661" s="8">
        <f t="shared" si="175"/>
        <v>-0.57702066917215078</v>
      </c>
      <c r="AH661" s="8">
        <f t="shared" si="176"/>
        <v>0.4653091514704924</v>
      </c>
      <c r="AI661" s="8">
        <f t="shared" si="177"/>
        <v>0.67121869826900216</v>
      </c>
      <c r="AJ661" s="8"/>
      <c r="AK661" s="8"/>
      <c r="AL661" s="8"/>
      <c r="AN661" s="8">
        <f t="shared" si="183"/>
        <v>1</v>
      </c>
      <c r="AO661" s="8">
        <f t="shared" si="184"/>
        <v>2.4629617692791035</v>
      </c>
      <c r="AP661" s="8">
        <f t="shared" si="185"/>
        <v>0.83494466905490361</v>
      </c>
      <c r="AQ661" s="8"/>
      <c r="AR661" s="8">
        <f t="shared" si="186"/>
        <v>141.11731448176664</v>
      </c>
      <c r="AS661" s="8">
        <f t="shared" si="187"/>
        <v>42.161194336206755</v>
      </c>
    </row>
    <row r="662" spans="1:45">
      <c r="A662" s="19">
        <v>21.021000000000001</v>
      </c>
      <c r="B662" s="19">
        <v>942.7823525</v>
      </c>
      <c r="C662" s="19">
        <v>-399.51658049999998</v>
      </c>
      <c r="E662" s="9">
        <f t="shared" si="173"/>
        <v>-17.217647499999998</v>
      </c>
      <c r="F662" s="9">
        <f t="shared" si="178"/>
        <v>140.48341950000002</v>
      </c>
      <c r="I662">
        <v>1</v>
      </c>
      <c r="J662">
        <f t="shared" si="174"/>
        <v>9.2451792278488001E-2</v>
      </c>
      <c r="K662">
        <f t="shared" si="179"/>
        <v>1.6927481399725932</v>
      </c>
      <c r="O662">
        <f t="shared" si="180"/>
        <v>-1.123072312270406E-2</v>
      </c>
      <c r="P662">
        <f t="shared" si="181"/>
        <v>9.1634492327432426E-2</v>
      </c>
      <c r="Q662">
        <f t="shared" si="182"/>
        <v>0.99572937622329638</v>
      </c>
      <c r="R662">
        <f t="shared" si="172"/>
        <v>1</v>
      </c>
      <c r="AG662" s="8">
        <f t="shared" si="175"/>
        <v>-0.57675212689852029</v>
      </c>
      <c r="AH662" s="8">
        <f t="shared" si="176"/>
        <v>0.46565308107949294</v>
      </c>
      <c r="AI662" s="8">
        <f t="shared" si="177"/>
        <v>0.6712109893313789</v>
      </c>
      <c r="AJ662" s="8"/>
      <c r="AK662" s="8"/>
      <c r="AL662" s="8"/>
      <c r="AN662" s="8">
        <f t="shared" si="183"/>
        <v>1.0000000000000002</v>
      </c>
      <c r="AO662" s="8">
        <f t="shared" si="184"/>
        <v>2.4623731851590223</v>
      </c>
      <c r="AP662" s="8">
        <f t="shared" si="185"/>
        <v>0.83495506879027204</v>
      </c>
      <c r="AQ662" s="8"/>
      <c r="AR662" s="8">
        <f t="shared" si="186"/>
        <v>141.08359109579757</v>
      </c>
      <c r="AS662" s="8">
        <f t="shared" si="187"/>
        <v>42.160598475262091</v>
      </c>
    </row>
    <row r="663" spans="1:45">
      <c r="A663" s="19">
        <v>21.05436667</v>
      </c>
      <c r="B663" s="19">
        <v>942.29026469999997</v>
      </c>
      <c r="C663" s="19">
        <v>-399.4633336</v>
      </c>
      <c r="E663" s="9">
        <f t="shared" si="173"/>
        <v>-17.709735300000034</v>
      </c>
      <c r="F663" s="9">
        <f t="shared" si="178"/>
        <v>140.5366664</v>
      </c>
      <c r="I663">
        <v>1</v>
      </c>
      <c r="J663">
        <f t="shared" si="174"/>
        <v>9.252626894594132E-2</v>
      </c>
      <c r="K663">
        <f t="shared" si="179"/>
        <v>1.6961506318107769</v>
      </c>
      <c r="O663">
        <f t="shared" si="180"/>
        <v>-1.1551714866200616E-2</v>
      </c>
      <c r="P663">
        <f t="shared" si="181"/>
        <v>9.1669325994903753E-2</v>
      </c>
      <c r="Q663">
        <f t="shared" si="182"/>
        <v>0.99572249776495969</v>
      </c>
      <c r="R663">
        <f t="shared" si="172"/>
        <v>1</v>
      </c>
      <c r="AG663" s="8">
        <f t="shared" si="175"/>
        <v>-0.57657499776342547</v>
      </c>
      <c r="AH663" s="8">
        <f t="shared" si="176"/>
        <v>0.46592100414254373</v>
      </c>
      <c r="AI663" s="8">
        <f t="shared" si="177"/>
        <v>0.67117724175727966</v>
      </c>
      <c r="AJ663" s="8"/>
      <c r="AK663" s="8"/>
      <c r="AL663" s="8"/>
      <c r="AN663" s="8">
        <f t="shared" si="183"/>
        <v>1</v>
      </c>
      <c r="AO663" s="8">
        <f t="shared" si="184"/>
        <v>2.4619418719721611</v>
      </c>
      <c r="AP663" s="8">
        <f t="shared" si="185"/>
        <v>0.83500059477204713</v>
      </c>
      <c r="AQ663" s="8"/>
      <c r="AR663" s="8">
        <f t="shared" si="186"/>
        <v>141.0588786705421</v>
      </c>
      <c r="AS663" s="8">
        <f t="shared" si="187"/>
        <v>42.157990028648186</v>
      </c>
    </row>
    <row r="664" spans="1:45">
      <c r="A664" s="19">
        <v>21.087733329999999</v>
      </c>
      <c r="B664" s="19">
        <v>941.49558690000003</v>
      </c>
      <c r="C664" s="19">
        <v>-399.48444669999998</v>
      </c>
      <c r="E664" s="9">
        <f t="shared" si="173"/>
        <v>-18.504413099999965</v>
      </c>
      <c r="F664" s="9">
        <f t="shared" si="178"/>
        <v>140.51555330000002</v>
      </c>
      <c r="I664">
        <v>1</v>
      </c>
      <c r="J664">
        <f t="shared" si="174"/>
        <v>9.2579151716882732E-2</v>
      </c>
      <c r="K664">
        <f t="shared" si="179"/>
        <v>1.7017323235714439</v>
      </c>
      <c r="O664">
        <f t="shared" si="180"/>
        <v>-1.2070077122191195E-2</v>
      </c>
      <c r="P664">
        <f t="shared" si="181"/>
        <v>9.1655625932733464E-2</v>
      </c>
      <c r="Q664">
        <f t="shared" si="182"/>
        <v>0.99571761030582517</v>
      </c>
      <c r="R664">
        <f t="shared" si="172"/>
        <v>1</v>
      </c>
      <c r="AG664" s="8">
        <f t="shared" si="175"/>
        <v>-0.57633530996911209</v>
      </c>
      <c r="AH664" s="8">
        <f t="shared" si="176"/>
        <v>0.46636868786199898</v>
      </c>
      <c r="AI664" s="8">
        <f t="shared" si="177"/>
        <v>0.67107217008655984</v>
      </c>
      <c r="AJ664" s="8"/>
      <c r="AK664" s="8"/>
      <c r="AL664" s="8"/>
      <c r="AN664" s="8">
        <f t="shared" si="183"/>
        <v>0.99999999999999989</v>
      </c>
      <c r="AO664" s="8">
        <f t="shared" si="184"/>
        <v>2.4612690108320443</v>
      </c>
      <c r="AP664" s="8">
        <f t="shared" si="185"/>
        <v>0.8351423260113181</v>
      </c>
      <c r="AQ664" s="8"/>
      <c r="AR664" s="8">
        <f t="shared" si="186"/>
        <v>141.02032656701505</v>
      </c>
      <c r="AS664" s="8">
        <f t="shared" si="187"/>
        <v>42.149869426812799</v>
      </c>
    </row>
    <row r="665" spans="1:45">
      <c r="A665" s="19">
        <v>21.121099999999998</v>
      </c>
      <c r="B665" s="19">
        <v>940.81950959999995</v>
      </c>
      <c r="C665" s="19">
        <v>-399.48417860000001</v>
      </c>
      <c r="E665" s="9">
        <f t="shared" si="173"/>
        <v>-19.180490400000053</v>
      </c>
      <c r="F665" s="9">
        <f t="shared" si="178"/>
        <v>140.51582139999999</v>
      </c>
      <c r="I665">
        <v>1</v>
      </c>
      <c r="J665">
        <f t="shared" si="174"/>
        <v>9.2638268598134413E-2</v>
      </c>
      <c r="K665">
        <f t="shared" si="179"/>
        <v>1.7064584769337792</v>
      </c>
      <c r="O665">
        <f t="shared" si="180"/>
        <v>-1.2511080337450168E-2</v>
      </c>
      <c r="P665">
        <f t="shared" si="181"/>
        <v>9.1655880196795991E-2</v>
      </c>
      <c r="Q665">
        <f t="shared" si="182"/>
        <v>0.99571214338991587</v>
      </c>
      <c r="R665">
        <f t="shared" si="172"/>
        <v>1</v>
      </c>
      <c r="AG665" s="8">
        <f t="shared" si="175"/>
        <v>-0.5761233405804852</v>
      </c>
      <c r="AH665" s="8">
        <f t="shared" si="176"/>
        <v>0.46674688468393694</v>
      </c>
      <c r="AI665" s="8">
        <f t="shared" si="177"/>
        <v>0.67099123844967001</v>
      </c>
      <c r="AJ665" s="8"/>
      <c r="AK665" s="8"/>
      <c r="AL665" s="8"/>
      <c r="AN665" s="8">
        <f t="shared" si="183"/>
        <v>1</v>
      </c>
      <c r="AO665" s="8">
        <f t="shared" si="184"/>
        <v>2.4606926699071994</v>
      </c>
      <c r="AP665" s="8">
        <f t="shared" si="185"/>
        <v>0.83525148234939484</v>
      </c>
      <c r="AQ665" s="8"/>
      <c r="AR665" s="8">
        <f t="shared" si="186"/>
        <v>140.98730466446077</v>
      </c>
      <c r="AS665" s="8">
        <f t="shared" si="187"/>
        <v>42.143615229333903</v>
      </c>
    </row>
    <row r="666" spans="1:45">
      <c r="A666" s="19">
        <v>21.154466670000001</v>
      </c>
      <c r="B666" s="19">
        <v>940.38472950000005</v>
      </c>
      <c r="C666" s="19">
        <v>-399.5056366</v>
      </c>
      <c r="E666" s="9">
        <f t="shared" si="173"/>
        <v>-19.615270499999951</v>
      </c>
      <c r="F666" s="9">
        <f t="shared" si="178"/>
        <v>140.4943634</v>
      </c>
      <c r="I666">
        <v>1</v>
      </c>
      <c r="J666">
        <f t="shared" si="174"/>
        <v>9.266332997072721E-2</v>
      </c>
      <c r="K666">
        <f t="shared" si="179"/>
        <v>1.7095156961973388</v>
      </c>
      <c r="O666">
        <f t="shared" si="180"/>
        <v>-1.279468405138243E-2</v>
      </c>
      <c r="P666">
        <f t="shared" si="181"/>
        <v>9.164191698009537E-2</v>
      </c>
      <c r="Q666">
        <f t="shared" si="182"/>
        <v>0.99570982475429992</v>
      </c>
      <c r="R666">
        <f t="shared" si="172"/>
        <v>1</v>
      </c>
      <c r="AG666" s="8">
        <f t="shared" si="175"/>
        <v>-0.57599634894798324</v>
      </c>
      <c r="AH666" s="8">
        <f t="shared" si="176"/>
        <v>0.46699310380800696</v>
      </c>
      <c r="AI666" s="8">
        <f t="shared" si="177"/>
        <v>0.67092894332735209</v>
      </c>
      <c r="AJ666" s="8"/>
      <c r="AK666" s="8"/>
      <c r="AL666" s="8"/>
      <c r="AN666" s="8">
        <f t="shared" si="183"/>
        <v>1</v>
      </c>
      <c r="AO666" s="8">
        <f t="shared" si="184"/>
        <v>2.4603268624402856</v>
      </c>
      <c r="AP666" s="8">
        <f t="shared" si="185"/>
        <v>0.83533549539259278</v>
      </c>
      <c r="AQ666" s="8"/>
      <c r="AR666" s="8">
        <f t="shared" si="186"/>
        <v>140.96634544049223</v>
      </c>
      <c r="AS666" s="8">
        <f t="shared" si="187"/>
        <v>42.138801636534609</v>
      </c>
    </row>
    <row r="667" spans="1:45">
      <c r="A667" s="19">
        <v>21.18783333</v>
      </c>
      <c r="B667" s="19">
        <v>939.52124070000002</v>
      </c>
      <c r="C667" s="19">
        <v>-399.40781529999998</v>
      </c>
      <c r="E667" s="9">
        <f t="shared" si="173"/>
        <v>-20.478759299999979</v>
      </c>
      <c r="F667" s="9">
        <f t="shared" si="178"/>
        <v>140.59218470000002</v>
      </c>
      <c r="I667">
        <v>1</v>
      </c>
      <c r="J667">
        <f t="shared" si="174"/>
        <v>9.2806839828271329E-2</v>
      </c>
      <c r="K667">
        <f t="shared" si="179"/>
        <v>1.7154398052545556</v>
      </c>
      <c r="O667">
        <f t="shared" si="180"/>
        <v>-1.335794964939083E-2</v>
      </c>
      <c r="P667">
        <f t="shared" si="181"/>
        <v>9.1705913273782108E-2</v>
      </c>
      <c r="Q667">
        <f t="shared" si="182"/>
        <v>0.99569653542220682</v>
      </c>
      <c r="R667">
        <f t="shared" ref="R667:R730" si="188">SQRT(O667^2+P667^2+Q667^2)</f>
        <v>1</v>
      </c>
      <c r="AG667" s="8">
        <f t="shared" si="175"/>
        <v>-0.57568300876391909</v>
      </c>
      <c r="AH667" s="8">
        <f t="shared" si="176"/>
        <v>0.4674621729966984</v>
      </c>
      <c r="AI667" s="8">
        <f t="shared" si="177"/>
        <v>0.670871217326937</v>
      </c>
      <c r="AJ667" s="8"/>
      <c r="AK667" s="8"/>
      <c r="AL667" s="8"/>
      <c r="AN667" s="8">
        <f t="shared" si="183"/>
        <v>1</v>
      </c>
      <c r="AO667" s="8">
        <f t="shared" si="184"/>
        <v>2.4595694244943398</v>
      </c>
      <c r="AP667" s="8">
        <f t="shared" si="185"/>
        <v>0.83541334068251449</v>
      </c>
      <c r="AQ667" s="8"/>
      <c r="AR667" s="8">
        <f t="shared" si="186"/>
        <v>140.92294744294648</v>
      </c>
      <c r="AS667" s="8">
        <f t="shared" si="187"/>
        <v>42.134341429967122</v>
      </c>
    </row>
    <row r="668" spans="1:45">
      <c r="A668" s="19">
        <v>21.2212</v>
      </c>
      <c r="B668" s="19">
        <v>938.8586166</v>
      </c>
      <c r="C668" s="19">
        <v>-399.27402970000003</v>
      </c>
      <c r="E668" s="9">
        <f t="shared" si="173"/>
        <v>-21.141383399999995</v>
      </c>
      <c r="F668" s="9">
        <f t="shared" si="178"/>
        <v>140.72597029999997</v>
      </c>
      <c r="I668">
        <v>1</v>
      </c>
      <c r="J668">
        <f t="shared" si="174"/>
        <v>9.2957267504290023E-2</v>
      </c>
      <c r="K668">
        <f t="shared" si="179"/>
        <v>1.719912045715148</v>
      </c>
      <c r="O668">
        <f t="shared" si="180"/>
        <v>-1.3790197357963722E-2</v>
      </c>
      <c r="P668">
        <f t="shared" si="181"/>
        <v>9.1793373551323193E-2</v>
      </c>
      <c r="Q668">
        <f t="shared" si="182"/>
        <v>0.99568258347170846</v>
      </c>
      <c r="R668">
        <f t="shared" si="188"/>
        <v>1</v>
      </c>
      <c r="AG668" s="8">
        <f t="shared" si="175"/>
        <v>-0.57541692020662405</v>
      </c>
      <c r="AH668" s="8">
        <f t="shared" si="176"/>
        <v>0.46781373711672797</v>
      </c>
      <c r="AI668" s="8">
        <f t="shared" si="177"/>
        <v>0.67085443674824463</v>
      </c>
      <c r="AJ668" s="8"/>
      <c r="AK668" s="8"/>
      <c r="AL668" s="8"/>
      <c r="AN668" s="8">
        <f t="shared" si="183"/>
        <v>1</v>
      </c>
      <c r="AO668" s="8">
        <f t="shared" si="184"/>
        <v>2.4589752250865007</v>
      </c>
      <c r="AP668" s="8">
        <f t="shared" si="185"/>
        <v>0.83543596878140192</v>
      </c>
      <c r="AQ668" s="8"/>
      <c r="AR668" s="8">
        <f t="shared" si="186"/>
        <v>140.88890232468813</v>
      </c>
      <c r="AS668" s="8">
        <f t="shared" si="187"/>
        <v>42.133044935402467</v>
      </c>
    </row>
    <row r="669" spans="1:45">
      <c r="A669" s="19">
        <v>21.254566669999999</v>
      </c>
      <c r="B669" s="19">
        <v>938.16167210000003</v>
      </c>
      <c r="C669" s="19">
        <v>-399.39621010000002</v>
      </c>
      <c r="E669" s="9">
        <f t="shared" si="173"/>
        <v>-21.838327899999967</v>
      </c>
      <c r="F669" s="9">
        <f t="shared" si="178"/>
        <v>140.60378989999998</v>
      </c>
      <c r="I669">
        <v>1</v>
      </c>
      <c r="J669">
        <f t="shared" si="174"/>
        <v>9.2947083270217556E-2</v>
      </c>
      <c r="K669">
        <f t="shared" si="179"/>
        <v>1.724883348898236</v>
      </c>
      <c r="O669">
        <f t="shared" si="180"/>
        <v>-1.4244801456067747E-2</v>
      </c>
      <c r="P669">
        <f t="shared" si="181"/>
        <v>9.1713664171887865E-2</v>
      </c>
      <c r="Q669">
        <f t="shared" si="182"/>
        <v>0.99568352875582078</v>
      </c>
      <c r="R669">
        <f t="shared" si="188"/>
        <v>1</v>
      </c>
      <c r="AG669" s="8">
        <f t="shared" si="175"/>
        <v>-0.57525106715174523</v>
      </c>
      <c r="AH669" s="8">
        <f t="shared" si="176"/>
        <v>0.46822051877052312</v>
      </c>
      <c r="AI669" s="8">
        <f t="shared" si="177"/>
        <v>0.67071287116249723</v>
      </c>
      <c r="AJ669" s="8"/>
      <c r="AK669" s="8"/>
      <c r="AL669" s="8"/>
      <c r="AN669" s="8">
        <f t="shared" si="183"/>
        <v>1</v>
      </c>
      <c r="AO669" s="8">
        <f t="shared" si="184"/>
        <v>2.4584086260309297</v>
      </c>
      <c r="AP669" s="8">
        <f t="shared" si="185"/>
        <v>0.83562684722645753</v>
      </c>
      <c r="AQ669" s="8"/>
      <c r="AR669" s="8">
        <f t="shared" si="186"/>
        <v>140.85643859012779</v>
      </c>
      <c r="AS669" s="8">
        <f t="shared" si="187"/>
        <v>42.122108406100764</v>
      </c>
    </row>
    <row r="670" spans="1:45">
      <c r="A670" s="19">
        <v>21.287933330000001</v>
      </c>
      <c r="B670" s="19">
        <v>937.47565740000005</v>
      </c>
      <c r="C670" s="19">
        <v>-399.45555489999998</v>
      </c>
      <c r="E670" s="9">
        <f t="shared" si="173"/>
        <v>-22.524342599999954</v>
      </c>
      <c r="F670" s="9">
        <f t="shared" si="178"/>
        <v>140.54444510000002</v>
      </c>
      <c r="I670">
        <v>1</v>
      </c>
      <c r="J670">
        <f t="shared" si="174"/>
        <v>9.2978769144545753E-2</v>
      </c>
      <c r="K670">
        <f t="shared" si="179"/>
        <v>1.729709874183845</v>
      </c>
      <c r="O670">
        <f t="shared" si="180"/>
        <v>-1.469228463551755E-2</v>
      </c>
      <c r="P670">
        <f t="shared" si="181"/>
        <v>9.1674994827599346E-2</v>
      </c>
      <c r="Q670">
        <f t="shared" si="182"/>
        <v>0.99568058738510545</v>
      </c>
      <c r="R670">
        <f t="shared" si="188"/>
        <v>1</v>
      </c>
      <c r="AG670" s="8">
        <f t="shared" si="175"/>
        <v>-0.57506123057968139</v>
      </c>
      <c r="AH670" s="8">
        <f t="shared" si="176"/>
        <v>0.46861222616891235</v>
      </c>
      <c r="AI670" s="8">
        <f t="shared" si="177"/>
        <v>0.67060208959501366</v>
      </c>
      <c r="AJ670" s="8"/>
      <c r="AK670" s="8"/>
      <c r="AL670" s="8"/>
      <c r="AN670" s="8">
        <f t="shared" si="183"/>
        <v>1</v>
      </c>
      <c r="AO670" s="8">
        <f t="shared" si="184"/>
        <v>2.457837552041688</v>
      </c>
      <c r="AP670" s="8">
        <f t="shared" si="185"/>
        <v>0.83577619539305326</v>
      </c>
      <c r="AQ670" s="8"/>
      <c r="AR670" s="8">
        <f t="shared" si="186"/>
        <v>140.82371846075455</v>
      </c>
      <c r="AS670" s="8">
        <f t="shared" si="187"/>
        <v>42.113551386476814</v>
      </c>
    </row>
    <row r="671" spans="1:45">
      <c r="A671" s="19">
        <v>21.321300000000001</v>
      </c>
      <c r="B671" s="19">
        <v>936.95060599999999</v>
      </c>
      <c r="C671" s="19">
        <v>-399.2808569</v>
      </c>
      <c r="E671" s="9">
        <f t="shared" si="173"/>
        <v>-23.049394000000007</v>
      </c>
      <c r="F671" s="9">
        <f t="shared" si="178"/>
        <v>140.7191431</v>
      </c>
      <c r="I671">
        <v>1</v>
      </c>
      <c r="J671">
        <f t="shared" si="174"/>
        <v>9.3146975301537108E-2</v>
      </c>
      <c r="K671">
        <f t="shared" si="179"/>
        <v>1.7331517454469498</v>
      </c>
      <c r="O671">
        <f t="shared" si="180"/>
        <v>-1.5034802226416838E-2</v>
      </c>
      <c r="P671">
        <f t="shared" si="181"/>
        <v>9.1789158794341852E-2</v>
      </c>
      <c r="Q671">
        <f t="shared" si="182"/>
        <v>0.99566495622264406</v>
      </c>
      <c r="R671">
        <f t="shared" si="188"/>
        <v>1</v>
      </c>
      <c r="AG671" s="8">
        <f t="shared" si="175"/>
        <v>-0.5748202774481167</v>
      </c>
      <c r="AH671" s="8">
        <f t="shared" si="176"/>
        <v>0.46888089869048316</v>
      </c>
      <c r="AI671" s="8">
        <f t="shared" si="177"/>
        <v>0.67062087014771243</v>
      </c>
      <c r="AJ671" s="8"/>
      <c r="AK671" s="8"/>
      <c r="AL671" s="8"/>
      <c r="AN671" s="8">
        <f t="shared" si="183"/>
        <v>1</v>
      </c>
      <c r="AO671" s="8">
        <f t="shared" si="184"/>
        <v>2.4573515873931817</v>
      </c>
      <c r="AP671" s="8">
        <f t="shared" si="185"/>
        <v>0.83575087815011995</v>
      </c>
      <c r="AQ671" s="8"/>
      <c r="AR671" s="8">
        <f t="shared" si="186"/>
        <v>140.79587473740258</v>
      </c>
      <c r="AS671" s="8">
        <f t="shared" si="187"/>
        <v>42.115001957645795</v>
      </c>
    </row>
    <row r="672" spans="1:45">
      <c r="A672" s="19">
        <v>21.35466667</v>
      </c>
      <c r="B672" s="19">
        <v>936.39882609999995</v>
      </c>
      <c r="C672" s="19">
        <v>-399.17924590000001</v>
      </c>
      <c r="E672" s="9">
        <f t="shared" ref="E672:E735" si="189">(B672-($B$15/2))</f>
        <v>-23.601173900000049</v>
      </c>
      <c r="F672" s="9">
        <f t="shared" si="178"/>
        <v>140.82075409999999</v>
      </c>
      <c r="I672">
        <v>1</v>
      </c>
      <c r="J672">
        <f t="shared" ref="J672:J735" si="190">ATAN((SQRT(E672^2+F672^2)^$B$16)/($F$24))</f>
        <v>9.3271896200806004E-2</v>
      </c>
      <c r="K672">
        <f t="shared" si="179"/>
        <v>1.7368503189129862</v>
      </c>
      <c r="O672">
        <f t="shared" si="180"/>
        <v>-1.5394746348923226E-2</v>
      </c>
      <c r="P672">
        <f t="shared" si="181"/>
        <v>9.1855591557400765E-2</v>
      </c>
      <c r="Q672">
        <f t="shared" si="182"/>
        <v>0.99565332926902439</v>
      </c>
      <c r="R672">
        <f t="shared" si="188"/>
        <v>1</v>
      </c>
      <c r="AG672" s="8">
        <f t="shared" ref="AG672:AG735" si="191">$O672*$Z$27+$P672*$Z$31+$Q672*$Z$35</f>
        <v>-0.57460256802659493</v>
      </c>
      <c r="AH672" s="8">
        <f t="shared" ref="AH672:AH735" si="192">$O672*$AA$27+$P672*$AA$31+$Q672*$AA$35</f>
        <v>0.46917475552527299</v>
      </c>
      <c r="AI672" s="8">
        <f t="shared" ref="AI672:AI735" si="193">$AB$27*$O672+$P672*$AB$31+$AB$35*$Q672</f>
        <v>0.6706019218545699</v>
      </c>
      <c r="AJ672" s="8"/>
      <c r="AK672" s="8"/>
      <c r="AL672" s="8"/>
      <c r="AN672" s="8">
        <f t="shared" si="183"/>
        <v>1</v>
      </c>
      <c r="AO672" s="8">
        <f t="shared" si="184"/>
        <v>2.4568591208443475</v>
      </c>
      <c r="AP672" s="8">
        <f t="shared" si="185"/>
        <v>0.83577642151400944</v>
      </c>
      <c r="AQ672" s="8"/>
      <c r="AR672" s="8">
        <f t="shared" si="186"/>
        <v>140.76765848260303</v>
      </c>
      <c r="AS672" s="8">
        <f t="shared" si="187"/>
        <v>42.113538430700359</v>
      </c>
    </row>
    <row r="673" spans="1:45">
      <c r="A673" s="19">
        <v>21.388033329999999</v>
      </c>
      <c r="B673" s="19">
        <v>935.6730847</v>
      </c>
      <c r="C673" s="19">
        <v>-399.13008209999998</v>
      </c>
      <c r="E673" s="9">
        <f t="shared" si="189"/>
        <v>-24.326915299999996</v>
      </c>
      <c r="F673" s="9">
        <f t="shared" ref="F673:F736" si="194">(($C$15/2)+C673)</f>
        <v>140.86991790000002</v>
      </c>
      <c r="I673">
        <v>1</v>
      </c>
      <c r="J673">
        <f t="shared" si="190"/>
        <v>9.3383536581099352E-2</v>
      </c>
      <c r="K673">
        <f t="shared" ref="K673:K736" si="195">ATAN2(E673,F673)</f>
        <v>1.7418003738345904</v>
      </c>
      <c r="O673">
        <f t="shared" ref="O673:O736" si="196">COS(K673)*SIN(J673)</f>
        <v>-1.5868161477960132E-2</v>
      </c>
      <c r="P673">
        <f t="shared" ref="P673:P736" si="197">SIN(K673)*SIN(J673)</f>
        <v>9.1887794940618286E-2</v>
      </c>
      <c r="Q673">
        <f t="shared" ref="Q673:Q736" si="198">COS(J673)</f>
        <v>0.99564292524592379</v>
      </c>
      <c r="R673">
        <f t="shared" si="188"/>
        <v>1</v>
      </c>
      <c r="AG673" s="8">
        <f t="shared" si="191"/>
        <v>-0.57435277506287719</v>
      </c>
      <c r="AH673" s="8">
        <f t="shared" si="192"/>
        <v>0.46957308828507993</v>
      </c>
      <c r="AI673" s="8">
        <f t="shared" si="193"/>
        <v>0.67053710153576485</v>
      </c>
      <c r="AJ673" s="8"/>
      <c r="AK673" s="8"/>
      <c r="AL673" s="8"/>
      <c r="AN673" s="8">
        <f t="shared" ref="AN673:AN736" si="199">AG673^2+AH673^2+AI673^2</f>
        <v>1</v>
      </c>
      <c r="AO673" s="8">
        <f t="shared" ref="AO673:AO736" si="200">IF(ATAN2(AG673,AH673)&gt;=0,ATAN2(AG673,AH673),ATAN2(AG673,AH673)+2*PI())</f>
        <v>2.4562302699774836</v>
      </c>
      <c r="AP673" s="8">
        <f t="shared" ref="AP673:AP736" si="201">ACOS(AI673/AN673)</f>
        <v>0.83586379848644754</v>
      </c>
      <c r="AQ673" s="8"/>
      <c r="AR673" s="8">
        <f t="shared" ref="AR673:AR736" si="202">DEGREES(AO673)</f>
        <v>140.73162798198857</v>
      </c>
      <c r="AS673" s="8">
        <f t="shared" ref="AS673:AS736" si="203">90-DEGREES(AP673)</f>
        <v>42.108532098953027</v>
      </c>
    </row>
    <row r="674" spans="1:45">
      <c r="A674" s="19">
        <v>21.421399999999998</v>
      </c>
      <c r="B674" s="19">
        <v>935.14074630000005</v>
      </c>
      <c r="C674" s="19">
        <v>-399.10815289999999</v>
      </c>
      <c r="E674" s="9">
        <f t="shared" si="189"/>
        <v>-24.859253699999954</v>
      </c>
      <c r="F674" s="9">
        <f t="shared" si="194"/>
        <v>140.89184710000001</v>
      </c>
      <c r="I674">
        <v>1</v>
      </c>
      <c r="J674">
        <f t="shared" si="190"/>
        <v>9.34577536989675E-2</v>
      </c>
      <c r="K674">
        <f t="shared" si="195"/>
        <v>1.7454409000517861</v>
      </c>
      <c r="O674">
        <f t="shared" si="196"/>
        <v>-1.6215415106663526E-2</v>
      </c>
      <c r="P674">
        <f t="shared" si="197"/>
        <v>9.1902187146956624E-2</v>
      </c>
      <c r="Q674">
        <f t="shared" si="198"/>
        <v>0.99563600191562196</v>
      </c>
      <c r="R674">
        <f t="shared" si="188"/>
        <v>1</v>
      </c>
      <c r="AG674" s="8">
        <f t="shared" si="191"/>
        <v>-0.57417559368520399</v>
      </c>
      <c r="AH674" s="8">
        <f t="shared" si="192"/>
        <v>0.46986719686865602</v>
      </c>
      <c r="AI674" s="8">
        <f t="shared" si="193"/>
        <v>0.67048281478575955</v>
      </c>
      <c r="AJ674" s="8"/>
      <c r="AK674" s="8"/>
      <c r="AL674" s="8"/>
      <c r="AN674" s="8">
        <f t="shared" si="199"/>
        <v>1</v>
      </c>
      <c r="AO674" s="8">
        <f t="shared" si="200"/>
        <v>2.4557722136779589</v>
      </c>
      <c r="AP674" s="8">
        <f t="shared" si="201"/>
        <v>0.8359369710316501</v>
      </c>
      <c r="AQ674" s="8"/>
      <c r="AR674" s="8">
        <f t="shared" si="202"/>
        <v>140.70538328924641</v>
      </c>
      <c r="AS674" s="8">
        <f t="shared" si="203"/>
        <v>42.104339620936692</v>
      </c>
    </row>
    <row r="675" spans="1:45">
      <c r="A675" s="19">
        <v>21.454766670000001</v>
      </c>
      <c r="B675" s="19">
        <v>934.61587950000001</v>
      </c>
      <c r="C675" s="19">
        <v>-398.94990259999997</v>
      </c>
      <c r="E675" s="9">
        <f t="shared" si="189"/>
        <v>-25.384120499999995</v>
      </c>
      <c r="F675" s="9">
        <f t="shared" si="194"/>
        <v>141.05009740000003</v>
      </c>
      <c r="I675">
        <v>1</v>
      </c>
      <c r="J675">
        <f t="shared" si="190"/>
        <v>9.3620345232163282E-2</v>
      </c>
      <c r="K675">
        <f t="shared" si="195"/>
        <v>1.7488556360081926</v>
      </c>
      <c r="O675">
        <f t="shared" si="196"/>
        <v>-1.6557813962904712E-2</v>
      </c>
      <c r="P675">
        <f t="shared" si="197"/>
        <v>9.200560138369937E-2</v>
      </c>
      <c r="Q675">
        <f t="shared" si="198"/>
        <v>0.99562081542663305</v>
      </c>
      <c r="R675">
        <f t="shared" si="188"/>
        <v>1</v>
      </c>
      <c r="AG675" s="8">
        <f t="shared" si="191"/>
        <v>-0.57394149264114303</v>
      </c>
      <c r="AH675" s="8">
        <f t="shared" si="192"/>
        <v>0.47013783293287348</v>
      </c>
      <c r="AI675" s="8">
        <f t="shared" si="193"/>
        <v>0.6704935354423921</v>
      </c>
      <c r="AJ675" s="8"/>
      <c r="AK675" s="8"/>
      <c r="AL675" s="8"/>
      <c r="AN675" s="8">
        <f t="shared" si="199"/>
        <v>1</v>
      </c>
      <c r="AO675" s="8">
        <f t="shared" si="200"/>
        <v>2.4552900787837397</v>
      </c>
      <c r="AP675" s="8">
        <f t="shared" si="201"/>
        <v>0.83592252115361676</v>
      </c>
      <c r="AQ675" s="8"/>
      <c r="AR675" s="8">
        <f t="shared" si="202"/>
        <v>140.67775899465167</v>
      </c>
      <c r="AS675" s="8">
        <f t="shared" si="203"/>
        <v>42.10516753796248</v>
      </c>
    </row>
    <row r="676" spans="1:45">
      <c r="A676" s="19">
        <v>21.48813333</v>
      </c>
      <c r="B676" s="19">
        <v>934.02525639999999</v>
      </c>
      <c r="C676" s="19">
        <v>-398.68704960000002</v>
      </c>
      <c r="E676" s="9">
        <f t="shared" si="189"/>
        <v>-25.974743600000011</v>
      </c>
      <c r="F676" s="9">
        <f t="shared" si="194"/>
        <v>141.31295039999998</v>
      </c>
      <c r="I676">
        <v>1</v>
      </c>
      <c r="J676">
        <f t="shared" si="190"/>
        <v>9.3859299630383711E-2</v>
      </c>
      <c r="K676">
        <f t="shared" si="195"/>
        <v>1.7525772982619017</v>
      </c>
      <c r="O676">
        <f t="shared" si="196"/>
        <v>-1.6943121151134159E-2</v>
      </c>
      <c r="P676">
        <f t="shared" si="197"/>
        <v>9.2177327165278031E-2</v>
      </c>
      <c r="Q676">
        <f t="shared" si="198"/>
        <v>0.9955984486741245</v>
      </c>
      <c r="R676">
        <f t="shared" si="188"/>
        <v>1</v>
      </c>
      <c r="AG676" s="8">
        <f t="shared" si="191"/>
        <v>-0.57364114829993118</v>
      </c>
      <c r="AH676" s="8">
        <f t="shared" si="192"/>
        <v>0.47043033026444736</v>
      </c>
      <c r="AI676" s="8">
        <f t="shared" si="193"/>
        <v>0.67054540289559772</v>
      </c>
      <c r="AJ676" s="8"/>
      <c r="AK676" s="8"/>
      <c r="AL676" s="8"/>
      <c r="AN676" s="8">
        <f t="shared" si="199"/>
        <v>1</v>
      </c>
      <c r="AO676" s="8">
        <f t="shared" si="200"/>
        <v>2.4547285279749476</v>
      </c>
      <c r="AP676" s="8">
        <f t="shared" si="201"/>
        <v>0.83585260874336165</v>
      </c>
      <c r="AQ676" s="8"/>
      <c r="AR676" s="8">
        <f t="shared" si="202"/>
        <v>140.64558450332572</v>
      </c>
      <c r="AS676" s="8">
        <f t="shared" si="203"/>
        <v>42.109173224005687</v>
      </c>
    </row>
    <row r="677" spans="1:45">
      <c r="A677" s="19">
        <v>21.5215</v>
      </c>
      <c r="B677" s="19">
        <v>933.53474100000005</v>
      </c>
      <c r="C677" s="19">
        <v>-398.54378860000003</v>
      </c>
      <c r="E677" s="9">
        <f t="shared" si="189"/>
        <v>-26.465258999999946</v>
      </c>
      <c r="F677" s="9">
        <f t="shared" si="194"/>
        <v>141.45621139999997</v>
      </c>
      <c r="I677">
        <v>1</v>
      </c>
      <c r="J677">
        <f t="shared" si="190"/>
        <v>9.4010356484109339E-2</v>
      </c>
      <c r="K677">
        <f t="shared" si="195"/>
        <v>1.7557496500512559</v>
      </c>
      <c r="O677">
        <f t="shared" si="196"/>
        <v>-1.7263111297886949E-2</v>
      </c>
      <c r="P677">
        <f t="shared" si="197"/>
        <v>9.2270939845162006E-2</v>
      </c>
      <c r="Q677">
        <f t="shared" si="198"/>
        <v>0.9955842800327892</v>
      </c>
      <c r="R677">
        <f t="shared" si="188"/>
        <v>1</v>
      </c>
      <c r="AG677" s="8">
        <f t="shared" si="191"/>
        <v>-0.57342422104794832</v>
      </c>
      <c r="AH677" s="8">
        <f t="shared" si="192"/>
        <v>0.47068378914626041</v>
      </c>
      <c r="AI677" s="8">
        <f t="shared" si="193"/>
        <v>0.67055308018863991</v>
      </c>
      <c r="AJ677" s="8"/>
      <c r="AK677" s="8"/>
      <c r="AL677" s="8"/>
      <c r="AN677" s="8">
        <f t="shared" si="199"/>
        <v>1.0000000000000002</v>
      </c>
      <c r="AO677" s="8">
        <f t="shared" si="200"/>
        <v>2.4542789278204262</v>
      </c>
      <c r="AP677" s="8">
        <f t="shared" si="201"/>
        <v>0.83584226010474405</v>
      </c>
      <c r="AQ677" s="8"/>
      <c r="AR677" s="8">
        <f t="shared" si="202"/>
        <v>140.61982431200323</v>
      </c>
      <c r="AS677" s="8">
        <f t="shared" si="203"/>
        <v>42.109766157322177</v>
      </c>
    </row>
    <row r="678" spans="1:45">
      <c r="A678" s="19">
        <v>21.554866669999999</v>
      </c>
      <c r="B678" s="19">
        <v>932.93541660000005</v>
      </c>
      <c r="C678" s="19">
        <v>-398.36154140000002</v>
      </c>
      <c r="E678" s="9">
        <f t="shared" si="189"/>
        <v>-27.064583399999947</v>
      </c>
      <c r="F678" s="9">
        <f t="shared" si="194"/>
        <v>141.63845859999998</v>
      </c>
      <c r="I678">
        <v>1</v>
      </c>
      <c r="J678">
        <f t="shared" si="190"/>
        <v>9.4200847059786041E-2</v>
      </c>
      <c r="K678">
        <f t="shared" si="195"/>
        <v>1.7596025262622963</v>
      </c>
      <c r="O678">
        <f t="shared" si="196"/>
        <v>-1.7654085100885678E-2</v>
      </c>
      <c r="P678">
        <f t="shared" si="197"/>
        <v>9.239002000240211E-2</v>
      </c>
      <c r="Q678">
        <f t="shared" si="198"/>
        <v>0.99556638024955746</v>
      </c>
      <c r="R678">
        <f t="shared" si="188"/>
        <v>1</v>
      </c>
      <c r="AG678" s="8">
        <f t="shared" si="191"/>
        <v>-0.57315594844654294</v>
      </c>
      <c r="AH678" s="8">
        <f t="shared" si="192"/>
        <v>0.47099238292365259</v>
      </c>
      <c r="AI678" s="8">
        <f t="shared" si="193"/>
        <v>0.67056575664750684</v>
      </c>
      <c r="AJ678" s="8"/>
      <c r="AK678" s="8"/>
      <c r="AL678" s="8"/>
      <c r="AN678" s="8">
        <f t="shared" si="199"/>
        <v>1</v>
      </c>
      <c r="AO678" s="8">
        <f t="shared" si="200"/>
        <v>2.4537279571839101</v>
      </c>
      <c r="AP678" s="8">
        <f t="shared" si="201"/>
        <v>0.83582517260819078</v>
      </c>
      <c r="AQ678" s="8"/>
      <c r="AR678" s="8">
        <f t="shared" si="202"/>
        <v>140.58825601989523</v>
      </c>
      <c r="AS678" s="8">
        <f t="shared" si="203"/>
        <v>42.11074519875713</v>
      </c>
    </row>
    <row r="679" spans="1:45">
      <c r="A679" s="19">
        <v>21.588233330000001</v>
      </c>
      <c r="B679" s="19">
        <v>932.33685460000004</v>
      </c>
      <c r="C679" s="19">
        <v>-398.4355807</v>
      </c>
      <c r="E679" s="9">
        <f t="shared" si="189"/>
        <v>-27.663145399999962</v>
      </c>
      <c r="F679" s="9">
        <f t="shared" si="194"/>
        <v>141.5644193</v>
      </c>
      <c r="I679">
        <v>1</v>
      </c>
      <c r="J679">
        <f t="shared" si="190"/>
        <v>9.4227656101258384E-2</v>
      </c>
      <c r="K679">
        <f t="shared" si="195"/>
        <v>1.7637748419683346</v>
      </c>
      <c r="O679">
        <f t="shared" si="196"/>
        <v>-1.8044529366652302E-2</v>
      </c>
      <c r="P679">
        <f t="shared" si="197"/>
        <v>9.2341752334929139E-2</v>
      </c>
      <c r="Q679">
        <f t="shared" si="198"/>
        <v>0.99556385819074944</v>
      </c>
      <c r="R679">
        <f t="shared" si="188"/>
        <v>1</v>
      </c>
      <c r="AG679" s="8">
        <f t="shared" si="191"/>
        <v>-0.57299913745631981</v>
      </c>
      <c r="AH679" s="8">
        <f t="shared" si="192"/>
        <v>0.47133668936402073</v>
      </c>
      <c r="AI679" s="8">
        <f t="shared" si="193"/>
        <v>0.67045783889345212</v>
      </c>
      <c r="AJ679" s="8"/>
      <c r="AK679" s="8"/>
      <c r="AL679" s="8"/>
      <c r="AN679" s="8">
        <f t="shared" si="199"/>
        <v>1</v>
      </c>
      <c r="AO679" s="8">
        <f t="shared" si="200"/>
        <v>2.4532352405814102</v>
      </c>
      <c r="AP679" s="8">
        <f t="shared" si="201"/>
        <v>0.83597063415175699</v>
      </c>
      <c r="AQ679" s="8"/>
      <c r="AR679" s="8">
        <f t="shared" si="202"/>
        <v>140.56002543807594</v>
      </c>
      <c r="AS679" s="8">
        <f t="shared" si="203"/>
        <v>42.102410866229327</v>
      </c>
    </row>
    <row r="680" spans="1:45">
      <c r="A680" s="19">
        <v>21.621600000000001</v>
      </c>
      <c r="B680" s="19">
        <v>931.56870040000001</v>
      </c>
      <c r="C680" s="19">
        <v>-398.46644680000003</v>
      </c>
      <c r="E680" s="9">
        <f t="shared" si="189"/>
        <v>-28.431299599999988</v>
      </c>
      <c r="F680" s="9">
        <f t="shared" si="194"/>
        <v>141.53355319999997</v>
      </c>
      <c r="I680">
        <v>1</v>
      </c>
      <c r="J680">
        <f t="shared" si="190"/>
        <v>9.4305723996335591E-2</v>
      </c>
      <c r="K680">
        <f t="shared" si="195"/>
        <v>1.7690381649249667</v>
      </c>
      <c r="O680">
        <f t="shared" si="196"/>
        <v>-1.8545608537940607E-2</v>
      </c>
      <c r="P680">
        <f t="shared" si="197"/>
        <v>9.2321698605398711E-2</v>
      </c>
      <c r="Q680">
        <f t="shared" si="198"/>
        <v>0.99555650988307609</v>
      </c>
      <c r="R680">
        <f t="shared" si="188"/>
        <v>1</v>
      </c>
      <c r="AG680" s="8">
        <f t="shared" si="191"/>
        <v>-0.57276988644743998</v>
      </c>
      <c r="AH680" s="8">
        <f t="shared" si="192"/>
        <v>0.47176937887599929</v>
      </c>
      <c r="AI680" s="8">
        <f t="shared" si="193"/>
        <v>0.67034939422210316</v>
      </c>
      <c r="AJ680" s="8"/>
      <c r="AK680" s="8"/>
      <c r="AL680" s="8"/>
      <c r="AN680" s="8">
        <f t="shared" si="199"/>
        <v>1</v>
      </c>
      <c r="AO680" s="8">
        <f t="shared" si="200"/>
        <v>2.4525886519970834</v>
      </c>
      <c r="AP680" s="8">
        <f t="shared" si="201"/>
        <v>0.83611678666524236</v>
      </c>
      <c r="AQ680" s="8"/>
      <c r="AR680" s="8">
        <f t="shared" si="202"/>
        <v>140.52297864111267</v>
      </c>
      <c r="AS680" s="8">
        <f t="shared" si="203"/>
        <v>42.094036944041385</v>
      </c>
    </row>
    <row r="681" spans="1:45">
      <c r="A681" s="19">
        <v>21.65496667</v>
      </c>
      <c r="B681" s="19">
        <v>930.92100740000001</v>
      </c>
      <c r="C681" s="19">
        <v>-398.39238089999998</v>
      </c>
      <c r="E681" s="9">
        <f t="shared" si="189"/>
        <v>-29.078992599999992</v>
      </c>
      <c r="F681" s="9">
        <f t="shared" si="194"/>
        <v>141.60761910000002</v>
      </c>
      <c r="I681">
        <v>1</v>
      </c>
      <c r="J681">
        <f t="shared" si="190"/>
        <v>9.4437889955693244E-2</v>
      </c>
      <c r="K681">
        <f t="shared" si="195"/>
        <v>1.773329890679159</v>
      </c>
      <c r="O681">
        <f t="shared" si="196"/>
        <v>-1.896812305522682E-2</v>
      </c>
      <c r="P681">
        <f t="shared" si="197"/>
        <v>9.2370144371730759E-2</v>
      </c>
      <c r="Q681">
        <f t="shared" si="198"/>
        <v>0.99554405564822057</v>
      </c>
      <c r="R681">
        <f t="shared" si="188"/>
        <v>1</v>
      </c>
      <c r="AG681" s="8">
        <f t="shared" si="191"/>
        <v>-0.57253298619646975</v>
      </c>
      <c r="AH681" s="8">
        <f t="shared" si="192"/>
        <v>0.47211998131756172</v>
      </c>
      <c r="AI681" s="8">
        <f t="shared" si="193"/>
        <v>0.67030493281614612</v>
      </c>
      <c r="AJ681" s="8"/>
      <c r="AK681" s="8"/>
      <c r="AL681" s="8"/>
      <c r="AN681" s="8">
        <f t="shared" si="199"/>
        <v>1</v>
      </c>
      <c r="AO681" s="8">
        <f t="shared" si="200"/>
        <v>2.4520210132100715</v>
      </c>
      <c r="AP681" s="8">
        <f t="shared" si="201"/>
        <v>0.83617670239285813</v>
      </c>
      <c r="AQ681" s="8"/>
      <c r="AR681" s="8">
        <f t="shared" si="202"/>
        <v>140.49045533432897</v>
      </c>
      <c r="AS681" s="8">
        <f t="shared" si="203"/>
        <v>42.090604025722541</v>
      </c>
    </row>
    <row r="682" spans="1:45">
      <c r="A682" s="19">
        <v>21.688333329999999</v>
      </c>
      <c r="B682" s="19">
        <v>930.31591419999995</v>
      </c>
      <c r="C682" s="19">
        <v>-398.31013230000002</v>
      </c>
      <c r="E682" s="9">
        <f t="shared" si="189"/>
        <v>-29.684085800000048</v>
      </c>
      <c r="F682" s="9">
        <f t="shared" si="194"/>
        <v>141.68986769999998</v>
      </c>
      <c r="I682">
        <v>1</v>
      </c>
      <c r="J682">
        <f t="shared" si="190"/>
        <v>9.4571315393297911E-2</v>
      </c>
      <c r="K682">
        <f t="shared" si="195"/>
        <v>1.777309987182772</v>
      </c>
      <c r="O682">
        <f t="shared" si="196"/>
        <v>-1.9362850591753356E-2</v>
      </c>
      <c r="P682">
        <f t="shared" si="197"/>
        <v>9.2423925638983231E-2</v>
      </c>
      <c r="Q682">
        <f t="shared" si="198"/>
        <v>0.99553146509110457</v>
      </c>
      <c r="R682">
        <f t="shared" si="188"/>
        <v>1</v>
      </c>
      <c r="AG682" s="8">
        <f t="shared" si="191"/>
        <v>-0.57230589248844876</v>
      </c>
      <c r="AH682" s="8">
        <f t="shared" si="192"/>
        <v>0.47244560265874258</v>
      </c>
      <c r="AI682" s="8">
        <f t="shared" si="193"/>
        <v>0.67026943683224716</v>
      </c>
      <c r="AJ682" s="8"/>
      <c r="AK682" s="8"/>
      <c r="AL682" s="8"/>
      <c r="AN682" s="8">
        <f t="shared" si="199"/>
        <v>1</v>
      </c>
      <c r="AO682" s="8">
        <f t="shared" si="200"/>
        <v>2.451487807463967</v>
      </c>
      <c r="AP682" s="8">
        <f t="shared" si="201"/>
        <v>0.83622453408339326</v>
      </c>
      <c r="AQ682" s="8"/>
      <c r="AR682" s="8">
        <f t="shared" si="202"/>
        <v>140.45990489546506</v>
      </c>
      <c r="AS682" s="8">
        <f t="shared" si="203"/>
        <v>42.087863471727907</v>
      </c>
    </row>
    <row r="683" spans="1:45">
      <c r="A683" s="19">
        <v>21.721699999999998</v>
      </c>
      <c r="B683" s="19">
        <v>929.59110650000002</v>
      </c>
      <c r="C683" s="19">
        <v>-398.2935382</v>
      </c>
      <c r="E683" s="9">
        <f t="shared" si="189"/>
        <v>-30.408893499999976</v>
      </c>
      <c r="F683" s="9">
        <f t="shared" si="194"/>
        <v>141.7064618</v>
      </c>
      <c r="I683">
        <v>1</v>
      </c>
      <c r="J683">
        <f t="shared" si="190"/>
        <v>9.4680572148582887E-2</v>
      </c>
      <c r="K683">
        <f t="shared" si="195"/>
        <v>1.7821812693776742</v>
      </c>
      <c r="O683">
        <f t="shared" si="196"/>
        <v>-1.9835663167825479E-2</v>
      </c>
      <c r="P683">
        <f t="shared" si="197"/>
        <v>9.2434854460229948E-2</v>
      </c>
      <c r="Q683">
        <f t="shared" si="198"/>
        <v>0.99552114198926422</v>
      </c>
      <c r="R683">
        <f t="shared" si="188"/>
        <v>1</v>
      </c>
      <c r="AG683" s="8">
        <f t="shared" si="191"/>
        <v>-0.57206932229685015</v>
      </c>
      <c r="AH683" s="8">
        <f t="shared" si="192"/>
        <v>0.47284712538918922</v>
      </c>
      <c r="AI683" s="8">
        <f t="shared" si="193"/>
        <v>0.67018824706048308</v>
      </c>
      <c r="AJ683" s="8"/>
      <c r="AK683" s="8"/>
      <c r="AL683" s="8"/>
      <c r="AN683" s="8">
        <f t="shared" si="199"/>
        <v>1</v>
      </c>
      <c r="AO683" s="8">
        <f t="shared" si="200"/>
        <v>2.4508676830066043</v>
      </c>
      <c r="AP683" s="8">
        <f t="shared" si="201"/>
        <v>0.83633393148256563</v>
      </c>
      <c r="AQ683" s="8"/>
      <c r="AR683" s="8">
        <f t="shared" si="202"/>
        <v>140.42437438128533</v>
      </c>
      <c r="AS683" s="8">
        <f t="shared" si="203"/>
        <v>42.081595462465621</v>
      </c>
    </row>
    <row r="684" spans="1:45">
      <c r="A684" s="19">
        <v>21.755066670000001</v>
      </c>
      <c r="B684" s="19">
        <v>928.9926342</v>
      </c>
      <c r="C684" s="19">
        <v>-398.21149259999999</v>
      </c>
      <c r="E684" s="9">
        <f t="shared" si="189"/>
        <v>-31.007365800000002</v>
      </c>
      <c r="F684" s="9">
        <f t="shared" si="194"/>
        <v>141.78850740000001</v>
      </c>
      <c r="I684">
        <v>1</v>
      </c>
      <c r="J684">
        <f t="shared" si="190"/>
        <v>9.4816269982869641E-2</v>
      </c>
      <c r="K684">
        <f t="shared" si="195"/>
        <v>1.7860943232414701</v>
      </c>
      <c r="O684">
        <f t="shared" si="196"/>
        <v>-2.0226073207316168E-2</v>
      </c>
      <c r="P684">
        <f t="shared" si="197"/>
        <v>9.2488499317426476E-2</v>
      </c>
      <c r="Q684">
        <f t="shared" si="198"/>
        <v>0.9955083040621121</v>
      </c>
      <c r="R684">
        <f t="shared" si="188"/>
        <v>1</v>
      </c>
      <c r="AG684" s="8">
        <f t="shared" si="191"/>
        <v>-0.57184419226334571</v>
      </c>
      <c r="AH684" s="8">
        <f t="shared" si="192"/>
        <v>0.47316892467237431</v>
      </c>
      <c r="AI684" s="8">
        <f t="shared" si="193"/>
        <v>0.67015325747105836</v>
      </c>
      <c r="AJ684" s="8"/>
      <c r="AK684" s="8"/>
      <c r="AL684" s="8"/>
      <c r="AN684" s="8">
        <f t="shared" si="199"/>
        <v>1</v>
      </c>
      <c r="AO684" s="8">
        <f t="shared" si="200"/>
        <v>2.4503402573206365</v>
      </c>
      <c r="AP684" s="8">
        <f t="shared" si="201"/>
        <v>0.83638107411473794</v>
      </c>
      <c r="AQ684" s="8"/>
      <c r="AR684" s="8">
        <f t="shared" si="202"/>
        <v>140.39415511547259</v>
      </c>
      <c r="AS684" s="8">
        <f t="shared" si="203"/>
        <v>42.078894388607011</v>
      </c>
    </row>
    <row r="685" spans="1:45">
      <c r="A685" s="19">
        <v>21.78843333</v>
      </c>
      <c r="B685" s="19">
        <v>927.87316390000001</v>
      </c>
      <c r="C685" s="19">
        <v>-398.16930660000003</v>
      </c>
      <c r="E685" s="9">
        <f t="shared" si="189"/>
        <v>-32.126836099999991</v>
      </c>
      <c r="F685" s="9">
        <f t="shared" si="194"/>
        <v>141.83069339999997</v>
      </c>
      <c r="I685">
        <v>1</v>
      </c>
      <c r="J685">
        <f t="shared" si="190"/>
        <v>9.5002808186264595E-2</v>
      </c>
      <c r="K685">
        <f t="shared" si="195"/>
        <v>1.7935526787369527</v>
      </c>
      <c r="O685">
        <f t="shared" si="196"/>
        <v>-2.0956340676033462E-2</v>
      </c>
      <c r="P685">
        <f t="shared" si="197"/>
        <v>9.2516185532768705E-2</v>
      </c>
      <c r="Q685">
        <f t="shared" si="198"/>
        <v>0.99549062637472197</v>
      </c>
      <c r="R685">
        <f t="shared" si="188"/>
        <v>1</v>
      </c>
      <c r="AG685" s="8">
        <f t="shared" si="191"/>
        <v>-0.57147114980333646</v>
      </c>
      <c r="AH685" s="8">
        <f t="shared" si="192"/>
        <v>0.47378639720844684</v>
      </c>
      <c r="AI685" s="8">
        <f t="shared" si="193"/>
        <v>0.6700352041219122</v>
      </c>
      <c r="AJ685" s="8"/>
      <c r="AK685" s="8"/>
      <c r="AL685" s="8"/>
      <c r="AN685" s="8">
        <f t="shared" si="199"/>
        <v>1</v>
      </c>
      <c r="AO685" s="8">
        <f t="shared" si="200"/>
        <v>2.4493790313081192</v>
      </c>
      <c r="AP685" s="8">
        <f t="shared" si="201"/>
        <v>0.83654011649650328</v>
      </c>
      <c r="AQ685" s="8"/>
      <c r="AR685" s="8">
        <f t="shared" si="202"/>
        <v>140.33908092179715</v>
      </c>
      <c r="AS685" s="8">
        <f t="shared" si="203"/>
        <v>42.069781931368148</v>
      </c>
    </row>
    <row r="686" spans="1:45">
      <c r="A686" s="19">
        <v>21.8218</v>
      </c>
      <c r="B686" s="19">
        <v>927.47005349999995</v>
      </c>
      <c r="C686" s="19">
        <v>-398.02115930000002</v>
      </c>
      <c r="E686" s="9">
        <f t="shared" si="189"/>
        <v>-32.529946500000051</v>
      </c>
      <c r="F686" s="9">
        <f t="shared" si="194"/>
        <v>141.97884069999998</v>
      </c>
      <c r="I686">
        <v>1</v>
      </c>
      <c r="J686">
        <f t="shared" si="190"/>
        <v>9.5156268387620452E-2</v>
      </c>
      <c r="K686">
        <f t="shared" si="195"/>
        <v>1.7960271246534383</v>
      </c>
      <c r="O686">
        <f t="shared" si="196"/>
        <v>-2.121932025825491E-2</v>
      </c>
      <c r="P686">
        <f t="shared" si="197"/>
        <v>9.2612955594902499E-2</v>
      </c>
      <c r="Q686">
        <f t="shared" si="198"/>
        <v>0.99547605742366008</v>
      </c>
      <c r="R686">
        <f t="shared" si="188"/>
        <v>1</v>
      </c>
      <c r="AG686" s="8">
        <f t="shared" si="191"/>
        <v>-0.57127898361239504</v>
      </c>
      <c r="AH686" s="8">
        <f t="shared" si="192"/>
        <v>0.47398988965900368</v>
      </c>
      <c r="AI686" s="8">
        <f t="shared" si="193"/>
        <v>0.67005515249405723</v>
      </c>
      <c r="AJ686" s="8"/>
      <c r="AK686" s="8"/>
      <c r="AL686" s="8"/>
      <c r="AN686" s="8">
        <f t="shared" si="199"/>
        <v>1</v>
      </c>
      <c r="AO686" s="8">
        <f t="shared" si="200"/>
        <v>2.4490027682409981</v>
      </c>
      <c r="AP686" s="8">
        <f t="shared" si="201"/>
        <v>0.83651324349898215</v>
      </c>
      <c r="AQ686" s="8"/>
      <c r="AR686" s="8">
        <f t="shared" si="202"/>
        <v>140.31752263606447</v>
      </c>
      <c r="AS686" s="8">
        <f t="shared" si="203"/>
        <v>42.071321640708973</v>
      </c>
    </row>
    <row r="687" spans="1:45">
      <c r="A687" s="19">
        <v>21.855166669999999</v>
      </c>
      <c r="B687" s="19">
        <v>926.74082439999995</v>
      </c>
      <c r="C687" s="19">
        <v>-397.88844619999998</v>
      </c>
      <c r="E687" s="9">
        <f t="shared" si="189"/>
        <v>-33.259175600000049</v>
      </c>
      <c r="F687" s="9">
        <f t="shared" si="194"/>
        <v>142.11155380000002</v>
      </c>
      <c r="I687">
        <v>1</v>
      </c>
      <c r="J687">
        <f t="shared" si="190"/>
        <v>9.5348960452133855E-2</v>
      </c>
      <c r="K687">
        <f t="shared" si="195"/>
        <v>1.8006942484699311</v>
      </c>
      <c r="O687">
        <f t="shared" si="196"/>
        <v>-2.1695034977986791E-2</v>
      </c>
      <c r="P687">
        <f t="shared" si="197"/>
        <v>9.2699685871559911E-2</v>
      </c>
      <c r="Q687">
        <f t="shared" si="198"/>
        <v>0.9954577307433089</v>
      </c>
      <c r="R687">
        <f t="shared" si="188"/>
        <v>1</v>
      </c>
      <c r="AG687" s="8">
        <f t="shared" si="191"/>
        <v>-0.57099000376685216</v>
      </c>
      <c r="AH687" s="8">
        <f t="shared" si="192"/>
        <v>0.47437704324626312</v>
      </c>
      <c r="AI687" s="8">
        <f t="shared" si="193"/>
        <v>0.67002748931611988</v>
      </c>
      <c r="AJ687" s="8"/>
      <c r="AK687" s="8"/>
      <c r="AL687" s="8"/>
      <c r="AN687" s="8">
        <f t="shared" si="199"/>
        <v>1</v>
      </c>
      <c r="AO687" s="8">
        <f t="shared" si="200"/>
        <v>2.4483528276733999</v>
      </c>
      <c r="AP687" s="8">
        <f t="shared" si="201"/>
        <v>0.83655050914752604</v>
      </c>
      <c r="AQ687" s="8"/>
      <c r="AR687" s="8">
        <f t="shared" si="202"/>
        <v>140.28028378460675</v>
      </c>
      <c r="AS687" s="8">
        <f t="shared" si="203"/>
        <v>42.069186476326593</v>
      </c>
    </row>
    <row r="688" spans="1:45">
      <c r="A688" s="19">
        <v>21.888533330000001</v>
      </c>
      <c r="B688" s="19">
        <v>926.30733299999997</v>
      </c>
      <c r="C688" s="19">
        <v>-397.76815800000003</v>
      </c>
      <c r="E688" s="9">
        <f t="shared" si="189"/>
        <v>-33.692667000000029</v>
      </c>
      <c r="F688" s="9">
        <f t="shared" si="194"/>
        <v>142.23184199999997</v>
      </c>
      <c r="I688">
        <v>1</v>
      </c>
      <c r="J688">
        <f t="shared" si="190"/>
        <v>9.5490907632498206E-2</v>
      </c>
      <c r="K688">
        <f t="shared" si="195"/>
        <v>1.8033943979253522</v>
      </c>
      <c r="O688">
        <f t="shared" si="196"/>
        <v>-2.1977829484371311E-2</v>
      </c>
      <c r="P688">
        <f t="shared" si="197"/>
        <v>9.2778264502600502E-2</v>
      </c>
      <c r="Q688">
        <f t="shared" si="198"/>
        <v>0.99544420669721179</v>
      </c>
      <c r="R688">
        <f t="shared" si="188"/>
        <v>1</v>
      </c>
      <c r="AG688" s="8">
        <f t="shared" si="191"/>
        <v>-0.57080016556031132</v>
      </c>
      <c r="AH688" s="8">
        <f t="shared" si="192"/>
        <v>0.47460128188343675</v>
      </c>
      <c r="AI688" s="8">
        <f t="shared" si="193"/>
        <v>0.67003044276429691</v>
      </c>
      <c r="AJ688" s="8"/>
      <c r="AK688" s="8"/>
      <c r="AL688" s="8"/>
      <c r="AN688" s="8">
        <f t="shared" si="199"/>
        <v>1</v>
      </c>
      <c r="AO688" s="8">
        <f t="shared" si="200"/>
        <v>2.4479570587113275</v>
      </c>
      <c r="AP688" s="8">
        <f t="shared" si="201"/>
        <v>0.83654653055516814</v>
      </c>
      <c r="AQ688" s="8"/>
      <c r="AR688" s="8">
        <f t="shared" si="202"/>
        <v>140.25760789341774</v>
      </c>
      <c r="AS688" s="8">
        <f t="shared" si="203"/>
        <v>42.069414432877103</v>
      </c>
    </row>
    <row r="689" spans="1:45">
      <c r="A689" s="19">
        <v>21.921900000000001</v>
      </c>
      <c r="B689" s="19">
        <v>925.56210490000001</v>
      </c>
      <c r="C689" s="19">
        <v>-397.6544543</v>
      </c>
      <c r="E689" s="9">
        <f t="shared" si="189"/>
        <v>-34.437895099999992</v>
      </c>
      <c r="F689" s="9">
        <f t="shared" si="194"/>
        <v>142.3455457</v>
      </c>
      <c r="I689">
        <v>1</v>
      </c>
      <c r="J689">
        <f t="shared" si="190"/>
        <v>9.567721899913445E-2</v>
      </c>
      <c r="K689">
        <f t="shared" si="195"/>
        <v>1.8081669675458545</v>
      </c>
      <c r="O689">
        <f t="shared" si="196"/>
        <v>-2.2463978959530236E-2</v>
      </c>
      <c r="P689">
        <f t="shared" si="197"/>
        <v>9.2852578077213851E-2</v>
      </c>
      <c r="Q689">
        <f t="shared" si="198"/>
        <v>0.99542642540457038</v>
      </c>
      <c r="R689">
        <f t="shared" si="188"/>
        <v>1</v>
      </c>
      <c r="AG689" s="8">
        <f t="shared" si="191"/>
        <v>-0.57051412689001058</v>
      </c>
      <c r="AH689" s="8">
        <f t="shared" si="192"/>
        <v>0.47499984797687361</v>
      </c>
      <c r="AI689" s="8">
        <f t="shared" si="193"/>
        <v>0.66999162341097662</v>
      </c>
      <c r="AJ689" s="8"/>
      <c r="AK689" s="8"/>
      <c r="AL689" s="8"/>
      <c r="AN689" s="8">
        <f t="shared" si="199"/>
        <v>1</v>
      </c>
      <c r="AO689" s="8">
        <f t="shared" si="200"/>
        <v>2.4472978939788543</v>
      </c>
      <c r="AP689" s="8">
        <f t="shared" si="201"/>
        <v>0.8365988229963417</v>
      </c>
      <c r="AQ689" s="8"/>
      <c r="AR689" s="8">
        <f t="shared" si="202"/>
        <v>140.21984053624317</v>
      </c>
      <c r="AS689" s="8">
        <f t="shared" si="203"/>
        <v>42.066418296697421</v>
      </c>
    </row>
    <row r="690" spans="1:45">
      <c r="A690" s="19">
        <v>21.95526667</v>
      </c>
      <c r="B690" s="19">
        <v>925.07821739999997</v>
      </c>
      <c r="C690" s="19">
        <v>-397.57842210000001</v>
      </c>
      <c r="E690" s="9">
        <f t="shared" si="189"/>
        <v>-34.921782600000029</v>
      </c>
      <c r="F690" s="9">
        <f t="shared" si="194"/>
        <v>142.42157789999999</v>
      </c>
      <c r="I690">
        <v>1</v>
      </c>
      <c r="J690">
        <f t="shared" si="190"/>
        <v>9.580076270975639E-2</v>
      </c>
      <c r="K690">
        <f t="shared" si="195"/>
        <v>1.8112523431321488</v>
      </c>
      <c r="O690">
        <f t="shared" si="196"/>
        <v>-2.2779643309240444E-2</v>
      </c>
      <c r="P690">
        <f t="shared" si="197"/>
        <v>9.2902266223408664E-2</v>
      </c>
      <c r="Q690">
        <f t="shared" si="198"/>
        <v>0.99541461551519261</v>
      </c>
      <c r="R690">
        <f t="shared" si="188"/>
        <v>1</v>
      </c>
      <c r="AG690" s="8">
        <f t="shared" si="191"/>
        <v>-0.57032735907018128</v>
      </c>
      <c r="AH690" s="8">
        <f t="shared" si="192"/>
        <v>0.4752582701861589</v>
      </c>
      <c r="AI690" s="8">
        <f t="shared" si="193"/>
        <v>0.6699673724262194</v>
      </c>
      <c r="AJ690" s="8"/>
      <c r="AK690" s="8"/>
      <c r="AL690" s="8"/>
      <c r="AN690" s="8">
        <f t="shared" si="199"/>
        <v>1</v>
      </c>
      <c r="AO690" s="8">
        <f t="shared" si="200"/>
        <v>2.4468694119554453</v>
      </c>
      <c r="AP690" s="8">
        <f t="shared" si="201"/>
        <v>0.83663148955226485</v>
      </c>
      <c r="AQ690" s="8"/>
      <c r="AR690" s="8">
        <f t="shared" si="202"/>
        <v>140.19529032470459</v>
      </c>
      <c r="AS690" s="8">
        <f t="shared" si="203"/>
        <v>42.064546640911793</v>
      </c>
    </row>
    <row r="691" spans="1:45">
      <c r="A691" s="19">
        <v>21.988633329999999</v>
      </c>
      <c r="B691" s="19">
        <v>924.52100270000005</v>
      </c>
      <c r="C691" s="19">
        <v>-397.27825460000003</v>
      </c>
      <c r="E691" s="9">
        <f t="shared" si="189"/>
        <v>-35.478997299999946</v>
      </c>
      <c r="F691" s="9">
        <f t="shared" si="194"/>
        <v>142.72174539999997</v>
      </c>
      <c r="I691">
        <v>1</v>
      </c>
      <c r="J691">
        <f t="shared" si="190"/>
        <v>9.6079463902333295E-2</v>
      </c>
      <c r="K691">
        <f t="shared" si="195"/>
        <v>1.8144461625241575</v>
      </c>
      <c r="O691">
        <f t="shared" si="196"/>
        <v>-2.3143166104588345E-2</v>
      </c>
      <c r="P691">
        <f t="shared" si="197"/>
        <v>9.3098264096910466E-2</v>
      </c>
      <c r="Q691">
        <f t="shared" si="198"/>
        <v>0.99538791789171188</v>
      </c>
      <c r="R691">
        <f t="shared" si="188"/>
        <v>1</v>
      </c>
      <c r="AG691" s="8">
        <f t="shared" si="191"/>
        <v>-0.57001982991282241</v>
      </c>
      <c r="AH691" s="8">
        <f t="shared" si="192"/>
        <v>0.47552571419729439</v>
      </c>
      <c r="AI691" s="8">
        <f t="shared" si="193"/>
        <v>0.67003931872936395</v>
      </c>
      <c r="AJ691" s="8"/>
      <c r="AK691" s="8"/>
      <c r="AL691" s="8"/>
      <c r="AN691" s="8">
        <f t="shared" si="199"/>
        <v>1</v>
      </c>
      <c r="AO691" s="8">
        <f t="shared" si="200"/>
        <v>2.4463274252775866</v>
      </c>
      <c r="AP691" s="8">
        <f t="shared" si="201"/>
        <v>0.83653457364966732</v>
      </c>
      <c r="AQ691" s="8"/>
      <c r="AR691" s="8">
        <f t="shared" si="202"/>
        <v>140.16423677551097</v>
      </c>
      <c r="AS691" s="8">
        <f t="shared" si="203"/>
        <v>42.070099513098334</v>
      </c>
    </row>
    <row r="692" spans="1:45">
      <c r="A692" s="19">
        <v>22.021999999999998</v>
      </c>
      <c r="B692" s="19">
        <v>924.17581770000004</v>
      </c>
      <c r="C692" s="19">
        <v>-396.76686769999998</v>
      </c>
      <c r="E692" s="9">
        <f t="shared" si="189"/>
        <v>-35.824182299999961</v>
      </c>
      <c r="F692" s="9">
        <f t="shared" si="194"/>
        <v>143.23313230000002</v>
      </c>
      <c r="I692">
        <v>1</v>
      </c>
      <c r="J692">
        <f t="shared" si="190"/>
        <v>9.6459625000339347E-2</v>
      </c>
      <c r="K692">
        <f t="shared" si="195"/>
        <v>1.8158794600632262</v>
      </c>
      <c r="O692">
        <f t="shared" si="196"/>
        <v>-2.3368393830522766E-2</v>
      </c>
      <c r="P692">
        <f t="shared" si="197"/>
        <v>9.3432090567654794E-2</v>
      </c>
      <c r="Q692">
        <f t="shared" si="198"/>
        <v>0.99535137646056382</v>
      </c>
      <c r="R692">
        <f t="shared" si="188"/>
        <v>1</v>
      </c>
      <c r="AG692" s="8">
        <f t="shared" si="191"/>
        <v>-0.56968783877089424</v>
      </c>
      <c r="AH692" s="8">
        <f t="shared" si="192"/>
        <v>0.47564527967352044</v>
      </c>
      <c r="AI692" s="8">
        <f t="shared" si="193"/>
        <v>0.67023677478995891</v>
      </c>
      <c r="AJ692" s="8"/>
      <c r="AK692" s="8"/>
      <c r="AL692" s="8"/>
      <c r="AN692" s="8">
        <f t="shared" si="199"/>
        <v>0.99999999999999989</v>
      </c>
      <c r="AO692" s="8">
        <f t="shared" si="200"/>
        <v>2.4459171532122812</v>
      </c>
      <c r="AP692" s="8">
        <f t="shared" si="201"/>
        <v>0.83626854514414517</v>
      </c>
      <c r="AQ692" s="8"/>
      <c r="AR692" s="8">
        <f t="shared" si="202"/>
        <v>140.14072991771687</v>
      </c>
      <c r="AS692" s="8">
        <f t="shared" si="203"/>
        <v>42.085341823694925</v>
      </c>
    </row>
    <row r="693" spans="1:45">
      <c r="A693" s="19">
        <v>22.055366670000002</v>
      </c>
      <c r="B693" s="19">
        <v>923.45965790000002</v>
      </c>
      <c r="C693" s="19">
        <v>-396.69717830000002</v>
      </c>
      <c r="E693" s="9">
        <f t="shared" si="189"/>
        <v>-36.540342099999975</v>
      </c>
      <c r="F693" s="9">
        <f t="shared" si="194"/>
        <v>143.30282169999998</v>
      </c>
      <c r="I693">
        <v>1</v>
      </c>
      <c r="J693">
        <f t="shared" si="190"/>
        <v>9.6618927799848209E-2</v>
      </c>
      <c r="K693">
        <f t="shared" si="195"/>
        <v>1.8204630065226999</v>
      </c>
      <c r="O693">
        <f t="shared" si="196"/>
        <v>-2.3835574605100347E-2</v>
      </c>
      <c r="P693">
        <f t="shared" si="197"/>
        <v>9.3477644199498194E-2</v>
      </c>
      <c r="Q693">
        <f t="shared" si="198"/>
        <v>0.99533602136070443</v>
      </c>
      <c r="R693">
        <f t="shared" si="188"/>
        <v>1</v>
      </c>
      <c r="AG693" s="8">
        <f t="shared" si="191"/>
        <v>-0.56942973409632891</v>
      </c>
      <c r="AH693" s="8">
        <f t="shared" si="192"/>
        <v>0.47603357868900825</v>
      </c>
      <c r="AI693" s="8">
        <f t="shared" si="193"/>
        <v>0.67018043084494772</v>
      </c>
      <c r="AJ693" s="8"/>
      <c r="AK693" s="8"/>
      <c r="AL693" s="8"/>
      <c r="AN693" s="8">
        <f t="shared" si="199"/>
        <v>0.99999999999999978</v>
      </c>
      <c r="AO693" s="8">
        <f t="shared" si="200"/>
        <v>2.4452926747020789</v>
      </c>
      <c r="AP693" s="8">
        <f t="shared" si="201"/>
        <v>0.83634446270258578</v>
      </c>
      <c r="AQ693" s="8"/>
      <c r="AR693" s="8">
        <f t="shared" si="202"/>
        <v>140.10494993468564</v>
      </c>
      <c r="AS693" s="8">
        <f t="shared" si="203"/>
        <v>42.080992068005344</v>
      </c>
    </row>
    <row r="694" spans="1:45">
      <c r="A694" s="19">
        <v>22.08873333</v>
      </c>
      <c r="B694" s="19">
        <v>922.58817020000004</v>
      </c>
      <c r="C694" s="19">
        <v>-396.67728319999998</v>
      </c>
      <c r="E694" s="9">
        <f t="shared" si="189"/>
        <v>-37.411829799999964</v>
      </c>
      <c r="F694" s="9">
        <f t="shared" si="194"/>
        <v>143.32271680000002</v>
      </c>
      <c r="I694">
        <v>1</v>
      </c>
      <c r="J694">
        <f t="shared" si="190"/>
        <v>9.6774332048130463E-2</v>
      </c>
      <c r="K694">
        <f t="shared" si="195"/>
        <v>1.8261308903232905</v>
      </c>
      <c r="O694">
        <f t="shared" si="196"/>
        <v>-2.4404076297090203E-2</v>
      </c>
      <c r="P694">
        <f t="shared" si="197"/>
        <v>9.3490709612216241E-2</v>
      </c>
      <c r="Q694">
        <f t="shared" si="198"/>
        <v>0.99532101770046533</v>
      </c>
      <c r="R694">
        <f t="shared" si="188"/>
        <v>1</v>
      </c>
      <c r="AG694" s="8">
        <f t="shared" si="191"/>
        <v>-0.56914367250847975</v>
      </c>
      <c r="AH694" s="8">
        <f t="shared" si="192"/>
        <v>0.47651514791920657</v>
      </c>
      <c r="AI694" s="8">
        <f t="shared" si="193"/>
        <v>0.67008118451953036</v>
      </c>
      <c r="AJ694" s="8"/>
      <c r="AK694" s="8"/>
      <c r="AL694" s="8"/>
      <c r="AN694" s="8">
        <f t="shared" si="199"/>
        <v>0.99999999999999989</v>
      </c>
      <c r="AO694" s="8">
        <f t="shared" si="200"/>
        <v>2.4445477547476337</v>
      </c>
      <c r="AP694" s="8">
        <f t="shared" si="201"/>
        <v>0.83647817406532121</v>
      </c>
      <c r="AQ694" s="8"/>
      <c r="AR694" s="8">
        <f t="shared" si="202"/>
        <v>140.06226916522087</v>
      </c>
      <c r="AS694" s="8">
        <f t="shared" si="203"/>
        <v>42.073330971247657</v>
      </c>
    </row>
    <row r="695" spans="1:45">
      <c r="A695" s="19">
        <v>22.1221</v>
      </c>
      <c r="B695" s="19">
        <v>922.06627779999997</v>
      </c>
      <c r="C695" s="19">
        <v>-396.65458100000001</v>
      </c>
      <c r="E695" s="9">
        <f t="shared" si="189"/>
        <v>-37.933722200000034</v>
      </c>
      <c r="F695" s="9">
        <f t="shared" si="194"/>
        <v>143.34541899999999</v>
      </c>
      <c r="I695">
        <v>1</v>
      </c>
      <c r="J695">
        <f t="shared" si="190"/>
        <v>9.6875723908344438E-2</v>
      </c>
      <c r="K695">
        <f t="shared" si="195"/>
        <v>1.8294977641204762</v>
      </c>
      <c r="O695">
        <f t="shared" si="196"/>
        <v>-2.4744525924204796E-2</v>
      </c>
      <c r="P695">
        <f t="shared" si="197"/>
        <v>9.3505573164172559E-2</v>
      </c>
      <c r="Q695">
        <f t="shared" si="198"/>
        <v>0.99531121576320336</v>
      </c>
      <c r="R695">
        <f t="shared" si="188"/>
        <v>1</v>
      </c>
      <c r="AG695" s="8">
        <f t="shared" si="191"/>
        <v>-0.56896757644793194</v>
      </c>
      <c r="AH695" s="8">
        <f t="shared" si="192"/>
        <v>0.47680193564657819</v>
      </c>
      <c r="AI695" s="8">
        <f t="shared" si="193"/>
        <v>0.67002672417944875</v>
      </c>
      <c r="AJ695" s="8"/>
      <c r="AK695" s="8"/>
      <c r="AL695" s="8"/>
      <c r="AN695" s="8">
        <f t="shared" si="199"/>
        <v>1</v>
      </c>
      <c r="AO695" s="8">
        <f t="shared" si="200"/>
        <v>2.4440992548434251</v>
      </c>
      <c r="AP695" s="8">
        <f t="shared" si="201"/>
        <v>0.8365515398614064</v>
      </c>
      <c r="AQ695" s="8"/>
      <c r="AR695" s="8">
        <f t="shared" si="202"/>
        <v>140.03657201359769</v>
      </c>
      <c r="AS695" s="8">
        <f t="shared" si="203"/>
        <v>42.069127420771359</v>
      </c>
    </row>
    <row r="696" spans="1:45">
      <c r="A696" s="19">
        <v>22.155466669999999</v>
      </c>
      <c r="B696" s="19">
        <v>921.49493840000002</v>
      </c>
      <c r="C696" s="19">
        <v>-396.62716569999998</v>
      </c>
      <c r="E696" s="9">
        <f t="shared" si="189"/>
        <v>-38.505061599999976</v>
      </c>
      <c r="F696" s="9">
        <f t="shared" si="194"/>
        <v>143.37283430000002</v>
      </c>
      <c r="I696">
        <v>1</v>
      </c>
      <c r="J696">
        <f t="shared" si="190"/>
        <v>9.6989604764056839E-2</v>
      </c>
      <c r="K696">
        <f t="shared" si="195"/>
        <v>1.8331710694518675</v>
      </c>
      <c r="O696">
        <f t="shared" si="196"/>
        <v>-2.5117231890857208E-2</v>
      </c>
      <c r="P696">
        <f t="shared" si="197"/>
        <v>9.3523515515231678E-2</v>
      </c>
      <c r="Q696">
        <f t="shared" si="198"/>
        <v>0.99530019426694227</v>
      </c>
      <c r="R696">
        <f t="shared" si="188"/>
        <v>1</v>
      </c>
      <c r="AG696" s="8">
        <f t="shared" si="191"/>
        <v>-0.56877359783346004</v>
      </c>
      <c r="AH696" s="8">
        <f t="shared" si="192"/>
        <v>0.47711546930656834</v>
      </c>
      <c r="AI696" s="8">
        <f t="shared" si="193"/>
        <v>0.66996822563159997</v>
      </c>
      <c r="AJ696" s="8"/>
      <c r="AK696" s="8"/>
      <c r="AL696" s="8"/>
      <c r="AN696" s="8">
        <f t="shared" si="199"/>
        <v>0.99999999999999989</v>
      </c>
      <c r="AO696" s="8">
        <f t="shared" si="200"/>
        <v>2.4436077320446588</v>
      </c>
      <c r="AP696" s="8">
        <f t="shared" si="201"/>
        <v>0.83663034028409344</v>
      </c>
      <c r="AQ696" s="8"/>
      <c r="AR696" s="8">
        <f t="shared" si="202"/>
        <v>140.00840983169391</v>
      </c>
      <c r="AS696" s="8">
        <f t="shared" si="203"/>
        <v>42.064612489127548</v>
      </c>
    </row>
    <row r="697" spans="1:45">
      <c r="A697" s="19">
        <v>22.188833330000001</v>
      </c>
      <c r="B697" s="19">
        <v>920.96124299999997</v>
      </c>
      <c r="C697" s="19">
        <v>-396.65622250000001</v>
      </c>
      <c r="E697" s="9">
        <f t="shared" si="189"/>
        <v>-39.038757000000032</v>
      </c>
      <c r="F697" s="9">
        <f t="shared" si="194"/>
        <v>143.34377749999999</v>
      </c>
      <c r="I697">
        <v>1</v>
      </c>
      <c r="J697">
        <f t="shared" si="190"/>
        <v>9.706257828968741E-2</v>
      </c>
      <c r="K697">
        <f t="shared" si="195"/>
        <v>1.8366912083139377</v>
      </c>
      <c r="O697">
        <f t="shared" si="196"/>
        <v>-2.546537662348284E-2</v>
      </c>
      <c r="P697">
        <f t="shared" si="197"/>
        <v>9.3504598024732821E-2</v>
      </c>
      <c r="Q697">
        <f t="shared" si="198"/>
        <v>0.99529312503485989</v>
      </c>
      <c r="R697">
        <f t="shared" si="188"/>
        <v>1</v>
      </c>
      <c r="AG697" s="8">
        <f t="shared" si="191"/>
        <v>-0.56861607830959593</v>
      </c>
      <c r="AH697" s="8">
        <f t="shared" si="192"/>
        <v>0.4774160275020759</v>
      </c>
      <c r="AI697" s="8">
        <f t="shared" si="193"/>
        <v>0.66988782058785967</v>
      </c>
      <c r="AJ697" s="8"/>
      <c r="AK697" s="8"/>
      <c r="AL697" s="8"/>
      <c r="AN697" s="8">
        <f t="shared" si="199"/>
        <v>1</v>
      </c>
      <c r="AO697" s="8">
        <f t="shared" si="200"/>
        <v>2.4431612404524339</v>
      </c>
      <c r="AP697" s="8">
        <f t="shared" si="201"/>
        <v>0.83673864069135173</v>
      </c>
      <c r="AQ697" s="8"/>
      <c r="AR697" s="8">
        <f t="shared" si="202"/>
        <v>139.98282774787137</v>
      </c>
      <c r="AS697" s="8">
        <f t="shared" si="203"/>
        <v>42.0584073328721</v>
      </c>
    </row>
    <row r="698" spans="1:45">
      <c r="A698" s="19">
        <v>22.222200000000001</v>
      </c>
      <c r="B698" s="19">
        <v>920.31831269999998</v>
      </c>
      <c r="C698" s="19">
        <v>-396.32307659999998</v>
      </c>
      <c r="E698" s="9">
        <f t="shared" si="189"/>
        <v>-39.681687300000021</v>
      </c>
      <c r="F698" s="9">
        <f t="shared" si="194"/>
        <v>143.67692340000002</v>
      </c>
      <c r="I698">
        <v>1</v>
      </c>
      <c r="J698">
        <f t="shared" si="190"/>
        <v>9.7384757815618866E-2</v>
      </c>
      <c r="K698">
        <f t="shared" si="195"/>
        <v>1.840265674848089</v>
      </c>
      <c r="O698">
        <f t="shared" si="196"/>
        <v>-2.5884807857589325E-2</v>
      </c>
      <c r="P698">
        <f t="shared" si="197"/>
        <v>9.3722061959259959E-2</v>
      </c>
      <c r="Q698">
        <f t="shared" si="198"/>
        <v>0.99526185088361563</v>
      </c>
      <c r="R698">
        <f t="shared" si="188"/>
        <v>1</v>
      </c>
      <c r="AG698" s="8">
        <f t="shared" si="191"/>
        <v>-0.56826620724612897</v>
      </c>
      <c r="AH698" s="8">
        <f t="shared" si="192"/>
        <v>0.47772587821844481</v>
      </c>
      <c r="AI698" s="8">
        <f t="shared" si="193"/>
        <v>0.66996380721835658</v>
      </c>
      <c r="AJ698" s="8"/>
      <c r="AK698" s="8"/>
      <c r="AL698" s="8"/>
      <c r="AN698" s="8">
        <f t="shared" si="199"/>
        <v>1</v>
      </c>
      <c r="AO698" s="8">
        <f t="shared" si="200"/>
        <v>2.4425385616639663</v>
      </c>
      <c r="AP698" s="8">
        <f t="shared" si="201"/>
        <v>0.8366362918765482</v>
      </c>
      <c r="AQ698" s="8"/>
      <c r="AR698" s="8">
        <f t="shared" si="202"/>
        <v>139.94715088129985</v>
      </c>
      <c r="AS698" s="8">
        <f t="shared" si="203"/>
        <v>42.064271487998504</v>
      </c>
    </row>
    <row r="699" spans="1:45">
      <c r="A699" s="19">
        <v>22.25556667</v>
      </c>
      <c r="B699" s="19">
        <v>919.5867786</v>
      </c>
      <c r="C699" s="19">
        <v>-395.94962729999997</v>
      </c>
      <c r="E699" s="9">
        <f t="shared" si="189"/>
        <v>-40.413221399999998</v>
      </c>
      <c r="F699" s="9">
        <f t="shared" si="194"/>
        <v>144.05037270000003</v>
      </c>
      <c r="I699">
        <v>1</v>
      </c>
      <c r="J699">
        <f t="shared" si="190"/>
        <v>9.7749293407647403E-2</v>
      </c>
      <c r="K699">
        <f t="shared" si="195"/>
        <v>1.8443142596946025</v>
      </c>
      <c r="O699">
        <f t="shared" si="196"/>
        <v>-2.6362036545347838E-2</v>
      </c>
      <c r="P699">
        <f t="shared" si="197"/>
        <v>9.3965812621123551E-2</v>
      </c>
      <c r="Q699">
        <f t="shared" si="198"/>
        <v>0.99522634063193571</v>
      </c>
      <c r="R699">
        <f t="shared" si="188"/>
        <v>1</v>
      </c>
      <c r="AG699" s="8">
        <f t="shared" si="191"/>
        <v>-0.56787039999183431</v>
      </c>
      <c r="AH699" s="8">
        <f t="shared" si="192"/>
        <v>0.47807909616003141</v>
      </c>
      <c r="AI699" s="8">
        <f t="shared" si="193"/>
        <v>0.67004745102710572</v>
      </c>
      <c r="AJ699" s="8"/>
      <c r="AK699" s="8"/>
      <c r="AL699" s="8"/>
      <c r="AN699" s="8">
        <f t="shared" si="199"/>
        <v>1</v>
      </c>
      <c r="AO699" s="8">
        <f t="shared" si="200"/>
        <v>2.4418312225977057</v>
      </c>
      <c r="AP699" s="8">
        <f t="shared" si="201"/>
        <v>0.83652361843292733</v>
      </c>
      <c r="AQ699" s="8"/>
      <c r="AR699" s="8">
        <f t="shared" si="202"/>
        <v>139.90662333811838</v>
      </c>
      <c r="AS699" s="8">
        <f t="shared" si="203"/>
        <v>42.070727200781185</v>
      </c>
    </row>
    <row r="700" spans="1:45">
      <c r="A700" s="19">
        <v>22.288933329999999</v>
      </c>
      <c r="B700" s="19">
        <v>919.18073379999998</v>
      </c>
      <c r="C700" s="19">
        <v>-395.8205853</v>
      </c>
      <c r="E700" s="9">
        <f t="shared" si="189"/>
        <v>-40.819266200000015</v>
      </c>
      <c r="F700" s="9">
        <f t="shared" si="194"/>
        <v>144.1794147</v>
      </c>
      <c r="I700">
        <v>1</v>
      </c>
      <c r="J700">
        <f t="shared" si="190"/>
        <v>9.7902952717194444E-2</v>
      </c>
      <c r="K700">
        <f t="shared" si="195"/>
        <v>1.8466906559581151</v>
      </c>
      <c r="O700">
        <f t="shared" si="196"/>
        <v>-2.6626919731484983E-2</v>
      </c>
      <c r="P700">
        <f t="shared" si="197"/>
        <v>9.4050042039937151E-2</v>
      </c>
      <c r="Q700">
        <f t="shared" si="198"/>
        <v>0.9952113327017027</v>
      </c>
      <c r="R700">
        <f t="shared" si="188"/>
        <v>1</v>
      </c>
      <c r="AG700" s="8">
        <f t="shared" si="191"/>
        <v>-0.567684649589139</v>
      </c>
      <c r="AH700" s="8">
        <f t="shared" si="192"/>
        <v>0.47828618899596542</v>
      </c>
      <c r="AI700" s="8">
        <f t="shared" si="193"/>
        <v>0.67005705729928122</v>
      </c>
      <c r="AJ700" s="8"/>
      <c r="AK700" s="8"/>
      <c r="AL700" s="8"/>
      <c r="AN700" s="8">
        <f t="shared" si="199"/>
        <v>1.0000000000000002</v>
      </c>
      <c r="AO700" s="8">
        <f t="shared" si="200"/>
        <v>2.4414566417404204</v>
      </c>
      <c r="AP700" s="8">
        <f t="shared" si="201"/>
        <v>0.83651067744969254</v>
      </c>
      <c r="AQ700" s="8"/>
      <c r="AR700" s="8">
        <f t="shared" si="202"/>
        <v>139.88516143590954</v>
      </c>
      <c r="AS700" s="8">
        <f t="shared" si="203"/>
        <v>42.071468664503293</v>
      </c>
    </row>
    <row r="701" spans="1:45">
      <c r="A701" s="19">
        <v>22.322299999999998</v>
      </c>
      <c r="B701" s="19">
        <v>918.48052419999999</v>
      </c>
      <c r="C701" s="19">
        <v>-395.63808330000001</v>
      </c>
      <c r="E701" s="9">
        <f t="shared" si="189"/>
        <v>-41.519475800000009</v>
      </c>
      <c r="F701" s="9">
        <f t="shared" si="194"/>
        <v>144.36191669999999</v>
      </c>
      <c r="I701">
        <v>1</v>
      </c>
      <c r="J701">
        <f t="shared" si="190"/>
        <v>9.814400354079604E-2</v>
      </c>
      <c r="K701">
        <f t="shared" si="195"/>
        <v>1.8508448369097379</v>
      </c>
      <c r="O701">
        <f t="shared" si="196"/>
        <v>-2.7083696902466911E-2</v>
      </c>
      <c r="P701">
        <f t="shared" si="197"/>
        <v>9.4169165694572121E-2</v>
      </c>
      <c r="Q701">
        <f t="shared" si="198"/>
        <v>0.99518774188315018</v>
      </c>
      <c r="R701">
        <f t="shared" si="188"/>
        <v>1</v>
      </c>
      <c r="AG701" s="8">
        <f t="shared" si="191"/>
        <v>-0.56738162341846299</v>
      </c>
      <c r="AH701" s="8">
        <f t="shared" si="192"/>
        <v>0.47864890376901076</v>
      </c>
      <c r="AI701" s="8">
        <f t="shared" si="193"/>
        <v>0.67005471442842168</v>
      </c>
      <c r="AJ701" s="8"/>
      <c r="AK701" s="8"/>
      <c r="AL701" s="8"/>
      <c r="AN701" s="8">
        <f t="shared" si="199"/>
        <v>1</v>
      </c>
      <c r="AO701" s="8">
        <f t="shared" si="200"/>
        <v>2.4408199359739662</v>
      </c>
      <c r="AP701" s="8">
        <f t="shared" si="201"/>
        <v>0.83651383363617704</v>
      </c>
      <c r="AQ701" s="8"/>
      <c r="AR701" s="8">
        <f t="shared" si="202"/>
        <v>139.84868088270008</v>
      </c>
      <c r="AS701" s="8">
        <f t="shared" si="203"/>
        <v>42.07128782833837</v>
      </c>
    </row>
    <row r="702" spans="1:45">
      <c r="A702" s="19">
        <v>22.355666670000002</v>
      </c>
      <c r="B702" s="19">
        <v>917.59492030000001</v>
      </c>
      <c r="C702" s="19">
        <v>-395.5801879</v>
      </c>
      <c r="E702" s="9">
        <f t="shared" si="189"/>
        <v>-42.405079699999987</v>
      </c>
      <c r="F702" s="9">
        <f t="shared" si="194"/>
        <v>144.4198121</v>
      </c>
      <c r="I702">
        <v>1</v>
      </c>
      <c r="J702">
        <f t="shared" si="190"/>
        <v>9.8342497581005744E-2</v>
      </c>
      <c r="K702">
        <f t="shared" si="195"/>
        <v>1.8563930884351945</v>
      </c>
      <c r="O702">
        <f t="shared" si="196"/>
        <v>-2.7661403670027649E-2</v>
      </c>
      <c r="P702">
        <f t="shared" si="197"/>
        <v>9.4206985311895239E-2</v>
      </c>
      <c r="Q702">
        <f t="shared" si="198"/>
        <v>0.99516827253758855</v>
      </c>
      <c r="R702">
        <f t="shared" si="188"/>
        <v>1</v>
      </c>
      <c r="AG702" s="8">
        <f t="shared" si="191"/>
        <v>-0.56707336029843836</v>
      </c>
      <c r="AH702" s="8">
        <f t="shared" si="192"/>
        <v>0.47913203372868968</v>
      </c>
      <c r="AI702" s="8">
        <f t="shared" si="193"/>
        <v>0.66997037120670289</v>
      </c>
      <c r="AJ702" s="8"/>
      <c r="AK702" s="8"/>
      <c r="AL702" s="8"/>
      <c r="AN702" s="8">
        <f t="shared" si="199"/>
        <v>1</v>
      </c>
      <c r="AO702" s="8">
        <f t="shared" si="200"/>
        <v>2.440054772173283</v>
      </c>
      <c r="AP702" s="8">
        <f t="shared" si="201"/>
        <v>0.83662745018784501</v>
      </c>
      <c r="AQ702" s="8"/>
      <c r="AR702" s="8">
        <f t="shared" si="202"/>
        <v>139.80484022628474</v>
      </c>
      <c r="AS702" s="8">
        <f t="shared" si="203"/>
        <v>42.06477807944497</v>
      </c>
    </row>
    <row r="703" spans="1:45">
      <c r="A703" s="19">
        <v>22.38903333</v>
      </c>
      <c r="B703" s="19">
        <v>917.08720630000005</v>
      </c>
      <c r="C703" s="19">
        <v>-395.51162160000001</v>
      </c>
      <c r="E703" s="9">
        <f t="shared" si="189"/>
        <v>-42.912793699999952</v>
      </c>
      <c r="F703" s="9">
        <f t="shared" si="194"/>
        <v>144.48837839999999</v>
      </c>
      <c r="I703">
        <v>1</v>
      </c>
      <c r="J703">
        <f t="shared" si="190"/>
        <v>9.8479890967753253E-2</v>
      </c>
      <c r="K703">
        <f t="shared" si="195"/>
        <v>1.859496940460349</v>
      </c>
      <c r="O703">
        <f t="shared" si="196"/>
        <v>-2.7992602072395862E-2</v>
      </c>
      <c r="P703">
        <f t="shared" si="197"/>
        <v>9.4251744803950238E-2</v>
      </c>
      <c r="Q703">
        <f t="shared" si="198"/>
        <v>0.99515477330444813</v>
      </c>
      <c r="R703">
        <f t="shared" si="188"/>
        <v>1</v>
      </c>
      <c r="AG703" s="8">
        <f t="shared" si="191"/>
        <v>-0.56688115840235997</v>
      </c>
      <c r="AH703" s="8">
        <f t="shared" si="192"/>
        <v>0.47940392073954796</v>
      </c>
      <c r="AI703" s="8">
        <f t="shared" si="193"/>
        <v>0.669938529290522</v>
      </c>
      <c r="AJ703" s="8"/>
      <c r="AK703" s="8"/>
      <c r="AL703" s="8"/>
      <c r="AN703" s="8">
        <f t="shared" si="199"/>
        <v>1</v>
      </c>
      <c r="AO703" s="8">
        <f t="shared" si="200"/>
        <v>2.4396079518081639</v>
      </c>
      <c r="AP703" s="8">
        <f t="shared" si="201"/>
        <v>0.83667034057254142</v>
      </c>
      <c r="AQ703" s="8"/>
      <c r="AR703" s="8">
        <f t="shared" si="202"/>
        <v>139.77923930516292</v>
      </c>
      <c r="AS703" s="8">
        <f t="shared" si="203"/>
        <v>42.062320641420172</v>
      </c>
    </row>
    <row r="704" spans="1:45">
      <c r="A704" s="19">
        <v>22.4224</v>
      </c>
      <c r="B704" s="19">
        <v>916.4938075</v>
      </c>
      <c r="C704" s="19">
        <v>-395.48143149999999</v>
      </c>
      <c r="E704" s="9">
        <f t="shared" si="189"/>
        <v>-43.506192499999997</v>
      </c>
      <c r="F704" s="9">
        <f t="shared" si="194"/>
        <v>144.51856850000001</v>
      </c>
      <c r="I704">
        <v>1</v>
      </c>
      <c r="J704">
        <f t="shared" si="190"/>
        <v>9.8610314390588164E-2</v>
      </c>
      <c r="K704">
        <f t="shared" si="195"/>
        <v>1.8632090233903611</v>
      </c>
      <c r="O704">
        <f t="shared" si="196"/>
        <v>-2.8379692587318855E-2</v>
      </c>
      <c r="P704">
        <f t="shared" si="197"/>
        <v>9.4271466003130105E-2</v>
      </c>
      <c r="Q704">
        <f t="shared" si="198"/>
        <v>0.9951419415069741</v>
      </c>
      <c r="R704">
        <f t="shared" si="188"/>
        <v>1</v>
      </c>
      <c r="AG704" s="8">
        <f t="shared" si="191"/>
        <v>-0.56667814841144848</v>
      </c>
      <c r="AH704" s="8">
        <f t="shared" si="192"/>
        <v>0.47972871152257585</v>
      </c>
      <c r="AI704" s="8">
        <f t="shared" si="193"/>
        <v>0.66987777948955851</v>
      </c>
      <c r="AJ704" s="8"/>
      <c r="AK704" s="8"/>
      <c r="AL704" s="8"/>
      <c r="AN704" s="8">
        <f t="shared" si="199"/>
        <v>1</v>
      </c>
      <c r="AO704" s="8">
        <f t="shared" si="200"/>
        <v>2.4390973752513898</v>
      </c>
      <c r="AP704" s="8">
        <f t="shared" si="201"/>
        <v>0.83675216465973157</v>
      </c>
      <c r="AQ704" s="8"/>
      <c r="AR704" s="8">
        <f t="shared" si="202"/>
        <v>139.74998542334146</v>
      </c>
      <c r="AS704" s="8">
        <f t="shared" si="203"/>
        <v>42.057632466561664</v>
      </c>
    </row>
    <row r="705" spans="1:45">
      <c r="A705" s="19">
        <v>22.455766669999999</v>
      </c>
      <c r="B705" s="19">
        <v>915.98611249999999</v>
      </c>
      <c r="C705" s="19">
        <v>-395.38721320000002</v>
      </c>
      <c r="E705" s="9">
        <f t="shared" si="189"/>
        <v>-44.01388750000001</v>
      </c>
      <c r="F705" s="9">
        <f t="shared" si="194"/>
        <v>144.61278679999998</v>
      </c>
      <c r="I705">
        <v>1</v>
      </c>
      <c r="J705">
        <f t="shared" si="190"/>
        <v>9.8765873116352279E-2</v>
      </c>
      <c r="K705">
        <f t="shared" si="195"/>
        <v>1.8662453927018978</v>
      </c>
      <c r="O705">
        <f t="shared" si="196"/>
        <v>-2.8710877876911262E-2</v>
      </c>
      <c r="P705">
        <f t="shared" si="197"/>
        <v>9.4332954826010409E-2</v>
      </c>
      <c r="Q705">
        <f t="shared" si="198"/>
        <v>0.99512661462013519</v>
      </c>
      <c r="R705">
        <f t="shared" si="188"/>
        <v>1</v>
      </c>
      <c r="AG705" s="8">
        <f t="shared" si="191"/>
        <v>-0.56647464925414759</v>
      </c>
      <c r="AH705" s="8">
        <f t="shared" si="192"/>
        <v>0.47999683381193248</v>
      </c>
      <c r="AI705" s="8">
        <f t="shared" si="193"/>
        <v>0.66985782915698666</v>
      </c>
      <c r="AJ705" s="8"/>
      <c r="AK705" s="8"/>
      <c r="AL705" s="8"/>
      <c r="AN705" s="8">
        <f t="shared" si="199"/>
        <v>1.0000000000000002</v>
      </c>
      <c r="AO705" s="8">
        <f t="shared" si="200"/>
        <v>2.438644674733891</v>
      </c>
      <c r="AP705" s="8">
        <f t="shared" si="201"/>
        <v>0.83677903450428193</v>
      </c>
      <c r="AQ705" s="8"/>
      <c r="AR705" s="8">
        <f t="shared" si="202"/>
        <v>139.72404759430538</v>
      </c>
      <c r="AS705" s="8">
        <f t="shared" si="203"/>
        <v>42.056092937872755</v>
      </c>
    </row>
    <row r="706" spans="1:45">
      <c r="A706" s="19">
        <v>22.489133330000001</v>
      </c>
      <c r="B706" s="19">
        <v>915.43725740000002</v>
      </c>
      <c r="C706" s="19">
        <v>-395.3300486</v>
      </c>
      <c r="E706" s="9">
        <f t="shared" si="189"/>
        <v>-44.562742599999979</v>
      </c>
      <c r="F706" s="9">
        <f t="shared" si="194"/>
        <v>144.6699514</v>
      </c>
      <c r="I706">
        <v>1</v>
      </c>
      <c r="J706">
        <f t="shared" si="190"/>
        <v>9.8907062235950263E-2</v>
      </c>
      <c r="K706">
        <f t="shared" si="195"/>
        <v>1.8696040784043981</v>
      </c>
      <c r="O706">
        <f t="shared" si="196"/>
        <v>-2.9068910637731021E-2</v>
      </c>
      <c r="P706">
        <f t="shared" si="197"/>
        <v>9.4370266367121952E-2</v>
      </c>
      <c r="Q706">
        <f t="shared" si="198"/>
        <v>0.99511268269484643</v>
      </c>
      <c r="R706">
        <f t="shared" si="188"/>
        <v>1</v>
      </c>
      <c r="AG706" s="8">
        <f t="shared" si="191"/>
        <v>-0.56627400600768152</v>
      </c>
      <c r="AH706" s="8">
        <f t="shared" si="192"/>
        <v>0.4802929742917465</v>
      </c>
      <c r="AI706" s="8">
        <f t="shared" si="193"/>
        <v>0.66981520508719417</v>
      </c>
      <c r="AJ706" s="8"/>
      <c r="AK706" s="8"/>
      <c r="AL706" s="8"/>
      <c r="AN706" s="8">
        <f t="shared" si="199"/>
        <v>1</v>
      </c>
      <c r="AO706" s="8">
        <f t="shared" si="200"/>
        <v>2.4381657066794373</v>
      </c>
      <c r="AP706" s="8">
        <f t="shared" si="201"/>
        <v>0.83683643999301038</v>
      </c>
      <c r="AQ706" s="8"/>
      <c r="AR706" s="8">
        <f t="shared" si="202"/>
        <v>139.6966047462636</v>
      </c>
      <c r="AS706" s="8">
        <f t="shared" si="203"/>
        <v>42.05280384564773</v>
      </c>
    </row>
    <row r="707" spans="1:45">
      <c r="A707" s="19">
        <v>22.522500000000001</v>
      </c>
      <c r="B707" s="19">
        <v>914.96511940000005</v>
      </c>
      <c r="C707" s="19">
        <v>-395.26502920000001</v>
      </c>
      <c r="E707" s="9">
        <f t="shared" si="189"/>
        <v>-45.034880599999951</v>
      </c>
      <c r="F707" s="9">
        <f t="shared" si="194"/>
        <v>144.73497079999999</v>
      </c>
      <c r="I707">
        <v>1</v>
      </c>
      <c r="J707">
        <f t="shared" si="190"/>
        <v>9.9039327303652891E-2</v>
      </c>
      <c r="K707">
        <f t="shared" si="195"/>
        <v>1.8724545742046679</v>
      </c>
      <c r="O707">
        <f t="shared" si="196"/>
        <v>-2.9376898391731868E-2</v>
      </c>
      <c r="P707">
        <f t="shared" si="197"/>
        <v>9.441269687571649E-2</v>
      </c>
      <c r="Q707">
        <f t="shared" si="198"/>
        <v>0.99509961336015795</v>
      </c>
      <c r="R707">
        <f t="shared" si="188"/>
        <v>1</v>
      </c>
      <c r="AG707" s="8">
        <f t="shared" si="191"/>
        <v>-0.56609445399690161</v>
      </c>
      <c r="AH707" s="8">
        <f t="shared" si="192"/>
        <v>0.48054542327539468</v>
      </c>
      <c r="AI707" s="8">
        <f t="shared" si="193"/>
        <v>0.66978591006606103</v>
      </c>
      <c r="AJ707" s="8"/>
      <c r="AK707" s="8"/>
      <c r="AL707" s="8"/>
      <c r="AN707" s="8">
        <f t="shared" si="199"/>
        <v>1</v>
      </c>
      <c r="AO707" s="8">
        <f t="shared" si="200"/>
        <v>2.4377500256813978</v>
      </c>
      <c r="AP707" s="8">
        <f t="shared" si="201"/>
        <v>0.83687589238568683</v>
      </c>
      <c r="AQ707" s="8"/>
      <c r="AR707" s="8">
        <f t="shared" si="202"/>
        <v>139.67278797945212</v>
      </c>
      <c r="AS707" s="8">
        <f t="shared" si="203"/>
        <v>42.05054339005568</v>
      </c>
    </row>
    <row r="708" spans="1:45">
      <c r="A708" s="19">
        <v>22.55586667</v>
      </c>
      <c r="B708" s="19">
        <v>914.24082680000004</v>
      </c>
      <c r="C708" s="19">
        <v>-395.17071349999998</v>
      </c>
      <c r="E708" s="9">
        <f t="shared" si="189"/>
        <v>-45.759173199999964</v>
      </c>
      <c r="F708" s="9">
        <f t="shared" si="194"/>
        <v>144.82928650000002</v>
      </c>
      <c r="I708">
        <v>1</v>
      </c>
      <c r="J708">
        <f t="shared" si="190"/>
        <v>9.924039835428082E-2</v>
      </c>
      <c r="K708">
        <f t="shared" si="195"/>
        <v>1.8768234221348188</v>
      </c>
      <c r="O708">
        <f t="shared" si="196"/>
        <v>-2.9849371205018016E-2</v>
      </c>
      <c r="P708">
        <f t="shared" si="197"/>
        <v>9.4474240502588708E-2</v>
      </c>
      <c r="Q708">
        <f t="shared" si="198"/>
        <v>0.99507971184228461</v>
      </c>
      <c r="R708">
        <f t="shared" si="188"/>
        <v>1</v>
      </c>
      <c r="AG708" s="8">
        <f t="shared" si="191"/>
        <v>-0.56582125310100273</v>
      </c>
      <c r="AH708" s="8">
        <f t="shared" si="192"/>
        <v>0.48093337833793348</v>
      </c>
      <c r="AI708" s="8">
        <f t="shared" si="193"/>
        <v>0.6697383034735831</v>
      </c>
      <c r="AJ708" s="8"/>
      <c r="AK708" s="8"/>
      <c r="AL708" s="8"/>
      <c r="AN708" s="8">
        <f t="shared" si="199"/>
        <v>1.0000000000000002</v>
      </c>
      <c r="AO708" s="8">
        <f t="shared" si="200"/>
        <v>2.4371136586863127</v>
      </c>
      <c r="AP708" s="8">
        <f t="shared" si="201"/>
        <v>0.83694000246947109</v>
      </c>
      <c r="AQ708" s="8"/>
      <c r="AR708" s="8">
        <f t="shared" si="202"/>
        <v>139.63632683641234</v>
      </c>
      <c r="AS708" s="8">
        <f t="shared" si="203"/>
        <v>42.046870152830607</v>
      </c>
    </row>
    <row r="709" spans="1:45">
      <c r="A709" s="19">
        <v>22.589233329999999</v>
      </c>
      <c r="B709" s="19">
        <v>913.44588739999995</v>
      </c>
      <c r="C709" s="19">
        <v>-394.95740039999998</v>
      </c>
      <c r="E709" s="9">
        <f t="shared" si="189"/>
        <v>-46.554112600000053</v>
      </c>
      <c r="F709" s="9">
        <f t="shared" si="194"/>
        <v>145.04259960000002</v>
      </c>
      <c r="I709">
        <v>1</v>
      </c>
      <c r="J709">
        <f t="shared" si="190"/>
        <v>9.9531790429722294E-2</v>
      </c>
      <c r="K709">
        <f t="shared" si="195"/>
        <v>1.8813776055000246</v>
      </c>
      <c r="O709">
        <f t="shared" si="196"/>
        <v>-3.0367926693548434E-2</v>
      </c>
      <c r="P709">
        <f t="shared" si="197"/>
        <v>9.4613403330009879E-2</v>
      </c>
      <c r="Q709">
        <f t="shared" si="198"/>
        <v>0.99505079917492056</v>
      </c>
      <c r="R709">
        <f t="shared" si="188"/>
        <v>1</v>
      </c>
      <c r="AG709" s="8">
        <f t="shared" si="191"/>
        <v>-0.56547349935523361</v>
      </c>
      <c r="AH709" s="8">
        <f t="shared" si="192"/>
        <v>0.4813434619350766</v>
      </c>
      <c r="AI709" s="8">
        <f t="shared" si="193"/>
        <v>0.66973740613713828</v>
      </c>
      <c r="AJ709" s="8"/>
      <c r="AK709" s="8"/>
      <c r="AL709" s="8"/>
      <c r="AN709" s="8">
        <f t="shared" si="199"/>
        <v>1</v>
      </c>
      <c r="AO709" s="8">
        <f t="shared" si="200"/>
        <v>2.4363896047187943</v>
      </c>
      <c r="AP709" s="8">
        <f t="shared" si="201"/>
        <v>0.83694121084455386</v>
      </c>
      <c r="AQ709" s="8"/>
      <c r="AR709" s="8">
        <f t="shared" si="202"/>
        <v>139.59484159993383</v>
      </c>
      <c r="AS709" s="8">
        <f t="shared" si="203"/>
        <v>42.046800918038301</v>
      </c>
    </row>
    <row r="710" spans="1:45">
      <c r="A710" s="19">
        <v>22.622599999999998</v>
      </c>
      <c r="B710" s="19">
        <v>912.85544730000004</v>
      </c>
      <c r="C710" s="19">
        <v>-394.74662840000002</v>
      </c>
      <c r="E710" s="9">
        <f t="shared" si="189"/>
        <v>-47.144552699999963</v>
      </c>
      <c r="F710" s="9">
        <f t="shared" si="194"/>
        <v>145.25337159999998</v>
      </c>
      <c r="I710">
        <v>1</v>
      </c>
      <c r="J710">
        <f t="shared" si="190"/>
        <v>9.9782181520066404E-2</v>
      </c>
      <c r="K710">
        <f t="shared" si="195"/>
        <v>1.8846371754077942</v>
      </c>
      <c r="O710">
        <f t="shared" si="196"/>
        <v>-3.0753079563097425E-2</v>
      </c>
      <c r="P710">
        <f t="shared" si="197"/>
        <v>9.4750893534789257E-2</v>
      </c>
      <c r="Q710">
        <f t="shared" si="198"/>
        <v>0.99502588723698282</v>
      </c>
      <c r="R710">
        <f t="shared" si="188"/>
        <v>1</v>
      </c>
      <c r="AG710" s="8">
        <f t="shared" si="191"/>
        <v>-0.56519233525801538</v>
      </c>
      <c r="AH710" s="8">
        <f t="shared" si="192"/>
        <v>0.48164052913722843</v>
      </c>
      <c r="AI710" s="8">
        <f t="shared" si="193"/>
        <v>0.66976117001361146</v>
      </c>
      <c r="AJ710" s="8"/>
      <c r="AK710" s="8"/>
      <c r="AL710" s="8"/>
      <c r="AN710" s="8">
        <f t="shared" si="199"/>
        <v>1</v>
      </c>
      <c r="AO710" s="8">
        <f t="shared" si="200"/>
        <v>2.43583954957974</v>
      </c>
      <c r="AP710" s="8">
        <f t="shared" si="201"/>
        <v>0.83690920938610247</v>
      </c>
      <c r="AQ710" s="8"/>
      <c r="AR710" s="8">
        <f t="shared" si="202"/>
        <v>139.56332576196655</v>
      </c>
      <c r="AS710" s="8">
        <f t="shared" si="203"/>
        <v>42.048634466545828</v>
      </c>
    </row>
    <row r="711" spans="1:45">
      <c r="A711" s="19">
        <v>22.655966670000002</v>
      </c>
      <c r="B711" s="19">
        <v>912.341768</v>
      </c>
      <c r="C711" s="19">
        <v>-394.59134169999999</v>
      </c>
      <c r="E711" s="9">
        <f t="shared" si="189"/>
        <v>-47.658231999999998</v>
      </c>
      <c r="F711" s="9">
        <f t="shared" si="194"/>
        <v>145.40865830000001</v>
      </c>
      <c r="I711">
        <v>1</v>
      </c>
      <c r="J711">
        <f t="shared" si="190"/>
        <v>9.998338167726821E-2</v>
      </c>
      <c r="K711">
        <f t="shared" si="195"/>
        <v>1.8875168724868905</v>
      </c>
      <c r="O711">
        <f t="shared" si="196"/>
        <v>-3.1088157389355352E-2</v>
      </c>
      <c r="P711">
        <f t="shared" si="197"/>
        <v>9.4852181151105136E-2</v>
      </c>
      <c r="Q711">
        <f t="shared" si="198"/>
        <v>0.99500582420456851</v>
      </c>
      <c r="R711">
        <f t="shared" si="188"/>
        <v>1</v>
      </c>
      <c r="AG711" s="8">
        <f t="shared" si="191"/>
        <v>-0.56495985811535043</v>
      </c>
      <c r="AH711" s="8">
        <f t="shared" si="192"/>
        <v>0.48190289965817146</v>
      </c>
      <c r="AI711" s="8">
        <f t="shared" si="193"/>
        <v>0.66976858243674697</v>
      </c>
      <c r="AJ711" s="8"/>
      <c r="AK711" s="8"/>
      <c r="AL711" s="8"/>
      <c r="AN711" s="8">
        <f t="shared" si="199"/>
        <v>1</v>
      </c>
      <c r="AO711" s="8">
        <f t="shared" si="200"/>
        <v>2.4353675634601588</v>
      </c>
      <c r="AP711" s="8">
        <f t="shared" si="201"/>
        <v>0.83689922730921373</v>
      </c>
      <c r="AQ711" s="8"/>
      <c r="AR711" s="8">
        <f t="shared" si="202"/>
        <v>139.53628294932579</v>
      </c>
      <c r="AS711" s="8">
        <f t="shared" si="203"/>
        <v>42.049206397422324</v>
      </c>
    </row>
    <row r="712" spans="1:45">
      <c r="A712" s="19">
        <v>22.68933333</v>
      </c>
      <c r="B712" s="19">
        <v>911.53773799999999</v>
      </c>
      <c r="C712" s="19">
        <v>-394.52189779999998</v>
      </c>
      <c r="E712" s="9">
        <f t="shared" si="189"/>
        <v>-48.46226200000001</v>
      </c>
      <c r="F712" s="9">
        <f t="shared" si="194"/>
        <v>145.47810220000002</v>
      </c>
      <c r="I712">
        <v>1</v>
      </c>
      <c r="J712">
        <f t="shared" si="190"/>
        <v>0.10019197714633729</v>
      </c>
      <c r="K712">
        <f t="shared" si="195"/>
        <v>1.8923585602075728</v>
      </c>
      <c r="O712">
        <f t="shared" si="196"/>
        <v>-3.1612632329284865E-2</v>
      </c>
      <c r="P712">
        <f t="shared" si="197"/>
        <v>9.4897463861895848E-2</v>
      </c>
      <c r="Q712">
        <f t="shared" si="198"/>
        <v>0.99498498120815548</v>
      </c>
      <c r="R712">
        <f t="shared" si="188"/>
        <v>1</v>
      </c>
      <c r="AG712" s="8">
        <f t="shared" si="191"/>
        <v>-0.5646713398467611</v>
      </c>
      <c r="AH712" s="8">
        <f t="shared" si="192"/>
        <v>0.4823381220119945</v>
      </c>
      <c r="AI712" s="8">
        <f t="shared" si="193"/>
        <v>0.66969859937856058</v>
      </c>
      <c r="AJ712" s="8"/>
      <c r="AK712" s="8"/>
      <c r="AL712" s="8"/>
      <c r="AN712" s="8">
        <f t="shared" si="199"/>
        <v>0.99999999999999978</v>
      </c>
      <c r="AO712" s="8">
        <f t="shared" si="200"/>
        <v>2.4346695561072886</v>
      </c>
      <c r="AP712" s="8">
        <f t="shared" si="201"/>
        <v>0.83699346770969052</v>
      </c>
      <c r="AQ712" s="8"/>
      <c r="AR712" s="8">
        <f t="shared" si="202"/>
        <v>139.49629007393722</v>
      </c>
      <c r="AS712" s="8">
        <f t="shared" si="203"/>
        <v>42.04380682021538</v>
      </c>
    </row>
    <row r="713" spans="1:45">
      <c r="A713" s="19">
        <v>22.7227</v>
      </c>
      <c r="B713" s="19">
        <v>910.80825040000002</v>
      </c>
      <c r="C713" s="19">
        <v>-394.53850619999997</v>
      </c>
      <c r="E713" s="9">
        <f t="shared" si="189"/>
        <v>-49.19174959999998</v>
      </c>
      <c r="F713" s="9">
        <f t="shared" si="194"/>
        <v>145.46149380000003</v>
      </c>
      <c r="I713">
        <v>1</v>
      </c>
      <c r="J713">
        <f t="shared" si="190"/>
        <v>0.10033382062742874</v>
      </c>
      <c r="K713">
        <f t="shared" si="195"/>
        <v>1.8968999395040649</v>
      </c>
      <c r="O713">
        <f t="shared" si="196"/>
        <v>-3.2088482216404465E-2</v>
      </c>
      <c r="P713">
        <f t="shared" si="197"/>
        <v>9.4886614014089321E-2</v>
      </c>
      <c r="Q713">
        <f t="shared" si="198"/>
        <v>0.99497078338511469</v>
      </c>
      <c r="R713">
        <f t="shared" si="188"/>
        <v>1</v>
      </c>
      <c r="AG713" s="8">
        <f t="shared" si="191"/>
        <v>-0.56444404564251394</v>
      </c>
      <c r="AH713" s="8">
        <f t="shared" si="192"/>
        <v>0.48274419078704572</v>
      </c>
      <c r="AI713" s="8">
        <f t="shared" si="193"/>
        <v>0.66959761469114576</v>
      </c>
      <c r="AJ713" s="8"/>
      <c r="AK713" s="8"/>
      <c r="AL713" s="8"/>
      <c r="AN713" s="8">
        <f t="shared" si="199"/>
        <v>1</v>
      </c>
      <c r="AO713" s="8">
        <f t="shared" si="200"/>
        <v>2.4340550788582682</v>
      </c>
      <c r="AP713" s="8">
        <f t="shared" si="201"/>
        <v>0.83712944132726252</v>
      </c>
      <c r="AQ713" s="8"/>
      <c r="AR713" s="8">
        <f t="shared" si="202"/>
        <v>139.46108312096155</v>
      </c>
      <c r="AS713" s="8">
        <f t="shared" si="203"/>
        <v>42.036016105803384</v>
      </c>
    </row>
    <row r="714" spans="1:45">
      <c r="A714" s="19">
        <v>22.756066669999999</v>
      </c>
      <c r="B714" s="19">
        <v>910.3862944</v>
      </c>
      <c r="C714" s="19">
        <v>-394.54222950000002</v>
      </c>
      <c r="E714" s="9">
        <f t="shared" si="189"/>
        <v>-49.613705600000003</v>
      </c>
      <c r="F714" s="9">
        <f t="shared" si="194"/>
        <v>145.45777049999998</v>
      </c>
      <c r="I714">
        <v>1</v>
      </c>
      <c r="J714">
        <f t="shared" si="190"/>
        <v>0.10042046171576498</v>
      </c>
      <c r="K714">
        <f t="shared" si="195"/>
        <v>1.8995085726002656</v>
      </c>
      <c r="O714">
        <f t="shared" si="196"/>
        <v>-3.2363726194159025E-2</v>
      </c>
      <c r="P714">
        <f t="shared" si="197"/>
        <v>9.4884173644042863E-2</v>
      </c>
      <c r="Q714">
        <f t="shared" si="198"/>
        <v>0.99496210119718465</v>
      </c>
      <c r="R714">
        <f t="shared" si="188"/>
        <v>1</v>
      </c>
      <c r="AG714" s="8">
        <f t="shared" si="191"/>
        <v>-0.56430994874054918</v>
      </c>
      <c r="AH714" s="8">
        <f t="shared" si="192"/>
        <v>0.48297818696616712</v>
      </c>
      <c r="AI714" s="8">
        <f t="shared" si="193"/>
        <v>0.66954189761904603</v>
      </c>
      <c r="AJ714" s="8"/>
      <c r="AK714" s="8"/>
      <c r="AL714" s="8"/>
      <c r="AN714" s="8">
        <f t="shared" si="199"/>
        <v>1.0000000000000002</v>
      </c>
      <c r="AO714" s="8">
        <f t="shared" si="200"/>
        <v>2.4336983257396736</v>
      </c>
      <c r="AP714" s="8">
        <f t="shared" si="201"/>
        <v>0.83720445598063931</v>
      </c>
      <c r="AQ714" s="8"/>
      <c r="AR714" s="8">
        <f t="shared" si="202"/>
        <v>139.44064267293794</v>
      </c>
      <c r="AS714" s="8">
        <f t="shared" si="203"/>
        <v>42.031718082763255</v>
      </c>
    </row>
    <row r="715" spans="1:45">
      <c r="A715" s="19">
        <v>22.789433330000001</v>
      </c>
      <c r="B715" s="19">
        <v>909.6113034</v>
      </c>
      <c r="C715" s="19">
        <v>-394.44435709999999</v>
      </c>
      <c r="E715" s="9">
        <f t="shared" si="189"/>
        <v>-50.388696600000003</v>
      </c>
      <c r="F715" s="9">
        <f t="shared" si="194"/>
        <v>145.55564290000001</v>
      </c>
      <c r="I715">
        <v>1</v>
      </c>
      <c r="J715">
        <f t="shared" si="190"/>
        <v>0.10064623106657761</v>
      </c>
      <c r="K715">
        <f t="shared" si="195"/>
        <v>1.9040654808719466</v>
      </c>
      <c r="O715">
        <f t="shared" si="196"/>
        <v>-3.2869251073214319E-2</v>
      </c>
      <c r="P715">
        <f t="shared" si="197"/>
        <v>9.4947980289754624E-2</v>
      </c>
      <c r="Q715">
        <f t="shared" si="198"/>
        <v>0.99493944206307472</v>
      </c>
      <c r="R715">
        <f t="shared" si="188"/>
        <v>1</v>
      </c>
      <c r="AG715" s="8">
        <f t="shared" si="191"/>
        <v>-0.56401799873552949</v>
      </c>
      <c r="AH715" s="8">
        <f t="shared" si="192"/>
        <v>0.48339298719572277</v>
      </c>
      <c r="AI715" s="8">
        <f t="shared" si="193"/>
        <v>0.66948854884334219</v>
      </c>
      <c r="AJ715" s="8"/>
      <c r="AK715" s="8"/>
      <c r="AL715" s="8"/>
      <c r="AN715" s="8">
        <f t="shared" si="199"/>
        <v>1</v>
      </c>
      <c r="AO715" s="8">
        <f t="shared" si="200"/>
        <v>2.4330185217675191</v>
      </c>
      <c r="AP715" s="8">
        <f t="shared" si="201"/>
        <v>0.83727627732602905</v>
      </c>
      <c r="AQ715" s="8"/>
      <c r="AR715" s="8">
        <f t="shared" si="202"/>
        <v>139.40169277443727</v>
      </c>
      <c r="AS715" s="8">
        <f t="shared" si="203"/>
        <v>42.027603022793471</v>
      </c>
    </row>
    <row r="716" spans="1:45">
      <c r="A716" s="19">
        <v>22.822800000000001</v>
      </c>
      <c r="B716" s="19">
        <v>908.88952959999995</v>
      </c>
      <c r="C716" s="19">
        <v>-394.222689</v>
      </c>
      <c r="E716" s="9">
        <f t="shared" si="189"/>
        <v>-51.110470400000054</v>
      </c>
      <c r="F716" s="9">
        <f t="shared" si="194"/>
        <v>145.777311</v>
      </c>
      <c r="I716">
        <v>1</v>
      </c>
      <c r="J716">
        <f t="shared" si="190"/>
        <v>0.10093909939236621</v>
      </c>
      <c r="K716">
        <f t="shared" si="195"/>
        <v>1.9080113411797259</v>
      </c>
      <c r="O716">
        <f t="shared" si="196"/>
        <v>-3.3340052382297487E-2</v>
      </c>
      <c r="P716">
        <f t="shared" si="197"/>
        <v>9.5092515229334845E-2</v>
      </c>
      <c r="Q716">
        <f t="shared" si="198"/>
        <v>0.9949099730400256</v>
      </c>
      <c r="R716">
        <f t="shared" si="188"/>
        <v>1</v>
      </c>
      <c r="AG716" s="8">
        <f t="shared" si="191"/>
        <v>-0.5636891922370918</v>
      </c>
      <c r="AH716" s="8">
        <f t="shared" si="192"/>
        <v>0.48376064157307874</v>
      </c>
      <c r="AI716" s="8">
        <f t="shared" si="193"/>
        <v>0.66949991502605766</v>
      </c>
      <c r="AJ716" s="8"/>
      <c r="AK716" s="8"/>
      <c r="AL716" s="8"/>
      <c r="AN716" s="8">
        <f t="shared" si="199"/>
        <v>1.0000000000000002</v>
      </c>
      <c r="AO716" s="8">
        <f t="shared" si="200"/>
        <v>2.4323546554695108</v>
      </c>
      <c r="AP716" s="8">
        <f t="shared" si="201"/>
        <v>0.83726097587382298</v>
      </c>
      <c r="AQ716" s="8"/>
      <c r="AR716" s="8">
        <f t="shared" si="202"/>
        <v>139.3636560374004</v>
      </c>
      <c r="AS716" s="8">
        <f t="shared" si="203"/>
        <v>42.0284797314253</v>
      </c>
    </row>
    <row r="717" spans="1:45">
      <c r="A717" s="19">
        <v>22.85616667</v>
      </c>
      <c r="B717" s="19">
        <v>908.30581110000003</v>
      </c>
      <c r="C717" s="19">
        <v>-394.17192160000002</v>
      </c>
      <c r="E717" s="9">
        <f t="shared" si="189"/>
        <v>-51.694188899999972</v>
      </c>
      <c r="F717" s="9">
        <f t="shared" si="194"/>
        <v>145.82807839999998</v>
      </c>
      <c r="I717">
        <v>1</v>
      </c>
      <c r="J717">
        <f t="shared" si="190"/>
        <v>0.10109769820875132</v>
      </c>
      <c r="K717">
        <f t="shared" si="195"/>
        <v>1.9114630557384951</v>
      </c>
      <c r="O717">
        <f t="shared" si="196"/>
        <v>-3.3720805527311784E-2</v>
      </c>
      <c r="P717">
        <f t="shared" si="197"/>
        <v>9.5125591034236706E-2</v>
      </c>
      <c r="Q717">
        <f t="shared" si="198"/>
        <v>0.994893978876632</v>
      </c>
      <c r="R717">
        <f t="shared" si="188"/>
        <v>1</v>
      </c>
      <c r="AG717" s="8">
        <f t="shared" si="191"/>
        <v>-0.56347906186163532</v>
      </c>
      <c r="AH717" s="8">
        <f t="shared" si="192"/>
        <v>0.48407615638088813</v>
      </c>
      <c r="AI717" s="8">
        <f t="shared" si="193"/>
        <v>0.66944874461532689</v>
      </c>
      <c r="AJ717" s="8"/>
      <c r="AK717" s="8"/>
      <c r="AL717" s="8"/>
      <c r="AN717" s="8">
        <f t="shared" si="199"/>
        <v>0.99999999999999978</v>
      </c>
      <c r="AO717" s="8">
        <f t="shared" si="200"/>
        <v>2.4318481258981959</v>
      </c>
      <c r="AP717" s="8">
        <f t="shared" si="201"/>
        <v>0.83732986115463859</v>
      </c>
      <c r="AQ717" s="8"/>
      <c r="AR717" s="8">
        <f t="shared" si="202"/>
        <v>139.3346340307655</v>
      </c>
      <c r="AS717" s="8">
        <f t="shared" si="203"/>
        <v>42.024532895563993</v>
      </c>
    </row>
    <row r="718" spans="1:45">
      <c r="A718" s="19">
        <v>22.889533329999999</v>
      </c>
      <c r="B718" s="19">
        <v>907.58083590000001</v>
      </c>
      <c r="C718" s="19">
        <v>-394.11371550000001</v>
      </c>
      <c r="E718" s="9">
        <f t="shared" si="189"/>
        <v>-52.419164099999989</v>
      </c>
      <c r="F718" s="9">
        <f t="shared" si="194"/>
        <v>145.88628449999999</v>
      </c>
      <c r="I718">
        <v>1</v>
      </c>
      <c r="J718">
        <f t="shared" si="190"/>
        <v>0.10129336004456539</v>
      </c>
      <c r="K718">
        <f t="shared" si="195"/>
        <v>1.9157455707933446</v>
      </c>
      <c r="O718">
        <f t="shared" si="196"/>
        <v>-3.4193696193875203E-2</v>
      </c>
      <c r="P718">
        <f t="shared" si="197"/>
        <v>9.5163503209053438E-2</v>
      </c>
      <c r="Q718">
        <f t="shared" si="198"/>
        <v>0.99487421255030095</v>
      </c>
      <c r="R718">
        <f t="shared" si="188"/>
        <v>1</v>
      </c>
      <c r="AG718" s="8">
        <f t="shared" si="191"/>
        <v>-0.56322006408664471</v>
      </c>
      <c r="AH718" s="8">
        <f t="shared" si="192"/>
        <v>0.48446861510171568</v>
      </c>
      <c r="AI718" s="8">
        <f t="shared" si="193"/>
        <v>0.66938279063004102</v>
      </c>
      <c r="AJ718" s="8"/>
      <c r="AK718" s="8"/>
      <c r="AL718" s="8"/>
      <c r="AN718" s="8">
        <f t="shared" si="199"/>
        <v>0.99999999999999978</v>
      </c>
      <c r="AO718" s="8">
        <f t="shared" si="200"/>
        <v>2.4312202441934003</v>
      </c>
      <c r="AP718" s="8">
        <f t="shared" si="201"/>
        <v>0.83741864168195501</v>
      </c>
      <c r="AQ718" s="8"/>
      <c r="AR718" s="8">
        <f t="shared" si="202"/>
        <v>139.29865905904722</v>
      </c>
      <c r="AS718" s="8">
        <f t="shared" si="203"/>
        <v>42.019446146045816</v>
      </c>
    </row>
    <row r="719" spans="1:45">
      <c r="A719" s="19">
        <v>22.922899999999998</v>
      </c>
      <c r="B719" s="19">
        <v>906.9304826</v>
      </c>
      <c r="C719" s="19">
        <v>-394.2919809</v>
      </c>
      <c r="E719" s="9">
        <f t="shared" si="189"/>
        <v>-53.069517399999995</v>
      </c>
      <c r="F719" s="9">
        <f t="shared" si="194"/>
        <v>145.7080191</v>
      </c>
      <c r="I719">
        <v>1</v>
      </c>
      <c r="J719">
        <f t="shared" si="190"/>
        <v>0.10132849878429105</v>
      </c>
      <c r="K719">
        <f t="shared" si="195"/>
        <v>1.9200811490356522</v>
      </c>
      <c r="O719">
        <f t="shared" si="196"/>
        <v>-3.4617926068162504E-2</v>
      </c>
      <c r="P719">
        <f t="shared" si="197"/>
        <v>9.5047207509413159E-2</v>
      </c>
      <c r="Q719">
        <f t="shared" si="198"/>
        <v>0.9948706586986078</v>
      </c>
      <c r="R719">
        <f t="shared" si="188"/>
        <v>1</v>
      </c>
      <c r="AG719" s="8">
        <f t="shared" si="191"/>
        <v>-0.5630878389071351</v>
      </c>
      <c r="AH719" s="8">
        <f t="shared" si="192"/>
        <v>0.48485335001641361</v>
      </c>
      <c r="AI719" s="8">
        <f t="shared" si="193"/>
        <v>0.6692154471115811</v>
      </c>
      <c r="AJ719" s="8"/>
      <c r="AK719" s="8"/>
      <c r="AL719" s="8"/>
      <c r="AN719" s="8">
        <f t="shared" si="199"/>
        <v>1</v>
      </c>
      <c r="AO719" s="8">
        <f t="shared" si="200"/>
        <v>2.4307116758634932</v>
      </c>
      <c r="AP719" s="8">
        <f t="shared" si="201"/>
        <v>0.8376438705950362</v>
      </c>
      <c r="AQ719" s="8"/>
      <c r="AR719" s="8">
        <f t="shared" si="202"/>
        <v>139.26952024014955</v>
      </c>
      <c r="AS719" s="8">
        <f t="shared" si="203"/>
        <v>42.006541479901948</v>
      </c>
    </row>
    <row r="720" spans="1:45">
      <c r="A720" s="19">
        <v>22.956266670000002</v>
      </c>
      <c r="B720" s="19">
        <v>906.35910850000005</v>
      </c>
      <c r="C720" s="19">
        <v>-394.38747460000002</v>
      </c>
      <c r="E720" s="9">
        <f t="shared" si="189"/>
        <v>-53.640891499999952</v>
      </c>
      <c r="F720" s="9">
        <f t="shared" si="194"/>
        <v>145.61252539999998</v>
      </c>
      <c r="I720">
        <v>1</v>
      </c>
      <c r="J720">
        <f t="shared" si="190"/>
        <v>0.10139853842964178</v>
      </c>
      <c r="K720">
        <f t="shared" si="195"/>
        <v>1.9237514711711692</v>
      </c>
      <c r="O720">
        <f t="shared" si="196"/>
        <v>-3.4990632474606188E-2</v>
      </c>
      <c r="P720">
        <f t="shared" si="197"/>
        <v>9.498489338065276E-2</v>
      </c>
      <c r="Q720">
        <f t="shared" si="198"/>
        <v>0.99486357138478698</v>
      </c>
      <c r="R720">
        <f t="shared" si="188"/>
        <v>1</v>
      </c>
      <c r="AG720" s="8">
        <f t="shared" si="191"/>
        <v>-0.56294499172419865</v>
      </c>
      <c r="AH720" s="8">
        <f t="shared" si="192"/>
        <v>0.48518260023932608</v>
      </c>
      <c r="AI720" s="8">
        <f t="shared" si="193"/>
        <v>0.66909698902150816</v>
      </c>
      <c r="AJ720" s="8"/>
      <c r="AK720" s="8"/>
      <c r="AL720" s="8"/>
      <c r="AN720" s="8">
        <f t="shared" si="199"/>
        <v>1</v>
      </c>
      <c r="AO720" s="8">
        <f t="shared" si="200"/>
        <v>2.4302505332864777</v>
      </c>
      <c r="AP720" s="8">
        <f t="shared" si="201"/>
        <v>0.83780327662548104</v>
      </c>
      <c r="AQ720" s="8"/>
      <c r="AR720" s="8">
        <f t="shared" si="202"/>
        <v>139.24309871673276</v>
      </c>
      <c r="AS720" s="8">
        <f t="shared" si="203"/>
        <v>41.997408187128521</v>
      </c>
    </row>
    <row r="721" spans="1:45">
      <c r="A721" s="19">
        <v>22.98963333</v>
      </c>
      <c r="B721" s="19">
        <v>905.62748320000003</v>
      </c>
      <c r="C721" s="19">
        <v>-394.07351260000002</v>
      </c>
      <c r="E721" s="9">
        <f t="shared" si="189"/>
        <v>-54.372516799999971</v>
      </c>
      <c r="F721" s="9">
        <f t="shared" si="194"/>
        <v>145.92648739999998</v>
      </c>
      <c r="I721">
        <v>1</v>
      </c>
      <c r="J721">
        <f t="shared" si="190"/>
        <v>0.10175810137588691</v>
      </c>
      <c r="K721">
        <f t="shared" si="195"/>
        <v>1.9274630799590393</v>
      </c>
      <c r="O721">
        <f t="shared" si="196"/>
        <v>-3.5467832663439308E-2</v>
      </c>
      <c r="P721">
        <f t="shared" si="197"/>
        <v>9.5189565259680808E-2</v>
      </c>
      <c r="Q721">
        <f t="shared" si="198"/>
        <v>0.99482711036231375</v>
      </c>
      <c r="R721">
        <f t="shared" si="188"/>
        <v>1</v>
      </c>
      <c r="AG721" s="8">
        <f t="shared" si="191"/>
        <v>-0.56257225978350711</v>
      </c>
      <c r="AH721" s="8">
        <f t="shared" si="192"/>
        <v>0.4855420880608563</v>
      </c>
      <c r="AI721" s="8">
        <f t="shared" si="193"/>
        <v>0.6691497091410723</v>
      </c>
      <c r="AJ721" s="8"/>
      <c r="AK721" s="8"/>
      <c r="AL721" s="8"/>
      <c r="AN721" s="8">
        <f t="shared" si="199"/>
        <v>0.99999999999999978</v>
      </c>
      <c r="AO721" s="8">
        <f t="shared" si="200"/>
        <v>2.4295566476573072</v>
      </c>
      <c r="AP721" s="8">
        <f t="shared" si="201"/>
        <v>0.83773233533081715</v>
      </c>
      <c r="AQ721" s="8"/>
      <c r="AR721" s="8">
        <f t="shared" si="202"/>
        <v>139.2033419987165</v>
      </c>
      <c r="AS721" s="8">
        <f t="shared" si="203"/>
        <v>42.001472823905956</v>
      </c>
    </row>
    <row r="722" spans="1:45">
      <c r="A722" s="19">
        <v>23.023</v>
      </c>
      <c r="B722" s="19">
        <v>905.09926919999998</v>
      </c>
      <c r="C722" s="19">
        <v>-393.65857169999998</v>
      </c>
      <c r="E722" s="9">
        <f t="shared" si="189"/>
        <v>-54.900730800000019</v>
      </c>
      <c r="F722" s="9">
        <f t="shared" si="194"/>
        <v>146.34142830000002</v>
      </c>
      <c r="I722">
        <v>1</v>
      </c>
      <c r="J722">
        <f t="shared" si="190"/>
        <v>0.10213407705123684</v>
      </c>
      <c r="K722">
        <f t="shared" si="195"/>
        <v>1.9297029540283048</v>
      </c>
      <c r="O722">
        <f t="shared" si="196"/>
        <v>-3.5812332220374339E-2</v>
      </c>
      <c r="P722">
        <f t="shared" si="197"/>
        <v>9.5460074420060242E-2</v>
      </c>
      <c r="Q722">
        <f t="shared" si="198"/>
        <v>0.99478884747098673</v>
      </c>
      <c r="R722">
        <f t="shared" si="188"/>
        <v>1</v>
      </c>
      <c r="AG722" s="8">
        <f t="shared" si="191"/>
        <v>-0.5622211787171757</v>
      </c>
      <c r="AH722" s="8">
        <f t="shared" si="192"/>
        <v>0.48577476431143107</v>
      </c>
      <c r="AI722" s="8">
        <f t="shared" si="193"/>
        <v>0.669275895696269</v>
      </c>
      <c r="AJ722" s="8"/>
      <c r="AK722" s="8"/>
      <c r="AL722" s="8"/>
      <c r="AN722" s="8">
        <f t="shared" si="199"/>
        <v>1</v>
      </c>
      <c r="AO722" s="8">
        <f t="shared" si="200"/>
        <v>2.4290108547518465</v>
      </c>
      <c r="AP722" s="8">
        <f t="shared" si="201"/>
        <v>0.83756251765741419</v>
      </c>
      <c r="AQ722" s="8"/>
      <c r="AR722" s="8">
        <f t="shared" si="202"/>
        <v>139.17207036874544</v>
      </c>
      <c r="AS722" s="8">
        <f t="shared" si="203"/>
        <v>42.011202659878677</v>
      </c>
    </row>
    <row r="723" spans="1:45">
      <c r="A723" s="19">
        <v>23.056366669999999</v>
      </c>
      <c r="B723" s="19">
        <v>904.55815310000003</v>
      </c>
      <c r="C723" s="19">
        <v>-393.4646295</v>
      </c>
      <c r="E723" s="9">
        <f t="shared" si="189"/>
        <v>-55.441846899999973</v>
      </c>
      <c r="F723" s="9">
        <f t="shared" si="194"/>
        <v>146.5353705</v>
      </c>
      <c r="I723">
        <v>1</v>
      </c>
      <c r="J723">
        <f t="shared" si="190"/>
        <v>0.10237805690121986</v>
      </c>
      <c r="K723">
        <f t="shared" si="195"/>
        <v>1.9325018748929597</v>
      </c>
      <c r="O723">
        <f t="shared" si="196"/>
        <v>-3.6165262933022621E-2</v>
      </c>
      <c r="P723">
        <f t="shared" si="197"/>
        <v>9.5586465809464033E-2</v>
      </c>
      <c r="Q723">
        <f t="shared" si="198"/>
        <v>0.99476394250648303</v>
      </c>
      <c r="R723">
        <f t="shared" si="188"/>
        <v>1</v>
      </c>
      <c r="AG723" s="8">
        <f t="shared" si="191"/>
        <v>-0.56196196246200125</v>
      </c>
      <c r="AH723" s="8">
        <f t="shared" si="192"/>
        <v>0.48604592483066389</v>
      </c>
      <c r="AI723" s="8">
        <f t="shared" si="193"/>
        <v>0.66929672918770555</v>
      </c>
      <c r="AJ723" s="8"/>
      <c r="AK723" s="8"/>
      <c r="AL723" s="8"/>
      <c r="AN723" s="8">
        <f t="shared" si="199"/>
        <v>1</v>
      </c>
      <c r="AO723" s="8">
        <f t="shared" si="200"/>
        <v>2.4285066069967769</v>
      </c>
      <c r="AP723" s="8">
        <f t="shared" si="201"/>
        <v>0.83753447813853676</v>
      </c>
      <c r="AQ723" s="8"/>
      <c r="AR723" s="8">
        <f t="shared" si="202"/>
        <v>139.14317910055098</v>
      </c>
      <c r="AS723" s="8">
        <f t="shared" si="203"/>
        <v>42.01280920596993</v>
      </c>
    </row>
    <row r="724" spans="1:45">
      <c r="A724" s="19">
        <v>23.089733330000001</v>
      </c>
      <c r="B724" s="19">
        <v>904.2035419</v>
      </c>
      <c r="C724" s="19">
        <v>-392.91010569999997</v>
      </c>
      <c r="E724" s="9">
        <f t="shared" si="189"/>
        <v>-55.796458099999995</v>
      </c>
      <c r="F724" s="9">
        <f t="shared" si="194"/>
        <v>147.08989430000003</v>
      </c>
      <c r="I724">
        <v>1</v>
      </c>
      <c r="J724">
        <f t="shared" si="190"/>
        <v>0.10280023705659926</v>
      </c>
      <c r="K724">
        <f t="shared" si="195"/>
        <v>1.9333627898067887</v>
      </c>
      <c r="O724">
        <f t="shared" si="196"/>
        <v>-3.6396490822430141E-2</v>
      </c>
      <c r="P724">
        <f t="shared" si="197"/>
        <v>9.5947953871325958E-2</v>
      </c>
      <c r="Q724">
        <f t="shared" si="198"/>
        <v>0.9947207073363451</v>
      </c>
      <c r="R724">
        <f t="shared" si="188"/>
        <v>1</v>
      </c>
      <c r="AG724" s="8">
        <f t="shared" si="191"/>
        <v>-0.56160609601630052</v>
      </c>
      <c r="AH724" s="8">
        <f t="shared" si="192"/>
        <v>0.48616272596494919</v>
      </c>
      <c r="AI724" s="8">
        <f t="shared" si="193"/>
        <v>0.66951056511429274</v>
      </c>
      <c r="AJ724" s="8"/>
      <c r="AK724" s="8"/>
      <c r="AL724" s="8"/>
      <c r="AN724" s="8">
        <f t="shared" si="199"/>
        <v>1</v>
      </c>
      <c r="AO724" s="8">
        <f t="shared" si="200"/>
        <v>2.4280742718127346</v>
      </c>
      <c r="AP724" s="8">
        <f t="shared" si="201"/>
        <v>0.83724663825521506</v>
      </c>
      <c r="AQ724" s="8"/>
      <c r="AR724" s="8">
        <f t="shared" si="202"/>
        <v>139.11840811917037</v>
      </c>
      <c r="AS724" s="8">
        <f t="shared" si="203"/>
        <v>42.0293012164598</v>
      </c>
    </row>
    <row r="725" spans="1:45">
      <c r="A725" s="19">
        <v>23.123100000000001</v>
      </c>
      <c r="B725" s="19">
        <v>903.55317739999998</v>
      </c>
      <c r="C725" s="19">
        <v>-392.97195399999998</v>
      </c>
      <c r="E725" s="9">
        <f t="shared" si="189"/>
        <v>-56.446822600000019</v>
      </c>
      <c r="F725" s="9">
        <f t="shared" si="194"/>
        <v>147.02804600000002</v>
      </c>
      <c r="I725">
        <v>1</v>
      </c>
      <c r="J725">
        <f t="shared" si="190"/>
        <v>0.10291433377573618</v>
      </c>
      <c r="K725">
        <f t="shared" si="195"/>
        <v>1.9373631507576745</v>
      </c>
      <c r="O725">
        <f t="shared" si="196"/>
        <v>-3.6820702579527471E-2</v>
      </c>
      <c r="P725">
        <f t="shared" si="197"/>
        <v>9.5907540996206311E-2</v>
      </c>
      <c r="Q725">
        <f t="shared" si="198"/>
        <v>0.99470899233977517</v>
      </c>
      <c r="R725">
        <f t="shared" si="188"/>
        <v>1</v>
      </c>
      <c r="AG725" s="8">
        <f t="shared" si="191"/>
        <v>-0.56142269043917803</v>
      </c>
      <c r="AH725" s="8">
        <f t="shared" si="192"/>
        <v>0.48653048122990794</v>
      </c>
      <c r="AI725" s="8">
        <f t="shared" si="193"/>
        <v>0.66939723146591301</v>
      </c>
      <c r="AJ725" s="8"/>
      <c r="AK725" s="8"/>
      <c r="AL725" s="8"/>
      <c r="AN725" s="8">
        <f t="shared" si="199"/>
        <v>1</v>
      </c>
      <c r="AO725" s="8">
        <f t="shared" si="200"/>
        <v>2.4275384224014656</v>
      </c>
      <c r="AP725" s="8">
        <f t="shared" si="201"/>
        <v>0.83739920350903541</v>
      </c>
      <c r="AQ725" s="8"/>
      <c r="AR725" s="8">
        <f t="shared" si="202"/>
        <v>139.08770620945006</v>
      </c>
      <c r="AS725" s="8">
        <f t="shared" si="203"/>
        <v>42.020559871315555</v>
      </c>
    </row>
    <row r="726" spans="1:45">
      <c r="A726" s="19">
        <v>23.15646667</v>
      </c>
      <c r="B726" s="19">
        <v>902.81491400000004</v>
      </c>
      <c r="C726" s="19">
        <v>-393.12495180000002</v>
      </c>
      <c r="E726" s="9">
        <f t="shared" si="189"/>
        <v>-57.185085999999956</v>
      </c>
      <c r="F726" s="9">
        <f t="shared" si="194"/>
        <v>146.87504819999998</v>
      </c>
      <c r="I726">
        <v>1</v>
      </c>
      <c r="J726">
        <f t="shared" si="190"/>
        <v>0.10299528549641178</v>
      </c>
      <c r="K726">
        <f t="shared" si="195"/>
        <v>1.9420838679476311</v>
      </c>
      <c r="O726">
        <f t="shared" si="196"/>
        <v>-3.7302258018750201E-2</v>
      </c>
      <c r="P726">
        <f t="shared" si="197"/>
        <v>9.5807689166940824E-2</v>
      </c>
      <c r="Q726">
        <f t="shared" si="198"/>
        <v>0.99470067268660944</v>
      </c>
      <c r="R726">
        <f t="shared" si="188"/>
        <v>1</v>
      </c>
      <c r="AG726" s="8">
        <f t="shared" si="191"/>
        <v>-0.56125037477907991</v>
      </c>
      <c r="AH726" s="8">
        <f t="shared" si="192"/>
        <v>0.48695962376587737</v>
      </c>
      <c r="AI726" s="8">
        <f t="shared" si="193"/>
        <v>0.66922966284537733</v>
      </c>
      <c r="AJ726" s="8"/>
      <c r="AK726" s="8"/>
      <c r="AL726" s="8"/>
      <c r="AN726" s="8">
        <f t="shared" si="199"/>
        <v>0.99999999999999989</v>
      </c>
      <c r="AO726" s="8">
        <f t="shared" si="200"/>
        <v>2.4269500968039797</v>
      </c>
      <c r="AP726" s="8">
        <f t="shared" si="201"/>
        <v>0.83762473930675496</v>
      </c>
      <c r="AQ726" s="8"/>
      <c r="AR726" s="8">
        <f t="shared" si="202"/>
        <v>139.05399763573462</v>
      </c>
      <c r="AS726" s="8">
        <f t="shared" si="203"/>
        <v>42.007637621977111</v>
      </c>
    </row>
    <row r="727" spans="1:45">
      <c r="A727" s="19">
        <v>23.189833329999999</v>
      </c>
      <c r="B727" s="19">
        <v>902.31403980000005</v>
      </c>
      <c r="C727" s="19">
        <v>-392.98073970000002</v>
      </c>
      <c r="E727" s="9">
        <f t="shared" si="189"/>
        <v>-57.685960199999954</v>
      </c>
      <c r="F727" s="9">
        <f t="shared" si="194"/>
        <v>147.01926029999998</v>
      </c>
      <c r="I727">
        <v>1</v>
      </c>
      <c r="J727">
        <f t="shared" si="190"/>
        <v>0.10320279909939038</v>
      </c>
      <c r="K727">
        <f t="shared" si="195"/>
        <v>1.9447079386404778</v>
      </c>
      <c r="O727">
        <f t="shared" si="196"/>
        <v>-3.7628929301073963E-2</v>
      </c>
      <c r="P727">
        <f t="shared" si="197"/>
        <v>9.5901625500287621E-2</v>
      </c>
      <c r="Q727">
        <f t="shared" si="198"/>
        <v>0.99467931611452409</v>
      </c>
      <c r="R727">
        <f t="shared" si="188"/>
        <v>1</v>
      </c>
      <c r="AG727" s="8">
        <f t="shared" si="191"/>
        <v>-0.56102549314017225</v>
      </c>
      <c r="AH727" s="8">
        <f t="shared" si="192"/>
        <v>0.48721539071952491</v>
      </c>
      <c r="AI727" s="8">
        <f t="shared" si="193"/>
        <v>0.66923206669498969</v>
      </c>
      <c r="AJ727" s="8"/>
      <c r="AK727" s="8"/>
      <c r="AL727" s="8"/>
      <c r="AN727" s="8">
        <f t="shared" si="199"/>
        <v>0.99999999999999989</v>
      </c>
      <c r="AO727" s="8">
        <f t="shared" si="200"/>
        <v>2.4264917671298529</v>
      </c>
      <c r="AP727" s="8">
        <f t="shared" si="201"/>
        <v>0.83762150421500536</v>
      </c>
      <c r="AQ727" s="8"/>
      <c r="AR727" s="8">
        <f t="shared" si="202"/>
        <v>139.02773727978155</v>
      </c>
      <c r="AS727" s="8">
        <f t="shared" si="203"/>
        <v>42.0078229790807</v>
      </c>
    </row>
    <row r="728" spans="1:45">
      <c r="A728" s="19">
        <v>23.223199999999999</v>
      </c>
      <c r="B728" s="19">
        <v>901.57554979999998</v>
      </c>
      <c r="C728" s="19">
        <v>-392.71280910000002</v>
      </c>
      <c r="E728" s="9">
        <f t="shared" si="189"/>
        <v>-58.424450200000024</v>
      </c>
      <c r="F728" s="9">
        <f t="shared" si="194"/>
        <v>147.28719089999998</v>
      </c>
      <c r="I728">
        <v>1</v>
      </c>
      <c r="J728">
        <f t="shared" si="190"/>
        <v>0.10354372874518566</v>
      </c>
      <c r="K728">
        <f t="shared" si="195"/>
        <v>1.9484289577770266</v>
      </c>
      <c r="O728">
        <f t="shared" si="196"/>
        <v>-3.8110556594357976E-2</v>
      </c>
      <c r="P728">
        <f t="shared" si="197"/>
        <v>9.6076159984445311E-2</v>
      </c>
      <c r="Q728">
        <f t="shared" si="198"/>
        <v>0.99464413583889966</v>
      </c>
      <c r="R728">
        <f t="shared" si="188"/>
        <v>1</v>
      </c>
      <c r="AG728" s="8">
        <f t="shared" si="191"/>
        <v>-0.56066974473163878</v>
      </c>
      <c r="AH728" s="8">
        <f t="shared" si="192"/>
        <v>0.4875845100884082</v>
      </c>
      <c r="AI728" s="8">
        <f t="shared" si="193"/>
        <v>0.66926137111326389</v>
      </c>
      <c r="AJ728" s="8"/>
      <c r="AK728" s="8"/>
      <c r="AL728" s="8"/>
      <c r="AN728" s="8">
        <f t="shared" si="199"/>
        <v>1</v>
      </c>
      <c r="AO728" s="8">
        <f t="shared" si="200"/>
        <v>2.4258027516927503</v>
      </c>
      <c r="AP728" s="8">
        <f t="shared" si="201"/>
        <v>0.83758206568142268</v>
      </c>
      <c r="AQ728" s="8"/>
      <c r="AR728" s="8">
        <f t="shared" si="202"/>
        <v>138.98825960321619</v>
      </c>
      <c r="AS728" s="8">
        <f t="shared" si="203"/>
        <v>42.01008264060517</v>
      </c>
    </row>
    <row r="729" spans="1:45">
      <c r="A729" s="19">
        <v>23.256566670000002</v>
      </c>
      <c r="B729" s="19">
        <v>900.96848050000006</v>
      </c>
      <c r="C729" s="19">
        <v>-392.63025670000002</v>
      </c>
      <c r="E729" s="9">
        <f t="shared" si="189"/>
        <v>-59.031519499999945</v>
      </c>
      <c r="F729" s="9">
        <f t="shared" si="194"/>
        <v>147.36974329999998</v>
      </c>
      <c r="I729">
        <v>1</v>
      </c>
      <c r="J729">
        <f t="shared" si="190"/>
        <v>0.10374128134944188</v>
      </c>
      <c r="K729">
        <f t="shared" si="195"/>
        <v>1.9517917729415495</v>
      </c>
      <c r="O729">
        <f t="shared" si="196"/>
        <v>-3.8506491572997757E-2</v>
      </c>
      <c r="P729">
        <f t="shared" si="197"/>
        <v>9.6129861242963605E-2</v>
      </c>
      <c r="Q729">
        <f t="shared" si="198"/>
        <v>0.99462369762847858</v>
      </c>
      <c r="R729">
        <f t="shared" si="188"/>
        <v>1</v>
      </c>
      <c r="AG729" s="8">
        <f t="shared" si="191"/>
        <v>-0.56043710431020133</v>
      </c>
      <c r="AH729" s="8">
        <f t="shared" si="192"/>
        <v>0.48790746976051058</v>
      </c>
      <c r="AI729" s="8">
        <f t="shared" si="193"/>
        <v>0.66922085522217034</v>
      </c>
      <c r="AJ729" s="8"/>
      <c r="AK729" s="8"/>
      <c r="AL729" s="8"/>
      <c r="AN729" s="8">
        <f t="shared" si="199"/>
        <v>1</v>
      </c>
      <c r="AO729" s="8">
        <f t="shared" si="200"/>
        <v>2.4252693394749576</v>
      </c>
      <c r="AP729" s="8">
        <f t="shared" si="201"/>
        <v>0.83763659249233891</v>
      </c>
      <c r="AQ729" s="8"/>
      <c r="AR729" s="8">
        <f t="shared" si="202"/>
        <v>138.95769733439596</v>
      </c>
      <c r="AS729" s="8">
        <f t="shared" si="203"/>
        <v>42.006958484469365</v>
      </c>
    </row>
    <row r="730" spans="1:45">
      <c r="A730" s="19">
        <v>23.28993333</v>
      </c>
      <c r="B730" s="19">
        <v>900.38453079999999</v>
      </c>
      <c r="C730" s="19">
        <v>-392.5481006</v>
      </c>
      <c r="E730" s="9">
        <f t="shared" si="189"/>
        <v>-59.615469200000007</v>
      </c>
      <c r="F730" s="9">
        <f t="shared" si="194"/>
        <v>147.4518994</v>
      </c>
      <c r="I730">
        <v>1</v>
      </c>
      <c r="J730">
        <f t="shared" si="190"/>
        <v>0.10393408131346518</v>
      </c>
      <c r="K730">
        <f t="shared" si="195"/>
        <v>1.9550079789991281</v>
      </c>
      <c r="O730">
        <f t="shared" si="196"/>
        <v>-3.8887342974718277E-2</v>
      </c>
      <c r="P730">
        <f t="shared" si="197"/>
        <v>9.6183300428363608E-2</v>
      </c>
      <c r="Q730">
        <f t="shared" si="198"/>
        <v>0.9946037136845377</v>
      </c>
      <c r="R730">
        <f t="shared" si="188"/>
        <v>1</v>
      </c>
      <c r="AG730" s="8">
        <f t="shared" si="191"/>
        <v>-0.56021203846470824</v>
      </c>
      <c r="AH730" s="8">
        <f t="shared" si="192"/>
        <v>0.48821766438409481</v>
      </c>
      <c r="AI730" s="8">
        <f t="shared" si="193"/>
        <v>0.66918307221757756</v>
      </c>
      <c r="AJ730" s="8"/>
      <c r="AK730" s="8"/>
      <c r="AL730" s="8"/>
      <c r="AN730" s="8">
        <f t="shared" si="199"/>
        <v>1</v>
      </c>
      <c r="AO730" s="8">
        <f t="shared" si="200"/>
        <v>2.4247556271249766</v>
      </c>
      <c r="AP730" s="8">
        <f t="shared" si="201"/>
        <v>0.83768743893644237</v>
      </c>
      <c r="AQ730" s="8"/>
      <c r="AR730" s="8">
        <f t="shared" si="202"/>
        <v>138.9282637848583</v>
      </c>
      <c r="AS730" s="8">
        <f t="shared" si="203"/>
        <v>42.004045197818982</v>
      </c>
    </row>
    <row r="731" spans="1:45">
      <c r="A731" s="19">
        <v>23.3233</v>
      </c>
      <c r="B731" s="19">
        <v>899.51915469999994</v>
      </c>
      <c r="C731" s="19">
        <v>-392.56635679999999</v>
      </c>
      <c r="E731" s="9">
        <f t="shared" si="189"/>
        <v>-60.480845300000055</v>
      </c>
      <c r="F731" s="9">
        <f t="shared" si="194"/>
        <v>147.43364320000001</v>
      </c>
      <c r="I731">
        <v>1</v>
      </c>
      <c r="J731">
        <f t="shared" si="190"/>
        <v>0.10413688296718268</v>
      </c>
      <c r="K731">
        <f t="shared" si="195"/>
        <v>1.9600854607476643</v>
      </c>
      <c r="O731">
        <f t="shared" si="196"/>
        <v>-3.9451761876900561E-2</v>
      </c>
      <c r="P731">
        <f t="shared" si="197"/>
        <v>9.6171225043548067E-2</v>
      </c>
      <c r="Q731">
        <f t="shared" si="198"/>
        <v>0.99458265315580063</v>
      </c>
      <c r="R731">
        <f t="shared" ref="R731:R794" si="204">SQRT(O731^2+P731^2+Q731^2)</f>
        <v>1</v>
      </c>
      <c r="AG731" s="8">
        <f t="shared" si="191"/>
        <v>-0.55993925543112388</v>
      </c>
      <c r="AH731" s="8">
        <f t="shared" si="192"/>
        <v>0.48869717746574687</v>
      </c>
      <c r="AI731" s="8">
        <f t="shared" si="193"/>
        <v>0.6690613566514293</v>
      </c>
      <c r="AJ731" s="8"/>
      <c r="AK731" s="8"/>
      <c r="AL731" s="8"/>
      <c r="AN731" s="8">
        <f t="shared" si="199"/>
        <v>1.0000000000000002</v>
      </c>
      <c r="AO731" s="8">
        <f t="shared" si="200"/>
        <v>2.4240280797930169</v>
      </c>
      <c r="AP731" s="8">
        <f t="shared" si="201"/>
        <v>0.83785122172129645</v>
      </c>
      <c r="AQ731" s="8"/>
      <c r="AR731" s="8">
        <f t="shared" si="202"/>
        <v>138.88657839334101</v>
      </c>
      <c r="AS731" s="8">
        <f t="shared" si="203"/>
        <v>41.994661135489949</v>
      </c>
    </row>
    <row r="732" spans="1:45">
      <c r="A732" s="19">
        <v>23.356666669999999</v>
      </c>
      <c r="B732" s="19">
        <v>899.15060949999997</v>
      </c>
      <c r="C732" s="19">
        <v>-392.20131800000001</v>
      </c>
      <c r="E732" s="9">
        <f t="shared" si="189"/>
        <v>-60.849390500000027</v>
      </c>
      <c r="F732" s="9">
        <f t="shared" si="194"/>
        <v>147.79868199999999</v>
      </c>
      <c r="I732">
        <v>1</v>
      </c>
      <c r="J732">
        <f t="shared" si="190"/>
        <v>0.10444991186507593</v>
      </c>
      <c r="K732">
        <f t="shared" si="195"/>
        <v>1.9613519380270141</v>
      </c>
      <c r="O732">
        <f t="shared" si="196"/>
        <v>-3.9692052150384988E-2</v>
      </c>
      <c r="P732">
        <f t="shared" si="197"/>
        <v>9.6409067461442607E-2</v>
      </c>
      <c r="Q732">
        <f t="shared" si="198"/>
        <v>0.99455006546041014</v>
      </c>
      <c r="R732">
        <f t="shared" si="204"/>
        <v>1</v>
      </c>
      <c r="AG732" s="8">
        <f t="shared" si="191"/>
        <v>-0.55966081984834537</v>
      </c>
      <c r="AH732" s="8">
        <f t="shared" si="192"/>
        <v>0.48884819030404836</v>
      </c>
      <c r="AI732" s="8">
        <f t="shared" si="193"/>
        <v>0.66918399081503355</v>
      </c>
      <c r="AJ732" s="8"/>
      <c r="AK732" s="8"/>
      <c r="AL732" s="8"/>
      <c r="AN732" s="8">
        <f t="shared" si="199"/>
        <v>1</v>
      </c>
      <c r="AO732" s="8">
        <f t="shared" si="200"/>
        <v>2.4236285890132812</v>
      </c>
      <c r="AP732" s="8">
        <f t="shared" si="201"/>
        <v>0.83768620276236516</v>
      </c>
      <c r="AQ732" s="8"/>
      <c r="AR732" s="8">
        <f t="shared" si="202"/>
        <v>138.86368925770776</v>
      </c>
      <c r="AS732" s="8">
        <f t="shared" si="203"/>
        <v>42.004116025376355</v>
      </c>
    </row>
    <row r="733" spans="1:45">
      <c r="A733" s="19">
        <v>23.390033330000001</v>
      </c>
      <c r="B733" s="19">
        <v>898.39853410000001</v>
      </c>
      <c r="C733" s="19">
        <v>-392.1299272</v>
      </c>
      <c r="E733" s="9">
        <f t="shared" si="189"/>
        <v>-61.601465899999994</v>
      </c>
      <c r="F733" s="9">
        <f t="shared" si="194"/>
        <v>147.8700728</v>
      </c>
      <c r="I733">
        <v>1</v>
      </c>
      <c r="J733">
        <f t="shared" si="190"/>
        <v>0.10468168126761743</v>
      </c>
      <c r="K733">
        <f t="shared" si="195"/>
        <v>1.9655236882702649</v>
      </c>
      <c r="O733">
        <f t="shared" si="196"/>
        <v>-4.0182541760022061E-2</v>
      </c>
      <c r="P733">
        <f t="shared" si="197"/>
        <v>9.645542177501179E-2</v>
      </c>
      <c r="Q733">
        <f t="shared" si="198"/>
        <v>0.99452587444867857</v>
      </c>
      <c r="R733">
        <f t="shared" si="204"/>
        <v>1</v>
      </c>
      <c r="AG733" s="8">
        <f t="shared" si="191"/>
        <v>-0.55938556228745207</v>
      </c>
      <c r="AH733" s="8">
        <f t="shared" si="192"/>
        <v>0.48925229319988756</v>
      </c>
      <c r="AI733" s="8">
        <f t="shared" si="193"/>
        <v>0.66911881329327649</v>
      </c>
      <c r="AJ733" s="8"/>
      <c r="AK733" s="8"/>
      <c r="AL733" s="8"/>
      <c r="AN733" s="8">
        <f t="shared" si="199"/>
        <v>1.0000000000000002</v>
      </c>
      <c r="AO733" s="8">
        <f t="shared" si="200"/>
        <v>2.4229753909531189</v>
      </c>
      <c r="AP733" s="8">
        <f t="shared" si="201"/>
        <v>0.83777390997893564</v>
      </c>
      <c r="AQ733" s="8"/>
      <c r="AR733" s="8">
        <f t="shared" si="202"/>
        <v>138.82626376567433</v>
      </c>
      <c r="AS733" s="8">
        <f t="shared" si="203"/>
        <v>41.999090772034023</v>
      </c>
    </row>
    <row r="734" spans="1:45">
      <c r="A734" s="19">
        <v>23.423400000000001</v>
      </c>
      <c r="B734" s="19">
        <v>897.6039968</v>
      </c>
      <c r="C734" s="19">
        <v>-391.91352749999999</v>
      </c>
      <c r="E734" s="9">
        <f t="shared" si="189"/>
        <v>-62.396003199999996</v>
      </c>
      <c r="F734" s="9">
        <f t="shared" si="194"/>
        <v>148.08647250000001</v>
      </c>
      <c r="I734">
        <v>1</v>
      </c>
      <c r="J734">
        <f t="shared" si="190"/>
        <v>0.10501361920367781</v>
      </c>
      <c r="K734">
        <f t="shared" si="195"/>
        <v>1.9695700034496557</v>
      </c>
      <c r="O734">
        <f t="shared" si="196"/>
        <v>-4.0700680693711848E-2</v>
      </c>
      <c r="P734">
        <f t="shared" si="197"/>
        <v>9.6596254938980539E-2</v>
      </c>
      <c r="Q734">
        <f t="shared" si="198"/>
        <v>0.99449113526608768</v>
      </c>
      <c r="R734">
        <f t="shared" si="204"/>
        <v>1</v>
      </c>
      <c r="AG734" s="8">
        <f t="shared" si="191"/>
        <v>-0.55903326286458999</v>
      </c>
      <c r="AH734" s="8">
        <f t="shared" si="192"/>
        <v>0.48965896821139615</v>
      </c>
      <c r="AI734" s="8">
        <f t="shared" si="193"/>
        <v>0.66911576417023755</v>
      </c>
      <c r="AJ734" s="8"/>
      <c r="AK734" s="8"/>
      <c r="AL734" s="8"/>
      <c r="AN734" s="8">
        <f t="shared" si="199"/>
        <v>0.99999999999999989</v>
      </c>
      <c r="AO734" s="8">
        <f t="shared" si="200"/>
        <v>2.4222513922958973</v>
      </c>
      <c r="AP734" s="8">
        <f t="shared" si="201"/>
        <v>0.8377780129124901</v>
      </c>
      <c r="AQ734" s="8"/>
      <c r="AR734" s="8">
        <f t="shared" si="202"/>
        <v>138.7847816982424</v>
      </c>
      <c r="AS734" s="8">
        <f t="shared" si="203"/>
        <v>41.998855691257731</v>
      </c>
    </row>
    <row r="735" spans="1:45">
      <c r="A735" s="19">
        <v>23.45676667</v>
      </c>
      <c r="B735" s="19">
        <v>897.19649070000003</v>
      </c>
      <c r="C735" s="19">
        <v>-391.80607300000003</v>
      </c>
      <c r="E735" s="9">
        <f t="shared" si="189"/>
        <v>-62.803509299999973</v>
      </c>
      <c r="F735" s="9">
        <f t="shared" si="194"/>
        <v>148.19392699999997</v>
      </c>
      <c r="I735">
        <v>1</v>
      </c>
      <c r="J735">
        <f t="shared" si="190"/>
        <v>0.10518239413315411</v>
      </c>
      <c r="K735">
        <f t="shared" si="195"/>
        <v>1.9716439637741581</v>
      </c>
      <c r="O735">
        <f t="shared" si="196"/>
        <v>-4.0966422240195928E-2</v>
      </c>
      <c r="P735">
        <f t="shared" si="197"/>
        <v>9.6666174463514845E-2</v>
      </c>
      <c r="Q735">
        <f t="shared" si="198"/>
        <v>0.99447342999369637</v>
      </c>
      <c r="R735">
        <f t="shared" si="204"/>
        <v>1</v>
      </c>
      <c r="AG735" s="8">
        <f t="shared" si="191"/>
        <v>-0.55885404762962487</v>
      </c>
      <c r="AH735" s="8">
        <f t="shared" si="192"/>
        <v>0.48986799417835952</v>
      </c>
      <c r="AI735" s="8">
        <f t="shared" si="193"/>
        <v>0.66911247315205225</v>
      </c>
      <c r="AJ735" s="8"/>
      <c r="AK735" s="8"/>
      <c r="AL735" s="8"/>
      <c r="AN735" s="8">
        <f t="shared" si="199"/>
        <v>1</v>
      </c>
      <c r="AO735" s="8">
        <f t="shared" si="200"/>
        <v>2.4218809199132521</v>
      </c>
      <c r="AP735" s="8">
        <f t="shared" si="201"/>
        <v>0.83778244132581103</v>
      </c>
      <c r="AQ735" s="8"/>
      <c r="AR735" s="8">
        <f t="shared" si="202"/>
        <v>138.76355519429069</v>
      </c>
      <c r="AS735" s="8">
        <f t="shared" si="203"/>
        <v>41.998601961864502</v>
      </c>
    </row>
    <row r="736" spans="1:45">
      <c r="A736" s="19">
        <v>23.490133329999999</v>
      </c>
      <c r="B736" s="19">
        <v>896.57789009999999</v>
      </c>
      <c r="C736" s="19">
        <v>-391.72029479999998</v>
      </c>
      <c r="E736" s="9">
        <f t="shared" ref="E736:E799" si="205">(B736-($B$15/2))</f>
        <v>-63.422109900000009</v>
      </c>
      <c r="F736" s="9">
        <f t="shared" si="194"/>
        <v>148.27970520000002</v>
      </c>
      <c r="I736">
        <v>1</v>
      </c>
      <c r="J736">
        <f t="shared" ref="J736:J799" si="206">ATAN((SQRT(E736^2+F736^2)^$B$16)/($F$24))</f>
        <v>0.10539286516908304</v>
      </c>
      <c r="K736">
        <f t="shared" si="195"/>
        <v>1.9749680929895248</v>
      </c>
      <c r="O736">
        <f t="shared" si="196"/>
        <v>-4.1369837112855523E-2</v>
      </c>
      <c r="P736">
        <f t="shared" si="197"/>
        <v>9.672190441059797E-2</v>
      </c>
      <c r="Q736">
        <f t="shared" si="198"/>
        <v>0.99445131091695127</v>
      </c>
      <c r="R736">
        <f t="shared" si="204"/>
        <v>1</v>
      </c>
      <c r="AG736" s="8">
        <f t="shared" ref="AG736:AG799" si="207">$O736*$Z$27+$P736*$Z$31+$Q736*$Z$35</f>
        <v>-0.55861556890018049</v>
      </c>
      <c r="AH736" s="8">
        <f t="shared" ref="AH736:AH799" si="208">$O736*$AA$27+$P736*$AA$31+$Q736*$AA$35</f>
        <v>0.49019626662229726</v>
      </c>
      <c r="AI736" s="8">
        <f t="shared" ref="AI736:AI799" si="209">$AB$27*$O736+$P736*$AB$31+$AB$35*$Q736</f>
        <v>0.66907119678842064</v>
      </c>
      <c r="AJ736" s="8"/>
      <c r="AK736" s="8"/>
      <c r="AL736" s="8"/>
      <c r="AN736" s="8">
        <f t="shared" si="199"/>
        <v>1</v>
      </c>
      <c r="AO736" s="8">
        <f t="shared" si="200"/>
        <v>2.4213372466664218</v>
      </c>
      <c r="AP736" s="8">
        <f t="shared" si="201"/>
        <v>0.83783798154278122</v>
      </c>
      <c r="AQ736" s="8"/>
      <c r="AR736" s="8">
        <f t="shared" si="202"/>
        <v>138.73240501181314</v>
      </c>
      <c r="AS736" s="8">
        <f t="shared" si="203"/>
        <v>41.995419741838873</v>
      </c>
    </row>
    <row r="737" spans="1:45">
      <c r="A737" s="19">
        <v>23.523499999999999</v>
      </c>
      <c r="B737" s="19">
        <v>895.82572830000004</v>
      </c>
      <c r="C737" s="19">
        <v>-391.55892749999998</v>
      </c>
      <c r="E737" s="9">
        <f t="shared" si="205"/>
        <v>-64.174271699999963</v>
      </c>
      <c r="F737" s="9">
        <f t="shared" ref="F737:F800" si="210">(($C$15/2)+C737)</f>
        <v>148.44107250000002</v>
      </c>
      <c r="I737">
        <v>1</v>
      </c>
      <c r="J737">
        <f t="shared" si="206"/>
        <v>0.1056846548673169</v>
      </c>
      <c r="K737">
        <f t="shared" ref="K737:K800" si="211">ATAN2(E737,F737)</f>
        <v>1.9788519964336229</v>
      </c>
      <c r="O737">
        <f t="shared" ref="O737:O800" si="212">COS(K737)*SIN(J737)</f>
        <v>-4.1860327982259783E-2</v>
      </c>
      <c r="P737">
        <f t="shared" ref="P737:P800" si="213">SIN(K737)*SIN(J737)</f>
        <v>9.6826840668117947E-2</v>
      </c>
      <c r="Q737">
        <f t="shared" ref="Q737:Q800" si="214">COS(J737)</f>
        <v>0.99442057293051245</v>
      </c>
      <c r="R737">
        <f t="shared" si="204"/>
        <v>1</v>
      </c>
      <c r="AG737" s="8">
        <f t="shared" si="207"/>
        <v>-0.55830063474782021</v>
      </c>
      <c r="AH737" s="8">
        <f t="shared" si="208"/>
        <v>0.49058715750105447</v>
      </c>
      <c r="AI737" s="8">
        <f t="shared" si="209"/>
        <v>0.66904756343268801</v>
      </c>
      <c r="AJ737" s="8"/>
      <c r="AK737" s="8"/>
      <c r="AL737" s="8"/>
      <c r="AN737" s="8">
        <f t="shared" ref="AN737:AN800" si="215">AG737^2+AH737^2+AI737^2</f>
        <v>1</v>
      </c>
      <c r="AO737" s="8">
        <f t="shared" ref="AO737:AO800" si="216">IF(ATAN2(AG737,AH737)&gt;=0,ATAN2(AG737,AH737),ATAN2(AG737,AH737)+2*PI())</f>
        <v>2.4206624374635295</v>
      </c>
      <c r="AP737" s="8">
        <f t="shared" ref="AP737:AP800" si="217">ACOS(AI737/AN737)</f>
        <v>0.83786978061581707</v>
      </c>
      <c r="AQ737" s="8"/>
      <c r="AR737" s="8">
        <f t="shared" ref="AR737:AR800" si="218">DEGREES(AO737)</f>
        <v>138.69374129251082</v>
      </c>
      <c r="AS737" s="8">
        <f t="shared" ref="AS737:AS800" si="219">90-DEGREES(AP737)</f>
        <v>41.993597789161491</v>
      </c>
    </row>
    <row r="738" spans="1:45">
      <c r="A738" s="19">
        <v>23.556866670000002</v>
      </c>
      <c r="B738" s="19">
        <v>895.32440580000002</v>
      </c>
      <c r="C738" s="19">
        <v>-391.47749829999998</v>
      </c>
      <c r="E738" s="9">
        <f t="shared" si="205"/>
        <v>-64.675594199999978</v>
      </c>
      <c r="F738" s="9">
        <f t="shared" si="210"/>
        <v>148.52250170000002</v>
      </c>
      <c r="I738">
        <v>1</v>
      </c>
      <c r="J738">
        <f t="shared" si="206"/>
        <v>0.10586432201376511</v>
      </c>
      <c r="K738">
        <f t="shared" si="211"/>
        <v>1.9814931426863314</v>
      </c>
      <c r="O738">
        <f t="shared" si="212"/>
        <v>-4.2187246430328916E-2</v>
      </c>
      <c r="P738">
        <f t="shared" si="213"/>
        <v>9.6879749728945669E-2</v>
      </c>
      <c r="Q738">
        <f t="shared" si="214"/>
        <v>0.99440160414748102</v>
      </c>
      <c r="R738">
        <f t="shared" si="204"/>
        <v>1</v>
      </c>
      <c r="AG738" s="8">
        <f t="shared" si="207"/>
        <v>-0.5581020161050414</v>
      </c>
      <c r="AH738" s="8">
        <f t="shared" si="208"/>
        <v>0.49085135048401968</v>
      </c>
      <c r="AI738" s="8">
        <f t="shared" si="209"/>
        <v>0.66901949997552568</v>
      </c>
      <c r="AJ738" s="8"/>
      <c r="AK738" s="8"/>
      <c r="AL738" s="8"/>
      <c r="AN738" s="8">
        <f t="shared" si="215"/>
        <v>1.0000000000000002</v>
      </c>
      <c r="AO738" s="8">
        <f t="shared" si="216"/>
        <v>2.4202190242212565</v>
      </c>
      <c r="AP738" s="8">
        <f t="shared" si="217"/>
        <v>0.83790753928181338</v>
      </c>
      <c r="AQ738" s="8"/>
      <c r="AR738" s="8">
        <f t="shared" si="218"/>
        <v>138.66833558514836</v>
      </c>
      <c r="AS738" s="8">
        <f t="shared" si="219"/>
        <v>41.991434376959852</v>
      </c>
    </row>
    <row r="739" spans="1:45">
      <c r="A739" s="19">
        <v>23.59023333</v>
      </c>
      <c r="B739" s="19">
        <v>894.69770979999998</v>
      </c>
      <c r="C739" s="19">
        <v>-391.3720553</v>
      </c>
      <c r="E739" s="9">
        <f t="shared" si="205"/>
        <v>-65.302290200000016</v>
      </c>
      <c r="F739" s="9">
        <f t="shared" si="210"/>
        <v>148.6279447</v>
      </c>
      <c r="I739">
        <v>1</v>
      </c>
      <c r="J739">
        <f t="shared" si="206"/>
        <v>0.10609214197764506</v>
      </c>
      <c r="K739">
        <f t="shared" si="211"/>
        <v>1.9847731779560851</v>
      </c>
      <c r="O739">
        <f t="shared" si="212"/>
        <v>-4.2595915129281695E-2</v>
      </c>
      <c r="P739">
        <f t="shared" si="213"/>
        <v>9.6948258612234328E-2</v>
      </c>
      <c r="Q739">
        <f t="shared" si="214"/>
        <v>0.99437750536018987</v>
      </c>
      <c r="R739">
        <f t="shared" si="204"/>
        <v>1</v>
      </c>
      <c r="AG739" s="8">
        <f t="shared" si="207"/>
        <v>-0.55785204764539786</v>
      </c>
      <c r="AH739" s="8">
        <f t="shared" si="208"/>
        <v>0.49118101629306227</v>
      </c>
      <c r="AI739" s="8">
        <f t="shared" si="209"/>
        <v>0.66898602539302066</v>
      </c>
      <c r="AJ739" s="8"/>
      <c r="AK739" s="8"/>
      <c r="AL739" s="8"/>
      <c r="AN739" s="8">
        <f t="shared" si="215"/>
        <v>1</v>
      </c>
      <c r="AO739" s="8">
        <f t="shared" si="216"/>
        <v>2.4196638741016532</v>
      </c>
      <c r="AP739" s="8">
        <f t="shared" si="217"/>
        <v>0.83795257680068147</v>
      </c>
      <c r="AQ739" s="8"/>
      <c r="AR739" s="8">
        <f t="shared" si="218"/>
        <v>138.6365278262989</v>
      </c>
      <c r="AS739" s="8">
        <f t="shared" si="219"/>
        <v>41.988853917208971</v>
      </c>
    </row>
    <row r="740" spans="1:45">
      <c r="A740" s="19">
        <v>23.6236</v>
      </c>
      <c r="B740" s="19">
        <v>894.2772473</v>
      </c>
      <c r="C740" s="19">
        <v>-391.21916859999999</v>
      </c>
      <c r="E740" s="9">
        <f t="shared" si="205"/>
        <v>-65.722752700000001</v>
      </c>
      <c r="F740" s="9">
        <f t="shared" si="210"/>
        <v>148.78083140000001</v>
      </c>
      <c r="I740">
        <v>1</v>
      </c>
      <c r="J740">
        <f t="shared" si="206"/>
        <v>0.10629484677713652</v>
      </c>
      <c r="K740">
        <f t="shared" si="211"/>
        <v>1.9867617741898602</v>
      </c>
      <c r="O740">
        <f t="shared" si="212"/>
        <v>-4.2870067901401854E-2</v>
      </c>
      <c r="P740">
        <f t="shared" si="213"/>
        <v>9.7047735867962573E-2</v>
      </c>
      <c r="Q740">
        <f t="shared" si="214"/>
        <v>0.99435601986463151</v>
      </c>
      <c r="R740">
        <f t="shared" si="204"/>
        <v>1</v>
      </c>
      <c r="AG740" s="8">
        <f t="shared" si="207"/>
        <v>-0.55764853519394098</v>
      </c>
      <c r="AH740" s="8">
        <f t="shared" si="208"/>
        <v>0.49139041313969056</v>
      </c>
      <c r="AI740" s="8">
        <f t="shared" si="209"/>
        <v>0.66900192306932604</v>
      </c>
      <c r="AJ740" s="8"/>
      <c r="AK740" s="8"/>
      <c r="AL740" s="8"/>
      <c r="AN740" s="8">
        <f t="shared" si="215"/>
        <v>1.0000000000000004</v>
      </c>
      <c r="AO740" s="8">
        <f t="shared" si="216"/>
        <v>2.4192714855222546</v>
      </c>
      <c r="AP740" s="8">
        <f t="shared" si="217"/>
        <v>0.83793118790729515</v>
      </c>
      <c r="AQ740" s="8"/>
      <c r="AR740" s="8">
        <f t="shared" si="218"/>
        <v>138.61404561677023</v>
      </c>
      <c r="AS740" s="8">
        <f t="shared" si="219"/>
        <v>41.990079410528466</v>
      </c>
    </row>
    <row r="741" spans="1:45">
      <c r="A741" s="19">
        <v>23.656966669999999</v>
      </c>
      <c r="B741" s="19">
        <v>893.53787669999997</v>
      </c>
      <c r="C741" s="19">
        <v>-391.3716862</v>
      </c>
      <c r="E741" s="9">
        <f t="shared" si="205"/>
        <v>-66.46212330000003</v>
      </c>
      <c r="F741" s="9">
        <f t="shared" si="210"/>
        <v>148.6283138</v>
      </c>
      <c r="I741">
        <v>1</v>
      </c>
      <c r="J741">
        <f t="shared" si="206"/>
        <v>0.10640026361426777</v>
      </c>
      <c r="K741">
        <f t="shared" si="211"/>
        <v>1.9912943331279511</v>
      </c>
      <c r="O741">
        <f t="shared" si="212"/>
        <v>-4.3352290246187829E-2</v>
      </c>
      <c r="P741">
        <f t="shared" si="213"/>
        <v>9.6948118397822566E-2</v>
      </c>
      <c r="Q741">
        <f t="shared" si="214"/>
        <v>0.99434483016181663</v>
      </c>
      <c r="R741">
        <f t="shared" si="204"/>
        <v>1</v>
      </c>
      <c r="AG741" s="8">
        <f t="shared" si="207"/>
        <v>-0.55747392487392866</v>
      </c>
      <c r="AH741" s="8">
        <f t="shared" si="208"/>
        <v>0.49181873132297255</v>
      </c>
      <c r="AI741" s="8">
        <f t="shared" si="209"/>
        <v>0.66883268356556791</v>
      </c>
      <c r="AJ741" s="8"/>
      <c r="AK741" s="8"/>
      <c r="AL741" s="8"/>
      <c r="AN741" s="8">
        <f t="shared" si="215"/>
        <v>1</v>
      </c>
      <c r="AO741" s="8">
        <f t="shared" si="216"/>
        <v>2.4186839313004898</v>
      </c>
      <c r="AP741" s="8">
        <f t="shared" si="217"/>
        <v>0.83815886330075429</v>
      </c>
      <c r="AQ741" s="8"/>
      <c r="AR741" s="8">
        <f t="shared" si="218"/>
        <v>138.58038123962803</v>
      </c>
      <c r="AS741" s="8">
        <f t="shared" si="219"/>
        <v>41.977034571384273</v>
      </c>
    </row>
    <row r="742" spans="1:45">
      <c r="A742" s="19">
        <v>23.690333330000001</v>
      </c>
      <c r="B742" s="19">
        <v>892.81061509999995</v>
      </c>
      <c r="C742" s="19">
        <v>-391.47589069999998</v>
      </c>
      <c r="E742" s="9">
        <f t="shared" si="205"/>
        <v>-67.18938490000005</v>
      </c>
      <c r="F742" s="9">
        <f t="shared" si="210"/>
        <v>148.52410930000002</v>
      </c>
      <c r="I742">
        <v>1</v>
      </c>
      <c r="J742">
        <f t="shared" si="206"/>
        <v>0.10653342983628392</v>
      </c>
      <c r="K742">
        <f t="shared" si="211"/>
        <v>1.9956279692747845</v>
      </c>
      <c r="O742">
        <f t="shared" si="212"/>
        <v>-4.3826595707913557E-2</v>
      </c>
      <c r="P742">
        <f t="shared" si="213"/>
        <v>9.6879977407994755E-2</v>
      </c>
      <c r="Q742">
        <f t="shared" si="214"/>
        <v>0.99433067914355411</v>
      </c>
      <c r="R742">
        <f t="shared" si="204"/>
        <v>1</v>
      </c>
      <c r="AG742" s="8">
        <f t="shared" si="207"/>
        <v>-0.55728209230828774</v>
      </c>
      <c r="AH742" s="8">
        <f t="shared" si="208"/>
        <v>0.49223337697180436</v>
      </c>
      <c r="AI742" s="8">
        <f t="shared" si="209"/>
        <v>0.66868749964944818</v>
      </c>
      <c r="AJ742" s="8"/>
      <c r="AK742" s="8"/>
      <c r="AL742" s="8"/>
      <c r="AN742" s="8">
        <f t="shared" si="215"/>
        <v>1.0000000000000002</v>
      </c>
      <c r="AO742" s="8">
        <f t="shared" si="216"/>
        <v>2.4180950662438843</v>
      </c>
      <c r="AP742" s="8">
        <f t="shared" si="217"/>
        <v>0.83835413991140695</v>
      </c>
      <c r="AQ742" s="8"/>
      <c r="AR742" s="8">
        <f t="shared" si="218"/>
        <v>138.54664175718179</v>
      </c>
      <c r="AS742" s="8">
        <f t="shared" si="219"/>
        <v>41.965846045756258</v>
      </c>
    </row>
    <row r="743" spans="1:45">
      <c r="A743" s="19">
        <v>23.723700000000001</v>
      </c>
      <c r="B743" s="19">
        <v>892.33619439999995</v>
      </c>
      <c r="C743" s="19">
        <v>-391.43622210000001</v>
      </c>
      <c r="E743" s="9">
        <f t="shared" si="205"/>
        <v>-67.663805600000046</v>
      </c>
      <c r="F743" s="9">
        <f t="shared" si="210"/>
        <v>148.56377789999999</v>
      </c>
      <c r="I743">
        <v>1</v>
      </c>
      <c r="J743">
        <f t="shared" si="206"/>
        <v>0.10668554470881608</v>
      </c>
      <c r="K743">
        <f t="shared" si="211"/>
        <v>1.9981756355590581</v>
      </c>
      <c r="O743">
        <f t="shared" si="212"/>
        <v>-4.4135962779505204E-2</v>
      </c>
      <c r="P743">
        <f t="shared" si="213"/>
        <v>9.6905654561307661E-2</v>
      </c>
      <c r="Q743">
        <f t="shared" si="214"/>
        <v>0.99431449295661511</v>
      </c>
      <c r="R743">
        <f t="shared" si="204"/>
        <v>1</v>
      </c>
      <c r="AG743" s="8">
        <f t="shared" si="207"/>
        <v>-0.55711004081441473</v>
      </c>
      <c r="AH743" s="8">
        <f t="shared" si="208"/>
        <v>0.49248843193972242</v>
      </c>
      <c r="AI743" s="8">
        <f t="shared" si="209"/>
        <v>0.66864306384596151</v>
      </c>
      <c r="AJ743" s="8"/>
      <c r="AK743" s="8"/>
      <c r="AL743" s="8"/>
      <c r="AN743" s="8">
        <f t="shared" si="215"/>
        <v>1</v>
      </c>
      <c r="AO743" s="8">
        <f t="shared" si="216"/>
        <v>2.4176848067022898</v>
      </c>
      <c r="AP743" s="8">
        <f t="shared" si="217"/>
        <v>0.83841390051154341</v>
      </c>
      <c r="AQ743" s="8"/>
      <c r="AR743" s="8">
        <f t="shared" si="218"/>
        <v>138.52313561694345</v>
      </c>
      <c r="AS743" s="8">
        <f t="shared" si="219"/>
        <v>41.962422015587272</v>
      </c>
    </row>
    <row r="744" spans="1:45">
      <c r="A744" s="19">
        <v>23.75706667</v>
      </c>
      <c r="B744" s="19">
        <v>891.73181179999995</v>
      </c>
      <c r="C744" s="19">
        <v>-391.35180129999998</v>
      </c>
      <c r="E744" s="9">
        <f t="shared" si="205"/>
        <v>-68.268188200000054</v>
      </c>
      <c r="F744" s="9">
        <f t="shared" si="210"/>
        <v>148.64819870000002</v>
      </c>
      <c r="I744">
        <v>1</v>
      </c>
      <c r="J744">
        <f t="shared" si="206"/>
        <v>0.10690049819299262</v>
      </c>
      <c r="K744">
        <f t="shared" si="211"/>
        <v>2.0013242247911815</v>
      </c>
      <c r="O744">
        <f t="shared" si="212"/>
        <v>-4.4530059485372753E-2</v>
      </c>
      <c r="P744">
        <f t="shared" si="213"/>
        <v>9.6960433622647446E-2</v>
      </c>
      <c r="Q744">
        <f t="shared" si="214"/>
        <v>0.99429158103341964</v>
      </c>
      <c r="R744">
        <f t="shared" si="204"/>
        <v>1</v>
      </c>
      <c r="AG744" s="8">
        <f t="shared" si="207"/>
        <v>-0.55687603198014424</v>
      </c>
      <c r="AH744" s="8">
        <f t="shared" si="208"/>
        <v>0.49280844610229196</v>
      </c>
      <c r="AI744" s="8">
        <f t="shared" si="209"/>
        <v>0.66860221391818153</v>
      </c>
      <c r="AJ744" s="8"/>
      <c r="AK744" s="8"/>
      <c r="AL744" s="8"/>
      <c r="AN744" s="8">
        <f t="shared" si="215"/>
        <v>1</v>
      </c>
      <c r="AO744" s="8">
        <f t="shared" si="216"/>
        <v>2.4171539574929781</v>
      </c>
      <c r="AP744" s="8">
        <f t="shared" si="217"/>
        <v>0.8384688357241834</v>
      </c>
      <c r="AQ744" s="8"/>
      <c r="AR744" s="8">
        <f t="shared" si="218"/>
        <v>138.49272019769202</v>
      </c>
      <c r="AS744" s="8">
        <f t="shared" si="219"/>
        <v>41.959274459756344</v>
      </c>
    </row>
    <row r="745" spans="1:45">
      <c r="A745" s="19">
        <v>23.790433329999999</v>
      </c>
      <c r="B745" s="19">
        <v>890.90164670000001</v>
      </c>
      <c r="C745" s="19">
        <v>-391.23122059999997</v>
      </c>
      <c r="E745" s="9">
        <f t="shared" si="205"/>
        <v>-69.098353299999985</v>
      </c>
      <c r="F745" s="9">
        <f t="shared" si="210"/>
        <v>148.76877940000003</v>
      </c>
      <c r="I745">
        <v>1</v>
      </c>
      <c r="J745">
        <f t="shared" si="206"/>
        <v>0.10720021315567245</v>
      </c>
      <c r="K745">
        <f t="shared" si="211"/>
        <v>2.0056165793728939</v>
      </c>
      <c r="O745">
        <f t="shared" si="212"/>
        <v>-4.5071367964468909E-2</v>
      </c>
      <c r="P745">
        <f t="shared" si="213"/>
        <v>9.7038671368197535E-2</v>
      </c>
      <c r="Q745">
        <f t="shared" si="214"/>
        <v>0.99425955768547003</v>
      </c>
      <c r="R745">
        <f t="shared" si="204"/>
        <v>1</v>
      </c>
      <c r="AG745" s="8">
        <f t="shared" si="207"/>
        <v>-0.55655244200788179</v>
      </c>
      <c r="AH745" s="8">
        <f t="shared" si="208"/>
        <v>0.4932472199649891</v>
      </c>
      <c r="AI745" s="8">
        <f t="shared" si="209"/>
        <v>0.66854809796444215</v>
      </c>
      <c r="AJ745" s="8"/>
      <c r="AK745" s="8"/>
      <c r="AL745" s="8"/>
      <c r="AN745" s="8">
        <f t="shared" si="215"/>
        <v>1.0000000000000004</v>
      </c>
      <c r="AO745" s="8">
        <f t="shared" si="216"/>
        <v>2.4164237490764409</v>
      </c>
      <c r="AP745" s="8">
        <f t="shared" si="217"/>
        <v>0.83854160698516056</v>
      </c>
      <c r="AQ745" s="8"/>
      <c r="AR745" s="8">
        <f t="shared" si="218"/>
        <v>138.45088233725951</v>
      </c>
      <c r="AS745" s="8">
        <f t="shared" si="219"/>
        <v>41.955104973632508</v>
      </c>
    </row>
    <row r="746" spans="1:45">
      <c r="A746" s="19">
        <v>23.823799999999999</v>
      </c>
      <c r="B746" s="19">
        <v>889.96451090000005</v>
      </c>
      <c r="C746" s="19">
        <v>-391.19207999999998</v>
      </c>
      <c r="E746" s="9">
        <f t="shared" si="205"/>
        <v>-70.03548909999995</v>
      </c>
      <c r="F746" s="9">
        <f t="shared" si="210"/>
        <v>148.80792000000002</v>
      </c>
      <c r="I746">
        <v>1</v>
      </c>
      <c r="J746">
        <f t="shared" si="206"/>
        <v>0.10748342306398362</v>
      </c>
      <c r="K746">
        <f t="shared" si="211"/>
        <v>2.0106842021218299</v>
      </c>
      <c r="O746">
        <f t="shared" si="212"/>
        <v>-4.5682449915890613E-2</v>
      </c>
      <c r="P746">
        <f t="shared" si="213"/>
        <v>9.7063794939469802E-2</v>
      </c>
      <c r="Q746">
        <f t="shared" si="214"/>
        <v>0.99422921576547463</v>
      </c>
      <c r="R746">
        <f t="shared" si="204"/>
        <v>1</v>
      </c>
      <c r="AG746" s="8">
        <f t="shared" si="207"/>
        <v>-0.55622914211136054</v>
      </c>
      <c r="AH746" s="8">
        <f t="shared" si="208"/>
        <v>0.49375621122259622</v>
      </c>
      <c r="AI746" s="8">
        <f t="shared" si="209"/>
        <v>0.66844143000353207</v>
      </c>
      <c r="AJ746" s="8"/>
      <c r="AK746" s="8"/>
      <c r="AL746" s="8"/>
      <c r="AN746" s="8">
        <f t="shared" si="215"/>
        <v>1</v>
      </c>
      <c r="AO746" s="8">
        <f t="shared" si="216"/>
        <v>2.4156232874084562</v>
      </c>
      <c r="AP746" s="8">
        <f t="shared" si="217"/>
        <v>0.83868503248568371</v>
      </c>
      <c r="AQ746" s="8"/>
      <c r="AR746" s="8">
        <f t="shared" si="218"/>
        <v>138.40501926202199</v>
      </c>
      <c r="AS746" s="8">
        <f t="shared" si="219"/>
        <v>41.946887297777984</v>
      </c>
    </row>
    <row r="747" spans="1:45">
      <c r="A747" s="19">
        <v>23.857166670000002</v>
      </c>
      <c r="B747" s="19">
        <v>889.44931210000004</v>
      </c>
      <c r="C747" s="19">
        <v>-390.72160250000002</v>
      </c>
      <c r="E747" s="9">
        <f t="shared" si="205"/>
        <v>-70.550687899999957</v>
      </c>
      <c r="F747" s="9">
        <f t="shared" si="210"/>
        <v>149.27839749999998</v>
      </c>
      <c r="I747">
        <v>1</v>
      </c>
      <c r="J747">
        <f t="shared" si="206"/>
        <v>0.10790607680486583</v>
      </c>
      <c r="K747">
        <f t="shared" si="211"/>
        <v>2.0122940613736384</v>
      </c>
      <c r="O747">
        <f t="shared" si="212"/>
        <v>-4.6018200846814919E-2</v>
      </c>
      <c r="P747">
        <f t="shared" si="213"/>
        <v>9.737003965124591E-2</v>
      </c>
      <c r="Q747">
        <f t="shared" si="214"/>
        <v>0.99418378611257641</v>
      </c>
      <c r="R747">
        <f t="shared" si="204"/>
        <v>1</v>
      </c>
      <c r="AG747" s="8">
        <f t="shared" si="207"/>
        <v>-0.55585595917042296</v>
      </c>
      <c r="AH747" s="8">
        <f t="shared" si="208"/>
        <v>0.49397176905495288</v>
      </c>
      <c r="AI747" s="8">
        <f t="shared" si="209"/>
        <v>0.66859258448733161</v>
      </c>
      <c r="AJ747" s="8"/>
      <c r="AK747" s="8"/>
      <c r="AL747" s="8"/>
      <c r="AN747" s="8">
        <f t="shared" si="215"/>
        <v>1.0000000000000004</v>
      </c>
      <c r="AO747" s="8">
        <f t="shared" si="216"/>
        <v>2.4150733521170205</v>
      </c>
      <c r="AP747" s="8">
        <f t="shared" si="217"/>
        <v>0.83848178504174742</v>
      </c>
      <c r="AQ747" s="8"/>
      <c r="AR747" s="8">
        <f t="shared" si="218"/>
        <v>138.37351029081742</v>
      </c>
      <c r="AS747" s="8">
        <f t="shared" si="219"/>
        <v>41.958532518512349</v>
      </c>
    </row>
    <row r="748" spans="1:45">
      <c r="A748" s="19">
        <v>23.89053333</v>
      </c>
      <c r="B748" s="19">
        <v>888.80849699999999</v>
      </c>
      <c r="C748" s="19">
        <v>-390.49906329999999</v>
      </c>
      <c r="E748" s="9">
        <f t="shared" si="205"/>
        <v>-71.191503000000012</v>
      </c>
      <c r="F748" s="9">
        <f t="shared" si="210"/>
        <v>149.50093670000001</v>
      </c>
      <c r="I748">
        <v>1</v>
      </c>
      <c r="J748">
        <f t="shared" si="206"/>
        <v>0.10821765291330343</v>
      </c>
      <c r="K748">
        <f t="shared" si="211"/>
        <v>2.0152187033081668</v>
      </c>
      <c r="O748">
        <f t="shared" si="212"/>
        <v>-4.6435952678126211E-2</v>
      </c>
      <c r="P748">
        <f t="shared" si="213"/>
        <v>9.7514705117782693E-2</v>
      </c>
      <c r="Q748">
        <f t="shared" si="214"/>
        <v>0.9941501821076465</v>
      </c>
      <c r="R748">
        <f t="shared" si="204"/>
        <v>1</v>
      </c>
      <c r="AG748" s="8">
        <f t="shared" si="207"/>
        <v>-0.55554948476778232</v>
      </c>
      <c r="AH748" s="8">
        <f t="shared" si="208"/>
        <v>0.49429163058712627</v>
      </c>
      <c r="AI748" s="8">
        <f t="shared" si="209"/>
        <v>0.66861091369029535</v>
      </c>
      <c r="AJ748" s="8"/>
      <c r="AK748" s="8"/>
      <c r="AL748" s="8"/>
      <c r="AN748" s="8">
        <f t="shared" si="215"/>
        <v>1</v>
      </c>
      <c r="AO748" s="8">
        <f t="shared" si="216"/>
        <v>2.4144780474015701</v>
      </c>
      <c r="AP748" s="8">
        <f t="shared" si="217"/>
        <v>0.8384571364491239</v>
      </c>
      <c r="AQ748" s="8"/>
      <c r="AR748" s="8">
        <f t="shared" si="218"/>
        <v>138.3394018430979</v>
      </c>
      <c r="AS748" s="8">
        <f t="shared" si="219"/>
        <v>41.959944778840615</v>
      </c>
    </row>
    <row r="749" spans="1:45">
      <c r="A749" s="19">
        <v>23.9239</v>
      </c>
      <c r="B749" s="19">
        <v>888.3404534</v>
      </c>
      <c r="C749" s="19">
        <v>-390.52976410000002</v>
      </c>
      <c r="E749" s="9">
        <f t="shared" si="205"/>
        <v>-71.659546599999999</v>
      </c>
      <c r="F749" s="9">
        <f t="shared" si="210"/>
        <v>149.47023589999998</v>
      </c>
      <c r="I749">
        <v>1</v>
      </c>
      <c r="J749">
        <f t="shared" si="206"/>
        <v>0.10833166571891606</v>
      </c>
      <c r="K749">
        <f t="shared" si="211"/>
        <v>2.0178476658680591</v>
      </c>
      <c r="O749">
        <f t="shared" si="212"/>
        <v>-4.6741154497243302E-2</v>
      </c>
      <c r="P749">
        <f t="shared" si="213"/>
        <v>9.7494496133768468E-2</v>
      </c>
      <c r="Q749">
        <f t="shared" si="214"/>
        <v>0.99413786151614181</v>
      </c>
      <c r="R749">
        <f t="shared" si="204"/>
        <v>1</v>
      </c>
      <c r="AG749" s="8">
        <f t="shared" si="207"/>
        <v>-0.55540966987000207</v>
      </c>
      <c r="AH749" s="8">
        <f t="shared" si="208"/>
        <v>0.49455284002621713</v>
      </c>
      <c r="AI749" s="8">
        <f t="shared" si="209"/>
        <v>0.66853390866649276</v>
      </c>
      <c r="AJ749" s="8"/>
      <c r="AK749" s="8"/>
      <c r="AL749" s="8"/>
      <c r="AN749" s="8">
        <f t="shared" si="215"/>
        <v>1.0000000000000002</v>
      </c>
      <c r="AO749" s="8">
        <f t="shared" si="216"/>
        <v>2.4140906696881199</v>
      </c>
      <c r="AP749" s="8">
        <f t="shared" si="217"/>
        <v>0.83856068694958841</v>
      </c>
      <c r="AQ749" s="8"/>
      <c r="AR749" s="8">
        <f t="shared" si="218"/>
        <v>138.31720673503978</v>
      </c>
      <c r="AS749" s="8">
        <f t="shared" si="219"/>
        <v>41.954011772197532</v>
      </c>
    </row>
    <row r="750" spans="1:45">
      <c r="A750" s="19">
        <v>23.957266669999999</v>
      </c>
      <c r="B750" s="19">
        <v>887.54930850000005</v>
      </c>
      <c r="C750" s="19">
        <v>-390.54725259999998</v>
      </c>
      <c r="E750" s="9">
        <f t="shared" si="205"/>
        <v>-72.450691499999948</v>
      </c>
      <c r="F750" s="9">
        <f t="shared" si="210"/>
        <v>149.45274740000002</v>
      </c>
      <c r="I750">
        <v>1</v>
      </c>
      <c r="J750">
        <f t="shared" si="206"/>
        <v>0.10854635705772098</v>
      </c>
      <c r="K750">
        <f t="shared" si="211"/>
        <v>2.0221884875225258</v>
      </c>
      <c r="O750">
        <f t="shared" si="212"/>
        <v>-4.7257021304775951E-2</v>
      </c>
      <c r="P750">
        <f t="shared" si="213"/>
        <v>9.7482736488983077E-2</v>
      </c>
      <c r="Q750">
        <f t="shared" si="214"/>
        <v>0.99411462619962465</v>
      </c>
      <c r="R750">
        <f t="shared" si="204"/>
        <v>1</v>
      </c>
      <c r="AG750" s="8">
        <f t="shared" si="207"/>
        <v>-0.5551582374393419</v>
      </c>
      <c r="AH750" s="8">
        <f t="shared" si="208"/>
        <v>0.49498934076502282</v>
      </c>
      <c r="AI750" s="8">
        <f t="shared" si="209"/>
        <v>0.66841969146057589</v>
      </c>
      <c r="AJ750" s="8"/>
      <c r="AK750" s="8"/>
      <c r="AL750" s="8"/>
      <c r="AN750" s="8">
        <f t="shared" si="215"/>
        <v>1</v>
      </c>
      <c r="AO750" s="8">
        <f t="shared" si="216"/>
        <v>2.4134275749860334</v>
      </c>
      <c r="AP750" s="8">
        <f t="shared" si="217"/>
        <v>0.83871425981387782</v>
      </c>
      <c r="AQ750" s="8"/>
      <c r="AR750" s="8">
        <f t="shared" si="218"/>
        <v>138.27921420719272</v>
      </c>
      <c r="AS750" s="8">
        <f t="shared" si="219"/>
        <v>41.945212695226012</v>
      </c>
    </row>
    <row r="751" spans="1:45">
      <c r="A751" s="19">
        <v>23.990633330000001</v>
      </c>
      <c r="B751" s="19">
        <v>887.04983909999999</v>
      </c>
      <c r="C751" s="19">
        <v>-390.48696630000001</v>
      </c>
      <c r="E751" s="9">
        <f t="shared" si="205"/>
        <v>-72.950160900000014</v>
      </c>
      <c r="F751" s="9">
        <f t="shared" si="210"/>
        <v>149.51303369999999</v>
      </c>
      <c r="I751">
        <v>1</v>
      </c>
      <c r="J751">
        <f t="shared" si="206"/>
        <v>0.10872492549596846</v>
      </c>
      <c r="K751">
        <f t="shared" si="211"/>
        <v>2.0247320293903446</v>
      </c>
      <c r="O751">
        <f t="shared" si="212"/>
        <v>-4.7582661329978258E-2</v>
      </c>
      <c r="P751">
        <f t="shared" si="213"/>
        <v>9.7521759502585709E-2</v>
      </c>
      <c r="Q751">
        <f t="shared" si="214"/>
        <v>0.99409526543700855</v>
      </c>
      <c r="R751">
        <f t="shared" si="204"/>
        <v>1</v>
      </c>
      <c r="AG751" s="8">
        <f t="shared" si="207"/>
        <v>-0.55496838269184234</v>
      </c>
      <c r="AH751" s="8">
        <f t="shared" si="208"/>
        <v>0.49525464075910258</v>
      </c>
      <c r="AI751" s="8">
        <f t="shared" si="209"/>
        <v>0.66838083082848287</v>
      </c>
      <c r="AJ751" s="8"/>
      <c r="AK751" s="8"/>
      <c r="AL751" s="8"/>
      <c r="AN751" s="8">
        <f t="shared" si="215"/>
        <v>1</v>
      </c>
      <c r="AO751" s="8">
        <f t="shared" si="216"/>
        <v>2.4129914910337447</v>
      </c>
      <c r="AP751" s="8">
        <f t="shared" si="217"/>
        <v>0.83876650576575473</v>
      </c>
      <c r="AQ751" s="8"/>
      <c r="AR751" s="8">
        <f t="shared" si="218"/>
        <v>138.25422843721319</v>
      </c>
      <c r="AS751" s="8">
        <f t="shared" si="219"/>
        <v>41.942219222686823</v>
      </c>
    </row>
    <row r="752" spans="1:45">
      <c r="A752" s="19">
        <v>24.024000000000001</v>
      </c>
      <c r="B752" s="19">
        <v>886.48375620000002</v>
      </c>
      <c r="C752" s="19">
        <v>-390.43941719999998</v>
      </c>
      <c r="E752" s="9">
        <f t="shared" si="205"/>
        <v>-73.516243799999984</v>
      </c>
      <c r="F752" s="9">
        <f t="shared" si="210"/>
        <v>149.56058280000002</v>
      </c>
      <c r="I752">
        <v>1</v>
      </c>
      <c r="J752">
        <f t="shared" si="206"/>
        <v>0.10891594219093026</v>
      </c>
      <c r="K752">
        <f t="shared" si="211"/>
        <v>2.0276597097617453</v>
      </c>
      <c r="O752">
        <f t="shared" si="212"/>
        <v>-4.7951735326161336E-2</v>
      </c>
      <c r="P752">
        <f t="shared" si="213"/>
        <v>9.755244706411452E-2</v>
      </c>
      <c r="Q752">
        <f t="shared" si="214"/>
        <v>0.99407451991840778</v>
      </c>
      <c r="R752">
        <f t="shared" si="204"/>
        <v>1</v>
      </c>
      <c r="AG752" s="8">
        <f t="shared" si="207"/>
        <v>-0.55476217347163115</v>
      </c>
      <c r="AH752" s="8">
        <f t="shared" si="208"/>
        <v>0.49555823101398205</v>
      </c>
      <c r="AI752" s="8">
        <f t="shared" si="209"/>
        <v>0.66832699373833804</v>
      </c>
      <c r="AJ752" s="8"/>
      <c r="AK752" s="8"/>
      <c r="AL752" s="8"/>
      <c r="AN752" s="8">
        <f t="shared" si="215"/>
        <v>0.99999999999999989</v>
      </c>
      <c r="AO752" s="8">
        <f t="shared" si="216"/>
        <v>2.4125024117150007</v>
      </c>
      <c r="AP752" s="8">
        <f t="shared" si="217"/>
        <v>0.83883888267739226</v>
      </c>
      <c r="AQ752" s="8"/>
      <c r="AR752" s="8">
        <f t="shared" si="218"/>
        <v>138.22620625640204</v>
      </c>
      <c r="AS752" s="8">
        <f t="shared" si="219"/>
        <v>41.938072331115805</v>
      </c>
    </row>
    <row r="753" spans="1:45">
      <c r="A753" s="19">
        <v>24.05736667</v>
      </c>
      <c r="B753" s="19">
        <v>886.00845690000006</v>
      </c>
      <c r="C753" s="19">
        <v>-390.19840390000002</v>
      </c>
      <c r="E753" s="9">
        <f t="shared" si="205"/>
        <v>-73.991543099999944</v>
      </c>
      <c r="F753" s="9">
        <f t="shared" si="210"/>
        <v>149.80159609999998</v>
      </c>
      <c r="I753">
        <v>1</v>
      </c>
      <c r="J753">
        <f t="shared" si="206"/>
        <v>0.1091950948566609</v>
      </c>
      <c r="K753">
        <f t="shared" si="211"/>
        <v>2.0295763737931622</v>
      </c>
      <c r="O753">
        <f t="shared" si="212"/>
        <v>-4.826151204319435E-2</v>
      </c>
      <c r="P753">
        <f t="shared" si="213"/>
        <v>9.7709160146842347E-2</v>
      </c>
      <c r="Q753">
        <f t="shared" si="214"/>
        <v>0.99404413708783745</v>
      </c>
      <c r="R753">
        <f t="shared" si="204"/>
        <v>1</v>
      </c>
      <c r="AG753" s="8">
        <f t="shared" si="207"/>
        <v>-0.55450146792038224</v>
      </c>
      <c r="AH753" s="8">
        <f t="shared" si="208"/>
        <v>0.49578429677272223</v>
      </c>
      <c r="AI753" s="8">
        <f t="shared" si="209"/>
        <v>0.66837568264241831</v>
      </c>
      <c r="AJ753" s="8"/>
      <c r="AK753" s="8"/>
      <c r="AL753" s="8"/>
      <c r="AN753" s="8">
        <f t="shared" si="215"/>
        <v>1</v>
      </c>
      <c r="AO753" s="8">
        <f t="shared" si="216"/>
        <v>2.4120422553128282</v>
      </c>
      <c r="AP753" s="8">
        <f t="shared" si="217"/>
        <v>0.83877342703071256</v>
      </c>
      <c r="AQ753" s="8"/>
      <c r="AR753" s="8">
        <f t="shared" si="218"/>
        <v>138.19984123664162</v>
      </c>
      <c r="AS753" s="8">
        <f t="shared" si="219"/>
        <v>41.941822663415849</v>
      </c>
    </row>
    <row r="754" spans="1:45">
      <c r="A754" s="19">
        <v>24.090733329999999</v>
      </c>
      <c r="B754" s="19">
        <v>885.52746290000005</v>
      </c>
      <c r="C754" s="19">
        <v>-389.83352619999999</v>
      </c>
      <c r="E754" s="9">
        <f t="shared" si="205"/>
        <v>-74.472537099999954</v>
      </c>
      <c r="F754" s="9">
        <f t="shared" si="210"/>
        <v>150.16647380000001</v>
      </c>
      <c r="I754">
        <v>1</v>
      </c>
      <c r="J754">
        <f t="shared" si="206"/>
        <v>0.10954895423573709</v>
      </c>
      <c r="K754">
        <f t="shared" si="211"/>
        <v>2.0311851913900325</v>
      </c>
      <c r="O754">
        <f t="shared" si="212"/>
        <v>-4.8574924817133922E-2</v>
      </c>
      <c r="P754">
        <f t="shared" si="213"/>
        <v>9.7946511008406595E-2</v>
      </c>
      <c r="Q754">
        <f t="shared" si="214"/>
        <v>0.99400551188627218</v>
      </c>
      <c r="R754">
        <f t="shared" si="204"/>
        <v>1</v>
      </c>
      <c r="AG754" s="8">
        <f t="shared" si="207"/>
        <v>-0.55418492370532457</v>
      </c>
      <c r="AH754" s="8">
        <f t="shared" si="208"/>
        <v>0.49599567928013205</v>
      </c>
      <c r="AI754" s="8">
        <f t="shared" si="209"/>
        <v>0.66848138079767339</v>
      </c>
      <c r="AJ754" s="8"/>
      <c r="AK754" s="8"/>
      <c r="AL754" s="8"/>
      <c r="AN754" s="8">
        <f t="shared" si="215"/>
        <v>1</v>
      </c>
      <c r="AO754" s="8">
        <f t="shared" si="216"/>
        <v>2.4115466878106959</v>
      </c>
      <c r="AP754" s="8">
        <f t="shared" si="217"/>
        <v>0.8386313169033629</v>
      </c>
      <c r="AQ754" s="8"/>
      <c r="AR754" s="8">
        <f t="shared" si="218"/>
        <v>138.17144731030561</v>
      </c>
      <c r="AS754" s="8">
        <f t="shared" si="219"/>
        <v>41.949964973939053</v>
      </c>
    </row>
    <row r="755" spans="1:45">
      <c r="A755" s="19">
        <v>24.124099999999999</v>
      </c>
      <c r="B755" s="19">
        <v>884.68306610000002</v>
      </c>
      <c r="C755" s="19">
        <v>-389.75138750000002</v>
      </c>
      <c r="E755" s="9">
        <f t="shared" si="205"/>
        <v>-75.316933899999981</v>
      </c>
      <c r="F755" s="9">
        <f t="shared" si="210"/>
        <v>150.24861249999998</v>
      </c>
      <c r="I755">
        <v>1</v>
      </c>
      <c r="J755">
        <f t="shared" si="206"/>
        <v>0.10984381111573539</v>
      </c>
      <c r="K755">
        <f t="shared" si="211"/>
        <v>2.0354690572711043</v>
      </c>
      <c r="O755">
        <f t="shared" si="212"/>
        <v>-4.9125407619870894E-2</v>
      </c>
      <c r="P755">
        <f t="shared" si="213"/>
        <v>9.7999532790095836E-2</v>
      </c>
      <c r="Q755">
        <f t="shared" si="214"/>
        <v>0.99397323198318799</v>
      </c>
      <c r="R755">
        <f t="shared" si="204"/>
        <v>1</v>
      </c>
      <c r="AG755" s="8">
        <f t="shared" si="207"/>
        <v>-0.55387210952453536</v>
      </c>
      <c r="AH755" s="8">
        <f t="shared" si="208"/>
        <v>0.49644660638012467</v>
      </c>
      <c r="AI755" s="8">
        <f t="shared" si="209"/>
        <v>0.66840590460026506</v>
      </c>
      <c r="AJ755" s="8"/>
      <c r="AK755" s="8"/>
      <c r="AL755" s="8"/>
      <c r="AN755" s="8">
        <f t="shared" si="215"/>
        <v>1</v>
      </c>
      <c r="AO755" s="8">
        <f t="shared" si="216"/>
        <v>2.4108144681820525</v>
      </c>
      <c r="AP755" s="8">
        <f t="shared" si="217"/>
        <v>0.83873279575917192</v>
      </c>
      <c r="AQ755" s="8"/>
      <c r="AR755" s="8">
        <f t="shared" si="218"/>
        <v>138.1294942159077</v>
      </c>
      <c r="AS755" s="8">
        <f t="shared" si="219"/>
        <v>41.944150663791376</v>
      </c>
    </row>
    <row r="756" spans="1:45">
      <c r="A756" s="19">
        <v>24.157466670000002</v>
      </c>
      <c r="B756" s="19">
        <v>883.9560735</v>
      </c>
      <c r="C756" s="19">
        <v>-389.71225700000002</v>
      </c>
      <c r="E756" s="9">
        <f t="shared" si="205"/>
        <v>-76.043926499999998</v>
      </c>
      <c r="F756" s="9">
        <f t="shared" si="210"/>
        <v>150.28774299999998</v>
      </c>
      <c r="I756">
        <v>1</v>
      </c>
      <c r="J756">
        <f t="shared" si="206"/>
        <v>0.11008081671370631</v>
      </c>
      <c r="K756">
        <f t="shared" si="211"/>
        <v>2.0392235521207165</v>
      </c>
      <c r="O756">
        <f t="shared" si="212"/>
        <v>-4.9599357089868561E-2</v>
      </c>
      <c r="P756">
        <f t="shared" si="213"/>
        <v>9.8024599391082171E-2</v>
      </c>
      <c r="Q756">
        <f t="shared" si="214"/>
        <v>0.9939472227892634</v>
      </c>
      <c r="R756">
        <f t="shared" si="204"/>
        <v>1</v>
      </c>
      <c r="AG756" s="8">
        <f t="shared" si="207"/>
        <v>-0.55361639508721205</v>
      </c>
      <c r="AH756" s="8">
        <f t="shared" si="208"/>
        <v>0.49683923873629698</v>
      </c>
      <c r="AI756" s="8">
        <f t="shared" si="209"/>
        <v>0.66832601172075956</v>
      </c>
      <c r="AJ756" s="8"/>
      <c r="AK756" s="8"/>
      <c r="AL756" s="8"/>
      <c r="AN756" s="8">
        <f t="shared" si="215"/>
        <v>1</v>
      </c>
      <c r="AO756" s="8">
        <f t="shared" si="216"/>
        <v>2.4101919761761592</v>
      </c>
      <c r="AP756" s="8">
        <f t="shared" si="217"/>
        <v>0.83884020282761218</v>
      </c>
      <c r="AQ756" s="8"/>
      <c r="AR756" s="8">
        <f t="shared" si="218"/>
        <v>138.09382805118938</v>
      </c>
      <c r="AS756" s="8">
        <f t="shared" si="219"/>
        <v>41.937996692079878</v>
      </c>
    </row>
    <row r="757" spans="1:45">
      <c r="A757" s="19">
        <v>24.19083333</v>
      </c>
      <c r="B757" s="19">
        <v>883.31089459999998</v>
      </c>
      <c r="C757" s="19">
        <v>-389.62065669999998</v>
      </c>
      <c r="E757" s="9">
        <f t="shared" si="205"/>
        <v>-76.689105400000017</v>
      </c>
      <c r="F757" s="9">
        <f t="shared" si="210"/>
        <v>150.37934330000002</v>
      </c>
      <c r="I757">
        <v>1</v>
      </c>
      <c r="J757">
        <f t="shared" si="206"/>
        <v>0.11032561346115001</v>
      </c>
      <c r="K757">
        <f t="shared" si="211"/>
        <v>2.0423888872959326</v>
      </c>
      <c r="O757">
        <f t="shared" si="212"/>
        <v>-5.001992669667793E-2</v>
      </c>
      <c r="P757">
        <f t="shared" si="213"/>
        <v>9.8083863272716731E-2</v>
      </c>
      <c r="Q757">
        <f t="shared" si="214"/>
        <v>0.99392029997317088</v>
      </c>
      <c r="R757">
        <f t="shared" si="204"/>
        <v>1</v>
      </c>
      <c r="AG757" s="8">
        <f t="shared" si="207"/>
        <v>-0.55336459666993298</v>
      </c>
      <c r="AH757" s="8">
        <f t="shared" si="208"/>
        <v>0.49717943931377845</v>
      </c>
      <c r="AI757" s="8">
        <f t="shared" si="209"/>
        <v>0.66828154865741973</v>
      </c>
      <c r="AJ757" s="8"/>
      <c r="AK757" s="8"/>
      <c r="AL757" s="8"/>
      <c r="AN757" s="8">
        <f t="shared" si="215"/>
        <v>0.99999999999999989</v>
      </c>
      <c r="AO757" s="8">
        <f t="shared" si="216"/>
        <v>2.4096255487654643</v>
      </c>
      <c r="AP757" s="8">
        <f t="shared" si="217"/>
        <v>0.83889997396951288</v>
      </c>
      <c r="AQ757" s="8"/>
      <c r="AR757" s="8">
        <f t="shared" si="218"/>
        <v>138.06137415115603</v>
      </c>
      <c r="AS757" s="8">
        <f t="shared" si="219"/>
        <v>41.934572057912291</v>
      </c>
    </row>
    <row r="758" spans="1:45">
      <c r="A758" s="19">
        <v>24.2242</v>
      </c>
      <c r="B758" s="19">
        <v>882.58526300000005</v>
      </c>
      <c r="C758" s="19">
        <v>-389.51806679999999</v>
      </c>
      <c r="E758" s="9">
        <f t="shared" si="205"/>
        <v>-77.414736999999946</v>
      </c>
      <c r="F758" s="9">
        <f t="shared" si="210"/>
        <v>150.48193320000001</v>
      </c>
      <c r="I758">
        <v>1</v>
      </c>
      <c r="J758">
        <f t="shared" si="206"/>
        <v>0.11060199146143593</v>
      </c>
      <c r="K758">
        <f t="shared" si="211"/>
        <v>2.0459333526330941</v>
      </c>
      <c r="O758">
        <f t="shared" si="212"/>
        <v>-5.0492927985517549E-2</v>
      </c>
      <c r="P758">
        <f t="shared" si="213"/>
        <v>9.8150219333420635E-2</v>
      </c>
      <c r="Q758">
        <f t="shared" si="214"/>
        <v>0.99388983225921512</v>
      </c>
      <c r="R758">
        <f t="shared" si="204"/>
        <v>1</v>
      </c>
      <c r="AG758" s="8">
        <f t="shared" si="207"/>
        <v>-0.55308146568063288</v>
      </c>
      <c r="AH758" s="8">
        <f t="shared" si="208"/>
        <v>0.49756201392121202</v>
      </c>
      <c r="AI758" s="8">
        <f t="shared" si="209"/>
        <v>0.66823119848090784</v>
      </c>
      <c r="AJ758" s="8"/>
      <c r="AK758" s="8"/>
      <c r="AL758" s="8"/>
      <c r="AN758" s="8">
        <f t="shared" si="215"/>
        <v>1</v>
      </c>
      <c r="AO758" s="8">
        <f t="shared" si="216"/>
        <v>2.4089886696712206</v>
      </c>
      <c r="AP758" s="8">
        <f t="shared" si="217"/>
        <v>0.83896765520959238</v>
      </c>
      <c r="AQ758" s="8"/>
      <c r="AR758" s="8">
        <f t="shared" si="218"/>
        <v>138.02488366699575</v>
      </c>
      <c r="AS758" s="8">
        <f t="shared" si="219"/>
        <v>41.930694208503525</v>
      </c>
    </row>
    <row r="759" spans="1:45">
      <c r="A759" s="19">
        <v>24.257566669999999</v>
      </c>
      <c r="B759" s="19">
        <v>881.93237169999998</v>
      </c>
      <c r="C759" s="19">
        <v>-389.50811570000002</v>
      </c>
      <c r="E759" s="9">
        <f t="shared" si="205"/>
        <v>-78.067628300000024</v>
      </c>
      <c r="F759" s="9">
        <f t="shared" si="210"/>
        <v>150.49188429999998</v>
      </c>
      <c r="I759">
        <v>1</v>
      </c>
      <c r="J759">
        <f t="shared" si="206"/>
        <v>0.11080397445590259</v>
      </c>
      <c r="K759">
        <f t="shared" si="211"/>
        <v>2.0493309812927247</v>
      </c>
      <c r="O759">
        <f t="shared" si="212"/>
        <v>-5.0918553475126374E-2</v>
      </c>
      <c r="P759">
        <f t="shared" si="213"/>
        <v>9.8156293782298523E-2</v>
      </c>
      <c r="Q759">
        <f t="shared" si="214"/>
        <v>0.99386751778238724</v>
      </c>
      <c r="R759">
        <f t="shared" si="204"/>
        <v>1</v>
      </c>
      <c r="AG759" s="8">
        <f t="shared" si="207"/>
        <v>-0.55286244740404711</v>
      </c>
      <c r="AH759" s="8">
        <f t="shared" si="208"/>
        <v>0.49791794438443265</v>
      </c>
      <c r="AI759" s="8">
        <f t="shared" si="209"/>
        <v>0.66814731527589655</v>
      </c>
      <c r="AJ759" s="8"/>
      <c r="AK759" s="8"/>
      <c r="AL759" s="8"/>
      <c r="AN759" s="8">
        <f t="shared" si="215"/>
        <v>1</v>
      </c>
      <c r="AO759" s="8">
        <f t="shared" si="216"/>
        <v>2.4084361476070573</v>
      </c>
      <c r="AP759" s="8">
        <f t="shared" si="217"/>
        <v>0.83908040276514329</v>
      </c>
      <c r="AQ759" s="8"/>
      <c r="AR759" s="8">
        <f t="shared" si="218"/>
        <v>137.99322648463135</v>
      </c>
      <c r="AS759" s="8">
        <f t="shared" si="219"/>
        <v>41.924234249420039</v>
      </c>
    </row>
    <row r="760" spans="1:45">
      <c r="A760" s="19">
        <v>24.290933330000001</v>
      </c>
      <c r="B760" s="19">
        <v>881.36180479999996</v>
      </c>
      <c r="C760" s="19">
        <v>-389.5665497</v>
      </c>
      <c r="E760" s="9">
        <f t="shared" si="205"/>
        <v>-78.638195200000041</v>
      </c>
      <c r="F760" s="9">
        <f t="shared" si="210"/>
        <v>150.4334503</v>
      </c>
      <c r="I760">
        <v>1</v>
      </c>
      <c r="J760">
        <f t="shared" si="206"/>
        <v>0.11094257843308343</v>
      </c>
      <c r="K760">
        <f t="shared" si="211"/>
        <v>2.052473202640642</v>
      </c>
      <c r="O760">
        <f t="shared" si="212"/>
        <v>-5.1290546631034682E-2</v>
      </c>
      <c r="P760">
        <f t="shared" si="213"/>
        <v>9.8117891412131356E-2</v>
      </c>
      <c r="Q760">
        <f t="shared" si="214"/>
        <v>0.99385218177107548</v>
      </c>
      <c r="R760">
        <f t="shared" si="204"/>
        <v>1</v>
      </c>
      <c r="AG760" s="8">
        <f t="shared" si="207"/>
        <v>-0.55270017180407638</v>
      </c>
      <c r="AH760" s="8">
        <f t="shared" si="208"/>
        <v>0.49823854334477519</v>
      </c>
      <c r="AI760" s="8">
        <f t="shared" si="209"/>
        <v>0.66804256901294923</v>
      </c>
      <c r="AJ760" s="8"/>
      <c r="AK760" s="8"/>
      <c r="AL760" s="8"/>
      <c r="AN760" s="8">
        <f t="shared" si="215"/>
        <v>1</v>
      </c>
      <c r="AO760" s="8">
        <f t="shared" si="216"/>
        <v>2.407970063494953</v>
      </c>
      <c r="AP760" s="8">
        <f t="shared" si="217"/>
        <v>0.83922117636634408</v>
      </c>
      <c r="AQ760" s="8"/>
      <c r="AR760" s="8">
        <f t="shared" si="218"/>
        <v>137.96652183210966</v>
      </c>
      <c r="AS760" s="8">
        <f t="shared" si="219"/>
        <v>41.91616851620438</v>
      </c>
    </row>
    <row r="761" spans="1:45">
      <c r="A761" s="19">
        <v>24.324300000000001</v>
      </c>
      <c r="B761" s="19">
        <v>880.65529949999996</v>
      </c>
      <c r="C761" s="19">
        <v>-389.42866500000002</v>
      </c>
      <c r="E761" s="9">
        <f t="shared" si="205"/>
        <v>-79.344700500000044</v>
      </c>
      <c r="F761" s="9">
        <f t="shared" si="210"/>
        <v>150.57133499999998</v>
      </c>
      <c r="I761">
        <v>1</v>
      </c>
      <c r="J761">
        <f t="shared" si="206"/>
        <v>0.11123746875249169</v>
      </c>
      <c r="K761">
        <f t="shared" si="211"/>
        <v>2.0557766661854249</v>
      </c>
      <c r="O761">
        <f t="shared" si="212"/>
        <v>-5.1751022839722598E-2</v>
      </c>
      <c r="P761">
        <f t="shared" si="213"/>
        <v>9.8207196542288475E-2</v>
      </c>
      <c r="Q761">
        <f t="shared" si="214"/>
        <v>0.99381948973762169</v>
      </c>
      <c r="R761">
        <f t="shared" si="204"/>
        <v>1</v>
      </c>
      <c r="AG761" s="8">
        <f t="shared" si="207"/>
        <v>-0.55240763240580282</v>
      </c>
      <c r="AH761" s="8">
        <f t="shared" si="208"/>
        <v>0.49860528698946976</v>
      </c>
      <c r="AI761" s="8">
        <f t="shared" si="209"/>
        <v>0.66801090967585552</v>
      </c>
      <c r="AJ761" s="8"/>
      <c r="AK761" s="8"/>
      <c r="AL761" s="8"/>
      <c r="AN761" s="8">
        <f t="shared" si="215"/>
        <v>1</v>
      </c>
      <c r="AO761" s="8">
        <f t="shared" si="216"/>
        <v>2.4073407906789588</v>
      </c>
      <c r="AP761" s="8">
        <f t="shared" si="217"/>
        <v>0.83926372138916328</v>
      </c>
      <c r="AQ761" s="8"/>
      <c r="AR761" s="8">
        <f t="shared" si="218"/>
        <v>137.93046715559089</v>
      </c>
      <c r="AS761" s="8">
        <f t="shared" si="219"/>
        <v>41.913730865957547</v>
      </c>
    </row>
    <row r="762" spans="1:45">
      <c r="A762" s="19">
        <v>24.35766667</v>
      </c>
      <c r="B762" s="19">
        <v>880.18345120000004</v>
      </c>
      <c r="C762" s="19">
        <v>-389.32088770000001</v>
      </c>
      <c r="E762" s="9">
        <f t="shared" si="205"/>
        <v>-79.816548799999964</v>
      </c>
      <c r="F762" s="9">
        <f t="shared" si="210"/>
        <v>150.67911229999999</v>
      </c>
      <c r="I762">
        <v>1</v>
      </c>
      <c r="J762">
        <f t="shared" si="206"/>
        <v>0.11144415900301284</v>
      </c>
      <c r="K762">
        <f t="shared" si="211"/>
        <v>2.0579301146379985</v>
      </c>
      <c r="O762">
        <f t="shared" si="212"/>
        <v>-5.2058538412953714E-2</v>
      </c>
      <c r="P762">
        <f t="shared" si="213"/>
        <v>9.8277042463396067E-2</v>
      </c>
      <c r="Q762">
        <f t="shared" si="214"/>
        <v>0.99379652419544862</v>
      </c>
      <c r="R762">
        <f t="shared" si="204"/>
        <v>1</v>
      </c>
      <c r="AG762" s="8">
        <f t="shared" si="207"/>
        <v>-0.55220536099303752</v>
      </c>
      <c r="AH762" s="8">
        <f t="shared" si="208"/>
        <v>0.498847907579895</v>
      </c>
      <c r="AI762" s="8">
        <f t="shared" si="209"/>
        <v>0.6679970092700338</v>
      </c>
      <c r="AJ762" s="8"/>
      <c r="AK762" s="8"/>
      <c r="AL762" s="8"/>
      <c r="AN762" s="8">
        <f t="shared" si="215"/>
        <v>1</v>
      </c>
      <c r="AO762" s="8">
        <f t="shared" si="216"/>
        <v>2.4069166456952296</v>
      </c>
      <c r="AP762" s="8">
        <f t="shared" si="217"/>
        <v>0.83928240077052996</v>
      </c>
      <c r="AQ762" s="8"/>
      <c r="AR762" s="8">
        <f t="shared" si="218"/>
        <v>137.90616543812155</v>
      </c>
      <c r="AS762" s="8">
        <f t="shared" si="219"/>
        <v>41.912660616241325</v>
      </c>
    </row>
    <row r="763" spans="1:45">
      <c r="A763" s="19">
        <v>24.391033329999999</v>
      </c>
      <c r="B763" s="19">
        <v>879.50789150000003</v>
      </c>
      <c r="C763" s="19">
        <v>-389.24505649999998</v>
      </c>
      <c r="E763" s="9">
        <f t="shared" si="205"/>
        <v>-80.492108499999972</v>
      </c>
      <c r="F763" s="9">
        <f t="shared" si="210"/>
        <v>150.75494350000002</v>
      </c>
      <c r="I763">
        <v>1</v>
      </c>
      <c r="J763">
        <f t="shared" si="206"/>
        <v>0.11169564939030378</v>
      </c>
      <c r="K763">
        <f t="shared" si="211"/>
        <v>2.0612156010096045</v>
      </c>
      <c r="O763">
        <f t="shared" si="212"/>
        <v>-5.2498859192670611E-2</v>
      </c>
      <c r="P763">
        <f t="shared" si="213"/>
        <v>9.8325943982515068E-2</v>
      </c>
      <c r="Q763">
        <f t="shared" si="214"/>
        <v>0.99376852361272516</v>
      </c>
      <c r="R763">
        <f t="shared" si="204"/>
        <v>1</v>
      </c>
      <c r="AG763" s="8">
        <f t="shared" si="207"/>
        <v>-0.55194981934728782</v>
      </c>
      <c r="AH763" s="8">
        <f t="shared" si="208"/>
        <v>0.49920644229221084</v>
      </c>
      <c r="AI763" s="8">
        <f t="shared" si="209"/>
        <v>0.66794036028409753</v>
      </c>
      <c r="AJ763" s="8"/>
      <c r="AK763" s="8"/>
      <c r="AL763" s="8"/>
      <c r="AN763" s="8">
        <f t="shared" si="215"/>
        <v>1</v>
      </c>
      <c r="AO763" s="8">
        <f t="shared" si="216"/>
        <v>2.4063289773244394</v>
      </c>
      <c r="AP763" s="8">
        <f t="shared" si="217"/>
        <v>0.8393585225042709</v>
      </c>
      <c r="AQ763" s="8"/>
      <c r="AR763" s="8">
        <f t="shared" si="218"/>
        <v>137.87249452072194</v>
      </c>
      <c r="AS763" s="8">
        <f t="shared" si="219"/>
        <v>41.908299162168746</v>
      </c>
    </row>
    <row r="764" spans="1:45">
      <c r="A764" s="19">
        <v>24.424399999999999</v>
      </c>
      <c r="B764" s="19">
        <v>878.70420490000004</v>
      </c>
      <c r="C764" s="19">
        <v>-389.07688300000001</v>
      </c>
      <c r="E764" s="9">
        <f t="shared" si="205"/>
        <v>-81.295795099999964</v>
      </c>
      <c r="F764" s="9">
        <f t="shared" si="210"/>
        <v>150.92311699999999</v>
      </c>
      <c r="I764">
        <v>1</v>
      </c>
      <c r="J764">
        <f t="shared" si="206"/>
        <v>0.11204131893080542</v>
      </c>
      <c r="K764">
        <f t="shared" si="211"/>
        <v>2.064889219430694</v>
      </c>
      <c r="O764">
        <f t="shared" si="212"/>
        <v>-5.3022619439268226E-2</v>
      </c>
      <c r="P764">
        <f t="shared" si="213"/>
        <v>9.8434845091750114E-2</v>
      </c>
      <c r="Q764">
        <f t="shared" si="214"/>
        <v>0.99372993469028681</v>
      </c>
      <c r="R764">
        <f t="shared" si="204"/>
        <v>1</v>
      </c>
      <c r="AG764" s="8">
        <f t="shared" si="207"/>
        <v>-0.55161174137616709</v>
      </c>
      <c r="AH764" s="8">
        <f t="shared" si="208"/>
        <v>0.49962165907874562</v>
      </c>
      <c r="AI764" s="8">
        <f t="shared" si="209"/>
        <v>0.66790918885381001</v>
      </c>
      <c r="AJ764" s="8"/>
      <c r="AK764" s="8"/>
      <c r="AL764" s="8"/>
      <c r="AN764" s="8">
        <f t="shared" si="215"/>
        <v>1.0000000000000002</v>
      </c>
      <c r="AO764" s="8">
        <f t="shared" si="216"/>
        <v>2.4056104966353091</v>
      </c>
      <c r="AP764" s="8">
        <f t="shared" si="217"/>
        <v>0.83940040670790761</v>
      </c>
      <c r="AQ764" s="8"/>
      <c r="AR764" s="8">
        <f t="shared" si="218"/>
        <v>137.83132860957315</v>
      </c>
      <c r="AS764" s="8">
        <f t="shared" si="219"/>
        <v>41.905899374072099</v>
      </c>
    </row>
    <row r="765" spans="1:45">
      <c r="A765" s="19">
        <v>24.457766670000002</v>
      </c>
      <c r="B765" s="19">
        <v>878.33090879999997</v>
      </c>
      <c r="C765" s="19">
        <v>-388.87408490000001</v>
      </c>
      <c r="E765" s="9">
        <f t="shared" si="205"/>
        <v>-81.669091200000025</v>
      </c>
      <c r="F765" s="9">
        <f t="shared" si="210"/>
        <v>151.12591509999999</v>
      </c>
      <c r="I765">
        <v>1</v>
      </c>
      <c r="J765">
        <f t="shared" si="206"/>
        <v>0.11227417977844507</v>
      </c>
      <c r="K765">
        <f t="shared" si="211"/>
        <v>2.0662425437676566</v>
      </c>
      <c r="O765">
        <f t="shared" si="212"/>
        <v>-5.3265797224713106E-2</v>
      </c>
      <c r="P765">
        <f t="shared" si="213"/>
        <v>9.8566571891959651E-2</v>
      </c>
      <c r="Q765">
        <f t="shared" si="214"/>
        <v>0.99370387226350432</v>
      </c>
      <c r="R765">
        <f t="shared" si="204"/>
        <v>1</v>
      </c>
      <c r="AG765" s="8">
        <f t="shared" si="207"/>
        <v>-0.55140039581427691</v>
      </c>
      <c r="AH765" s="8">
        <f t="shared" si="208"/>
        <v>0.4997965725315483</v>
      </c>
      <c r="AI765" s="8">
        <f t="shared" si="209"/>
        <v>0.66795283484807189</v>
      </c>
      <c r="AJ765" s="8"/>
      <c r="AK765" s="8"/>
      <c r="AL765" s="8"/>
      <c r="AN765" s="8">
        <f t="shared" si="215"/>
        <v>1</v>
      </c>
      <c r="AO765" s="8">
        <f t="shared" si="216"/>
        <v>2.4052456496322705</v>
      </c>
      <c r="AP765" s="8">
        <f t="shared" si="217"/>
        <v>0.8393417603305855</v>
      </c>
      <c r="AQ765" s="8"/>
      <c r="AR765" s="8">
        <f t="shared" si="218"/>
        <v>137.81042441613101</v>
      </c>
      <c r="AS765" s="8">
        <f t="shared" si="219"/>
        <v>41.909259563976384</v>
      </c>
    </row>
    <row r="766" spans="1:45">
      <c r="A766" s="19">
        <v>24.49113333</v>
      </c>
      <c r="B766" s="19">
        <v>877.69410240000002</v>
      </c>
      <c r="C766" s="19">
        <v>-388.7676376</v>
      </c>
      <c r="E766" s="9">
        <f t="shared" si="205"/>
        <v>-82.30589759999998</v>
      </c>
      <c r="F766" s="9">
        <f t="shared" si="210"/>
        <v>151.2323624</v>
      </c>
      <c r="I766">
        <v>1</v>
      </c>
      <c r="J766">
        <f t="shared" si="206"/>
        <v>0.11253414876439358</v>
      </c>
      <c r="K766">
        <f t="shared" si="211"/>
        <v>2.0692024216477183</v>
      </c>
      <c r="O766">
        <f t="shared" si="212"/>
        <v>-5.3680796216438918E-2</v>
      </c>
      <c r="P766">
        <f t="shared" si="213"/>
        <v>9.8635381716863119E-2</v>
      </c>
      <c r="Q766">
        <f t="shared" si="214"/>
        <v>0.99367471216245506</v>
      </c>
      <c r="R766">
        <f t="shared" si="204"/>
        <v>1</v>
      </c>
      <c r="AG766" s="8">
        <f t="shared" si="207"/>
        <v>-0.55114401411528047</v>
      </c>
      <c r="AH766" s="8">
        <f t="shared" si="208"/>
        <v>0.50012925493880322</v>
      </c>
      <c r="AI766" s="8">
        <f t="shared" si="209"/>
        <v>0.66791541684501732</v>
      </c>
      <c r="AJ766" s="8"/>
      <c r="AK766" s="8"/>
      <c r="AL766" s="8"/>
      <c r="AN766" s="8">
        <f t="shared" si="215"/>
        <v>1.0000000000000002</v>
      </c>
      <c r="AO766" s="8">
        <f t="shared" si="216"/>
        <v>2.4046830929027809</v>
      </c>
      <c r="AP766" s="8">
        <f t="shared" si="217"/>
        <v>0.83939203845125587</v>
      </c>
      <c r="AQ766" s="8"/>
      <c r="AR766" s="8">
        <f t="shared" si="218"/>
        <v>137.77819228979459</v>
      </c>
      <c r="AS766" s="8">
        <f t="shared" si="219"/>
        <v>41.906378839860125</v>
      </c>
    </row>
    <row r="767" spans="1:45">
      <c r="A767" s="19">
        <v>24.5245</v>
      </c>
      <c r="B767" s="19">
        <v>877.15696260000004</v>
      </c>
      <c r="C767" s="19">
        <v>-388.61144300000001</v>
      </c>
      <c r="E767" s="9">
        <f t="shared" si="205"/>
        <v>-82.843037399999957</v>
      </c>
      <c r="F767" s="9">
        <f t="shared" si="210"/>
        <v>151.38855699999999</v>
      </c>
      <c r="I767">
        <v>1</v>
      </c>
      <c r="J767">
        <f t="shared" si="206"/>
        <v>0.11279231600715803</v>
      </c>
      <c r="K767">
        <f t="shared" si="211"/>
        <v>2.0715036476366735</v>
      </c>
      <c r="O767">
        <f t="shared" si="212"/>
        <v>-5.4030782669477147E-2</v>
      </c>
      <c r="P767">
        <f t="shared" si="213"/>
        <v>9.8736628673066498E-2</v>
      </c>
      <c r="Q767">
        <f t="shared" si="214"/>
        <v>0.99364568769878969</v>
      </c>
      <c r="R767">
        <f t="shared" si="204"/>
        <v>1</v>
      </c>
      <c r="AG767" s="8">
        <f t="shared" si="207"/>
        <v>-0.55089878130348857</v>
      </c>
      <c r="AH767" s="8">
        <f t="shared" si="208"/>
        <v>0.50040026103564883</v>
      </c>
      <c r="AI767" s="8">
        <f t="shared" si="209"/>
        <v>0.66791474868712508</v>
      </c>
      <c r="AJ767" s="8"/>
      <c r="AK767" s="8"/>
      <c r="AL767" s="8"/>
      <c r="AN767" s="8">
        <f t="shared" si="215"/>
        <v>0.99999999999999989</v>
      </c>
      <c r="AO767" s="8">
        <f t="shared" si="216"/>
        <v>2.4041919994070109</v>
      </c>
      <c r="AP767" s="8">
        <f t="shared" si="217"/>
        <v>0.83939293622636202</v>
      </c>
      <c r="AQ767" s="8"/>
      <c r="AR767" s="8">
        <f t="shared" si="218"/>
        <v>137.75005470514066</v>
      </c>
      <c r="AS767" s="8">
        <f t="shared" si="219"/>
        <v>41.906327401135592</v>
      </c>
    </row>
    <row r="768" spans="1:45">
      <c r="A768" s="19">
        <v>24.557866669999999</v>
      </c>
      <c r="B768" s="19">
        <v>876.52956979999999</v>
      </c>
      <c r="C768" s="19">
        <v>-388.46684429999999</v>
      </c>
      <c r="E768" s="9">
        <f t="shared" si="205"/>
        <v>-83.47043020000001</v>
      </c>
      <c r="F768" s="9">
        <f t="shared" si="210"/>
        <v>151.53315570000001</v>
      </c>
      <c r="I768">
        <v>1</v>
      </c>
      <c r="J768">
        <f t="shared" si="206"/>
        <v>0.11307290940421505</v>
      </c>
      <c r="K768">
        <f t="shared" si="211"/>
        <v>2.0742837502853306</v>
      </c>
      <c r="O768">
        <f t="shared" si="212"/>
        <v>-5.4439590658750273E-2</v>
      </c>
      <c r="P768">
        <f t="shared" si="213"/>
        <v>9.8830243809342105E-2</v>
      </c>
      <c r="Q768">
        <f t="shared" si="214"/>
        <v>0.9936140668677621</v>
      </c>
      <c r="R768">
        <f t="shared" si="204"/>
        <v>1</v>
      </c>
      <c r="AG768" s="8">
        <f t="shared" si="207"/>
        <v>-0.55062872346517411</v>
      </c>
      <c r="AH768" s="8">
        <f t="shared" si="208"/>
        <v>0.50072214991447483</v>
      </c>
      <c r="AI768" s="8">
        <f t="shared" si="209"/>
        <v>0.66789620262443394</v>
      </c>
      <c r="AJ768" s="8"/>
      <c r="AK768" s="8"/>
      <c r="AL768" s="8"/>
      <c r="AN768" s="8">
        <f t="shared" si="215"/>
        <v>0.99999999999999989</v>
      </c>
      <c r="AO768" s="8">
        <f t="shared" si="216"/>
        <v>2.4036278832545461</v>
      </c>
      <c r="AP768" s="8">
        <f t="shared" si="217"/>
        <v>0.83941785548678904</v>
      </c>
      <c r="AQ768" s="8"/>
      <c r="AR768" s="8">
        <f t="shared" si="218"/>
        <v>137.71773323044926</v>
      </c>
      <c r="AS768" s="8">
        <f t="shared" si="219"/>
        <v>41.904899632684533</v>
      </c>
    </row>
    <row r="769" spans="1:45">
      <c r="A769" s="19">
        <v>24.591233330000001</v>
      </c>
      <c r="B769" s="19">
        <v>876.05927989999998</v>
      </c>
      <c r="C769" s="19">
        <v>-388.1651908</v>
      </c>
      <c r="E769" s="9">
        <f t="shared" si="205"/>
        <v>-83.940720100000021</v>
      </c>
      <c r="F769" s="9">
        <f t="shared" si="210"/>
        <v>151.8348092</v>
      </c>
      <c r="I769">
        <v>1</v>
      </c>
      <c r="J769">
        <f t="shared" si="206"/>
        <v>0.1133944872008442</v>
      </c>
      <c r="K769">
        <f t="shared" si="211"/>
        <v>2.075819181914067</v>
      </c>
      <c r="O769">
        <f t="shared" si="212"/>
        <v>-5.4745865271229543E-2</v>
      </c>
      <c r="P769">
        <f t="shared" si="213"/>
        <v>9.9026169873732639E-2</v>
      </c>
      <c r="Q769">
        <f t="shared" si="214"/>
        <v>0.99357773118958492</v>
      </c>
      <c r="R769">
        <f t="shared" si="204"/>
        <v>1</v>
      </c>
      <c r="AG769" s="8">
        <f t="shared" si="207"/>
        <v>-0.55034210869159073</v>
      </c>
      <c r="AH769" s="8">
        <f t="shared" si="208"/>
        <v>0.50093560286346228</v>
      </c>
      <c r="AI769" s="8">
        <f t="shared" si="209"/>
        <v>0.66797236857875575</v>
      </c>
      <c r="AJ769" s="8"/>
      <c r="AK769" s="8"/>
      <c r="AL769" s="8"/>
      <c r="AN769" s="8">
        <f t="shared" si="215"/>
        <v>1.0000000000000002</v>
      </c>
      <c r="AO769" s="8">
        <f t="shared" si="216"/>
        <v>2.4031565621345266</v>
      </c>
      <c r="AP769" s="8">
        <f t="shared" si="217"/>
        <v>0.8393155121901984</v>
      </c>
      <c r="AQ769" s="8"/>
      <c r="AR769" s="8">
        <f t="shared" si="218"/>
        <v>137.69072851947675</v>
      </c>
      <c r="AS769" s="8">
        <f t="shared" si="219"/>
        <v>41.910763471640635</v>
      </c>
    </row>
    <row r="770" spans="1:45">
      <c r="A770" s="19">
        <v>24.624600000000001</v>
      </c>
      <c r="B770" s="19">
        <v>875.45027089999996</v>
      </c>
      <c r="C770" s="19">
        <v>-387.9996208</v>
      </c>
      <c r="E770" s="9">
        <f t="shared" si="205"/>
        <v>-84.549729100000036</v>
      </c>
      <c r="F770" s="9">
        <f t="shared" si="210"/>
        <v>152.0003792</v>
      </c>
      <c r="I770">
        <v>1</v>
      </c>
      <c r="J770">
        <f t="shared" si="206"/>
        <v>0.11368255155594451</v>
      </c>
      <c r="K770">
        <f t="shared" si="211"/>
        <v>2.078422914239106</v>
      </c>
      <c r="O770">
        <f t="shared" si="212"/>
        <v>-5.5142644833252479E-2</v>
      </c>
      <c r="P770">
        <f t="shared" si="213"/>
        <v>9.9133409579963916E-2</v>
      </c>
      <c r="Q770">
        <f t="shared" si="214"/>
        <v>0.99354509501373156</v>
      </c>
      <c r="R770">
        <f t="shared" si="204"/>
        <v>1</v>
      </c>
      <c r="AG770" s="8">
        <f t="shared" si="207"/>
        <v>-0.55006882993838901</v>
      </c>
      <c r="AH770" s="8">
        <f t="shared" si="208"/>
        <v>0.50124427187174714</v>
      </c>
      <c r="AI770" s="8">
        <f t="shared" si="209"/>
        <v>0.66796591398511784</v>
      </c>
      <c r="AJ770" s="8"/>
      <c r="AK770" s="8"/>
      <c r="AL770" s="8"/>
      <c r="AN770" s="8">
        <f t="shared" si="215"/>
        <v>1.0000000000000002</v>
      </c>
      <c r="AO770" s="8">
        <f t="shared" si="216"/>
        <v>2.402602645407077</v>
      </c>
      <c r="AP770" s="8">
        <f t="shared" si="217"/>
        <v>0.8393241855163015</v>
      </c>
      <c r="AQ770" s="8"/>
      <c r="AR770" s="8">
        <f t="shared" si="218"/>
        <v>137.65899142879221</v>
      </c>
      <c r="AS770" s="8">
        <f t="shared" si="219"/>
        <v>41.910266526660585</v>
      </c>
    </row>
    <row r="771" spans="1:45">
      <c r="A771" s="19">
        <v>24.65796667</v>
      </c>
      <c r="B771" s="19">
        <v>874.71294390000003</v>
      </c>
      <c r="C771" s="19">
        <v>-387.7819586</v>
      </c>
      <c r="E771" s="9">
        <f t="shared" si="205"/>
        <v>-85.287056099999973</v>
      </c>
      <c r="F771" s="9">
        <f t="shared" si="210"/>
        <v>152.2180414</v>
      </c>
      <c r="I771">
        <v>1</v>
      </c>
      <c r="J771">
        <f t="shared" si="206"/>
        <v>0.11404214582077495</v>
      </c>
      <c r="K771">
        <f t="shared" si="211"/>
        <v>2.0815094371235325</v>
      </c>
      <c r="O771">
        <f t="shared" si="212"/>
        <v>-5.5622990550974423E-2</v>
      </c>
      <c r="P771">
        <f t="shared" si="213"/>
        <v>9.9274415903775531E-2</v>
      </c>
      <c r="Q771">
        <f t="shared" si="214"/>
        <v>0.99350423918025155</v>
      </c>
      <c r="R771">
        <f t="shared" si="204"/>
        <v>1</v>
      </c>
      <c r="AG771" s="8">
        <f t="shared" si="207"/>
        <v>-0.54973036139348019</v>
      </c>
      <c r="AH771" s="8">
        <f t="shared" si="208"/>
        <v>0.5016153824104268</v>
      </c>
      <c r="AI771" s="8">
        <f t="shared" si="209"/>
        <v>0.66796597060885898</v>
      </c>
      <c r="AJ771" s="8"/>
      <c r="AK771" s="8"/>
      <c r="AL771" s="8"/>
      <c r="AN771" s="8">
        <f t="shared" si="215"/>
        <v>1.0000000000000002</v>
      </c>
      <c r="AO771" s="8">
        <f t="shared" si="216"/>
        <v>2.4019277135245858</v>
      </c>
      <c r="AP771" s="8">
        <f t="shared" si="217"/>
        <v>0.83932410942874203</v>
      </c>
      <c r="AQ771" s="8"/>
      <c r="AR771" s="8">
        <f t="shared" si="218"/>
        <v>137.62032068046662</v>
      </c>
      <c r="AS771" s="8">
        <f t="shared" si="219"/>
        <v>41.910270886156617</v>
      </c>
    </row>
    <row r="772" spans="1:45">
      <c r="A772" s="19">
        <v>24.691333329999999</v>
      </c>
      <c r="B772" s="19">
        <v>874.26583489999996</v>
      </c>
      <c r="C772" s="19">
        <v>-387.71924189999999</v>
      </c>
      <c r="E772" s="9">
        <f t="shared" si="205"/>
        <v>-85.734165100000041</v>
      </c>
      <c r="F772" s="9">
        <f t="shared" si="210"/>
        <v>152.28075810000001</v>
      </c>
      <c r="I772">
        <v>1</v>
      </c>
      <c r="J772">
        <f t="shared" si="206"/>
        <v>0.11422121487992104</v>
      </c>
      <c r="K772">
        <f t="shared" si="211"/>
        <v>2.0835660180172062</v>
      </c>
      <c r="O772">
        <f t="shared" si="212"/>
        <v>-5.5914317052871802E-2</v>
      </c>
      <c r="P772">
        <f t="shared" si="213"/>
        <v>9.9314836500986395E-2</v>
      </c>
      <c r="Q772">
        <f t="shared" si="214"/>
        <v>0.99348384606861795</v>
      </c>
      <c r="R772">
        <f t="shared" si="204"/>
        <v>1</v>
      </c>
      <c r="AG772" s="8">
        <f t="shared" si="207"/>
        <v>-0.54955520764120591</v>
      </c>
      <c r="AH772" s="8">
        <f t="shared" si="208"/>
        <v>0.50185032041869293</v>
      </c>
      <c r="AI772" s="8">
        <f t="shared" si="209"/>
        <v>0.66793362668014122</v>
      </c>
      <c r="AJ772" s="8"/>
      <c r="AK772" s="8"/>
      <c r="AL772" s="8"/>
      <c r="AN772" s="8">
        <f t="shared" si="215"/>
        <v>1</v>
      </c>
      <c r="AO772" s="8">
        <f t="shared" si="216"/>
        <v>2.4015358834348595</v>
      </c>
      <c r="AP772" s="8">
        <f t="shared" si="217"/>
        <v>0.8393675703982072</v>
      </c>
      <c r="AQ772" s="8"/>
      <c r="AR772" s="8">
        <f t="shared" si="218"/>
        <v>137.59787047003908</v>
      </c>
      <c r="AS772" s="8">
        <f t="shared" si="219"/>
        <v>41.907780756032714</v>
      </c>
    </row>
    <row r="773" spans="1:45">
      <c r="A773" s="19">
        <v>24.724699999999999</v>
      </c>
      <c r="B773" s="19">
        <v>873.53599880000002</v>
      </c>
      <c r="C773" s="19">
        <v>-387.65746289999998</v>
      </c>
      <c r="E773" s="9">
        <f t="shared" si="205"/>
        <v>-86.464001199999984</v>
      </c>
      <c r="F773" s="9">
        <f t="shared" si="210"/>
        <v>152.34253710000002</v>
      </c>
      <c r="I773">
        <v>1</v>
      </c>
      <c r="J773">
        <f t="shared" si="206"/>
        <v>0.11449143788950436</v>
      </c>
      <c r="K773">
        <f t="shared" si="211"/>
        <v>2.0870236112975524</v>
      </c>
      <c r="O773">
        <f t="shared" si="212"/>
        <v>-5.638988402884143E-2</v>
      </c>
      <c r="P773">
        <f t="shared" si="213"/>
        <v>9.9354388884428324E-2</v>
      </c>
      <c r="Q773">
        <f t="shared" si="214"/>
        <v>0.99345301166618627</v>
      </c>
      <c r="R773">
        <f t="shared" si="204"/>
        <v>1</v>
      </c>
      <c r="AG773" s="8">
        <f t="shared" si="207"/>
        <v>-0.54928686532344062</v>
      </c>
      <c r="AH773" s="8">
        <f t="shared" si="208"/>
        <v>0.50223956319405227</v>
      </c>
      <c r="AI773" s="8">
        <f t="shared" si="209"/>
        <v>0.66786178266599161</v>
      </c>
      <c r="AJ773" s="8"/>
      <c r="AK773" s="8"/>
      <c r="AL773" s="8"/>
      <c r="AN773" s="8">
        <f t="shared" si="215"/>
        <v>1.0000000000000002</v>
      </c>
      <c r="AO773" s="8">
        <f t="shared" si="216"/>
        <v>2.4009065818767867</v>
      </c>
      <c r="AP773" s="8">
        <f t="shared" si="217"/>
        <v>0.83946410209635103</v>
      </c>
      <c r="AQ773" s="8"/>
      <c r="AR773" s="8">
        <f t="shared" si="218"/>
        <v>137.56181414672051</v>
      </c>
      <c r="AS773" s="8">
        <f t="shared" si="219"/>
        <v>41.902249897139846</v>
      </c>
    </row>
    <row r="774" spans="1:45">
      <c r="A774" s="19">
        <v>24.758066670000002</v>
      </c>
      <c r="B774" s="19">
        <v>872.86397409999995</v>
      </c>
      <c r="C774" s="19">
        <v>-387.65379339999998</v>
      </c>
      <c r="E774" s="9">
        <f t="shared" si="205"/>
        <v>-87.13602590000005</v>
      </c>
      <c r="F774" s="9">
        <f t="shared" si="210"/>
        <v>152.34620660000002</v>
      </c>
      <c r="I774">
        <v>1</v>
      </c>
      <c r="J774">
        <f t="shared" si="206"/>
        <v>0.11471122437895699</v>
      </c>
      <c r="K774">
        <f t="shared" si="211"/>
        <v>2.0903434077418046</v>
      </c>
      <c r="O774">
        <f t="shared" si="212"/>
        <v>-5.6827814389214464E-2</v>
      </c>
      <c r="P774">
        <f t="shared" si="213"/>
        <v>9.9356171711357702E-2</v>
      </c>
      <c r="Q774">
        <f t="shared" si="214"/>
        <v>0.99342787893968842</v>
      </c>
      <c r="R774">
        <f t="shared" si="204"/>
        <v>1</v>
      </c>
      <c r="AG774" s="8">
        <f t="shared" si="207"/>
        <v>-0.54906282963210984</v>
      </c>
      <c r="AH774" s="8">
        <f t="shared" si="208"/>
        <v>0.50260552505982681</v>
      </c>
      <c r="AI774" s="8">
        <f t="shared" si="209"/>
        <v>0.66777069065339834</v>
      </c>
      <c r="AJ774" s="8"/>
      <c r="AK774" s="8"/>
      <c r="AL774" s="8"/>
      <c r="AN774" s="8">
        <f t="shared" si="215"/>
        <v>1</v>
      </c>
      <c r="AO774" s="8">
        <f t="shared" si="216"/>
        <v>2.4003406513699068</v>
      </c>
      <c r="AP774" s="8">
        <f t="shared" si="217"/>
        <v>0.83958648394219115</v>
      </c>
      <c r="AQ774" s="8"/>
      <c r="AR774" s="8">
        <f t="shared" si="218"/>
        <v>137.52938871717859</v>
      </c>
      <c r="AS774" s="8">
        <f t="shared" si="219"/>
        <v>41.895237933884182</v>
      </c>
    </row>
    <row r="775" spans="1:45">
      <c r="A775" s="19">
        <v>24.79143333</v>
      </c>
      <c r="B775" s="19">
        <v>872.35984629999996</v>
      </c>
      <c r="C775" s="19">
        <v>-387.58049849999998</v>
      </c>
      <c r="E775" s="9">
        <f t="shared" si="205"/>
        <v>-87.640153700000042</v>
      </c>
      <c r="F775" s="9">
        <f t="shared" si="210"/>
        <v>152.41950150000002</v>
      </c>
      <c r="I775">
        <v>1</v>
      </c>
      <c r="J775">
        <f t="shared" si="206"/>
        <v>0.11491693703013368</v>
      </c>
      <c r="K775">
        <f t="shared" si="211"/>
        <v>2.0926253817734102</v>
      </c>
      <c r="O775">
        <f t="shared" si="212"/>
        <v>-5.7156260199199276E-2</v>
      </c>
      <c r="P775">
        <f t="shared" si="213"/>
        <v>9.9403393528807074E-2</v>
      </c>
      <c r="Q775">
        <f t="shared" si="214"/>
        <v>0.99340431208798285</v>
      </c>
      <c r="R775">
        <f t="shared" si="204"/>
        <v>1</v>
      </c>
      <c r="AG775" s="8">
        <f t="shared" si="207"/>
        <v>-0.54886399024205867</v>
      </c>
      <c r="AH775" s="8">
        <f t="shared" si="208"/>
        <v>0.50286984007975766</v>
      </c>
      <c r="AI775" s="8">
        <f t="shared" si="209"/>
        <v>0.66773516018981982</v>
      </c>
      <c r="AJ775" s="8"/>
      <c r="AK775" s="8"/>
      <c r="AL775" s="8"/>
      <c r="AN775" s="8">
        <f t="shared" si="215"/>
        <v>1</v>
      </c>
      <c r="AO775" s="8">
        <f t="shared" si="216"/>
        <v>2.3998983834218595</v>
      </c>
      <c r="AP775" s="8">
        <f t="shared" si="217"/>
        <v>0.83963421537108518</v>
      </c>
      <c r="AQ775" s="8"/>
      <c r="AR775" s="8">
        <f t="shared" si="218"/>
        <v>137.50404863034157</v>
      </c>
      <c r="AS775" s="8">
        <f t="shared" si="219"/>
        <v>41.892503124458429</v>
      </c>
    </row>
    <row r="776" spans="1:45">
      <c r="A776" s="19">
        <v>24.8248</v>
      </c>
      <c r="B776" s="19">
        <v>871.55200990000003</v>
      </c>
      <c r="C776" s="19">
        <v>-387.51335469999998</v>
      </c>
      <c r="E776" s="9">
        <f t="shared" si="205"/>
        <v>-88.44799009999997</v>
      </c>
      <c r="F776" s="9">
        <f t="shared" si="210"/>
        <v>152.48664530000002</v>
      </c>
      <c r="I776">
        <v>1</v>
      </c>
      <c r="J776">
        <f t="shared" si="206"/>
        <v>0.11521933579146275</v>
      </c>
      <c r="K776">
        <f t="shared" si="211"/>
        <v>2.0964082666004238</v>
      </c>
      <c r="O776">
        <f t="shared" si="212"/>
        <v>-5.7682604852089439E-2</v>
      </c>
      <c r="P776">
        <f t="shared" si="213"/>
        <v>9.9446317503834619E-2</v>
      </c>
      <c r="Q776">
        <f t="shared" si="214"/>
        <v>0.99336959236348898</v>
      </c>
      <c r="R776">
        <f t="shared" si="204"/>
        <v>1</v>
      </c>
      <c r="AG776" s="8">
        <f t="shared" si="207"/>
        <v>-0.5485671322935074</v>
      </c>
      <c r="AH776" s="8">
        <f t="shared" si="208"/>
        <v>0.50330050943809956</v>
      </c>
      <c r="AI776" s="8">
        <f t="shared" si="209"/>
        <v>0.66765462521173857</v>
      </c>
      <c r="AJ776" s="8"/>
      <c r="AK776" s="8"/>
      <c r="AL776" s="8"/>
      <c r="AN776" s="8">
        <f t="shared" si="215"/>
        <v>1</v>
      </c>
      <c r="AO776" s="8">
        <f t="shared" si="216"/>
        <v>2.3992024770575919</v>
      </c>
      <c r="AP776" s="8">
        <f t="shared" si="217"/>
        <v>0.8397423980516151</v>
      </c>
      <c r="AQ776" s="8"/>
      <c r="AR776" s="8">
        <f t="shared" si="218"/>
        <v>137.46417613273275</v>
      </c>
      <c r="AS776" s="8">
        <f t="shared" si="219"/>
        <v>41.88630471344765</v>
      </c>
    </row>
    <row r="777" spans="1:45">
      <c r="A777" s="19">
        <v>24.858166669999999</v>
      </c>
      <c r="B777" s="19">
        <v>870.84990770000002</v>
      </c>
      <c r="C777" s="19">
        <v>-386.99003699999997</v>
      </c>
      <c r="E777" s="9">
        <f t="shared" si="205"/>
        <v>-89.150092299999983</v>
      </c>
      <c r="F777" s="9">
        <f t="shared" si="210"/>
        <v>153.00996300000003</v>
      </c>
      <c r="I777">
        <v>1</v>
      </c>
      <c r="J777">
        <f t="shared" si="206"/>
        <v>0.11574623091014916</v>
      </c>
      <c r="K777">
        <f t="shared" si="211"/>
        <v>2.0983551063108417</v>
      </c>
      <c r="O777">
        <f t="shared" si="212"/>
        <v>-5.8139587134899418E-2</v>
      </c>
      <c r="P777">
        <f t="shared" si="213"/>
        <v>9.9786055704916443E-2</v>
      </c>
      <c r="Q777">
        <f t="shared" si="214"/>
        <v>0.99330888020526564</v>
      </c>
      <c r="R777">
        <f t="shared" si="204"/>
        <v>1</v>
      </c>
      <c r="AG777" s="8">
        <f t="shared" si="207"/>
        <v>-0.54810661092679192</v>
      </c>
      <c r="AH777" s="8">
        <f t="shared" si="208"/>
        <v>0.50360773560663274</v>
      </c>
      <c r="AI777" s="8">
        <f t="shared" si="209"/>
        <v>0.66780116179556492</v>
      </c>
      <c r="AJ777" s="8"/>
      <c r="AK777" s="8"/>
      <c r="AL777" s="8"/>
      <c r="AN777" s="8">
        <f t="shared" si="215"/>
        <v>1</v>
      </c>
      <c r="AO777" s="8">
        <f t="shared" si="216"/>
        <v>2.3984800689087855</v>
      </c>
      <c r="AP777" s="8">
        <f t="shared" si="217"/>
        <v>0.83954554754971134</v>
      </c>
      <c r="AQ777" s="8"/>
      <c r="AR777" s="8">
        <f t="shared" si="218"/>
        <v>137.42278519472026</v>
      </c>
      <c r="AS777" s="8">
        <f t="shared" si="219"/>
        <v>41.897583416401766</v>
      </c>
    </row>
    <row r="778" spans="1:45">
      <c r="A778" s="19">
        <v>24.891533330000001</v>
      </c>
      <c r="B778" s="19">
        <v>870.40733290000003</v>
      </c>
      <c r="C778" s="19">
        <v>-386.6103099</v>
      </c>
      <c r="E778" s="9">
        <f t="shared" si="205"/>
        <v>-89.592667099999971</v>
      </c>
      <c r="F778" s="9">
        <f t="shared" si="210"/>
        <v>153.3896901</v>
      </c>
      <c r="I778">
        <v>1</v>
      </c>
      <c r="J778">
        <f t="shared" si="206"/>
        <v>0.11610672663630882</v>
      </c>
      <c r="K778">
        <f t="shared" si="211"/>
        <v>2.0994316636077452</v>
      </c>
      <c r="O778">
        <f t="shared" si="212"/>
        <v>-5.8427576451692845E-2</v>
      </c>
      <c r="P778">
        <f t="shared" si="213"/>
        <v>0.10003260462394728</v>
      </c>
      <c r="Q778">
        <f t="shared" si="214"/>
        <v>0.99326718274698411</v>
      </c>
      <c r="R778">
        <f t="shared" si="204"/>
        <v>1</v>
      </c>
      <c r="AG778" s="8">
        <f t="shared" si="207"/>
        <v>-0.54779453732867978</v>
      </c>
      <c r="AH778" s="8">
        <f t="shared" si="208"/>
        <v>0.50379412034620374</v>
      </c>
      <c r="AI778" s="8">
        <f t="shared" si="209"/>
        <v>0.66791663340378993</v>
      </c>
      <c r="AJ778" s="8"/>
      <c r="AK778" s="8"/>
      <c r="AL778" s="8"/>
      <c r="AN778" s="8">
        <f t="shared" si="215"/>
        <v>1.0000000000000002</v>
      </c>
      <c r="AO778" s="8">
        <f t="shared" si="216"/>
        <v>2.398011949737084</v>
      </c>
      <c r="AP778" s="8">
        <f t="shared" si="217"/>
        <v>0.83939040381154661</v>
      </c>
      <c r="AQ778" s="8"/>
      <c r="AR778" s="8">
        <f t="shared" si="218"/>
        <v>137.39596394187262</v>
      </c>
      <c r="AS778" s="8">
        <f t="shared" si="219"/>
        <v>41.906472497816488</v>
      </c>
    </row>
    <row r="779" spans="1:45">
      <c r="A779" s="19">
        <v>24.924900000000001</v>
      </c>
      <c r="B779" s="19">
        <v>869.58346749999998</v>
      </c>
      <c r="C779" s="19">
        <v>-386.59751319999998</v>
      </c>
      <c r="E779" s="9">
        <f t="shared" si="205"/>
        <v>-90.416532500000017</v>
      </c>
      <c r="F779" s="9">
        <f t="shared" si="210"/>
        <v>153.40248680000002</v>
      </c>
      <c r="I779">
        <v>1</v>
      </c>
      <c r="J779">
        <f t="shared" si="206"/>
        <v>0.11638671081641797</v>
      </c>
      <c r="K779">
        <f t="shared" si="211"/>
        <v>2.1033906039382222</v>
      </c>
      <c r="O779">
        <f t="shared" si="212"/>
        <v>-5.8964348727737127E-2</v>
      </c>
      <c r="P779">
        <f t="shared" si="213"/>
        <v>0.10004008644522282</v>
      </c>
      <c r="Q779">
        <f t="shared" si="214"/>
        <v>0.99323470875878384</v>
      </c>
      <c r="R779">
        <f t="shared" si="204"/>
        <v>1</v>
      </c>
      <c r="AG779" s="8">
        <f t="shared" si="207"/>
        <v>-0.54751565952503123</v>
      </c>
      <c r="AH779" s="8">
        <f t="shared" si="208"/>
        <v>0.50424097583743077</v>
      </c>
      <c r="AI779" s="8">
        <f t="shared" si="209"/>
        <v>0.66780808684934756</v>
      </c>
      <c r="AJ779" s="8"/>
      <c r="AK779" s="8"/>
      <c r="AL779" s="8"/>
      <c r="AN779" s="8">
        <f t="shared" si="215"/>
        <v>1</v>
      </c>
      <c r="AO779" s="8">
        <f t="shared" si="216"/>
        <v>2.3973164444242268</v>
      </c>
      <c r="AP779" s="8">
        <f t="shared" si="217"/>
        <v>0.83953624389096004</v>
      </c>
      <c r="AQ779" s="8"/>
      <c r="AR779" s="8">
        <f t="shared" si="218"/>
        <v>137.35611442281697</v>
      </c>
      <c r="AS779" s="8">
        <f t="shared" si="219"/>
        <v>41.898116476782249</v>
      </c>
    </row>
    <row r="780" spans="1:45">
      <c r="A780" s="19">
        <v>24.95826667</v>
      </c>
      <c r="B780" s="19">
        <v>869.01569470000004</v>
      </c>
      <c r="C780" s="19">
        <v>-386.60961140000001</v>
      </c>
      <c r="E780" s="9">
        <f t="shared" si="205"/>
        <v>-90.98430529999996</v>
      </c>
      <c r="F780" s="9">
        <f t="shared" si="210"/>
        <v>153.39038859999999</v>
      </c>
      <c r="I780">
        <v>1</v>
      </c>
      <c r="J780">
        <f t="shared" si="206"/>
        <v>0.11656894623400511</v>
      </c>
      <c r="K780">
        <f t="shared" si="211"/>
        <v>2.106167678033966</v>
      </c>
      <c r="O780">
        <f t="shared" si="212"/>
        <v>-5.9334279089647696E-2</v>
      </c>
      <c r="P780">
        <f t="shared" si="213"/>
        <v>0.10003162739829068</v>
      </c>
      <c r="Q780">
        <f t="shared" si="214"/>
        <v>0.99321353033723891</v>
      </c>
      <c r="R780">
        <f t="shared" si="204"/>
        <v>1</v>
      </c>
      <c r="AG780" s="8">
        <f t="shared" si="207"/>
        <v>-0.5473324803102001</v>
      </c>
      <c r="AH780" s="8">
        <f t="shared" si="208"/>
        <v>0.50455185717168149</v>
      </c>
      <c r="AI780" s="8">
        <f t="shared" si="209"/>
        <v>0.66772343033780956</v>
      </c>
      <c r="AJ780" s="8"/>
      <c r="AK780" s="8"/>
      <c r="AL780" s="8"/>
      <c r="AN780" s="8">
        <f t="shared" si="215"/>
        <v>1</v>
      </c>
      <c r="AO780" s="8">
        <f t="shared" si="216"/>
        <v>2.3968425513706091</v>
      </c>
      <c r="AP780" s="8">
        <f t="shared" si="217"/>
        <v>0.8396499727409017</v>
      </c>
      <c r="AQ780" s="8"/>
      <c r="AR780" s="8">
        <f t="shared" si="218"/>
        <v>137.32896235090411</v>
      </c>
      <c r="AS780" s="8">
        <f t="shared" si="219"/>
        <v>41.891600293671715</v>
      </c>
    </row>
    <row r="781" spans="1:45">
      <c r="A781" s="19">
        <v>24.991633329999999</v>
      </c>
      <c r="B781" s="19">
        <v>868.48894110000003</v>
      </c>
      <c r="C781" s="19">
        <v>-386.55759929999999</v>
      </c>
      <c r="E781" s="9">
        <f t="shared" si="205"/>
        <v>-91.511058899999966</v>
      </c>
      <c r="F781" s="9">
        <f t="shared" si="210"/>
        <v>153.44240070000001</v>
      </c>
      <c r="I781">
        <v>1</v>
      </c>
      <c r="J781">
        <f t="shared" si="206"/>
        <v>0.11677434043346867</v>
      </c>
      <c r="K781">
        <f t="shared" si="211"/>
        <v>2.1085550026038065</v>
      </c>
      <c r="O781">
        <f t="shared" si="212"/>
        <v>-5.9677407946471805E-2</v>
      </c>
      <c r="P781">
        <f t="shared" si="213"/>
        <v>0.10006489765205742</v>
      </c>
      <c r="Q781">
        <f t="shared" si="214"/>
        <v>0.99318962098819463</v>
      </c>
      <c r="R781">
        <f t="shared" si="204"/>
        <v>1</v>
      </c>
      <c r="AG781" s="8">
        <f t="shared" si="207"/>
        <v>-0.54713493652717915</v>
      </c>
      <c r="AH781" s="8">
        <f t="shared" si="208"/>
        <v>0.50483109757552513</v>
      </c>
      <c r="AI781" s="8">
        <f t="shared" si="209"/>
        <v>0.66767426500659022</v>
      </c>
      <c r="AJ781" s="8"/>
      <c r="AK781" s="8"/>
      <c r="AL781" s="8"/>
      <c r="AN781" s="8">
        <f t="shared" si="215"/>
        <v>1.0000000000000002</v>
      </c>
      <c r="AO781" s="8">
        <f t="shared" si="216"/>
        <v>2.3963869065750418</v>
      </c>
      <c r="AP781" s="8">
        <f t="shared" si="217"/>
        <v>0.83971601687211572</v>
      </c>
      <c r="AQ781" s="8"/>
      <c r="AR781" s="8">
        <f t="shared" si="218"/>
        <v>137.30285582716101</v>
      </c>
      <c r="AS781" s="8">
        <f t="shared" si="219"/>
        <v>41.887816243691539</v>
      </c>
    </row>
    <row r="782" spans="1:45">
      <c r="A782" s="19">
        <v>25.024999999999999</v>
      </c>
      <c r="B782" s="19">
        <v>867.82652789999997</v>
      </c>
      <c r="C782" s="19">
        <v>-386.4868002</v>
      </c>
      <c r="E782" s="9">
        <f t="shared" si="205"/>
        <v>-92.173472100000026</v>
      </c>
      <c r="F782" s="9">
        <f t="shared" si="210"/>
        <v>153.5131998</v>
      </c>
      <c r="I782">
        <v>1</v>
      </c>
      <c r="J782">
        <f t="shared" si="206"/>
        <v>0.11703658827702058</v>
      </c>
      <c r="K782">
        <f t="shared" si="211"/>
        <v>2.1115297484846569</v>
      </c>
      <c r="O782">
        <f t="shared" si="212"/>
        <v>-6.0108885654973132E-2</v>
      </c>
      <c r="P782">
        <f t="shared" si="213"/>
        <v>0.10011022871413826</v>
      </c>
      <c r="Q782">
        <f t="shared" si="214"/>
        <v>0.9931590325683598</v>
      </c>
      <c r="R782">
        <f t="shared" si="204"/>
        <v>1</v>
      </c>
      <c r="AG782" s="8">
        <f t="shared" si="207"/>
        <v>-0.54688407774725578</v>
      </c>
      <c r="AH782" s="8">
        <f t="shared" si="208"/>
        <v>0.50518138595742745</v>
      </c>
      <c r="AI782" s="8">
        <f t="shared" si="209"/>
        <v>0.66761483865224736</v>
      </c>
      <c r="AJ782" s="8"/>
      <c r="AK782" s="8"/>
      <c r="AL782" s="8"/>
      <c r="AN782" s="8">
        <f t="shared" si="215"/>
        <v>1</v>
      </c>
      <c r="AO782" s="8">
        <f t="shared" si="216"/>
        <v>2.3958126243711182</v>
      </c>
      <c r="AP782" s="8">
        <f t="shared" si="217"/>
        <v>0.83979583948558811</v>
      </c>
      <c r="AQ782" s="8"/>
      <c r="AR782" s="8">
        <f t="shared" si="218"/>
        <v>137.26995188062671</v>
      </c>
      <c r="AS782" s="8">
        <f t="shared" si="219"/>
        <v>41.883242744829872</v>
      </c>
    </row>
    <row r="783" spans="1:45">
      <c r="A783" s="19">
        <v>25.058366670000002</v>
      </c>
      <c r="B783" s="19">
        <v>867.34935370000005</v>
      </c>
      <c r="C783" s="19">
        <v>-386.40411490000002</v>
      </c>
      <c r="E783" s="9">
        <f t="shared" si="205"/>
        <v>-92.650646299999948</v>
      </c>
      <c r="F783" s="9">
        <f t="shared" si="210"/>
        <v>153.59588509999998</v>
      </c>
      <c r="I783">
        <v>1</v>
      </c>
      <c r="J783">
        <f t="shared" si="206"/>
        <v>0.11724388026885212</v>
      </c>
      <c r="K783">
        <f t="shared" si="211"/>
        <v>2.1135731247974068</v>
      </c>
      <c r="O783">
        <f t="shared" si="212"/>
        <v>-6.0419658703983047E-2</v>
      </c>
      <c r="P783">
        <f t="shared" si="213"/>
        <v>0.1001634778243117</v>
      </c>
      <c r="Q783">
        <f t="shared" si="214"/>
        <v>0.99313480583062475</v>
      </c>
      <c r="R783">
        <f t="shared" si="204"/>
        <v>1</v>
      </c>
      <c r="AG783" s="8">
        <f t="shared" si="207"/>
        <v>-0.54668951302157709</v>
      </c>
      <c r="AH783" s="8">
        <f t="shared" si="208"/>
        <v>0.50542908660646024</v>
      </c>
      <c r="AI783" s="8">
        <f t="shared" si="209"/>
        <v>0.66758670954744903</v>
      </c>
      <c r="AJ783" s="8"/>
      <c r="AK783" s="8"/>
      <c r="AL783" s="8"/>
      <c r="AN783" s="8">
        <f t="shared" si="215"/>
        <v>0.99999999999999978</v>
      </c>
      <c r="AO783" s="8">
        <f t="shared" si="216"/>
        <v>2.3953909210632562</v>
      </c>
      <c r="AP783" s="8">
        <f t="shared" si="217"/>
        <v>0.83983362104378789</v>
      </c>
      <c r="AQ783" s="8"/>
      <c r="AR783" s="8">
        <f t="shared" si="218"/>
        <v>137.2457900608795</v>
      </c>
      <c r="AS783" s="8">
        <f t="shared" si="219"/>
        <v>41.881078021001592</v>
      </c>
    </row>
    <row r="784" spans="1:45">
      <c r="A784" s="19">
        <v>25.09173333</v>
      </c>
      <c r="B784" s="19">
        <v>866.59944789999997</v>
      </c>
      <c r="C784" s="19">
        <v>-386.17589459999999</v>
      </c>
      <c r="E784" s="9">
        <f t="shared" si="205"/>
        <v>-93.400552100000027</v>
      </c>
      <c r="F784" s="9">
        <f t="shared" si="210"/>
        <v>153.82410540000001</v>
      </c>
      <c r="I784">
        <v>1</v>
      </c>
      <c r="J784">
        <f t="shared" si="206"/>
        <v>0.11762556421694485</v>
      </c>
      <c r="K784">
        <f t="shared" si="211"/>
        <v>2.1164862703863996</v>
      </c>
      <c r="O784">
        <f t="shared" si="212"/>
        <v>-6.090792531636071E-2</v>
      </c>
      <c r="P784">
        <f t="shared" si="213"/>
        <v>0.10031104648640721</v>
      </c>
      <c r="Q784">
        <f t="shared" si="214"/>
        <v>0.99309008583635472</v>
      </c>
      <c r="R784">
        <f t="shared" si="204"/>
        <v>1</v>
      </c>
      <c r="AG784" s="8">
        <f t="shared" si="207"/>
        <v>-0.54634085379801345</v>
      </c>
      <c r="AH784" s="8">
        <f t="shared" si="208"/>
        <v>0.5058040738099705</v>
      </c>
      <c r="AI784" s="8">
        <f t="shared" si="209"/>
        <v>0.66758812930466005</v>
      </c>
      <c r="AJ784" s="8"/>
      <c r="AK784" s="8"/>
      <c r="AL784" s="8"/>
      <c r="AN784" s="8">
        <f t="shared" si="215"/>
        <v>0.99999999999999978</v>
      </c>
      <c r="AO784" s="8">
        <f t="shared" si="216"/>
        <v>2.3947031968699668</v>
      </c>
      <c r="AP784" s="8">
        <f t="shared" si="217"/>
        <v>0.83983171413002944</v>
      </c>
      <c r="AQ784" s="8"/>
      <c r="AR784" s="8">
        <f t="shared" si="218"/>
        <v>137.206386367135</v>
      </c>
      <c r="AS784" s="8">
        <f t="shared" si="219"/>
        <v>41.881187279111849</v>
      </c>
    </row>
    <row r="785" spans="1:45">
      <c r="A785" s="19">
        <v>25.1251</v>
      </c>
      <c r="B785" s="19">
        <v>866.22809140000004</v>
      </c>
      <c r="C785" s="19">
        <v>-385.92711480000003</v>
      </c>
      <c r="E785" s="9">
        <f t="shared" si="205"/>
        <v>-93.771908599999961</v>
      </c>
      <c r="F785" s="9">
        <f t="shared" si="210"/>
        <v>154.07288519999997</v>
      </c>
      <c r="I785">
        <v>1</v>
      </c>
      <c r="J785">
        <f t="shared" si="206"/>
        <v>0.11789078042196156</v>
      </c>
      <c r="K785">
        <f t="shared" si="211"/>
        <v>2.1175302936126519</v>
      </c>
      <c r="O785">
        <f t="shared" si="212"/>
        <v>-6.1149550162349124E-2</v>
      </c>
      <c r="P785">
        <f t="shared" si="213"/>
        <v>0.10047238840348459</v>
      </c>
      <c r="Q785">
        <f t="shared" si="214"/>
        <v>0.99305892659169104</v>
      </c>
      <c r="R785">
        <f t="shared" si="204"/>
        <v>1</v>
      </c>
      <c r="AG785" s="8">
        <f t="shared" si="207"/>
        <v>-0.54610903998283444</v>
      </c>
      <c r="AH785" s="8">
        <f t="shared" si="208"/>
        <v>0.505970119829938</v>
      </c>
      <c r="AI785" s="8">
        <f t="shared" si="209"/>
        <v>0.66765197093119188</v>
      </c>
      <c r="AJ785" s="8"/>
      <c r="AK785" s="8"/>
      <c r="AL785" s="8"/>
      <c r="AN785" s="8">
        <f t="shared" si="215"/>
        <v>1</v>
      </c>
      <c r="AO785" s="8">
        <f t="shared" si="216"/>
        <v>2.3943279915571085</v>
      </c>
      <c r="AP785" s="8">
        <f t="shared" si="217"/>
        <v>0.83974596336946994</v>
      </c>
      <c r="AQ785" s="8"/>
      <c r="AR785" s="8">
        <f t="shared" si="218"/>
        <v>137.18488868625732</v>
      </c>
      <c r="AS785" s="8">
        <f t="shared" si="219"/>
        <v>41.886100435781948</v>
      </c>
    </row>
    <row r="786" spans="1:45">
      <c r="A786" s="19">
        <v>25.158466669999999</v>
      </c>
      <c r="B786" s="19">
        <v>865.59568939999997</v>
      </c>
      <c r="C786" s="19">
        <v>-385.63645320000001</v>
      </c>
      <c r="E786" s="9">
        <f t="shared" si="205"/>
        <v>-94.404310600000031</v>
      </c>
      <c r="F786" s="9">
        <f t="shared" si="210"/>
        <v>154.36354679999999</v>
      </c>
      <c r="I786">
        <v>1</v>
      </c>
      <c r="J786">
        <f t="shared" si="206"/>
        <v>0.11826848547345332</v>
      </c>
      <c r="K786">
        <f t="shared" si="211"/>
        <v>2.1196806988236663</v>
      </c>
      <c r="O786">
        <f t="shared" si="212"/>
        <v>-6.1561155001460671E-2</v>
      </c>
      <c r="P786">
        <f t="shared" si="213"/>
        <v>0.10066063901885038</v>
      </c>
      <c r="Q786">
        <f t="shared" si="214"/>
        <v>0.99301443088567587</v>
      </c>
      <c r="R786">
        <f t="shared" si="204"/>
        <v>1</v>
      </c>
      <c r="AG786" s="8">
        <f t="shared" si="207"/>
        <v>-0.54577209509493996</v>
      </c>
      <c r="AH786" s="8">
        <f t="shared" si="208"/>
        <v>0.50627198991252165</v>
      </c>
      <c r="AI786" s="8">
        <f t="shared" si="209"/>
        <v>0.66769865391933747</v>
      </c>
      <c r="AJ786" s="8"/>
      <c r="AK786" s="8"/>
      <c r="AL786" s="8"/>
      <c r="AN786" s="8">
        <f t="shared" si="215"/>
        <v>0.99999999999999978</v>
      </c>
      <c r="AO786" s="8">
        <f t="shared" si="216"/>
        <v>2.3937229172297654</v>
      </c>
      <c r="AP786" s="8">
        <f t="shared" si="217"/>
        <v>0.83968325556507373</v>
      </c>
      <c r="AQ786" s="8"/>
      <c r="AR786" s="8">
        <f t="shared" si="218"/>
        <v>137.15022048100883</v>
      </c>
      <c r="AS786" s="8">
        <f t="shared" si="219"/>
        <v>41.889693328316383</v>
      </c>
    </row>
    <row r="787" spans="1:45">
      <c r="A787" s="19">
        <v>25.191833330000001</v>
      </c>
      <c r="B787" s="19">
        <v>864.62120449999998</v>
      </c>
      <c r="C787" s="19">
        <v>-385.66298549999999</v>
      </c>
      <c r="E787" s="9">
        <f t="shared" si="205"/>
        <v>-95.378795500000024</v>
      </c>
      <c r="F787" s="9">
        <f t="shared" si="210"/>
        <v>154.33701450000001</v>
      </c>
      <c r="I787">
        <v>1</v>
      </c>
      <c r="J787">
        <f t="shared" si="206"/>
        <v>0.11858748137447224</v>
      </c>
      <c r="K787">
        <f t="shared" si="211"/>
        <v>2.124339154156119</v>
      </c>
      <c r="O787">
        <f t="shared" si="212"/>
        <v>-6.2195931313694677E-2</v>
      </c>
      <c r="P787">
        <f t="shared" si="213"/>
        <v>0.10064222663624124</v>
      </c>
      <c r="Q787">
        <f t="shared" si="214"/>
        <v>0.99297674109000233</v>
      </c>
      <c r="R787">
        <f t="shared" si="204"/>
        <v>1</v>
      </c>
      <c r="AG787" s="8">
        <f t="shared" si="207"/>
        <v>-0.54545926837614556</v>
      </c>
      <c r="AH787" s="8">
        <f t="shared" si="208"/>
        <v>0.50680547545660959</v>
      </c>
      <c r="AI787" s="8">
        <f t="shared" si="209"/>
        <v>0.66754954616849227</v>
      </c>
      <c r="AJ787" s="8"/>
      <c r="AK787" s="8"/>
      <c r="AL787" s="8"/>
      <c r="AN787" s="8">
        <f t="shared" si="215"/>
        <v>1</v>
      </c>
      <c r="AO787" s="8">
        <f t="shared" si="216"/>
        <v>2.3929118856895348</v>
      </c>
      <c r="AP787" s="8">
        <f t="shared" si="217"/>
        <v>0.83988353500916257</v>
      </c>
      <c r="AQ787" s="8"/>
      <c r="AR787" s="8">
        <f t="shared" si="218"/>
        <v>137.10375179670163</v>
      </c>
      <c r="AS787" s="8">
        <f t="shared" si="219"/>
        <v>41.87821816144686</v>
      </c>
    </row>
    <row r="788" spans="1:45">
      <c r="A788" s="19">
        <v>25.225200000000001</v>
      </c>
      <c r="B788" s="19">
        <v>864.25816999999995</v>
      </c>
      <c r="C788" s="19">
        <v>-385.68094400000001</v>
      </c>
      <c r="E788" s="9">
        <f t="shared" si="205"/>
        <v>-95.74183000000005</v>
      </c>
      <c r="F788" s="9">
        <f t="shared" si="210"/>
        <v>154.31905599999999</v>
      </c>
      <c r="I788">
        <v>1</v>
      </c>
      <c r="J788">
        <f t="shared" si="206"/>
        <v>0.1187024849872706</v>
      </c>
      <c r="K788">
        <f t="shared" si="211"/>
        <v>2.1260916403394323</v>
      </c>
      <c r="O788">
        <f t="shared" si="212"/>
        <v>-6.2432412844326018E-2</v>
      </c>
      <c r="P788">
        <f t="shared" si="213"/>
        <v>0.10063011135194162</v>
      </c>
      <c r="Q788">
        <f t="shared" si="214"/>
        <v>0.99296312847745327</v>
      </c>
      <c r="R788">
        <f t="shared" si="204"/>
        <v>1</v>
      </c>
      <c r="AG788" s="8">
        <f t="shared" si="207"/>
        <v>-0.5453461848515978</v>
      </c>
      <c r="AH788" s="8">
        <f t="shared" si="208"/>
        <v>0.50700533197277464</v>
      </c>
      <c r="AI788" s="8">
        <f t="shared" si="209"/>
        <v>0.66749017372466501</v>
      </c>
      <c r="AJ788" s="8"/>
      <c r="AK788" s="8"/>
      <c r="AL788" s="8"/>
      <c r="AN788" s="8">
        <f t="shared" si="215"/>
        <v>1</v>
      </c>
      <c r="AO788" s="8">
        <f t="shared" si="216"/>
        <v>2.3926118861030798</v>
      </c>
      <c r="AP788" s="8">
        <f t="shared" si="217"/>
        <v>0.83996327323413722</v>
      </c>
      <c r="AQ788" s="8"/>
      <c r="AR788" s="8">
        <f t="shared" si="218"/>
        <v>137.0865630865421</v>
      </c>
      <c r="AS788" s="8">
        <f t="shared" si="219"/>
        <v>41.873649497689954</v>
      </c>
    </row>
    <row r="789" spans="1:45">
      <c r="A789" s="19">
        <v>25.25856667</v>
      </c>
      <c r="B789" s="19">
        <v>863.5553357</v>
      </c>
      <c r="C789" s="19">
        <v>-385.5998424</v>
      </c>
      <c r="E789" s="9">
        <f t="shared" si="205"/>
        <v>-96.444664299999999</v>
      </c>
      <c r="F789" s="9">
        <f t="shared" si="210"/>
        <v>154.4001576</v>
      </c>
      <c r="I789">
        <v>1</v>
      </c>
      <c r="J789">
        <f t="shared" si="206"/>
        <v>0.11899041856970631</v>
      </c>
      <c r="K789">
        <f t="shared" si="211"/>
        <v>2.1291374220135615</v>
      </c>
      <c r="O789">
        <f t="shared" si="212"/>
        <v>-6.2890085555831837E-2</v>
      </c>
      <c r="P789">
        <f t="shared" si="213"/>
        <v>0.10068197335513895</v>
      </c>
      <c r="Q789">
        <f t="shared" si="214"/>
        <v>0.99292898909242011</v>
      </c>
      <c r="R789">
        <f t="shared" si="204"/>
        <v>1</v>
      </c>
      <c r="AG789" s="8">
        <f t="shared" si="207"/>
        <v>-0.54507672288089193</v>
      </c>
      <c r="AH789" s="8">
        <f t="shared" si="208"/>
        <v>0.5073754315417861</v>
      </c>
      <c r="AI789" s="8">
        <f t="shared" si="209"/>
        <v>0.66742905064224889</v>
      </c>
      <c r="AJ789" s="8"/>
      <c r="AK789" s="8"/>
      <c r="AL789" s="8"/>
      <c r="AN789" s="8">
        <f t="shared" si="215"/>
        <v>1</v>
      </c>
      <c r="AO789" s="8">
        <f t="shared" si="216"/>
        <v>2.3920015119084201</v>
      </c>
      <c r="AP789" s="8">
        <f t="shared" si="217"/>
        <v>0.84004535664347701</v>
      </c>
      <c r="AQ789" s="8"/>
      <c r="AR789" s="8">
        <f t="shared" si="218"/>
        <v>137.0515912212644</v>
      </c>
      <c r="AS789" s="8">
        <f t="shared" si="219"/>
        <v>41.868946464766736</v>
      </c>
    </row>
    <row r="790" spans="1:45">
      <c r="A790" s="19">
        <v>25.291933329999999</v>
      </c>
      <c r="B790" s="19">
        <v>862.95341380000002</v>
      </c>
      <c r="C790" s="19">
        <v>-385.52043959999997</v>
      </c>
      <c r="E790" s="9">
        <f t="shared" si="205"/>
        <v>-97.046586199999979</v>
      </c>
      <c r="F790" s="9">
        <f t="shared" si="210"/>
        <v>154.47956040000003</v>
      </c>
      <c r="I790">
        <v>1</v>
      </c>
      <c r="J790">
        <f t="shared" si="206"/>
        <v>0.11924338172973455</v>
      </c>
      <c r="K790">
        <f t="shared" si="211"/>
        <v>2.131705183229526</v>
      </c>
      <c r="O790">
        <f t="shared" si="212"/>
        <v>-6.3282016947831976E-2</v>
      </c>
      <c r="P790">
        <f t="shared" si="213"/>
        <v>0.10073283916633473</v>
      </c>
      <c r="Q790">
        <f t="shared" si="214"/>
        <v>0.99289892811126734</v>
      </c>
      <c r="R790">
        <f t="shared" si="204"/>
        <v>1</v>
      </c>
      <c r="AG790" s="8">
        <f t="shared" si="207"/>
        <v>-0.54484152967027866</v>
      </c>
      <c r="AH790" s="8">
        <f t="shared" si="208"/>
        <v>0.50769086407629849</v>
      </c>
      <c r="AI790" s="8">
        <f t="shared" si="209"/>
        <v>0.6673812209524721</v>
      </c>
      <c r="AJ790" s="8"/>
      <c r="AK790" s="8"/>
      <c r="AL790" s="8"/>
      <c r="AN790" s="8">
        <f t="shared" si="215"/>
        <v>1</v>
      </c>
      <c r="AO790" s="8">
        <f t="shared" si="216"/>
        <v>2.3914763013830544</v>
      </c>
      <c r="AP790" s="8">
        <f t="shared" si="217"/>
        <v>0.84010958387871304</v>
      </c>
      <c r="AQ790" s="8"/>
      <c r="AR790" s="8">
        <f t="shared" si="218"/>
        <v>137.0214988748051</v>
      </c>
      <c r="AS790" s="8">
        <f t="shared" si="219"/>
        <v>41.865266515257915</v>
      </c>
    </row>
    <row r="791" spans="1:45">
      <c r="A791" s="19">
        <v>25.325299999999999</v>
      </c>
      <c r="B791" s="19">
        <v>862.42142799999999</v>
      </c>
      <c r="C791" s="19">
        <v>-385.5440567</v>
      </c>
      <c r="E791" s="9">
        <f t="shared" si="205"/>
        <v>-97.578572000000008</v>
      </c>
      <c r="F791" s="9">
        <f t="shared" si="210"/>
        <v>154.4559433</v>
      </c>
      <c r="I791">
        <v>1</v>
      </c>
      <c r="J791">
        <f t="shared" si="206"/>
        <v>0.11941574136743265</v>
      </c>
      <c r="K791">
        <f t="shared" si="211"/>
        <v>2.1342396215249035</v>
      </c>
      <c r="O791">
        <f t="shared" si="212"/>
        <v>-6.3628517297686621E-2</v>
      </c>
      <c r="P791">
        <f t="shared" si="213"/>
        <v>0.10071681167863934</v>
      </c>
      <c r="Q791">
        <f t="shared" si="214"/>
        <v>0.99287840928876459</v>
      </c>
      <c r="R791">
        <f t="shared" si="204"/>
        <v>1</v>
      </c>
      <c r="AG791" s="8">
        <f t="shared" si="207"/>
        <v>-0.54467442465783988</v>
      </c>
      <c r="AH791" s="8">
        <f t="shared" si="208"/>
        <v>0.50798313110658611</v>
      </c>
      <c r="AI791" s="8">
        <f t="shared" si="209"/>
        <v>0.66729521925067026</v>
      </c>
      <c r="AJ791" s="8"/>
      <c r="AK791" s="8"/>
      <c r="AL791" s="8"/>
      <c r="AN791" s="8">
        <f t="shared" si="215"/>
        <v>1</v>
      </c>
      <c r="AO791" s="8">
        <f t="shared" si="216"/>
        <v>2.3910362533427665</v>
      </c>
      <c r="AP791" s="8">
        <f t="shared" si="217"/>
        <v>0.84022506041260758</v>
      </c>
      <c r="AQ791" s="8"/>
      <c r="AR791" s="8">
        <f t="shared" si="218"/>
        <v>136.9962859793136</v>
      </c>
      <c r="AS791" s="8">
        <f t="shared" si="219"/>
        <v>41.858650197232961</v>
      </c>
    </row>
    <row r="792" spans="1:45">
      <c r="A792" s="19">
        <v>25.358666670000002</v>
      </c>
      <c r="B792" s="19">
        <v>861.69999819999998</v>
      </c>
      <c r="C792" s="19">
        <v>-385.53196329999997</v>
      </c>
      <c r="E792" s="9">
        <f t="shared" si="205"/>
        <v>-98.300001800000018</v>
      </c>
      <c r="F792" s="9">
        <f t="shared" si="210"/>
        <v>154.46803670000003</v>
      </c>
      <c r="I792">
        <v>1</v>
      </c>
      <c r="J792">
        <f t="shared" si="206"/>
        <v>0.11967503201476298</v>
      </c>
      <c r="K792">
        <f t="shared" si="211"/>
        <v>2.1375354984144392</v>
      </c>
      <c r="O792">
        <f t="shared" si="212"/>
        <v>-6.409833674739808E-2</v>
      </c>
      <c r="P792">
        <f t="shared" si="213"/>
        <v>0.10072374416890452</v>
      </c>
      <c r="Q792">
        <f t="shared" si="214"/>
        <v>0.99284748606561635</v>
      </c>
      <c r="R792">
        <f t="shared" si="204"/>
        <v>1</v>
      </c>
      <c r="AG792" s="8">
        <f t="shared" si="207"/>
        <v>-0.54442849878115651</v>
      </c>
      <c r="AH792" s="8">
        <f t="shared" si="208"/>
        <v>0.50837299865127017</v>
      </c>
      <c r="AI792" s="8">
        <f t="shared" si="209"/>
        <v>0.66719899876814259</v>
      </c>
      <c r="AJ792" s="8"/>
      <c r="AK792" s="8"/>
      <c r="AL792" s="8"/>
      <c r="AN792" s="8">
        <f t="shared" si="215"/>
        <v>1</v>
      </c>
      <c r="AO792" s="8">
        <f t="shared" si="216"/>
        <v>2.3904283072843509</v>
      </c>
      <c r="AP792" s="8">
        <f t="shared" si="217"/>
        <v>0.84035424378752754</v>
      </c>
      <c r="AQ792" s="8"/>
      <c r="AR792" s="8">
        <f t="shared" si="218"/>
        <v>136.96145323599475</v>
      </c>
      <c r="AS792" s="8">
        <f t="shared" si="219"/>
        <v>41.851248535066794</v>
      </c>
    </row>
    <row r="793" spans="1:45">
      <c r="A793" s="19">
        <v>25.39203333</v>
      </c>
      <c r="B793" s="19">
        <v>861.33590790000005</v>
      </c>
      <c r="C793" s="19">
        <v>-385.40013119999998</v>
      </c>
      <c r="E793" s="9">
        <f t="shared" si="205"/>
        <v>-98.664092099999948</v>
      </c>
      <c r="F793" s="9">
        <f t="shared" si="210"/>
        <v>154.59986880000002</v>
      </c>
      <c r="I793">
        <v>1</v>
      </c>
      <c r="J793">
        <f t="shared" si="206"/>
        <v>0.11987566989026034</v>
      </c>
      <c r="K793">
        <f t="shared" si="211"/>
        <v>2.1388244187097265</v>
      </c>
      <c r="O793">
        <f t="shared" si="212"/>
        <v>-6.4335272357307044E-2</v>
      </c>
      <c r="P793">
        <f t="shared" si="213"/>
        <v>0.10080896153760835</v>
      </c>
      <c r="Q793">
        <f t="shared" si="214"/>
        <v>0.99282351201229124</v>
      </c>
      <c r="R793">
        <f t="shared" si="204"/>
        <v>1</v>
      </c>
      <c r="AG793" s="8">
        <f t="shared" si="207"/>
        <v>-0.5442496104740171</v>
      </c>
      <c r="AH793" s="8">
        <f t="shared" si="208"/>
        <v>0.50855153857881652</v>
      </c>
      <c r="AI793" s="8">
        <f t="shared" si="209"/>
        <v>0.66720888341508111</v>
      </c>
      <c r="AJ793" s="8"/>
      <c r="AK793" s="8"/>
      <c r="AL793" s="8"/>
      <c r="AN793" s="8">
        <f t="shared" si="215"/>
        <v>1</v>
      </c>
      <c r="AO793" s="8">
        <f t="shared" si="216"/>
        <v>2.3900892102723326</v>
      </c>
      <c r="AP793" s="8">
        <f t="shared" si="217"/>
        <v>0.84034097358013304</v>
      </c>
      <c r="AQ793" s="8"/>
      <c r="AR793" s="8">
        <f t="shared" si="218"/>
        <v>136.94202440836062</v>
      </c>
      <c r="AS793" s="8">
        <f t="shared" si="219"/>
        <v>41.852008861943759</v>
      </c>
    </row>
    <row r="794" spans="1:45">
      <c r="A794" s="19">
        <v>25.4254</v>
      </c>
      <c r="B794" s="19">
        <v>860.61716049999995</v>
      </c>
      <c r="C794" s="19">
        <v>-385.1630404</v>
      </c>
      <c r="E794" s="9">
        <f t="shared" si="205"/>
        <v>-99.382839500000046</v>
      </c>
      <c r="F794" s="9">
        <f t="shared" si="210"/>
        <v>154.8369596</v>
      </c>
      <c r="I794">
        <v>1</v>
      </c>
      <c r="J794">
        <f t="shared" si="206"/>
        <v>0.12025956824510765</v>
      </c>
      <c r="K794">
        <f t="shared" si="211"/>
        <v>2.1414242157143653</v>
      </c>
      <c r="O794">
        <f t="shared" si="212"/>
        <v>-6.4803011300364644E-2</v>
      </c>
      <c r="P794">
        <f t="shared" si="213"/>
        <v>0.10096211069389811</v>
      </c>
      <c r="Q794">
        <f t="shared" si="214"/>
        <v>0.99277752892107596</v>
      </c>
      <c r="R794">
        <f t="shared" si="204"/>
        <v>1</v>
      </c>
      <c r="AG794" s="8">
        <f t="shared" si="207"/>
        <v>-0.54390645887576738</v>
      </c>
      <c r="AH794" s="8">
        <f t="shared" si="208"/>
        <v>0.50890723735785692</v>
      </c>
      <c r="AI794" s="8">
        <f t="shared" si="209"/>
        <v>0.66721749659164142</v>
      </c>
      <c r="AJ794" s="8"/>
      <c r="AK794" s="8"/>
      <c r="AL794" s="8"/>
      <c r="AN794" s="8">
        <f t="shared" si="215"/>
        <v>0.99999999999999989</v>
      </c>
      <c r="AO794" s="8">
        <f t="shared" si="216"/>
        <v>2.389425761098527</v>
      </c>
      <c r="AP794" s="8">
        <f t="shared" si="217"/>
        <v>0.84032941020197194</v>
      </c>
      <c r="AQ794" s="8"/>
      <c r="AR794" s="8">
        <f t="shared" si="218"/>
        <v>136.90401157078011</v>
      </c>
      <c r="AS794" s="8">
        <f t="shared" si="219"/>
        <v>41.852671394709304</v>
      </c>
    </row>
    <row r="795" spans="1:45">
      <c r="A795" s="19">
        <v>25.458766669999999</v>
      </c>
      <c r="B795" s="19">
        <v>859.73588180000002</v>
      </c>
      <c r="C795" s="19">
        <v>-385.0478114</v>
      </c>
      <c r="E795" s="9">
        <f t="shared" si="205"/>
        <v>-100.26411819999998</v>
      </c>
      <c r="F795" s="9">
        <f t="shared" si="210"/>
        <v>154.9521886</v>
      </c>
      <c r="I795">
        <v>1</v>
      </c>
      <c r="J795">
        <f t="shared" si="206"/>
        <v>0.12063501540942713</v>
      </c>
      <c r="K795">
        <f t="shared" si="211"/>
        <v>2.1451054209261295</v>
      </c>
      <c r="O795">
        <f t="shared" si="212"/>
        <v>-6.5376719405160488E-2</v>
      </c>
      <c r="P795">
        <f t="shared" si="213"/>
        <v>0.10103580360733386</v>
      </c>
      <c r="Q795">
        <f t="shared" si="214"/>
        <v>0.9927324165903112</v>
      </c>
      <c r="R795">
        <f t="shared" ref="R795:R858" si="220">SQRT(O795^2+P795^2+Q795^2)</f>
        <v>1</v>
      </c>
      <c r="AG795" s="8">
        <f t="shared" si="207"/>
        <v>-0.54356193647298778</v>
      </c>
      <c r="AH795" s="8">
        <f t="shared" si="208"/>
        <v>0.5093685730566081</v>
      </c>
      <c r="AI795" s="8">
        <f t="shared" si="209"/>
        <v>0.66714621935525542</v>
      </c>
      <c r="AJ795" s="8"/>
      <c r="AK795" s="8"/>
      <c r="AL795" s="8"/>
      <c r="AN795" s="8">
        <f t="shared" si="215"/>
        <v>1</v>
      </c>
      <c r="AO795" s="8">
        <f t="shared" si="216"/>
        <v>2.3886575546567554</v>
      </c>
      <c r="AP795" s="8">
        <f t="shared" si="217"/>
        <v>0.84042509784768227</v>
      </c>
      <c r="AQ795" s="8"/>
      <c r="AR795" s="8">
        <f t="shared" si="218"/>
        <v>136.85999658387183</v>
      </c>
      <c r="AS795" s="8">
        <f t="shared" si="219"/>
        <v>41.847188896458562</v>
      </c>
    </row>
    <row r="796" spans="1:45">
      <c r="A796" s="19">
        <v>25.492133330000001</v>
      </c>
      <c r="B796" s="19">
        <v>859.0969576</v>
      </c>
      <c r="C796" s="19">
        <v>-384.7778098</v>
      </c>
      <c r="E796" s="9">
        <f t="shared" si="205"/>
        <v>-100.9030424</v>
      </c>
      <c r="F796" s="9">
        <f t="shared" si="210"/>
        <v>155.2221902</v>
      </c>
      <c r="I796">
        <v>1</v>
      </c>
      <c r="J796">
        <f t="shared" si="206"/>
        <v>0.1210104000092881</v>
      </c>
      <c r="K796">
        <f t="shared" si="211"/>
        <v>2.1472105800498191</v>
      </c>
      <c r="O796">
        <f t="shared" si="212"/>
        <v>-6.5792371826738236E-2</v>
      </c>
      <c r="P796">
        <f t="shared" si="213"/>
        <v>0.10121038781878279</v>
      </c>
      <c r="Q796">
        <f t="shared" si="214"/>
        <v>0.99268717187590561</v>
      </c>
      <c r="R796">
        <f t="shared" si="220"/>
        <v>1</v>
      </c>
      <c r="AG796" s="8">
        <f t="shared" si="207"/>
        <v>-0.54323087801094894</v>
      </c>
      <c r="AH796" s="8">
        <f t="shared" si="208"/>
        <v>0.50967594238491665</v>
      </c>
      <c r="AI796" s="8">
        <f t="shared" si="209"/>
        <v>0.66718112003375851</v>
      </c>
      <c r="AJ796" s="8"/>
      <c r="AK796" s="8"/>
      <c r="AL796" s="8"/>
      <c r="AN796" s="8">
        <f t="shared" si="215"/>
        <v>0.99999999999999978</v>
      </c>
      <c r="AO796" s="8">
        <f t="shared" si="216"/>
        <v>2.3880525636336625</v>
      </c>
      <c r="AP796" s="8">
        <f t="shared" si="217"/>
        <v>0.84037824571236808</v>
      </c>
      <c r="AQ796" s="8"/>
      <c r="AR796" s="8">
        <f t="shared" si="218"/>
        <v>136.82533315160532</v>
      </c>
      <c r="AS796" s="8">
        <f t="shared" si="219"/>
        <v>41.849873326073237</v>
      </c>
    </row>
    <row r="797" spans="1:45">
      <c r="A797" s="19">
        <v>25.525500000000001</v>
      </c>
      <c r="B797" s="19">
        <v>858.57281039999998</v>
      </c>
      <c r="C797" s="19">
        <v>-384.6452764</v>
      </c>
      <c r="E797" s="9">
        <f t="shared" si="205"/>
        <v>-101.42718960000002</v>
      </c>
      <c r="F797" s="9">
        <f t="shared" si="210"/>
        <v>155.3547236</v>
      </c>
      <c r="I797">
        <v>1</v>
      </c>
      <c r="J797">
        <f t="shared" si="206"/>
        <v>0.12127002982368364</v>
      </c>
      <c r="K797">
        <f t="shared" si="211"/>
        <v>2.1491898672340488</v>
      </c>
      <c r="O797">
        <f t="shared" si="212"/>
        <v>-6.6133461372950175E-2</v>
      </c>
      <c r="P797">
        <f t="shared" si="213"/>
        <v>0.10129577338013858</v>
      </c>
      <c r="Q797">
        <f t="shared" si="214"/>
        <v>0.99265579713320173</v>
      </c>
      <c r="R797">
        <f t="shared" si="220"/>
        <v>1</v>
      </c>
      <c r="AG797" s="8">
        <f t="shared" si="207"/>
        <v>-0.54299795041474919</v>
      </c>
      <c r="AH797" s="8">
        <f t="shared" si="208"/>
        <v>0.50994088961885509</v>
      </c>
      <c r="AI797" s="8">
        <f t="shared" si="209"/>
        <v>0.66716828082584401</v>
      </c>
      <c r="AJ797" s="8"/>
      <c r="AK797" s="8"/>
      <c r="AL797" s="8"/>
      <c r="AN797" s="8">
        <f t="shared" si="215"/>
        <v>1</v>
      </c>
      <c r="AO797" s="8">
        <f t="shared" si="216"/>
        <v>2.3875792250641608</v>
      </c>
      <c r="AP797" s="8">
        <f t="shared" si="217"/>
        <v>0.84039548183242163</v>
      </c>
      <c r="AQ797" s="8"/>
      <c r="AR797" s="8">
        <f t="shared" si="218"/>
        <v>136.7982128492921</v>
      </c>
      <c r="AS797" s="8">
        <f t="shared" si="219"/>
        <v>41.848885769138988</v>
      </c>
    </row>
    <row r="798" spans="1:45">
      <c r="A798" s="19">
        <v>25.55886667</v>
      </c>
      <c r="B798" s="19">
        <v>858.23339139999996</v>
      </c>
      <c r="C798" s="19">
        <v>-384.60641299999997</v>
      </c>
      <c r="E798" s="9">
        <f t="shared" si="205"/>
        <v>-101.76660860000004</v>
      </c>
      <c r="F798" s="9">
        <f t="shared" si="210"/>
        <v>155.39358700000003</v>
      </c>
      <c r="I798">
        <v>1</v>
      </c>
      <c r="J798">
        <f t="shared" si="206"/>
        <v>0.12141272156528117</v>
      </c>
      <c r="K798">
        <f t="shared" si="211"/>
        <v>2.1506055439318277</v>
      </c>
      <c r="O798">
        <f t="shared" si="212"/>
        <v>-6.6354398024740732E-2</v>
      </c>
      <c r="P798">
        <f t="shared" si="213"/>
        <v>0.10132054181758567</v>
      </c>
      <c r="Q798">
        <f t="shared" si="214"/>
        <v>0.99263852517850881</v>
      </c>
      <c r="R798">
        <f t="shared" si="220"/>
        <v>1</v>
      </c>
      <c r="AG798" s="8">
        <f t="shared" si="207"/>
        <v>-0.5428675256566079</v>
      </c>
      <c r="AH798" s="8">
        <f t="shared" si="208"/>
        <v>0.51011922239470731</v>
      </c>
      <c r="AI798" s="8">
        <f t="shared" si="209"/>
        <v>0.6671380880529092</v>
      </c>
      <c r="AJ798" s="8"/>
      <c r="AK798" s="8"/>
      <c r="AL798" s="8"/>
      <c r="AN798" s="8">
        <f t="shared" si="215"/>
        <v>0.99999999999999978</v>
      </c>
      <c r="AO798" s="8">
        <f t="shared" si="216"/>
        <v>2.3872848633767689</v>
      </c>
      <c r="AP798" s="8">
        <f t="shared" si="217"/>
        <v>0.84043601336678297</v>
      </c>
      <c r="AQ798" s="8"/>
      <c r="AR798" s="8">
        <f t="shared" si="218"/>
        <v>136.78134716695422</v>
      </c>
      <c r="AS798" s="8">
        <f t="shared" si="219"/>
        <v>41.846563483282893</v>
      </c>
    </row>
    <row r="799" spans="1:45">
      <c r="A799" s="19">
        <v>25.592233329999999</v>
      </c>
      <c r="B799" s="19">
        <v>857.55365389999997</v>
      </c>
      <c r="C799" s="19">
        <v>-384.43952819999998</v>
      </c>
      <c r="E799" s="9">
        <f t="shared" si="205"/>
        <v>-102.44634610000003</v>
      </c>
      <c r="F799" s="9">
        <f t="shared" si="210"/>
        <v>155.56047180000002</v>
      </c>
      <c r="I799">
        <v>1</v>
      </c>
      <c r="J799">
        <f t="shared" si="206"/>
        <v>0.12174781461990913</v>
      </c>
      <c r="K799">
        <f t="shared" si="211"/>
        <v>2.1531675855961407</v>
      </c>
      <c r="O799">
        <f t="shared" si="212"/>
        <v>-6.679671007199231E-2</v>
      </c>
      <c r="P799">
        <f t="shared" si="213"/>
        <v>0.10142799747434753</v>
      </c>
      <c r="Q799">
        <f t="shared" si="214"/>
        <v>0.9925978847710194</v>
      </c>
      <c r="R799">
        <f t="shared" si="220"/>
        <v>1</v>
      </c>
      <c r="AG799" s="8">
        <f t="shared" si="207"/>
        <v>-0.54256748302230084</v>
      </c>
      <c r="AH799" s="8">
        <f t="shared" si="208"/>
        <v>0.51046338161541749</v>
      </c>
      <c r="AI799" s="8">
        <f t="shared" si="209"/>
        <v>0.6671189267264106</v>
      </c>
      <c r="AJ799" s="8"/>
      <c r="AK799" s="8"/>
      <c r="AL799" s="8"/>
      <c r="AN799" s="8">
        <f t="shared" si="215"/>
        <v>1</v>
      </c>
      <c r="AO799" s="8">
        <f t="shared" si="216"/>
        <v>2.3866723815335855</v>
      </c>
      <c r="AP799" s="8">
        <f t="shared" si="217"/>
        <v>0.84046173524812717</v>
      </c>
      <c r="AQ799" s="8"/>
      <c r="AR799" s="8">
        <f t="shared" si="218"/>
        <v>136.74625454231142</v>
      </c>
      <c r="AS799" s="8">
        <f t="shared" si="219"/>
        <v>41.845089728040733</v>
      </c>
    </row>
    <row r="800" spans="1:45">
      <c r="A800" s="19">
        <v>25.625599999999999</v>
      </c>
      <c r="B800" s="19">
        <v>856.8737443</v>
      </c>
      <c r="C800" s="19">
        <v>-383.97886949999997</v>
      </c>
      <c r="E800" s="9">
        <f t="shared" ref="E800:E863" si="221">(B800-($B$15/2))</f>
        <v>-103.1262557</v>
      </c>
      <c r="F800" s="9">
        <f t="shared" si="210"/>
        <v>156.02113050000003</v>
      </c>
      <c r="I800">
        <v>1</v>
      </c>
      <c r="J800">
        <f t="shared" ref="J800:J863" si="222">ATAN((SQRT(E800^2+F800^2)^$B$16)/($F$24))</f>
        <v>0.12224388667747953</v>
      </c>
      <c r="K800">
        <f t="shared" si="211"/>
        <v>2.1548490308415804</v>
      </c>
      <c r="O800">
        <f t="shared" si="212"/>
        <v>-6.7238666950484194E-2</v>
      </c>
      <c r="P800">
        <f t="shared" si="213"/>
        <v>0.10172630393413509</v>
      </c>
      <c r="Q800">
        <f t="shared" si="214"/>
        <v>0.99253751604391349</v>
      </c>
      <c r="R800">
        <f t="shared" si="220"/>
        <v>1</v>
      </c>
      <c r="AG800" s="8">
        <f t="shared" ref="AG800:AG863" si="223">$O800*$Z$27+$P800*$Z$31+$Q800*$Z$35</f>
        <v>-0.54213937489354314</v>
      </c>
      <c r="AH800" s="8">
        <f t="shared" ref="AH800:AH863" si="224">$O800*$AA$27+$P800*$AA$31+$Q800*$AA$35</f>
        <v>0.51076494630234903</v>
      </c>
      <c r="AI800" s="8">
        <f t="shared" ref="AI800:AI863" si="225">$AB$27*$O800+$P800*$AB$31+$AB$35*$Q800</f>
        <v>0.66723614097169293</v>
      </c>
      <c r="AJ800" s="8"/>
      <c r="AK800" s="8"/>
      <c r="AL800" s="8"/>
      <c r="AN800" s="8">
        <f t="shared" si="215"/>
        <v>1.0000000000000002</v>
      </c>
      <c r="AO800" s="8">
        <f t="shared" si="216"/>
        <v>2.3859836618289978</v>
      </c>
      <c r="AP800" s="8">
        <f t="shared" si="217"/>
        <v>0.8403043793031888</v>
      </c>
      <c r="AQ800" s="8"/>
      <c r="AR800" s="8">
        <f t="shared" si="218"/>
        <v>136.70679380997103</v>
      </c>
      <c r="AS800" s="8">
        <f t="shared" si="219"/>
        <v>41.854105559566996</v>
      </c>
    </row>
    <row r="801" spans="1:45">
      <c r="A801" s="19">
        <v>25.658966670000002</v>
      </c>
      <c r="B801" s="19">
        <v>856.19789560000004</v>
      </c>
      <c r="C801" s="19">
        <v>-383.70775309999999</v>
      </c>
      <c r="E801" s="9">
        <f t="shared" si="221"/>
        <v>-103.80210439999996</v>
      </c>
      <c r="F801" s="9">
        <f t="shared" ref="F801:F864" si="226">(($C$15/2)+C801)</f>
        <v>156.29224690000001</v>
      </c>
      <c r="I801">
        <v>1</v>
      </c>
      <c r="J801">
        <f t="shared" si="222"/>
        <v>0.12263558304757856</v>
      </c>
      <c r="K801">
        <f t="shared" ref="K801:K864" si="227">ATAN2(E801,F801)</f>
        <v>2.1570573005011178</v>
      </c>
      <c r="O801">
        <f t="shared" ref="O801:O864" si="228">COS(K801)*SIN(J801)</f>
        <v>-6.7678225696368693E-2</v>
      </c>
      <c r="P801">
        <f t="shared" ref="P801:P864" si="229">SIN(K801)*SIN(J801)</f>
        <v>0.10190142118439349</v>
      </c>
      <c r="Q801">
        <f t="shared" ref="Q801:Q864" si="230">COS(J801)</f>
        <v>0.99248967658469489</v>
      </c>
      <c r="R801">
        <f t="shared" si="220"/>
        <v>1</v>
      </c>
      <c r="AG801" s="8">
        <f t="shared" si="223"/>
        <v>-0.54179503962158515</v>
      </c>
      <c r="AH801" s="8">
        <f t="shared" si="224"/>
        <v>0.51109163869965735</v>
      </c>
      <c r="AI801" s="8">
        <f t="shared" si="225"/>
        <v>0.66726566815080779</v>
      </c>
      <c r="AJ801" s="8"/>
      <c r="AK801" s="8"/>
      <c r="AL801" s="8"/>
      <c r="AN801" s="8">
        <f t="shared" ref="AN801:AN864" si="231">AG801^2+AH801^2+AI801^2</f>
        <v>1</v>
      </c>
      <c r="AO801" s="8">
        <f t="shared" ref="AO801:AO864" si="232">IF(ATAN2(AG801,AH801)&gt;=0,ATAN2(AG801,AH801),ATAN2(AG801,AH801)+2*PI())</f>
        <v>2.3853473922781214</v>
      </c>
      <c r="AP801" s="8">
        <f t="shared" ref="AP801:AP864" si="233">ACOS(AI801/AN801)</f>
        <v>0.84026473662052381</v>
      </c>
      <c r="AQ801" s="8"/>
      <c r="AR801" s="8">
        <f t="shared" ref="AR801:AR864" si="234">DEGREES(AO801)</f>
        <v>136.67033825007314</v>
      </c>
      <c r="AS801" s="8">
        <f t="shared" ref="AS801:AS864" si="235">90-DEGREES(AP801)</f>
        <v>41.856376917972277</v>
      </c>
    </row>
    <row r="802" spans="1:45">
      <c r="A802" s="19">
        <v>25.69233333</v>
      </c>
      <c r="B802" s="19">
        <v>855.47199839999996</v>
      </c>
      <c r="C802" s="19">
        <v>-383.59267770000002</v>
      </c>
      <c r="E802" s="9">
        <f t="shared" si="221"/>
        <v>-104.52800160000004</v>
      </c>
      <c r="F802" s="9">
        <f t="shared" si="226"/>
        <v>156.40732229999998</v>
      </c>
      <c r="I802">
        <v>1</v>
      </c>
      <c r="J802">
        <f t="shared" si="222"/>
        <v>0.12296120775346533</v>
      </c>
      <c r="K802">
        <f t="shared" si="227"/>
        <v>2.15993321437344</v>
      </c>
      <c r="O802">
        <f t="shared" si="228"/>
        <v>-6.815057395542129E-2</v>
      </c>
      <c r="P802">
        <f t="shared" si="229"/>
        <v>0.10197505570196951</v>
      </c>
      <c r="Q802">
        <f t="shared" si="230"/>
        <v>0.99244979081267726</v>
      </c>
      <c r="R802">
        <f t="shared" si="220"/>
        <v>1</v>
      </c>
      <c r="AG802" s="8">
        <f t="shared" si="223"/>
        <v>-0.54150177808157984</v>
      </c>
      <c r="AH802" s="8">
        <f t="shared" si="224"/>
        <v>0.51146793090404208</v>
      </c>
      <c r="AI802" s="8">
        <f t="shared" si="225"/>
        <v>0.66721539250172091</v>
      </c>
      <c r="AJ802" s="8"/>
      <c r="AK802" s="8"/>
      <c r="AL802" s="8"/>
      <c r="AN802" s="8">
        <f t="shared" si="231"/>
        <v>1</v>
      </c>
      <c r="AO802" s="8">
        <f t="shared" si="232"/>
        <v>2.3847097514622648</v>
      </c>
      <c r="AP802" s="8">
        <f t="shared" si="233"/>
        <v>0.84033223499982557</v>
      </c>
      <c r="AQ802" s="8"/>
      <c r="AR802" s="8">
        <f t="shared" si="234"/>
        <v>136.63380412247926</v>
      </c>
      <c r="AS802" s="8">
        <f t="shared" si="235"/>
        <v>41.852509545714312</v>
      </c>
    </row>
    <row r="803" spans="1:45">
      <c r="A803" s="19">
        <v>25.7257</v>
      </c>
      <c r="B803" s="19">
        <v>855.16330379999999</v>
      </c>
      <c r="C803" s="19">
        <v>-383.6071412</v>
      </c>
      <c r="E803" s="9">
        <f t="shared" si="221"/>
        <v>-104.83669620000001</v>
      </c>
      <c r="F803" s="9">
        <f t="shared" si="226"/>
        <v>156.3928588</v>
      </c>
      <c r="I803">
        <v>1</v>
      </c>
      <c r="J803">
        <f t="shared" si="222"/>
        <v>0.12306556608466651</v>
      </c>
      <c r="K803">
        <f t="shared" si="227"/>
        <v>2.1613390530357384</v>
      </c>
      <c r="O803">
        <f t="shared" si="228"/>
        <v>-6.8351535901218438E-2</v>
      </c>
      <c r="P803">
        <f t="shared" si="229"/>
        <v>0.10196517527192343</v>
      </c>
      <c r="Q803">
        <f t="shared" si="230"/>
        <v>0.99243698569315242</v>
      </c>
      <c r="R803">
        <f t="shared" si="220"/>
        <v>1</v>
      </c>
      <c r="AG803" s="8">
        <f t="shared" si="223"/>
        <v>-0.54140463615046075</v>
      </c>
      <c r="AH803" s="8">
        <f t="shared" si="224"/>
        <v>0.51163711112720833</v>
      </c>
      <c r="AI803" s="8">
        <f t="shared" si="225"/>
        <v>0.66716451229977158</v>
      </c>
      <c r="AJ803" s="8"/>
      <c r="AK803" s="8"/>
      <c r="AL803" s="8"/>
      <c r="AN803" s="8">
        <f t="shared" si="231"/>
        <v>1.0000000000000002</v>
      </c>
      <c r="AO803" s="8">
        <f t="shared" si="232"/>
        <v>2.3844550980441115</v>
      </c>
      <c r="AP803" s="8">
        <f t="shared" si="233"/>
        <v>0.84040054087654026</v>
      </c>
      <c r="AQ803" s="8"/>
      <c r="AR803" s="8">
        <f t="shared" si="234"/>
        <v>136.61921355638052</v>
      </c>
      <c r="AS803" s="8">
        <f t="shared" si="235"/>
        <v>41.84859590726262</v>
      </c>
    </row>
    <row r="804" spans="1:45">
      <c r="A804" s="19">
        <v>25.759066669999999</v>
      </c>
      <c r="B804" s="19">
        <v>854.64046719999999</v>
      </c>
      <c r="C804" s="19">
        <v>-383.60532940000002</v>
      </c>
      <c r="E804" s="9">
        <f t="shared" si="221"/>
        <v>-105.35953280000001</v>
      </c>
      <c r="F804" s="9">
        <f t="shared" si="226"/>
        <v>156.39467059999998</v>
      </c>
      <c r="I804">
        <v>1</v>
      </c>
      <c r="J804">
        <f t="shared" si="222"/>
        <v>0.1232571258387823</v>
      </c>
      <c r="K804">
        <f t="shared" si="227"/>
        <v>2.1636367250935389</v>
      </c>
      <c r="O804">
        <f t="shared" si="228"/>
        <v>-6.869185516139642E-2</v>
      </c>
      <c r="P804">
        <f t="shared" si="229"/>
        <v>0.10196552485917534</v>
      </c>
      <c r="Q804">
        <f t="shared" si="230"/>
        <v>0.99241345253612856</v>
      </c>
      <c r="R804">
        <f t="shared" si="220"/>
        <v>1</v>
      </c>
      <c r="AG804" s="8">
        <f t="shared" si="223"/>
        <v>-0.54122860095931402</v>
      </c>
      <c r="AH804" s="8">
        <f t="shared" si="224"/>
        <v>0.51191978560013884</v>
      </c>
      <c r="AI804" s="8">
        <f t="shared" si="225"/>
        <v>0.66709049956863542</v>
      </c>
      <c r="AJ804" s="8"/>
      <c r="AK804" s="8"/>
      <c r="AL804" s="8"/>
      <c r="AN804" s="8">
        <f t="shared" si="231"/>
        <v>1</v>
      </c>
      <c r="AO804" s="8">
        <f t="shared" si="232"/>
        <v>2.3840170200070121</v>
      </c>
      <c r="AP804" s="8">
        <f t="shared" si="233"/>
        <v>0.84049989435287242</v>
      </c>
      <c r="AQ804" s="8"/>
      <c r="AR804" s="8">
        <f t="shared" si="234"/>
        <v>136.59411353375734</v>
      </c>
      <c r="AS804" s="8">
        <f t="shared" si="235"/>
        <v>41.842903372388832</v>
      </c>
    </row>
    <row r="805" spans="1:45">
      <c r="A805" s="19">
        <v>25.792433330000001</v>
      </c>
      <c r="B805" s="19">
        <v>853.71840610000004</v>
      </c>
      <c r="C805" s="19">
        <v>-383.58061259999999</v>
      </c>
      <c r="E805" s="9">
        <f t="shared" si="221"/>
        <v>-106.28159389999996</v>
      </c>
      <c r="F805" s="9">
        <f t="shared" si="226"/>
        <v>156.41938740000001</v>
      </c>
      <c r="I805">
        <v>1</v>
      </c>
      <c r="J805">
        <f t="shared" si="222"/>
        <v>0.12360815138929203</v>
      </c>
      <c r="K805">
        <f t="shared" si="227"/>
        <v>2.1676074717045601</v>
      </c>
      <c r="O805">
        <f t="shared" si="228"/>
        <v>-6.9291969979307574E-2</v>
      </c>
      <c r="P805">
        <f t="shared" si="229"/>
        <v>0.10198009926441731</v>
      </c>
      <c r="Q805">
        <f t="shared" si="230"/>
        <v>0.99237023446413708</v>
      </c>
      <c r="R805">
        <f t="shared" si="220"/>
        <v>1</v>
      </c>
      <c r="AG805" s="8">
        <f t="shared" si="223"/>
        <v>-0.54090862680875174</v>
      </c>
      <c r="AH805" s="8">
        <f t="shared" si="224"/>
        <v>0.51241502625598001</v>
      </c>
      <c r="AI805" s="8">
        <f t="shared" si="225"/>
        <v>0.66696978815457142</v>
      </c>
      <c r="AJ805" s="8"/>
      <c r="AK805" s="8"/>
      <c r="AL805" s="8"/>
      <c r="AN805" s="8">
        <f t="shared" si="231"/>
        <v>1</v>
      </c>
      <c r="AO805" s="8">
        <f t="shared" si="232"/>
        <v>2.3832390299438222</v>
      </c>
      <c r="AP805" s="8">
        <f t="shared" si="233"/>
        <v>0.84066191641426147</v>
      </c>
      <c r="AQ805" s="8"/>
      <c r="AR805" s="8">
        <f t="shared" si="234"/>
        <v>136.54953798663342</v>
      </c>
      <c r="AS805" s="8">
        <f t="shared" si="235"/>
        <v>41.833620192083231</v>
      </c>
    </row>
    <row r="806" spans="1:45">
      <c r="A806" s="19">
        <v>25.825800000000001</v>
      </c>
      <c r="B806" s="19">
        <v>853.13924129999998</v>
      </c>
      <c r="C806" s="19">
        <v>-383.56853319999999</v>
      </c>
      <c r="E806" s="9">
        <f t="shared" si="221"/>
        <v>-106.86075870000002</v>
      </c>
      <c r="F806" s="9">
        <f t="shared" si="226"/>
        <v>156.43146680000001</v>
      </c>
      <c r="I806">
        <v>1</v>
      </c>
      <c r="J806">
        <f t="shared" si="222"/>
        <v>0.12382775937858664</v>
      </c>
      <c r="K806">
        <f t="shared" si="227"/>
        <v>2.1701002977858348</v>
      </c>
      <c r="O806">
        <f t="shared" si="228"/>
        <v>-6.9668900077498916E-2</v>
      </c>
      <c r="P806">
        <f t="shared" si="229"/>
        <v>0.10198700029878965</v>
      </c>
      <c r="Q806">
        <f t="shared" si="230"/>
        <v>0.99234313426961651</v>
      </c>
      <c r="R806">
        <f t="shared" si="220"/>
        <v>1</v>
      </c>
      <c r="AG806" s="8">
        <f t="shared" si="223"/>
        <v>-0.54070904562849031</v>
      </c>
      <c r="AH806" s="8">
        <f t="shared" si="224"/>
        <v>0.51272649541685555</v>
      </c>
      <c r="AI806" s="8">
        <f t="shared" si="225"/>
        <v>0.66689224682333537</v>
      </c>
      <c r="AJ806" s="8"/>
      <c r="AK806" s="8"/>
      <c r="AL806" s="8"/>
      <c r="AN806" s="8">
        <f t="shared" si="231"/>
        <v>1</v>
      </c>
      <c r="AO806" s="8">
        <f t="shared" si="232"/>
        <v>2.3827513799208031</v>
      </c>
      <c r="AP806" s="8">
        <f t="shared" si="233"/>
        <v>0.84076598205063569</v>
      </c>
      <c r="AQ806" s="8"/>
      <c r="AR806" s="8">
        <f t="shared" si="234"/>
        <v>136.52159769843499</v>
      </c>
      <c r="AS806" s="8">
        <f t="shared" si="235"/>
        <v>41.827657670326651</v>
      </c>
    </row>
    <row r="807" spans="1:45">
      <c r="A807" s="19">
        <v>25.85916667</v>
      </c>
      <c r="B807" s="19">
        <v>852.52585150000004</v>
      </c>
      <c r="C807" s="19">
        <v>-383.5003802</v>
      </c>
      <c r="E807" s="9">
        <f t="shared" si="221"/>
        <v>-107.47414849999996</v>
      </c>
      <c r="F807" s="9">
        <f t="shared" si="226"/>
        <v>156.4996198</v>
      </c>
      <c r="I807">
        <v>1</v>
      </c>
      <c r="J807">
        <f t="shared" si="222"/>
        <v>0.1240909883661231</v>
      </c>
      <c r="K807">
        <f t="shared" si="227"/>
        <v>2.1725656769767916</v>
      </c>
      <c r="O807">
        <f t="shared" si="228"/>
        <v>-7.0067995745615577E-2</v>
      </c>
      <c r="P807">
        <f t="shared" si="229"/>
        <v>0.10203025422747927</v>
      </c>
      <c r="Q807">
        <f t="shared" si="230"/>
        <v>0.99231058806931427</v>
      </c>
      <c r="R807">
        <f t="shared" si="220"/>
        <v>1</v>
      </c>
      <c r="AG807" s="8">
        <f t="shared" si="223"/>
        <v>-0.54047348761692549</v>
      </c>
      <c r="AH807" s="8">
        <f t="shared" si="224"/>
        <v>0.51304825102507212</v>
      </c>
      <c r="AI807" s="8">
        <f t="shared" si="225"/>
        <v>0.66683573787201278</v>
      </c>
      <c r="AJ807" s="8"/>
      <c r="AK807" s="8"/>
      <c r="AL807" s="8"/>
      <c r="AN807" s="8">
        <f t="shared" si="231"/>
        <v>1</v>
      </c>
      <c r="AO807" s="8">
        <f t="shared" si="232"/>
        <v>2.3822205730734805</v>
      </c>
      <c r="AP807" s="8">
        <f t="shared" si="233"/>
        <v>0.84084181472585984</v>
      </c>
      <c r="AQ807" s="8"/>
      <c r="AR807" s="8">
        <f t="shared" si="234"/>
        <v>136.49118470634676</v>
      </c>
      <c r="AS807" s="8">
        <f t="shared" si="235"/>
        <v>41.823312778087114</v>
      </c>
    </row>
    <row r="808" spans="1:45">
      <c r="A808" s="19">
        <v>25.892533329999999</v>
      </c>
      <c r="B808" s="19">
        <v>851.84574299999997</v>
      </c>
      <c r="C808" s="19">
        <v>-383.37799330000001</v>
      </c>
      <c r="E808" s="9">
        <f t="shared" si="221"/>
        <v>-108.15425700000003</v>
      </c>
      <c r="F808" s="9">
        <f t="shared" si="226"/>
        <v>156.62200669999999</v>
      </c>
      <c r="I808">
        <v>1</v>
      </c>
      <c r="J808">
        <f t="shared" si="222"/>
        <v>0.12440888439411869</v>
      </c>
      <c r="K808">
        <f t="shared" si="227"/>
        <v>2.1751471880557953</v>
      </c>
      <c r="O808">
        <f t="shared" si="228"/>
        <v>-7.0510399095322709E-2</v>
      </c>
      <c r="P808">
        <f t="shared" si="229"/>
        <v>0.10210860400554839</v>
      </c>
      <c r="Q808">
        <f t="shared" si="230"/>
        <v>0.99227119105991202</v>
      </c>
      <c r="R808">
        <f t="shared" si="220"/>
        <v>1</v>
      </c>
      <c r="AG808" s="8">
        <f t="shared" si="223"/>
        <v>-0.54019182788064268</v>
      </c>
      <c r="AH808" s="8">
        <f t="shared" si="224"/>
        <v>0.51339810185170087</v>
      </c>
      <c r="AI808" s="8">
        <f t="shared" si="225"/>
        <v>0.66679470461757617</v>
      </c>
      <c r="AJ808" s="8"/>
      <c r="AK808" s="8"/>
      <c r="AL808" s="8"/>
      <c r="AN808" s="8">
        <f t="shared" si="231"/>
        <v>1</v>
      </c>
      <c r="AO808" s="8">
        <f t="shared" si="232"/>
        <v>2.3816198966158604</v>
      </c>
      <c r="AP808" s="8">
        <f t="shared" si="233"/>
        <v>0.84089687643120936</v>
      </c>
      <c r="AQ808" s="8"/>
      <c r="AR808" s="8">
        <f t="shared" si="234"/>
        <v>136.45676848047225</v>
      </c>
      <c r="AS808" s="8">
        <f t="shared" si="235"/>
        <v>41.820157974757798</v>
      </c>
    </row>
    <row r="809" spans="1:45">
      <c r="A809" s="19">
        <v>25.925899999999999</v>
      </c>
      <c r="B809" s="19">
        <v>851.31464930000004</v>
      </c>
      <c r="C809" s="19">
        <v>-383.23573440000001</v>
      </c>
      <c r="E809" s="9">
        <f t="shared" si="221"/>
        <v>-108.68535069999996</v>
      </c>
      <c r="F809" s="9">
        <f t="shared" si="226"/>
        <v>156.76426559999999</v>
      </c>
      <c r="I809">
        <v>1</v>
      </c>
      <c r="J809">
        <f t="shared" si="222"/>
        <v>0.12468275613104465</v>
      </c>
      <c r="K809">
        <f t="shared" si="227"/>
        <v>2.1770144315863069</v>
      </c>
      <c r="O809">
        <f t="shared" si="228"/>
        <v>-7.0855771153302508E-2</v>
      </c>
      <c r="P809">
        <f t="shared" si="229"/>
        <v>0.10220009280762372</v>
      </c>
      <c r="Q809">
        <f t="shared" si="230"/>
        <v>0.99223716959423769</v>
      </c>
      <c r="R809">
        <f t="shared" si="220"/>
        <v>1</v>
      </c>
      <c r="AG809" s="8">
        <f t="shared" si="223"/>
        <v>-0.53995148585736941</v>
      </c>
      <c r="AH809" s="8">
        <f t="shared" si="224"/>
        <v>0.51366443985839749</v>
      </c>
      <c r="AI809" s="8">
        <f t="shared" si="225"/>
        <v>0.66678425007297371</v>
      </c>
      <c r="AJ809" s="8"/>
      <c r="AK809" s="8"/>
      <c r="AL809" s="8"/>
      <c r="AN809" s="8">
        <f t="shared" si="231"/>
        <v>1.0000000000000002</v>
      </c>
      <c r="AO809" s="8">
        <f t="shared" si="232"/>
        <v>2.3811386781913528</v>
      </c>
      <c r="AP809" s="8">
        <f t="shared" si="233"/>
        <v>0.8409109047423875</v>
      </c>
      <c r="AQ809" s="8"/>
      <c r="AR809" s="8">
        <f t="shared" si="234"/>
        <v>136.42919669572404</v>
      </c>
      <c r="AS809" s="8">
        <f t="shared" si="235"/>
        <v>41.819354211733597</v>
      </c>
    </row>
    <row r="810" spans="1:45">
      <c r="A810" s="19">
        <v>25.959266670000002</v>
      </c>
      <c r="B810" s="19">
        <v>850.56268030000001</v>
      </c>
      <c r="C810" s="19">
        <v>-382.86792759999997</v>
      </c>
      <c r="E810" s="9">
        <f t="shared" si="221"/>
        <v>-109.43731969999999</v>
      </c>
      <c r="F810" s="9">
        <f t="shared" si="226"/>
        <v>157.13207240000003</v>
      </c>
      <c r="I810">
        <v>1</v>
      </c>
      <c r="J810">
        <f t="shared" si="222"/>
        <v>0.12516042616412931</v>
      </c>
      <c r="K810">
        <f t="shared" si="227"/>
        <v>2.1791472838242467</v>
      </c>
      <c r="O810">
        <f t="shared" si="228"/>
        <v>-7.134445579532285E-2</v>
      </c>
      <c r="P810">
        <f t="shared" si="229"/>
        <v>0.10243765311596237</v>
      </c>
      <c r="Q810">
        <f t="shared" si="230"/>
        <v>0.99217765337229957</v>
      </c>
      <c r="R810">
        <f t="shared" si="220"/>
        <v>1</v>
      </c>
      <c r="AG810" s="8">
        <f t="shared" si="223"/>
        <v>-0.53953864586530453</v>
      </c>
      <c r="AH810" s="8">
        <f t="shared" si="224"/>
        <v>0.51401724521699255</v>
      </c>
      <c r="AI810" s="8">
        <f t="shared" si="225"/>
        <v>0.66684654999285087</v>
      </c>
      <c r="AJ810" s="8"/>
      <c r="AK810" s="8"/>
      <c r="AL810" s="8"/>
      <c r="AN810" s="8">
        <f t="shared" si="231"/>
        <v>1</v>
      </c>
      <c r="AO810" s="8">
        <f t="shared" si="232"/>
        <v>2.3804138131462969</v>
      </c>
      <c r="AP810" s="8">
        <f t="shared" si="233"/>
        <v>0.84082730570504571</v>
      </c>
      <c r="AQ810" s="8"/>
      <c r="AR810" s="8">
        <f t="shared" si="234"/>
        <v>136.38766498792577</v>
      </c>
      <c r="AS810" s="8">
        <f t="shared" si="235"/>
        <v>41.824144083744635</v>
      </c>
    </row>
    <row r="811" spans="1:45">
      <c r="A811" s="19">
        <v>25.99263333</v>
      </c>
      <c r="B811" s="19">
        <v>850.23168769999995</v>
      </c>
      <c r="C811" s="19">
        <v>-382.73263489999999</v>
      </c>
      <c r="E811" s="9">
        <f t="shared" si="221"/>
        <v>-109.76831230000005</v>
      </c>
      <c r="F811" s="9">
        <f t="shared" si="226"/>
        <v>157.26736510000001</v>
      </c>
      <c r="I811">
        <v>1</v>
      </c>
      <c r="J811">
        <f t="shared" si="222"/>
        <v>0.12535659632399349</v>
      </c>
      <c r="K811">
        <f t="shared" si="227"/>
        <v>2.1801603261570985</v>
      </c>
      <c r="O811">
        <f t="shared" si="228"/>
        <v>-7.1559590416749849E-2</v>
      </c>
      <c r="P811">
        <f t="shared" si="229"/>
        <v>0.10252492724603419</v>
      </c>
      <c r="Q811">
        <f t="shared" si="230"/>
        <v>0.99215314559425871</v>
      </c>
      <c r="R811">
        <f t="shared" si="220"/>
        <v>1</v>
      </c>
      <c r="AG811" s="8">
        <f t="shared" si="223"/>
        <v>-0.53936846805009786</v>
      </c>
      <c r="AH811" s="8">
        <f t="shared" si="224"/>
        <v>0.51417635090303349</v>
      </c>
      <c r="AI811" s="8">
        <f t="shared" si="225"/>
        <v>0.66686155673072889</v>
      </c>
      <c r="AJ811" s="8"/>
      <c r="AK811" s="8"/>
      <c r="AL811" s="8"/>
      <c r="AN811" s="8">
        <f t="shared" si="231"/>
        <v>1</v>
      </c>
      <c r="AO811" s="8">
        <f t="shared" si="232"/>
        <v>2.3801017003588436</v>
      </c>
      <c r="AP811" s="8">
        <f t="shared" si="233"/>
        <v>0.84080716752393669</v>
      </c>
      <c r="AQ811" s="8"/>
      <c r="AR811" s="8">
        <f t="shared" si="234"/>
        <v>136.36978224247264</v>
      </c>
      <c r="AS811" s="8">
        <f t="shared" si="235"/>
        <v>41.825297916529252</v>
      </c>
    </row>
    <row r="812" spans="1:45">
      <c r="A812" s="19">
        <v>26.026</v>
      </c>
      <c r="B812" s="19">
        <v>849.49165419999997</v>
      </c>
      <c r="C812" s="19">
        <v>-382.60059289999998</v>
      </c>
      <c r="E812" s="9">
        <f t="shared" si="221"/>
        <v>-110.50834580000003</v>
      </c>
      <c r="F812" s="9">
        <f t="shared" si="226"/>
        <v>157.39940710000002</v>
      </c>
      <c r="I812">
        <v>1</v>
      </c>
      <c r="J812">
        <f t="shared" si="222"/>
        <v>0.12570449325740193</v>
      </c>
      <c r="K812">
        <f t="shared" si="227"/>
        <v>2.1829227310730999</v>
      </c>
      <c r="O812">
        <f t="shared" si="228"/>
        <v>-7.2040864145659203E-2</v>
      </c>
      <c r="P812">
        <f t="shared" si="229"/>
        <v>0.10260934793124385</v>
      </c>
      <c r="Q812">
        <f t="shared" si="230"/>
        <v>0.99210958850838227</v>
      </c>
      <c r="R812">
        <f t="shared" si="220"/>
        <v>1</v>
      </c>
      <c r="AG812" s="8">
        <f t="shared" si="223"/>
        <v>-0.53906210634425811</v>
      </c>
      <c r="AH812" s="8">
        <f t="shared" si="224"/>
        <v>0.51455674961992715</v>
      </c>
      <c r="AI812" s="8">
        <f t="shared" si="225"/>
        <v>0.66681586433157647</v>
      </c>
      <c r="AJ812" s="8"/>
      <c r="AK812" s="8"/>
      <c r="AL812" s="8"/>
      <c r="AN812" s="8">
        <f t="shared" si="231"/>
        <v>1</v>
      </c>
      <c r="AO812" s="8">
        <f t="shared" si="232"/>
        <v>2.3794485723651806</v>
      </c>
      <c r="AP812" s="8">
        <f t="shared" si="233"/>
        <v>0.84086848297198191</v>
      </c>
      <c r="AQ812" s="8"/>
      <c r="AR812" s="8">
        <f t="shared" si="234"/>
        <v>136.3323607649539</v>
      </c>
      <c r="AS812" s="8">
        <f t="shared" si="235"/>
        <v>41.821784800137308</v>
      </c>
    </row>
    <row r="813" spans="1:45">
      <c r="A813" s="19">
        <v>26.059366669999999</v>
      </c>
      <c r="B813" s="19">
        <v>848.57083720000003</v>
      </c>
      <c r="C813" s="19">
        <v>-382.53081350000002</v>
      </c>
      <c r="E813" s="9">
        <f t="shared" si="221"/>
        <v>-111.42916279999997</v>
      </c>
      <c r="F813" s="9">
        <f t="shared" si="226"/>
        <v>157.46918649999998</v>
      </c>
      <c r="I813">
        <v>1</v>
      </c>
      <c r="J813">
        <f t="shared" si="222"/>
        <v>0.12608827734588052</v>
      </c>
      <c r="K813">
        <f t="shared" si="227"/>
        <v>2.186621555973653</v>
      </c>
      <c r="O813">
        <f t="shared" si="228"/>
        <v>-7.2639836057371926E-2</v>
      </c>
      <c r="P813">
        <f t="shared" si="229"/>
        <v>0.10265298243313851</v>
      </c>
      <c r="Q813">
        <f t="shared" si="230"/>
        <v>0.99206139901476853</v>
      </c>
      <c r="R813">
        <f t="shared" si="220"/>
        <v>1</v>
      </c>
      <c r="AG813" s="8">
        <f t="shared" si="223"/>
        <v>-0.53872188672973298</v>
      </c>
      <c r="AH813" s="8">
        <f t="shared" si="224"/>
        <v>0.51504363213751014</v>
      </c>
      <c r="AI813" s="8">
        <f t="shared" si="225"/>
        <v>0.66671492090169826</v>
      </c>
      <c r="AJ813" s="8"/>
      <c r="AK813" s="8"/>
      <c r="AL813" s="8"/>
      <c r="AN813" s="8">
        <f t="shared" si="231"/>
        <v>0.99999999999999978</v>
      </c>
      <c r="AO813" s="8">
        <f t="shared" si="232"/>
        <v>2.3786608456286915</v>
      </c>
      <c r="AP813" s="8">
        <f t="shared" si="233"/>
        <v>0.84100392884355335</v>
      </c>
      <c r="AQ813" s="8"/>
      <c r="AR813" s="8">
        <f t="shared" si="234"/>
        <v>136.28722734754345</v>
      </c>
      <c r="AS813" s="8">
        <f t="shared" si="235"/>
        <v>41.814024323343794</v>
      </c>
    </row>
    <row r="814" spans="1:45">
      <c r="A814" s="19">
        <v>26.092733330000002</v>
      </c>
      <c r="B814" s="19">
        <v>848.14466030000006</v>
      </c>
      <c r="C814" s="19">
        <v>-382.49081050000001</v>
      </c>
      <c r="E814" s="9">
        <f t="shared" si="221"/>
        <v>-111.85533969999994</v>
      </c>
      <c r="F814" s="9">
        <f t="shared" si="226"/>
        <v>157.50918949999999</v>
      </c>
      <c r="I814">
        <v>1</v>
      </c>
      <c r="J814">
        <f t="shared" si="222"/>
        <v>0.126270578850392</v>
      </c>
      <c r="K814">
        <f t="shared" si="227"/>
        <v>2.1883027356134122</v>
      </c>
      <c r="O814">
        <f t="shared" si="228"/>
        <v>-7.2917025548657227E-2</v>
      </c>
      <c r="P814">
        <f t="shared" si="229"/>
        <v>0.10267817008757246</v>
      </c>
      <c r="Q814">
        <f t="shared" si="230"/>
        <v>0.99203845730526197</v>
      </c>
      <c r="R814">
        <f t="shared" si="220"/>
        <v>1</v>
      </c>
      <c r="AG814" s="8">
        <f t="shared" si="223"/>
        <v>-0.53856100579404931</v>
      </c>
      <c r="AH814" s="8">
        <f t="shared" si="224"/>
        <v>0.51526778372814119</v>
      </c>
      <c r="AI814" s="8">
        <f t="shared" si="225"/>
        <v>0.66667169888183464</v>
      </c>
      <c r="AJ814" s="8"/>
      <c r="AK814" s="8"/>
      <c r="AL814" s="8"/>
      <c r="AN814" s="8">
        <f t="shared" si="231"/>
        <v>1</v>
      </c>
      <c r="AO814" s="8">
        <f t="shared" si="232"/>
        <v>2.3782943132570704</v>
      </c>
      <c r="AP814" s="8">
        <f t="shared" si="233"/>
        <v>0.84106191912242945</v>
      </c>
      <c r="AQ814" s="8"/>
      <c r="AR814" s="8">
        <f t="shared" si="234"/>
        <v>136.26622658959465</v>
      </c>
      <c r="AS814" s="8">
        <f t="shared" si="235"/>
        <v>41.810701725111407</v>
      </c>
    </row>
    <row r="815" spans="1:45">
      <c r="A815" s="19">
        <v>26.126100000000001</v>
      </c>
      <c r="B815" s="19">
        <v>847.69342989999996</v>
      </c>
      <c r="C815" s="19">
        <v>-382.4140994</v>
      </c>
      <c r="E815" s="9">
        <f t="shared" si="221"/>
        <v>-112.30657010000004</v>
      </c>
      <c r="F815" s="9">
        <f t="shared" si="226"/>
        <v>157.5859006</v>
      </c>
      <c r="I815">
        <v>1</v>
      </c>
      <c r="J815">
        <f t="shared" si="222"/>
        <v>0.12648225159740459</v>
      </c>
      <c r="K815">
        <f t="shared" si="227"/>
        <v>2.1899743992106488</v>
      </c>
      <c r="O815">
        <f t="shared" si="228"/>
        <v>-7.3210434919539949E-2</v>
      </c>
      <c r="P815">
        <f t="shared" si="229"/>
        <v>0.10272713617592164</v>
      </c>
      <c r="Q815">
        <f t="shared" si="230"/>
        <v>0.99201177801071772</v>
      </c>
      <c r="R815">
        <f t="shared" si="220"/>
        <v>1</v>
      </c>
      <c r="AG815" s="8">
        <f t="shared" si="223"/>
        <v>-0.53837566701036044</v>
      </c>
      <c r="AH815" s="8">
        <f t="shared" si="224"/>
        <v>0.51550006710993779</v>
      </c>
      <c r="AI815" s="8">
        <f t="shared" si="225"/>
        <v>0.66664182435607744</v>
      </c>
      <c r="AJ815" s="8"/>
      <c r="AK815" s="8"/>
      <c r="AL815" s="8"/>
      <c r="AN815" s="8">
        <f t="shared" si="231"/>
        <v>1</v>
      </c>
      <c r="AO815" s="8">
        <f t="shared" si="232"/>
        <v>2.3778972465083963</v>
      </c>
      <c r="AP815" s="8">
        <f t="shared" si="233"/>
        <v>0.84110199952828002</v>
      </c>
      <c r="AQ815" s="8"/>
      <c r="AR815" s="8">
        <f t="shared" si="234"/>
        <v>136.24347634071063</v>
      </c>
      <c r="AS815" s="8">
        <f t="shared" si="235"/>
        <v>41.808405287014999</v>
      </c>
    </row>
    <row r="816" spans="1:45">
      <c r="A816" s="19">
        <v>26.15946667</v>
      </c>
      <c r="B816" s="19">
        <v>847.24583510000002</v>
      </c>
      <c r="C816" s="19">
        <v>-382.20419029999999</v>
      </c>
      <c r="E816" s="9">
        <f t="shared" si="221"/>
        <v>-112.75416489999998</v>
      </c>
      <c r="F816" s="9">
        <f t="shared" si="226"/>
        <v>157.79580970000001</v>
      </c>
      <c r="I816">
        <v>1</v>
      </c>
      <c r="J816">
        <f t="shared" si="222"/>
        <v>0.12676365724917688</v>
      </c>
      <c r="K816">
        <f t="shared" si="227"/>
        <v>2.1912256954924558</v>
      </c>
      <c r="O816">
        <f t="shared" si="228"/>
        <v>-7.3501214738256021E-2</v>
      </c>
      <c r="P816">
        <f t="shared" si="229"/>
        <v>0.10286257455627426</v>
      </c>
      <c r="Q816">
        <f t="shared" si="230"/>
        <v>0.99197624073747637</v>
      </c>
      <c r="R816">
        <f t="shared" si="220"/>
        <v>1</v>
      </c>
      <c r="AG816" s="8">
        <f t="shared" si="223"/>
        <v>-0.53813352099713796</v>
      </c>
      <c r="AH816" s="8">
        <f t="shared" si="224"/>
        <v>0.51571095783448462</v>
      </c>
      <c r="AI816" s="8">
        <f t="shared" si="225"/>
        <v>0.66667422445198932</v>
      </c>
      <c r="AJ816" s="8"/>
      <c r="AK816" s="8"/>
      <c r="AL816" s="8"/>
      <c r="AN816" s="8">
        <f t="shared" si="231"/>
        <v>1.0000000000000002</v>
      </c>
      <c r="AO816" s="8">
        <f t="shared" si="232"/>
        <v>2.3774681988966999</v>
      </c>
      <c r="AP816" s="8">
        <f t="shared" si="233"/>
        <v>0.84105853068890446</v>
      </c>
      <c r="AQ816" s="8"/>
      <c r="AR816" s="8">
        <f t="shared" si="234"/>
        <v>136.21889372335028</v>
      </c>
      <c r="AS816" s="8">
        <f t="shared" si="235"/>
        <v>41.810895868051546</v>
      </c>
    </row>
    <row r="817" spans="1:45">
      <c r="A817" s="19">
        <v>26.192833329999999</v>
      </c>
      <c r="B817" s="19">
        <v>846.54238999999995</v>
      </c>
      <c r="C817" s="19">
        <v>-382.19577290000001</v>
      </c>
      <c r="E817" s="9">
        <f t="shared" si="221"/>
        <v>-113.45761000000005</v>
      </c>
      <c r="F817" s="9">
        <f t="shared" si="226"/>
        <v>157.80422709999999</v>
      </c>
      <c r="I817">
        <v>1</v>
      </c>
      <c r="J817">
        <f t="shared" si="222"/>
        <v>0.12703576733369315</v>
      </c>
      <c r="K817">
        <f t="shared" si="227"/>
        <v>2.1941453182689759</v>
      </c>
      <c r="O817">
        <f t="shared" si="228"/>
        <v>-7.3958790000526034E-2</v>
      </c>
      <c r="P817">
        <f t="shared" si="229"/>
        <v>0.10286669790844545</v>
      </c>
      <c r="Q817">
        <f t="shared" si="230"/>
        <v>0.99194180264926368</v>
      </c>
      <c r="R817">
        <f t="shared" si="220"/>
        <v>1</v>
      </c>
      <c r="AG817" s="8">
        <f t="shared" si="223"/>
        <v>-0.53789282984295628</v>
      </c>
      <c r="AH817" s="8">
        <f t="shared" si="224"/>
        <v>0.51608907137166016</v>
      </c>
      <c r="AI817" s="8">
        <f t="shared" si="225"/>
        <v>0.66657585765933203</v>
      </c>
      <c r="AJ817" s="8"/>
      <c r="AK817" s="8"/>
      <c r="AL817" s="8"/>
      <c r="AN817" s="8">
        <f t="shared" si="231"/>
        <v>1</v>
      </c>
      <c r="AO817" s="8">
        <f t="shared" si="232"/>
        <v>2.3768785730159365</v>
      </c>
      <c r="AP817" s="8">
        <f t="shared" si="233"/>
        <v>0.84119049699885251</v>
      </c>
      <c r="AQ817" s="8"/>
      <c r="AR817" s="8">
        <f t="shared" si="234"/>
        <v>136.18511064889086</v>
      </c>
      <c r="AS817" s="8">
        <f t="shared" si="235"/>
        <v>41.803334755453612</v>
      </c>
    </row>
    <row r="818" spans="1:45">
      <c r="A818" s="19">
        <v>26.226199999999999</v>
      </c>
      <c r="B818" s="19">
        <v>845.72933309999996</v>
      </c>
      <c r="C818" s="19">
        <v>-381.95832489999998</v>
      </c>
      <c r="E818" s="9">
        <f t="shared" si="221"/>
        <v>-114.27066690000004</v>
      </c>
      <c r="F818" s="9">
        <f t="shared" si="226"/>
        <v>158.04167510000002</v>
      </c>
      <c r="I818">
        <v>1</v>
      </c>
      <c r="J818">
        <f t="shared" si="222"/>
        <v>0.12747208110376718</v>
      </c>
      <c r="K818">
        <f t="shared" si="227"/>
        <v>2.1968194924418376</v>
      </c>
      <c r="O818">
        <f t="shared" si="228"/>
        <v>-7.4487189451647104E-2</v>
      </c>
      <c r="P818">
        <f t="shared" si="229"/>
        <v>0.10301926569424227</v>
      </c>
      <c r="Q818">
        <f t="shared" si="230"/>
        <v>0.9918864297405291</v>
      </c>
      <c r="R818">
        <f t="shared" si="220"/>
        <v>1</v>
      </c>
      <c r="AG818" s="8">
        <f t="shared" si="223"/>
        <v>-0.53751536416429735</v>
      </c>
      <c r="AH818" s="8">
        <f t="shared" si="224"/>
        <v>0.51649280538989373</v>
      </c>
      <c r="AI818" s="8">
        <f t="shared" si="225"/>
        <v>0.66656763742909109</v>
      </c>
      <c r="AJ818" s="8"/>
      <c r="AK818" s="8"/>
      <c r="AL818" s="8"/>
      <c r="AN818" s="8">
        <f t="shared" si="231"/>
        <v>1</v>
      </c>
      <c r="AO818" s="8">
        <f t="shared" si="232"/>
        <v>2.3761371930453885</v>
      </c>
      <c r="AP818" s="8">
        <f t="shared" si="233"/>
        <v>0.84120152433913264</v>
      </c>
      <c r="AQ818" s="8"/>
      <c r="AR818" s="8">
        <f t="shared" si="234"/>
        <v>136.1426327055629</v>
      </c>
      <c r="AS818" s="8">
        <f t="shared" si="235"/>
        <v>41.802702935396304</v>
      </c>
    </row>
    <row r="819" spans="1:45">
      <c r="A819" s="19">
        <v>26.259566670000002</v>
      </c>
      <c r="B819" s="19">
        <v>845.1191781</v>
      </c>
      <c r="C819" s="19">
        <v>-381.8658676</v>
      </c>
      <c r="E819" s="9">
        <f t="shared" si="221"/>
        <v>-114.8808219</v>
      </c>
      <c r="F819" s="9">
        <f t="shared" si="226"/>
        <v>158.1341324</v>
      </c>
      <c r="I819">
        <v>1</v>
      </c>
      <c r="J819">
        <f t="shared" si="222"/>
        <v>0.12775478574447804</v>
      </c>
      <c r="K819">
        <f t="shared" si="227"/>
        <v>2.19907201636798</v>
      </c>
      <c r="O819">
        <f t="shared" si="228"/>
        <v>-7.4883862330062972E-2</v>
      </c>
      <c r="P819">
        <f t="shared" si="229"/>
        <v>0.10307808043568284</v>
      </c>
      <c r="Q819">
        <f t="shared" si="230"/>
        <v>0.99185045067098043</v>
      </c>
      <c r="R819">
        <f t="shared" si="220"/>
        <v>1</v>
      </c>
      <c r="AG819" s="8">
        <f t="shared" si="223"/>
        <v>-0.5372693271174126</v>
      </c>
      <c r="AH819" s="8">
        <f t="shared" si="224"/>
        <v>0.51680815652939271</v>
      </c>
      <c r="AI819" s="8">
        <f t="shared" si="225"/>
        <v>0.66652156715555222</v>
      </c>
      <c r="AJ819" s="8"/>
      <c r="AK819" s="8"/>
      <c r="AL819" s="8"/>
      <c r="AN819" s="8">
        <f t="shared" si="231"/>
        <v>1</v>
      </c>
      <c r="AO819" s="8">
        <f t="shared" si="232"/>
        <v>2.3756035009470162</v>
      </c>
      <c r="AP819" s="8">
        <f t="shared" si="233"/>
        <v>0.84126332504628509</v>
      </c>
      <c r="AQ819" s="8"/>
      <c r="AR819" s="8">
        <f t="shared" si="234"/>
        <v>136.11205440076668</v>
      </c>
      <c r="AS819" s="8">
        <f t="shared" si="235"/>
        <v>41.799162015705541</v>
      </c>
    </row>
    <row r="820" spans="1:45">
      <c r="A820" s="19">
        <v>26.29293333</v>
      </c>
      <c r="B820" s="19">
        <v>844.5625526</v>
      </c>
      <c r="C820" s="19">
        <v>-381.75947209999998</v>
      </c>
      <c r="E820" s="9">
        <f t="shared" si="221"/>
        <v>-115.4374474</v>
      </c>
      <c r="F820" s="9">
        <f t="shared" si="226"/>
        <v>158.24052790000002</v>
      </c>
      <c r="I820">
        <v>1</v>
      </c>
      <c r="J820">
        <f t="shared" si="222"/>
        <v>0.12802486957826831</v>
      </c>
      <c r="K820">
        <f t="shared" si="227"/>
        <v>2.2010518787071462</v>
      </c>
      <c r="O820">
        <f t="shared" si="228"/>
        <v>-7.5245670140504234E-2</v>
      </c>
      <c r="P820">
        <f t="shared" si="229"/>
        <v>0.10314603132174471</v>
      </c>
      <c r="Q820">
        <f t="shared" si="230"/>
        <v>0.99181600377674894</v>
      </c>
      <c r="R820">
        <f t="shared" si="220"/>
        <v>1</v>
      </c>
      <c r="AG820" s="8">
        <f t="shared" si="223"/>
        <v>-0.53703520628474322</v>
      </c>
      <c r="AH820" s="8">
        <f t="shared" si="224"/>
        <v>0.51709254878195487</v>
      </c>
      <c r="AI820" s="8">
        <f t="shared" si="225"/>
        <v>0.66648967224172739</v>
      </c>
      <c r="AJ820" s="8"/>
      <c r="AK820" s="8"/>
      <c r="AL820" s="8"/>
      <c r="AN820" s="8">
        <f t="shared" si="231"/>
        <v>1.0000000000000002</v>
      </c>
      <c r="AO820" s="8">
        <f t="shared" si="232"/>
        <v>2.3751108678902471</v>
      </c>
      <c r="AP820" s="8">
        <f t="shared" si="233"/>
        <v>0.84130610829722741</v>
      </c>
      <c r="AQ820" s="8"/>
      <c r="AR820" s="8">
        <f t="shared" si="234"/>
        <v>136.08382860576521</v>
      </c>
      <c r="AS820" s="8">
        <f t="shared" si="235"/>
        <v>41.796710715992702</v>
      </c>
    </row>
    <row r="821" spans="1:45">
      <c r="A821" s="19">
        <v>26.3263</v>
      </c>
      <c r="B821" s="19">
        <v>843.85087429999999</v>
      </c>
      <c r="C821" s="19">
        <v>-381.70259570000002</v>
      </c>
      <c r="E821" s="9">
        <f t="shared" si="221"/>
        <v>-116.14912570000001</v>
      </c>
      <c r="F821" s="9">
        <f t="shared" si="226"/>
        <v>158.29740429999998</v>
      </c>
      <c r="I821">
        <v>1</v>
      </c>
      <c r="J821">
        <f t="shared" si="222"/>
        <v>0.12832922218038617</v>
      </c>
      <c r="K821">
        <f t="shared" si="227"/>
        <v>2.2038095132099498</v>
      </c>
      <c r="O821">
        <f t="shared" si="228"/>
        <v>-7.5708393661379075E-2</v>
      </c>
      <c r="P821">
        <f t="shared" si="229"/>
        <v>0.10318151021879692</v>
      </c>
      <c r="Q821">
        <f t="shared" si="230"/>
        <v>0.99177709949271464</v>
      </c>
      <c r="R821">
        <f t="shared" si="220"/>
        <v>1</v>
      </c>
      <c r="AG821" s="8">
        <f t="shared" si="223"/>
        <v>-0.5367702310395297</v>
      </c>
      <c r="AH821" s="8">
        <f t="shared" si="224"/>
        <v>0.51746758013384597</v>
      </c>
      <c r="AI821" s="8">
        <f t="shared" si="225"/>
        <v>0.6664120516468709</v>
      </c>
      <c r="AJ821" s="8"/>
      <c r="AK821" s="8"/>
      <c r="AL821" s="8"/>
      <c r="AN821" s="8">
        <f t="shared" si="231"/>
        <v>1</v>
      </c>
      <c r="AO821" s="8">
        <f t="shared" si="232"/>
        <v>2.374502023960825</v>
      </c>
      <c r="AP821" s="8">
        <f t="shared" si="233"/>
        <v>0.84141022029973755</v>
      </c>
      <c r="AQ821" s="8"/>
      <c r="AR821" s="8">
        <f t="shared" si="234"/>
        <v>136.04894441822714</v>
      </c>
      <c r="AS821" s="8">
        <f t="shared" si="235"/>
        <v>41.790745537652214</v>
      </c>
    </row>
    <row r="822" spans="1:45">
      <c r="A822" s="19">
        <v>26.359666669999999</v>
      </c>
      <c r="B822" s="19">
        <v>843.24690109999995</v>
      </c>
      <c r="C822" s="19">
        <v>-381.69186919999999</v>
      </c>
      <c r="E822" s="9">
        <f t="shared" si="221"/>
        <v>-116.75309890000005</v>
      </c>
      <c r="F822" s="9">
        <f t="shared" si="226"/>
        <v>158.30813080000001</v>
      </c>
      <c r="I822">
        <v>1</v>
      </c>
      <c r="J822">
        <f t="shared" si="222"/>
        <v>0.12856853499150719</v>
      </c>
      <c r="K822">
        <f t="shared" si="227"/>
        <v>2.20625280729391</v>
      </c>
      <c r="O822">
        <f t="shared" si="228"/>
        <v>-7.6101142936277358E-2</v>
      </c>
      <c r="P822">
        <f t="shared" si="229"/>
        <v>0.10318723702832432</v>
      </c>
      <c r="Q822">
        <f t="shared" si="230"/>
        <v>0.99174644448984672</v>
      </c>
      <c r="R822">
        <f t="shared" si="220"/>
        <v>1</v>
      </c>
      <c r="AG822" s="8">
        <f t="shared" si="223"/>
        <v>-0.53656161253431589</v>
      </c>
      <c r="AH822" s="8">
        <f t="shared" si="224"/>
        <v>0.51779122845977932</v>
      </c>
      <c r="AI822" s="8">
        <f t="shared" si="225"/>
        <v>0.66632865740915503</v>
      </c>
      <c r="AJ822" s="8"/>
      <c r="AK822" s="8"/>
      <c r="AL822" s="8"/>
      <c r="AN822" s="8">
        <f t="shared" si="231"/>
        <v>0.99999999999999978</v>
      </c>
      <c r="AO822" s="8">
        <f t="shared" si="232"/>
        <v>2.3739953635864746</v>
      </c>
      <c r="AP822" s="8">
        <f t="shared" si="233"/>
        <v>0.8415220656571526</v>
      </c>
      <c r="AQ822" s="8"/>
      <c r="AR822" s="8">
        <f t="shared" si="234"/>
        <v>136.01991491713034</v>
      </c>
      <c r="AS822" s="8">
        <f t="shared" si="235"/>
        <v>41.784337270714197</v>
      </c>
    </row>
    <row r="823" spans="1:45">
      <c r="A823" s="19">
        <v>26.393033330000002</v>
      </c>
      <c r="B823" s="19">
        <v>842.54891910000003</v>
      </c>
      <c r="C823" s="19">
        <v>-381.571617</v>
      </c>
      <c r="E823" s="9">
        <f t="shared" si="221"/>
        <v>-117.45108089999997</v>
      </c>
      <c r="F823" s="9">
        <f t="shared" si="226"/>
        <v>158.428383</v>
      </c>
      <c r="I823">
        <v>1</v>
      </c>
      <c r="J823">
        <f t="shared" si="222"/>
        <v>0.12890259434686777</v>
      </c>
      <c r="K823">
        <f t="shared" si="227"/>
        <v>2.2087392227982754</v>
      </c>
      <c r="O823">
        <f t="shared" si="228"/>
        <v>-7.655477460058277E-2</v>
      </c>
      <c r="P823">
        <f t="shared" si="229"/>
        <v>0.10326383595589206</v>
      </c>
      <c r="Q823">
        <f t="shared" si="230"/>
        <v>0.99170355785866204</v>
      </c>
      <c r="R823">
        <f t="shared" si="220"/>
        <v>1</v>
      </c>
      <c r="AG823" s="8">
        <f t="shared" si="223"/>
        <v>-0.53627347505015655</v>
      </c>
      <c r="AH823" s="8">
        <f t="shared" si="224"/>
        <v>0.5181494243957393</v>
      </c>
      <c r="AI823" s="8">
        <f t="shared" si="225"/>
        <v>0.66628217292374958</v>
      </c>
      <c r="AJ823" s="8"/>
      <c r="AK823" s="8"/>
      <c r="AL823" s="8"/>
      <c r="AN823" s="8">
        <f t="shared" si="231"/>
        <v>1.0000000000000002</v>
      </c>
      <c r="AO823" s="8">
        <f t="shared" si="232"/>
        <v>2.3733813950634115</v>
      </c>
      <c r="AP823" s="8">
        <f t="shared" si="233"/>
        <v>0.84158440412808078</v>
      </c>
      <c r="AQ823" s="8"/>
      <c r="AR823" s="8">
        <f t="shared" si="234"/>
        <v>135.98473711200495</v>
      </c>
      <c r="AS823" s="8">
        <f t="shared" si="235"/>
        <v>41.780765539428714</v>
      </c>
    </row>
    <row r="824" spans="1:45">
      <c r="A824" s="19">
        <v>26.426400000000001</v>
      </c>
      <c r="B824" s="19">
        <v>842.03636359999996</v>
      </c>
      <c r="C824" s="19">
        <v>-381.47955719999999</v>
      </c>
      <c r="E824" s="9">
        <f t="shared" si="221"/>
        <v>-117.96363640000004</v>
      </c>
      <c r="F824" s="9">
        <f t="shared" si="226"/>
        <v>158.52044280000001</v>
      </c>
      <c r="I824">
        <v>1</v>
      </c>
      <c r="J824">
        <f t="shared" si="222"/>
        <v>0.12915036491173526</v>
      </c>
      <c r="K824">
        <f t="shared" si="227"/>
        <v>2.2105455449939857</v>
      </c>
      <c r="O824">
        <f t="shared" si="228"/>
        <v>-7.6887865427561916E-2</v>
      </c>
      <c r="P824">
        <f t="shared" si="229"/>
        <v>0.10332250552360832</v>
      </c>
      <c r="Q824">
        <f t="shared" si="230"/>
        <v>0.99167167752352248</v>
      </c>
      <c r="R824">
        <f t="shared" si="220"/>
        <v>1</v>
      </c>
      <c r="AG824" s="8">
        <f t="shared" si="223"/>
        <v>-0.5360601843410594</v>
      </c>
      <c r="AH824" s="8">
        <f t="shared" si="224"/>
        <v>0.51841183589683926</v>
      </c>
      <c r="AI824" s="8">
        <f t="shared" si="225"/>
        <v>0.66624968830484121</v>
      </c>
      <c r="AJ824" s="8"/>
      <c r="AK824" s="8"/>
      <c r="AL824" s="8"/>
      <c r="AN824" s="8">
        <f t="shared" si="231"/>
        <v>1</v>
      </c>
      <c r="AO824" s="8">
        <f t="shared" si="232"/>
        <v>2.3729295960277366</v>
      </c>
      <c r="AP824" s="8">
        <f t="shared" si="233"/>
        <v>0.84162796588096322</v>
      </c>
      <c r="AQ824" s="8"/>
      <c r="AR824" s="8">
        <f t="shared" si="234"/>
        <v>135.9588509340727</v>
      </c>
      <c r="AS824" s="8">
        <f t="shared" si="235"/>
        <v>41.778269634840356</v>
      </c>
    </row>
    <row r="825" spans="1:45">
      <c r="A825" s="19">
        <v>26.45976667</v>
      </c>
      <c r="B825" s="19">
        <v>841.50895109999999</v>
      </c>
      <c r="C825" s="19">
        <v>-381.30760220000002</v>
      </c>
      <c r="E825" s="9">
        <f t="shared" si="221"/>
        <v>-118.49104890000001</v>
      </c>
      <c r="F825" s="9">
        <f t="shared" si="226"/>
        <v>158.69239779999998</v>
      </c>
      <c r="I825">
        <v>1</v>
      </c>
      <c r="J825">
        <f t="shared" si="222"/>
        <v>0.129446134885874</v>
      </c>
      <c r="K825">
        <f t="shared" si="227"/>
        <v>2.2121636208050126</v>
      </c>
      <c r="O825">
        <f t="shared" si="228"/>
        <v>-7.7230427909729157E-2</v>
      </c>
      <c r="P825">
        <f t="shared" si="229"/>
        <v>0.10343297575547888</v>
      </c>
      <c r="Q825">
        <f t="shared" si="230"/>
        <v>0.99163354145129978</v>
      </c>
      <c r="R825">
        <f t="shared" si="220"/>
        <v>1</v>
      </c>
      <c r="AG825" s="8">
        <f t="shared" si="223"/>
        <v>-0.5358070375524514</v>
      </c>
      <c r="AH825" s="8">
        <f t="shared" si="224"/>
        <v>0.51867052202508934</v>
      </c>
      <c r="AI825" s="8">
        <f t="shared" si="225"/>
        <v>0.66625198543155373</v>
      </c>
      <c r="AJ825" s="8"/>
      <c r="AK825" s="8"/>
      <c r="AL825" s="8"/>
      <c r="AN825" s="8">
        <f t="shared" si="231"/>
        <v>1</v>
      </c>
      <c r="AO825" s="8">
        <f t="shared" si="232"/>
        <v>2.3724442501036589</v>
      </c>
      <c r="AP825" s="8">
        <f t="shared" si="233"/>
        <v>0.84162488549830927</v>
      </c>
      <c r="AQ825" s="8"/>
      <c r="AR825" s="8">
        <f t="shared" si="234"/>
        <v>135.93104266101918</v>
      </c>
      <c r="AS825" s="8">
        <f t="shared" si="235"/>
        <v>41.778446127765719</v>
      </c>
    </row>
    <row r="826" spans="1:45">
      <c r="A826" s="19">
        <v>26.493133329999999</v>
      </c>
      <c r="B826" s="19">
        <v>840.78087500000004</v>
      </c>
      <c r="C826" s="19">
        <v>-380.95712939999999</v>
      </c>
      <c r="E826" s="9">
        <f t="shared" si="221"/>
        <v>-119.21912499999996</v>
      </c>
      <c r="F826" s="9">
        <f t="shared" si="226"/>
        <v>159.04287060000001</v>
      </c>
      <c r="I826">
        <v>1</v>
      </c>
      <c r="J826">
        <f t="shared" si="222"/>
        <v>0.12991402338751229</v>
      </c>
      <c r="K826">
        <f t="shared" si="227"/>
        <v>2.2140437583149613</v>
      </c>
      <c r="O826">
        <f t="shared" si="228"/>
        <v>-7.7703041216509117E-2</v>
      </c>
      <c r="P826">
        <f t="shared" si="229"/>
        <v>0.10365882763712395</v>
      </c>
      <c r="Q826">
        <f t="shared" si="230"/>
        <v>0.99157303555441767</v>
      </c>
      <c r="R826">
        <f t="shared" si="220"/>
        <v>1</v>
      </c>
      <c r="AG826" s="8">
        <f t="shared" si="223"/>
        <v>-0.53540824740417536</v>
      </c>
      <c r="AH826" s="8">
        <f t="shared" si="224"/>
        <v>0.51901100084922858</v>
      </c>
      <c r="AI826" s="8">
        <f t="shared" si="225"/>
        <v>0.66630742875122695</v>
      </c>
      <c r="AJ826" s="8"/>
      <c r="AK826" s="8"/>
      <c r="AL826" s="8"/>
      <c r="AN826" s="8">
        <f t="shared" si="231"/>
        <v>1</v>
      </c>
      <c r="AO826" s="8">
        <f t="shared" si="232"/>
        <v>2.3717442110235218</v>
      </c>
      <c r="AP826" s="8">
        <f t="shared" si="233"/>
        <v>0.84155053498598265</v>
      </c>
      <c r="AQ826" s="8"/>
      <c r="AR826" s="8">
        <f t="shared" si="234"/>
        <v>135.89093337623311</v>
      </c>
      <c r="AS826" s="8">
        <f t="shared" si="235"/>
        <v>41.78270609832667</v>
      </c>
    </row>
    <row r="827" spans="1:45">
      <c r="A827" s="19">
        <v>26.526499999999999</v>
      </c>
      <c r="B827" s="19">
        <v>840.25238100000001</v>
      </c>
      <c r="C827" s="19">
        <v>-380.82594820000003</v>
      </c>
      <c r="E827" s="9">
        <f t="shared" si="221"/>
        <v>-119.74761899999999</v>
      </c>
      <c r="F827" s="9">
        <f t="shared" si="226"/>
        <v>159.17405179999997</v>
      </c>
      <c r="I827">
        <v>1</v>
      </c>
      <c r="J827">
        <f t="shared" si="222"/>
        <v>0.13018963548002063</v>
      </c>
      <c r="K827">
        <f t="shared" si="227"/>
        <v>2.2157717421887977</v>
      </c>
      <c r="O827">
        <f t="shared" si="228"/>
        <v>-7.8046338805197096E-2</v>
      </c>
      <c r="P827">
        <f t="shared" si="229"/>
        <v>0.10374278903849272</v>
      </c>
      <c r="Q827">
        <f t="shared" si="230"/>
        <v>0.99153729265298907</v>
      </c>
      <c r="R827">
        <f t="shared" si="220"/>
        <v>1</v>
      </c>
      <c r="AG827" s="8">
        <f t="shared" si="223"/>
        <v>-0.53517234252486556</v>
      </c>
      <c r="AH827" s="8">
        <f t="shared" si="224"/>
        <v>0.51927603105173514</v>
      </c>
      <c r="AI827" s="8">
        <f t="shared" si="225"/>
        <v>0.66629045270933129</v>
      </c>
      <c r="AJ827" s="8"/>
      <c r="AK827" s="8"/>
      <c r="AL827" s="8"/>
      <c r="AN827" s="8">
        <f t="shared" si="231"/>
        <v>1.0000000000000004</v>
      </c>
      <c r="AO827" s="8">
        <f t="shared" si="232"/>
        <v>2.3712688245875966</v>
      </c>
      <c r="AP827" s="8">
        <f t="shared" si="233"/>
        <v>0.84157330069531999</v>
      </c>
      <c r="AQ827" s="8"/>
      <c r="AR827" s="8">
        <f t="shared" si="234"/>
        <v>135.86369573981682</v>
      </c>
      <c r="AS827" s="8">
        <f t="shared" si="235"/>
        <v>41.781401719264018</v>
      </c>
    </row>
    <row r="828" spans="1:45">
      <c r="A828" s="19">
        <v>26.559866670000002</v>
      </c>
      <c r="B828" s="19">
        <v>839.54422950000003</v>
      </c>
      <c r="C828" s="19">
        <v>-380.73118099999999</v>
      </c>
      <c r="E828" s="9">
        <f t="shared" si="221"/>
        <v>-120.45577049999997</v>
      </c>
      <c r="F828" s="9">
        <f t="shared" si="226"/>
        <v>159.26881900000001</v>
      </c>
      <c r="I828">
        <v>1</v>
      </c>
      <c r="J828">
        <f t="shared" si="222"/>
        <v>0.13051735068650544</v>
      </c>
      <c r="K828">
        <f t="shared" si="227"/>
        <v>2.2183203041863524</v>
      </c>
      <c r="O828">
        <f t="shared" si="228"/>
        <v>-7.8506485065480344E-2</v>
      </c>
      <c r="P828">
        <f t="shared" si="229"/>
        <v>0.10380270790115609</v>
      </c>
      <c r="Q828">
        <f t="shared" si="230"/>
        <v>0.9914946947084744</v>
      </c>
      <c r="R828">
        <f t="shared" si="220"/>
        <v>1</v>
      </c>
      <c r="AG828" s="8">
        <f t="shared" si="223"/>
        <v>-0.53489141598657586</v>
      </c>
      <c r="AH828" s="8">
        <f t="shared" si="224"/>
        <v>0.51964286844614282</v>
      </c>
      <c r="AI828" s="8">
        <f t="shared" si="225"/>
        <v>0.66623003713202589</v>
      </c>
      <c r="AJ828" s="8"/>
      <c r="AK828" s="8"/>
      <c r="AL828" s="8"/>
      <c r="AN828" s="8">
        <f t="shared" si="231"/>
        <v>1</v>
      </c>
      <c r="AO828" s="8">
        <f t="shared" si="232"/>
        <v>2.3706534652302373</v>
      </c>
      <c r="AP828" s="8">
        <f t="shared" si="233"/>
        <v>0.84165431720746953</v>
      </c>
      <c r="AQ828" s="8"/>
      <c r="AR828" s="8">
        <f t="shared" si="234"/>
        <v>135.82843824575625</v>
      </c>
      <c r="AS828" s="8">
        <f t="shared" si="235"/>
        <v>41.776759815046979</v>
      </c>
    </row>
    <row r="829" spans="1:45">
      <c r="A829" s="19">
        <v>26.59323333</v>
      </c>
      <c r="B829" s="19">
        <v>838.70455360000005</v>
      </c>
      <c r="C829" s="19">
        <v>-380.55876139999998</v>
      </c>
      <c r="E829" s="9">
        <f t="shared" si="221"/>
        <v>-121.29544639999995</v>
      </c>
      <c r="F829" s="9">
        <f t="shared" si="226"/>
        <v>159.44123860000002</v>
      </c>
      <c r="I829">
        <v>1</v>
      </c>
      <c r="J829">
        <f t="shared" si="222"/>
        <v>0.13093818561208287</v>
      </c>
      <c r="K829">
        <f t="shared" si="227"/>
        <v>2.2211440923860462</v>
      </c>
      <c r="O829">
        <f t="shared" si="228"/>
        <v>-7.905191447251006E-2</v>
      </c>
      <c r="P829">
        <f t="shared" si="229"/>
        <v>0.10391268206090111</v>
      </c>
      <c r="Q829">
        <f t="shared" si="230"/>
        <v>0.99143983646267764</v>
      </c>
      <c r="R829">
        <f t="shared" si="220"/>
        <v>1</v>
      </c>
      <c r="AG829" s="8">
        <f t="shared" si="223"/>
        <v>-0.53453203509375902</v>
      </c>
      <c r="AH829" s="8">
        <f t="shared" si="224"/>
        <v>0.52006890424500307</v>
      </c>
      <c r="AI829" s="8">
        <f t="shared" si="225"/>
        <v>0.66618603880292038</v>
      </c>
      <c r="AJ829" s="8"/>
      <c r="AK829" s="8"/>
      <c r="AL829" s="8"/>
      <c r="AN829" s="8">
        <f t="shared" si="231"/>
        <v>1</v>
      </c>
      <c r="AO829" s="8">
        <f t="shared" si="232"/>
        <v>2.3699079467784334</v>
      </c>
      <c r="AP829" s="8">
        <f t="shared" si="233"/>
        <v>0.84171331471091881</v>
      </c>
      <c r="AQ829" s="8"/>
      <c r="AR829" s="8">
        <f t="shared" si="234"/>
        <v>135.78572318491877</v>
      </c>
      <c r="AS829" s="8">
        <f t="shared" si="235"/>
        <v>41.773379507097523</v>
      </c>
    </row>
    <row r="830" spans="1:45">
      <c r="A830" s="19">
        <v>26.6266</v>
      </c>
      <c r="B830" s="19">
        <v>838.06465419999995</v>
      </c>
      <c r="C830" s="19">
        <v>-380.40380709999999</v>
      </c>
      <c r="E830" s="9">
        <f t="shared" si="221"/>
        <v>-121.93534580000005</v>
      </c>
      <c r="F830" s="9">
        <f t="shared" si="226"/>
        <v>159.59619290000001</v>
      </c>
      <c r="I830">
        <v>1</v>
      </c>
      <c r="J830">
        <f t="shared" si="222"/>
        <v>0.13127178387194538</v>
      </c>
      <c r="K830">
        <f t="shared" si="227"/>
        <v>2.2232126409716852</v>
      </c>
      <c r="O830">
        <f t="shared" si="228"/>
        <v>-7.9467485764610754E-2</v>
      </c>
      <c r="P830">
        <f t="shared" si="229"/>
        <v>0.10401174576704908</v>
      </c>
      <c r="Q830">
        <f t="shared" si="230"/>
        <v>0.99139622525443483</v>
      </c>
      <c r="R830">
        <f t="shared" si="220"/>
        <v>1</v>
      </c>
      <c r="AG830" s="8">
        <f t="shared" si="223"/>
        <v>-0.53424780482648604</v>
      </c>
      <c r="AH830" s="8">
        <f t="shared" si="224"/>
        <v>0.52039001222505932</v>
      </c>
      <c r="AI830" s="8">
        <f t="shared" si="225"/>
        <v>0.66616328194706409</v>
      </c>
      <c r="AJ830" s="8"/>
      <c r="AK830" s="8"/>
      <c r="AL830" s="8"/>
      <c r="AN830" s="8">
        <f t="shared" si="231"/>
        <v>1</v>
      </c>
      <c r="AO830" s="8">
        <f t="shared" si="232"/>
        <v>2.3693335934150412</v>
      </c>
      <c r="AP830" s="8">
        <f t="shared" si="233"/>
        <v>0.84174382823345706</v>
      </c>
      <c r="AQ830" s="8"/>
      <c r="AR830" s="8">
        <f t="shared" si="234"/>
        <v>135.75281516124724</v>
      </c>
      <c r="AS830" s="8">
        <f t="shared" si="235"/>
        <v>41.771631211038006</v>
      </c>
    </row>
    <row r="831" spans="1:45">
      <c r="A831" s="19">
        <v>26.659966669999999</v>
      </c>
      <c r="B831" s="19">
        <v>837.56407409999997</v>
      </c>
      <c r="C831" s="19">
        <v>-380.37324990000002</v>
      </c>
      <c r="E831" s="9">
        <f t="shared" si="221"/>
        <v>-122.43592590000003</v>
      </c>
      <c r="F831" s="9">
        <f t="shared" si="226"/>
        <v>159.62675009999998</v>
      </c>
      <c r="I831">
        <v>1</v>
      </c>
      <c r="J831">
        <f t="shared" si="222"/>
        <v>0.13148617888215949</v>
      </c>
      <c r="K831">
        <f t="shared" si="227"/>
        <v>2.2250976655551575</v>
      </c>
      <c r="O831">
        <f t="shared" si="228"/>
        <v>-7.9792766571190887E-2</v>
      </c>
      <c r="P831">
        <f t="shared" si="229"/>
        <v>0.10403041358669647</v>
      </c>
      <c r="Q831">
        <f t="shared" si="230"/>
        <v>0.99136813921564793</v>
      </c>
      <c r="R831">
        <f t="shared" si="220"/>
        <v>1</v>
      </c>
      <c r="AG831" s="8">
        <f t="shared" si="223"/>
        <v>-0.53406486245939178</v>
      </c>
      <c r="AH831" s="8">
        <f t="shared" si="224"/>
        <v>0.5206543813157557</v>
      </c>
      <c r="AI831" s="8">
        <f t="shared" si="225"/>
        <v>0.66610339880752656</v>
      </c>
      <c r="AJ831" s="8"/>
      <c r="AK831" s="8"/>
      <c r="AL831" s="8"/>
      <c r="AN831" s="8">
        <f t="shared" si="231"/>
        <v>1</v>
      </c>
      <c r="AO831" s="8">
        <f t="shared" si="232"/>
        <v>2.368908545260648</v>
      </c>
      <c r="AP831" s="8">
        <f t="shared" si="233"/>
        <v>0.84182411854780803</v>
      </c>
      <c r="AQ831" s="8"/>
      <c r="AR831" s="8">
        <f t="shared" si="234"/>
        <v>135.72846169591068</v>
      </c>
      <c r="AS831" s="8">
        <f t="shared" si="235"/>
        <v>41.767030914889915</v>
      </c>
    </row>
    <row r="832" spans="1:45">
      <c r="A832" s="19">
        <v>26.693333330000002</v>
      </c>
      <c r="B832" s="19">
        <v>837.19210469999996</v>
      </c>
      <c r="C832" s="19">
        <v>-380.27193649999998</v>
      </c>
      <c r="E832" s="9">
        <f t="shared" si="221"/>
        <v>-122.80789530000004</v>
      </c>
      <c r="F832" s="9">
        <f t="shared" si="226"/>
        <v>159.72806350000002</v>
      </c>
      <c r="I832">
        <v>1</v>
      </c>
      <c r="J832">
        <f t="shared" si="222"/>
        <v>0.13168644610996616</v>
      </c>
      <c r="K832">
        <f t="shared" si="227"/>
        <v>2.2262565208140828</v>
      </c>
      <c r="O832">
        <f t="shared" si="228"/>
        <v>-8.0034281591344389E-2</v>
      </c>
      <c r="P832">
        <f t="shared" si="229"/>
        <v>0.10409526831292529</v>
      </c>
      <c r="Q832">
        <f t="shared" si="230"/>
        <v>0.99134186277238256</v>
      </c>
      <c r="R832">
        <f t="shared" si="220"/>
        <v>1</v>
      </c>
      <c r="AG832" s="8">
        <f t="shared" si="223"/>
        <v>-0.53389467075250807</v>
      </c>
      <c r="AH832" s="8">
        <f t="shared" si="224"/>
        <v>0.52083929953320141</v>
      </c>
      <c r="AI832" s="8">
        <f t="shared" si="225"/>
        <v>0.66609526691295073</v>
      </c>
      <c r="AJ832" s="8"/>
      <c r="AK832" s="8"/>
      <c r="AL832" s="8"/>
      <c r="AN832" s="8">
        <f t="shared" si="231"/>
        <v>1</v>
      </c>
      <c r="AO832" s="8">
        <f t="shared" si="232"/>
        <v>2.3685717387708176</v>
      </c>
      <c r="AP832" s="8">
        <f t="shared" si="233"/>
        <v>0.84183502121238352</v>
      </c>
      <c r="AQ832" s="8"/>
      <c r="AR832" s="8">
        <f t="shared" si="234"/>
        <v>135.70916410553079</v>
      </c>
      <c r="AS832" s="8">
        <f t="shared" si="235"/>
        <v>41.766406238224292</v>
      </c>
    </row>
    <row r="833" spans="1:45">
      <c r="A833" s="19">
        <v>26.726700000000001</v>
      </c>
      <c r="B833" s="19">
        <v>836.52181900000005</v>
      </c>
      <c r="C833" s="19">
        <v>-379.90904699999999</v>
      </c>
      <c r="E833" s="9">
        <f t="shared" si="221"/>
        <v>-123.47818099999995</v>
      </c>
      <c r="F833" s="9">
        <f t="shared" si="226"/>
        <v>160.09095300000001</v>
      </c>
      <c r="I833">
        <v>1</v>
      </c>
      <c r="J833">
        <f t="shared" si="222"/>
        <v>0.1321408946656466</v>
      </c>
      <c r="K833">
        <f t="shared" si="227"/>
        <v>2.2277907669921282</v>
      </c>
      <c r="O833">
        <f t="shared" si="228"/>
        <v>-8.0469033527396733E-2</v>
      </c>
      <c r="P833">
        <f t="shared" si="229"/>
        <v>0.10432907384981562</v>
      </c>
      <c r="Q833">
        <f t="shared" si="230"/>
        <v>0.99128208850599453</v>
      </c>
      <c r="R833">
        <f t="shared" si="220"/>
        <v>1</v>
      </c>
      <c r="AG833" s="8">
        <f t="shared" si="223"/>
        <v>-0.53350941583656841</v>
      </c>
      <c r="AH833" s="8">
        <f t="shared" si="224"/>
        <v>0.52114605679874182</v>
      </c>
      <c r="AI833" s="8">
        <f t="shared" si="225"/>
        <v>0.66616401185957652</v>
      </c>
      <c r="AJ833" s="8"/>
      <c r="AK833" s="8"/>
      <c r="AL833" s="8"/>
      <c r="AN833" s="8">
        <f t="shared" si="231"/>
        <v>1</v>
      </c>
      <c r="AO833" s="8">
        <f t="shared" si="232"/>
        <v>2.3679166052134852</v>
      </c>
      <c r="AP833" s="8">
        <f t="shared" si="233"/>
        <v>0.84174284954341938</v>
      </c>
      <c r="AQ833" s="8"/>
      <c r="AR833" s="8">
        <f t="shared" si="234"/>
        <v>135.67162771767826</v>
      </c>
      <c r="AS833" s="8">
        <f t="shared" si="235"/>
        <v>41.771687285846617</v>
      </c>
    </row>
    <row r="834" spans="1:45">
      <c r="A834" s="19">
        <v>26.76006667</v>
      </c>
      <c r="B834" s="19">
        <v>835.82317039999998</v>
      </c>
      <c r="C834" s="19">
        <v>-379.63462650000002</v>
      </c>
      <c r="E834" s="9">
        <f t="shared" si="221"/>
        <v>-124.17682960000002</v>
      </c>
      <c r="F834" s="9">
        <f t="shared" si="226"/>
        <v>160.36537349999998</v>
      </c>
      <c r="I834">
        <v>1</v>
      </c>
      <c r="J834">
        <f t="shared" si="222"/>
        <v>0.13256129611379436</v>
      </c>
      <c r="K834">
        <f t="shared" si="227"/>
        <v>2.2296919997456355</v>
      </c>
      <c r="O834">
        <f t="shared" si="228"/>
        <v>-8.0922379093831071E-2</v>
      </c>
      <c r="P834">
        <f t="shared" si="229"/>
        <v>0.10450538630832315</v>
      </c>
      <c r="Q834">
        <f t="shared" si="230"/>
        <v>0.99122661021299385</v>
      </c>
      <c r="R834">
        <f t="shared" si="220"/>
        <v>1</v>
      </c>
      <c r="AG834" s="8">
        <f t="shared" si="223"/>
        <v>-0.53315295306786081</v>
      </c>
      <c r="AH834" s="8">
        <f t="shared" si="224"/>
        <v>0.52148082935889284</v>
      </c>
      <c r="AI834" s="8">
        <f t="shared" si="225"/>
        <v>0.66618741600707276</v>
      </c>
      <c r="AJ834" s="8"/>
      <c r="AK834" s="8"/>
      <c r="AL834" s="8"/>
      <c r="AN834" s="8">
        <f t="shared" si="231"/>
        <v>1</v>
      </c>
      <c r="AO834" s="8">
        <f t="shared" si="232"/>
        <v>2.3672615045155174</v>
      </c>
      <c r="AP834" s="8">
        <f t="shared" si="233"/>
        <v>0.84171146806050401</v>
      </c>
      <c r="AQ834" s="8"/>
      <c r="AR834" s="8">
        <f t="shared" si="234"/>
        <v>135.63409321252863</v>
      </c>
      <c r="AS834" s="8">
        <f t="shared" si="235"/>
        <v>41.773485312372529</v>
      </c>
    </row>
    <row r="835" spans="1:45">
      <c r="A835" s="19">
        <v>26.793433329999999</v>
      </c>
      <c r="B835" s="19">
        <v>835.3495044</v>
      </c>
      <c r="C835" s="19">
        <v>-379.61288050000002</v>
      </c>
      <c r="E835" s="9">
        <f t="shared" si="221"/>
        <v>-124.6504956</v>
      </c>
      <c r="F835" s="9">
        <f t="shared" si="226"/>
        <v>160.38711949999998</v>
      </c>
      <c r="I835">
        <v>1</v>
      </c>
      <c r="J835">
        <f t="shared" si="222"/>
        <v>0.13276191844412921</v>
      </c>
      <c r="K835">
        <f t="shared" si="227"/>
        <v>2.2314701682730345</v>
      </c>
      <c r="O835">
        <f t="shared" si="228"/>
        <v>-8.1230109212091797E-2</v>
      </c>
      <c r="P835">
        <f t="shared" si="229"/>
        <v>0.10451834283118429</v>
      </c>
      <c r="Q835">
        <f t="shared" si="230"/>
        <v>0.99120007332990778</v>
      </c>
      <c r="R835">
        <f t="shared" si="220"/>
        <v>1</v>
      </c>
      <c r="AG835" s="8">
        <f t="shared" si="223"/>
        <v>-0.53298275238904114</v>
      </c>
      <c r="AH835" s="8">
        <f t="shared" si="224"/>
        <v>0.52173176219544193</v>
      </c>
      <c r="AI835" s="8">
        <f t="shared" si="225"/>
        <v>0.66612713048804784</v>
      </c>
      <c r="AJ835" s="8"/>
      <c r="AK835" s="8"/>
      <c r="AL835" s="8"/>
      <c r="AN835" s="8">
        <f t="shared" si="231"/>
        <v>0.99999999999999978</v>
      </c>
      <c r="AO835" s="8">
        <f t="shared" si="232"/>
        <v>2.3668614178866978</v>
      </c>
      <c r="AP835" s="8">
        <f t="shared" si="233"/>
        <v>0.84179230019526663</v>
      </c>
      <c r="AQ835" s="8"/>
      <c r="AR835" s="8">
        <f t="shared" si="234"/>
        <v>135.61116993725764</v>
      </c>
      <c r="AS835" s="8">
        <f t="shared" si="235"/>
        <v>41.768853972201597</v>
      </c>
    </row>
    <row r="836" spans="1:45">
      <c r="A836" s="19">
        <v>26.826799999999999</v>
      </c>
      <c r="B836" s="19">
        <v>834.55530940000006</v>
      </c>
      <c r="C836" s="19">
        <v>-379.60568210000002</v>
      </c>
      <c r="E836" s="9">
        <f t="shared" si="221"/>
        <v>-125.44469059999994</v>
      </c>
      <c r="F836" s="9">
        <f t="shared" si="226"/>
        <v>160.39431789999998</v>
      </c>
      <c r="I836">
        <v>1</v>
      </c>
      <c r="J836">
        <f t="shared" si="222"/>
        <v>0.13308418323076582</v>
      </c>
      <c r="K836">
        <f t="shared" si="227"/>
        <v>2.2345280764464048</v>
      </c>
      <c r="O836">
        <f t="shared" si="228"/>
        <v>-8.1746119744611906E-2</v>
      </c>
      <c r="P836">
        <f t="shared" si="229"/>
        <v>0.10452106864544142</v>
      </c>
      <c r="Q836">
        <f t="shared" si="230"/>
        <v>0.99115736294289536</v>
      </c>
      <c r="R836">
        <f t="shared" si="220"/>
        <v>1</v>
      </c>
      <c r="AG836" s="8">
        <f t="shared" si="223"/>
        <v>-0.53271000818928194</v>
      </c>
      <c r="AH836" s="8">
        <f t="shared" si="224"/>
        <v>0.52215665969824121</v>
      </c>
      <c r="AI836" s="8">
        <f t="shared" si="225"/>
        <v>0.66601236468082947</v>
      </c>
      <c r="AJ836" s="8"/>
      <c r="AK836" s="8"/>
      <c r="AL836" s="8"/>
      <c r="AN836" s="8">
        <f t="shared" si="231"/>
        <v>0.99999999999999978</v>
      </c>
      <c r="AO836" s="8">
        <f t="shared" si="232"/>
        <v>2.3661985947325945</v>
      </c>
      <c r="AP836" s="8">
        <f t="shared" si="233"/>
        <v>0.84194616455890281</v>
      </c>
      <c r="AQ836" s="8"/>
      <c r="AR836" s="8">
        <f t="shared" si="234"/>
        <v>135.57319296796396</v>
      </c>
      <c r="AS836" s="8">
        <f t="shared" si="235"/>
        <v>41.760038193547778</v>
      </c>
    </row>
    <row r="837" spans="1:45">
      <c r="A837" s="19">
        <v>26.860166670000002</v>
      </c>
      <c r="B837" s="19">
        <v>834.25131020000003</v>
      </c>
      <c r="C837" s="19">
        <v>-379.60526390000001</v>
      </c>
      <c r="E837" s="9">
        <f t="shared" si="221"/>
        <v>-125.74868979999997</v>
      </c>
      <c r="F837" s="9">
        <f t="shared" si="226"/>
        <v>160.39473609999999</v>
      </c>
      <c r="I837">
        <v>1</v>
      </c>
      <c r="J837">
        <f t="shared" si="222"/>
        <v>0.13320666110991328</v>
      </c>
      <c r="K837">
        <f t="shared" si="227"/>
        <v>2.2357017196569924</v>
      </c>
      <c r="O837">
        <f t="shared" si="228"/>
        <v>-8.1943632008661477E-2</v>
      </c>
      <c r="P837">
        <f t="shared" si="229"/>
        <v>0.10452058985273642</v>
      </c>
      <c r="Q837">
        <f t="shared" si="230"/>
        <v>0.99114110371332353</v>
      </c>
      <c r="R837">
        <f t="shared" si="220"/>
        <v>1</v>
      </c>
      <c r="AG837" s="8">
        <f t="shared" si="223"/>
        <v>-0.53260658939967165</v>
      </c>
      <c r="AH837" s="8">
        <f t="shared" si="224"/>
        <v>0.52231960167800096</v>
      </c>
      <c r="AI837" s="8">
        <f t="shared" si="225"/>
        <v>0.66596730747911637</v>
      </c>
      <c r="AJ837" s="8"/>
      <c r="AK837" s="8"/>
      <c r="AL837" s="8"/>
      <c r="AN837" s="8">
        <f t="shared" si="231"/>
        <v>0.99999999999999978</v>
      </c>
      <c r="AO837" s="8">
        <f t="shared" si="232"/>
        <v>2.3659455626047765</v>
      </c>
      <c r="AP837" s="8">
        <f t="shared" si="233"/>
        <v>0.84200656612531377</v>
      </c>
      <c r="AQ837" s="8"/>
      <c r="AR837" s="8">
        <f t="shared" si="234"/>
        <v>135.5586952949588</v>
      </c>
      <c r="AS837" s="8">
        <f t="shared" si="235"/>
        <v>41.756577438716448</v>
      </c>
    </row>
    <row r="838" spans="1:45">
      <c r="A838" s="19">
        <v>26.89353333</v>
      </c>
      <c r="B838" s="19">
        <v>833.56090429999995</v>
      </c>
      <c r="C838" s="19">
        <v>-379.59810110000001</v>
      </c>
      <c r="E838" s="9">
        <f t="shared" si="221"/>
        <v>-126.43909570000005</v>
      </c>
      <c r="F838" s="9">
        <f t="shared" si="226"/>
        <v>160.40189889999999</v>
      </c>
      <c r="I838">
        <v>1</v>
      </c>
      <c r="J838">
        <f t="shared" si="222"/>
        <v>0.13348866811135948</v>
      </c>
      <c r="K838">
        <f t="shared" si="227"/>
        <v>2.2383402968706125</v>
      </c>
      <c r="O838">
        <f t="shared" si="228"/>
        <v>-8.2392161217177601E-2</v>
      </c>
      <c r="P838">
        <f t="shared" si="229"/>
        <v>0.10452351814558432</v>
      </c>
      <c r="Q838">
        <f t="shared" si="230"/>
        <v>0.99110361008546044</v>
      </c>
      <c r="R838">
        <f t="shared" si="220"/>
        <v>1</v>
      </c>
      <c r="AG838" s="8">
        <f t="shared" si="223"/>
        <v>-0.53236893870995217</v>
      </c>
      <c r="AH838" s="8">
        <f t="shared" si="224"/>
        <v>0.52268866201194231</v>
      </c>
      <c r="AI838" s="8">
        <f t="shared" si="225"/>
        <v>0.66586776142189452</v>
      </c>
      <c r="AJ838" s="8"/>
      <c r="AK838" s="8"/>
      <c r="AL838" s="8"/>
      <c r="AN838" s="8">
        <f t="shared" si="231"/>
        <v>1.0000000000000002</v>
      </c>
      <c r="AO838" s="8">
        <f t="shared" si="232"/>
        <v>2.3653693495247738</v>
      </c>
      <c r="AP838" s="8">
        <f t="shared" si="233"/>
        <v>0.84214000134461076</v>
      </c>
      <c r="AQ838" s="8"/>
      <c r="AR838" s="8">
        <f t="shared" si="234"/>
        <v>135.5256807173744</v>
      </c>
      <c r="AS838" s="8">
        <f t="shared" si="235"/>
        <v>41.748932163812334</v>
      </c>
    </row>
    <row r="839" spans="1:45">
      <c r="A839" s="19">
        <v>26.9269</v>
      </c>
      <c r="B839" s="19">
        <v>832.83174750000001</v>
      </c>
      <c r="C839" s="19">
        <v>-379.5354428</v>
      </c>
      <c r="E839" s="9">
        <f t="shared" si="221"/>
        <v>-127.16825249999999</v>
      </c>
      <c r="F839" s="9">
        <f t="shared" si="226"/>
        <v>160.4645572</v>
      </c>
      <c r="I839">
        <v>1</v>
      </c>
      <c r="J839">
        <f t="shared" si="222"/>
        <v>0.13381565092525877</v>
      </c>
      <c r="K839">
        <f t="shared" si="227"/>
        <v>2.2409476859926096</v>
      </c>
      <c r="O839">
        <f t="shared" si="228"/>
        <v>-8.2865693662658224E-2</v>
      </c>
      <c r="P839">
        <f t="shared" si="229"/>
        <v>0.10456231472276703</v>
      </c>
      <c r="Q839">
        <f t="shared" si="230"/>
        <v>0.99106003811758225</v>
      </c>
      <c r="R839">
        <f t="shared" si="220"/>
        <v>1</v>
      </c>
      <c r="AG839" s="8">
        <f t="shared" si="223"/>
        <v>-0.53209385942614928</v>
      </c>
      <c r="AH839" s="8">
        <f t="shared" si="224"/>
        <v>0.52307024332411278</v>
      </c>
      <c r="AI839" s="8">
        <f t="shared" si="225"/>
        <v>0.66578798825890428</v>
      </c>
      <c r="AJ839" s="8"/>
      <c r="AK839" s="8"/>
      <c r="AL839" s="8"/>
      <c r="AN839" s="8">
        <f t="shared" si="231"/>
        <v>1.0000000000000002</v>
      </c>
      <c r="AO839" s="8">
        <f t="shared" si="232"/>
        <v>2.3647461421197606</v>
      </c>
      <c r="AP839" s="8">
        <f t="shared" si="233"/>
        <v>0.84224692077588825</v>
      </c>
      <c r="AQ839" s="8"/>
      <c r="AR839" s="8">
        <f t="shared" si="234"/>
        <v>135.48997356330585</v>
      </c>
      <c r="AS839" s="8">
        <f t="shared" si="235"/>
        <v>41.742806131652195</v>
      </c>
    </row>
    <row r="840" spans="1:45">
      <c r="A840" s="19">
        <v>26.960266669999999</v>
      </c>
      <c r="B840" s="19">
        <v>832.2968621</v>
      </c>
      <c r="C840" s="19">
        <v>-379.48065530000002</v>
      </c>
      <c r="E840" s="9">
        <f t="shared" si="221"/>
        <v>-127.7031379</v>
      </c>
      <c r="F840" s="9">
        <f t="shared" si="226"/>
        <v>160.51934469999998</v>
      </c>
      <c r="I840">
        <v>1</v>
      </c>
      <c r="J840">
        <f t="shared" si="222"/>
        <v>0.13406057982352074</v>
      </c>
      <c r="K840">
        <f t="shared" si="227"/>
        <v>2.2428254863038681</v>
      </c>
      <c r="O840">
        <f t="shared" si="228"/>
        <v>-8.3213015538247212E-2</v>
      </c>
      <c r="P840">
        <f t="shared" si="229"/>
        <v>0.10459648012071572</v>
      </c>
      <c r="Q840">
        <f t="shared" si="230"/>
        <v>0.99102733079940242</v>
      </c>
      <c r="R840">
        <f t="shared" si="220"/>
        <v>1</v>
      </c>
      <c r="AG840" s="8">
        <f t="shared" si="223"/>
        <v>-0.53188815949601254</v>
      </c>
      <c r="AH840" s="8">
        <f t="shared" si="224"/>
        <v>0.52334878170649657</v>
      </c>
      <c r="AI840" s="8">
        <f t="shared" si="225"/>
        <v>0.66573345903166836</v>
      </c>
      <c r="AJ840" s="8"/>
      <c r="AK840" s="8"/>
      <c r="AL840" s="8"/>
      <c r="AN840" s="8">
        <f t="shared" si="231"/>
        <v>0.99999999999999989</v>
      </c>
      <c r="AO840" s="8">
        <f t="shared" si="232"/>
        <v>2.3642866930507407</v>
      </c>
      <c r="AP840" s="8">
        <f t="shared" si="233"/>
        <v>0.84232000006151631</v>
      </c>
      <c r="AQ840" s="8"/>
      <c r="AR840" s="8">
        <f t="shared" si="234"/>
        <v>135.4636490707498</v>
      </c>
      <c r="AS840" s="8">
        <f t="shared" si="235"/>
        <v>41.73861899701587</v>
      </c>
    </row>
    <row r="841" spans="1:45">
      <c r="A841" s="19">
        <v>26.993633330000002</v>
      </c>
      <c r="B841" s="19">
        <v>831.58677599999999</v>
      </c>
      <c r="C841" s="19">
        <v>-379.30399679999999</v>
      </c>
      <c r="E841" s="9">
        <f t="shared" si="221"/>
        <v>-128.41322400000001</v>
      </c>
      <c r="F841" s="9">
        <f t="shared" si="226"/>
        <v>160.69600320000001</v>
      </c>
      <c r="I841">
        <v>1</v>
      </c>
      <c r="J841">
        <f t="shared" si="222"/>
        <v>0.13443938444028133</v>
      </c>
      <c r="K841">
        <f t="shared" si="227"/>
        <v>2.244992227039488</v>
      </c>
      <c r="O841">
        <f t="shared" si="228"/>
        <v>-8.3673801779782481E-2</v>
      </c>
      <c r="P841">
        <f t="shared" si="229"/>
        <v>0.10470919660548425</v>
      </c>
      <c r="Q841">
        <f t="shared" si="230"/>
        <v>0.99097662890804428</v>
      </c>
      <c r="R841">
        <f t="shared" si="220"/>
        <v>1</v>
      </c>
      <c r="AG841" s="8">
        <f t="shared" si="223"/>
        <v>-0.53156976138653045</v>
      </c>
      <c r="AH841" s="8">
        <f t="shared" si="224"/>
        <v>0.52370321933954245</v>
      </c>
      <c r="AI841" s="8">
        <f t="shared" si="225"/>
        <v>0.66570904067232428</v>
      </c>
      <c r="AJ841" s="8"/>
      <c r="AK841" s="8"/>
      <c r="AL841" s="8"/>
      <c r="AN841" s="8">
        <f t="shared" si="231"/>
        <v>1</v>
      </c>
      <c r="AO841" s="8">
        <f t="shared" si="232"/>
        <v>2.3636488612240223</v>
      </c>
      <c r="AP841" s="8">
        <f t="shared" si="233"/>
        <v>0.84235272365076841</v>
      </c>
      <c r="AQ841" s="8"/>
      <c r="AR841" s="8">
        <f t="shared" si="234"/>
        <v>135.4271039990397</v>
      </c>
      <c r="AS841" s="8">
        <f t="shared" si="235"/>
        <v>41.73674407346121</v>
      </c>
    </row>
    <row r="842" spans="1:45">
      <c r="A842" s="19">
        <v>27.027000000000001</v>
      </c>
      <c r="B842" s="19">
        <v>831.10735220000004</v>
      </c>
      <c r="C842" s="19">
        <v>-379.15417500000001</v>
      </c>
      <c r="E842" s="9">
        <f t="shared" si="221"/>
        <v>-128.89264779999996</v>
      </c>
      <c r="F842" s="9">
        <f t="shared" si="226"/>
        <v>160.84582499999999</v>
      </c>
      <c r="I842">
        <v>1</v>
      </c>
      <c r="J842">
        <f t="shared" si="222"/>
        <v>0.13471102352505634</v>
      </c>
      <c r="K842">
        <f t="shared" si="227"/>
        <v>2.2463555285965655</v>
      </c>
      <c r="O842">
        <f t="shared" si="228"/>
        <v>-8.3984803437311351E-2</v>
      </c>
      <c r="P842">
        <f t="shared" si="229"/>
        <v>0.10480508568105609</v>
      </c>
      <c r="Q842">
        <f t="shared" si="230"/>
        <v>0.99094018326384492</v>
      </c>
      <c r="R842">
        <f t="shared" si="220"/>
        <v>1</v>
      </c>
      <c r="AG842" s="8">
        <f t="shared" si="223"/>
        <v>-0.53134143726643401</v>
      </c>
      <c r="AH842" s="8">
        <f t="shared" si="224"/>
        <v>0.52393796854180119</v>
      </c>
      <c r="AI842" s="8">
        <f t="shared" si="225"/>
        <v>0.66570660366555678</v>
      </c>
      <c r="AJ842" s="8"/>
      <c r="AK842" s="8"/>
      <c r="AL842" s="8"/>
      <c r="AN842" s="8">
        <f t="shared" si="231"/>
        <v>1</v>
      </c>
      <c r="AO842" s="8">
        <f t="shared" si="232"/>
        <v>2.3632100229724959</v>
      </c>
      <c r="AP842" s="8">
        <f t="shared" si="233"/>
        <v>0.84235598948558987</v>
      </c>
      <c r="AQ842" s="8"/>
      <c r="AR842" s="8">
        <f t="shared" si="234"/>
        <v>135.40196041933834</v>
      </c>
      <c r="AS842" s="8">
        <f t="shared" si="235"/>
        <v>41.736556954909354</v>
      </c>
    </row>
    <row r="843" spans="1:45">
      <c r="A843" s="19">
        <v>27.060366670000001</v>
      </c>
      <c r="B843" s="19">
        <v>830.45472259999997</v>
      </c>
      <c r="C843" s="19">
        <v>-379.32882549999999</v>
      </c>
      <c r="E843" s="9">
        <f t="shared" si="221"/>
        <v>-129.54527740000003</v>
      </c>
      <c r="F843" s="9">
        <f t="shared" si="226"/>
        <v>160.67117450000001</v>
      </c>
      <c r="I843">
        <v>1</v>
      </c>
      <c r="J843">
        <f t="shared" si="222"/>
        <v>0.13488889069345333</v>
      </c>
      <c r="K843">
        <f t="shared" si="227"/>
        <v>2.2493522697403083</v>
      </c>
      <c r="O843">
        <f t="shared" si="228"/>
        <v>-8.4409128578912154E-2</v>
      </c>
      <c r="P843">
        <f t="shared" si="229"/>
        <v>0.10469014463120314</v>
      </c>
      <c r="Q843">
        <f t="shared" si="230"/>
        <v>0.99091627932416493</v>
      </c>
      <c r="R843">
        <f t="shared" si="220"/>
        <v>1</v>
      </c>
      <c r="AG843" s="8">
        <f t="shared" si="223"/>
        <v>-0.53119531647270435</v>
      </c>
      <c r="AH843" s="8">
        <f t="shared" si="224"/>
        <v>0.52431291016135495</v>
      </c>
      <c r="AI843" s="8">
        <f t="shared" si="225"/>
        <v>0.66552799189485223</v>
      </c>
      <c r="AJ843" s="8"/>
      <c r="AK843" s="8"/>
      <c r="AL843" s="8"/>
      <c r="AN843" s="8">
        <f t="shared" si="231"/>
        <v>1.0000000000000002</v>
      </c>
      <c r="AO843" s="8">
        <f t="shared" si="232"/>
        <v>2.3627148645500187</v>
      </c>
      <c r="AP843" s="8">
        <f t="shared" si="233"/>
        <v>0.84259532137353732</v>
      </c>
      <c r="AQ843" s="8"/>
      <c r="AR843" s="8">
        <f t="shared" si="234"/>
        <v>135.37358993154004</v>
      </c>
      <c r="AS843" s="8">
        <f t="shared" si="235"/>
        <v>41.722844247827062</v>
      </c>
    </row>
    <row r="844" spans="1:45">
      <c r="A844" s="19">
        <v>27.093733329999999</v>
      </c>
      <c r="B844" s="19">
        <v>829.65510470000004</v>
      </c>
      <c r="C844" s="19">
        <v>-379.36908720000002</v>
      </c>
      <c r="E844" s="9">
        <f t="shared" si="221"/>
        <v>-130.34489529999996</v>
      </c>
      <c r="F844" s="9">
        <f t="shared" si="226"/>
        <v>160.63091279999998</v>
      </c>
      <c r="I844">
        <v>1</v>
      </c>
      <c r="J844">
        <f t="shared" si="222"/>
        <v>0.13519639869408254</v>
      </c>
      <c r="K844">
        <f t="shared" si="227"/>
        <v>2.2524836186822057</v>
      </c>
      <c r="O844">
        <f t="shared" si="228"/>
        <v>-8.4928533555209185E-2</v>
      </c>
      <c r="P844">
        <f t="shared" si="229"/>
        <v>0.10466192662428479</v>
      </c>
      <c r="Q844">
        <f t="shared" si="230"/>
        <v>0.99087487873265534</v>
      </c>
      <c r="R844">
        <f t="shared" si="220"/>
        <v>1</v>
      </c>
      <c r="AG844" s="8">
        <f t="shared" si="223"/>
        <v>-0.53094055066360413</v>
      </c>
      <c r="AH844" s="8">
        <f t="shared" si="224"/>
        <v>0.52474670040283511</v>
      </c>
      <c r="AI844" s="8">
        <f t="shared" si="225"/>
        <v>0.66538938380272183</v>
      </c>
      <c r="AJ844" s="8"/>
      <c r="AK844" s="8"/>
      <c r="AL844" s="8"/>
      <c r="AN844" s="8">
        <f t="shared" si="231"/>
        <v>0.99999999999999989</v>
      </c>
      <c r="AO844" s="8">
        <f t="shared" si="232"/>
        <v>2.3620615490067127</v>
      </c>
      <c r="AP844" s="8">
        <f t="shared" si="233"/>
        <v>0.84278101490588853</v>
      </c>
      <c r="AQ844" s="8"/>
      <c r="AR844" s="8">
        <f t="shared" si="234"/>
        <v>135.33615770821831</v>
      </c>
      <c r="AS844" s="8">
        <f t="shared" si="235"/>
        <v>41.712204792140462</v>
      </c>
    </row>
    <row r="845" spans="1:45">
      <c r="A845" s="19">
        <v>27.127099999999999</v>
      </c>
      <c r="B845" s="19">
        <v>829.06196</v>
      </c>
      <c r="C845" s="19">
        <v>-379.38203329999999</v>
      </c>
      <c r="E845" s="9">
        <f t="shared" si="221"/>
        <v>-130.93804</v>
      </c>
      <c r="F845" s="9">
        <f t="shared" si="226"/>
        <v>160.61796670000001</v>
      </c>
      <c r="I845">
        <v>1</v>
      </c>
      <c r="J845">
        <f t="shared" si="222"/>
        <v>0.13543389326656965</v>
      </c>
      <c r="K845">
        <f t="shared" si="227"/>
        <v>2.2547455906679712</v>
      </c>
      <c r="O845">
        <f t="shared" si="228"/>
        <v>-8.5313749755088611E-2</v>
      </c>
      <c r="P845">
        <f t="shared" si="229"/>
        <v>0.10465194848811674</v>
      </c>
      <c r="Q845">
        <f t="shared" si="230"/>
        <v>0.99084284010147983</v>
      </c>
      <c r="R845">
        <f t="shared" si="220"/>
        <v>1</v>
      </c>
      <c r="AG845" s="8">
        <f t="shared" si="223"/>
        <v>-0.53074411732513371</v>
      </c>
      <c r="AH845" s="8">
        <f t="shared" si="224"/>
        <v>0.52506589860126385</v>
      </c>
      <c r="AI845" s="8">
        <f t="shared" si="225"/>
        <v>0.66529428379538336</v>
      </c>
      <c r="AJ845" s="8"/>
      <c r="AK845" s="8"/>
      <c r="AL845" s="8"/>
      <c r="AN845" s="8">
        <f t="shared" si="231"/>
        <v>1</v>
      </c>
      <c r="AO845" s="8">
        <f t="shared" si="232"/>
        <v>2.3615725069702531</v>
      </c>
      <c r="AP845" s="8">
        <f t="shared" si="233"/>
        <v>0.84290840279526669</v>
      </c>
      <c r="AQ845" s="8"/>
      <c r="AR845" s="8">
        <f t="shared" si="234"/>
        <v>135.30813766352469</v>
      </c>
      <c r="AS845" s="8">
        <f t="shared" si="235"/>
        <v>41.704906003718015</v>
      </c>
    </row>
    <row r="846" spans="1:45">
      <c r="A846" s="19">
        <v>27.160466670000002</v>
      </c>
      <c r="B846" s="19">
        <v>828.43467759999999</v>
      </c>
      <c r="C846" s="19">
        <v>-379.44221529999999</v>
      </c>
      <c r="E846" s="9">
        <f t="shared" si="221"/>
        <v>-131.56532240000001</v>
      </c>
      <c r="F846" s="9">
        <f t="shared" si="226"/>
        <v>160.55778470000001</v>
      </c>
      <c r="I846">
        <v>1</v>
      </c>
      <c r="J846">
        <f t="shared" si="222"/>
        <v>0.13566234594171203</v>
      </c>
      <c r="K846">
        <f t="shared" si="227"/>
        <v>2.2572710299444951</v>
      </c>
      <c r="O846">
        <f t="shared" si="228"/>
        <v>-8.5721237982975332E-2</v>
      </c>
      <c r="P846">
        <f t="shared" si="229"/>
        <v>0.10461124421862103</v>
      </c>
      <c r="Q846">
        <f t="shared" si="230"/>
        <v>0.99081196850951403</v>
      </c>
      <c r="R846">
        <f t="shared" si="220"/>
        <v>1</v>
      </c>
      <c r="AG846" s="8">
        <f t="shared" si="223"/>
        <v>-0.53055652198484315</v>
      </c>
      <c r="AH846" s="8">
        <f t="shared" si="224"/>
        <v>0.52541018617660606</v>
      </c>
      <c r="AI846" s="8">
        <f t="shared" si="225"/>
        <v>0.66517209295129864</v>
      </c>
      <c r="AJ846" s="8"/>
      <c r="AK846" s="8"/>
      <c r="AL846" s="8"/>
      <c r="AN846" s="8">
        <f t="shared" si="231"/>
        <v>1.0000000000000002</v>
      </c>
      <c r="AO846" s="8">
        <f t="shared" si="232"/>
        <v>2.361068029314553</v>
      </c>
      <c r="AP846" s="8">
        <f t="shared" si="233"/>
        <v>0.84307205804440266</v>
      </c>
      <c r="AQ846" s="8"/>
      <c r="AR846" s="8">
        <f t="shared" si="234"/>
        <v>135.27923322299441</v>
      </c>
      <c r="AS846" s="8">
        <f t="shared" si="235"/>
        <v>41.695529248647361</v>
      </c>
    </row>
    <row r="847" spans="1:45">
      <c r="A847" s="19">
        <v>27.19383333</v>
      </c>
      <c r="B847" s="19">
        <v>827.82360659999995</v>
      </c>
      <c r="C847" s="19">
        <v>-379.19326999999998</v>
      </c>
      <c r="E847" s="9">
        <f t="shared" si="221"/>
        <v>-132.17639340000005</v>
      </c>
      <c r="F847" s="9">
        <f t="shared" si="226"/>
        <v>160.80673000000002</v>
      </c>
      <c r="I847">
        <v>1</v>
      </c>
      <c r="J847">
        <f t="shared" si="222"/>
        <v>0.13604056684113783</v>
      </c>
      <c r="K847">
        <f t="shared" si="227"/>
        <v>2.258783682155054</v>
      </c>
      <c r="O847">
        <f t="shared" si="228"/>
        <v>-8.6117331586111664E-2</v>
      </c>
      <c r="P847">
        <f t="shared" si="229"/>
        <v>0.10477095139659282</v>
      </c>
      <c r="Q847">
        <f t="shared" si="230"/>
        <v>0.99076074455134755</v>
      </c>
      <c r="R847">
        <f t="shared" si="220"/>
        <v>1</v>
      </c>
      <c r="AG847" s="8">
        <f t="shared" si="223"/>
        <v>-0.53023988520839316</v>
      </c>
      <c r="AH847" s="8">
        <f t="shared" si="224"/>
        <v>0.52570040020394737</v>
      </c>
      <c r="AI847" s="8">
        <f t="shared" si="225"/>
        <v>0.66519527460708838</v>
      </c>
      <c r="AJ847" s="8"/>
      <c r="AK847" s="8"/>
      <c r="AL847" s="8"/>
      <c r="AN847" s="8">
        <f t="shared" si="231"/>
        <v>1</v>
      </c>
      <c r="AO847" s="8">
        <f t="shared" si="232"/>
        <v>2.3604934615472106</v>
      </c>
      <c r="AP847" s="8">
        <f t="shared" si="233"/>
        <v>0.84304101172846402</v>
      </c>
      <c r="AQ847" s="8"/>
      <c r="AR847" s="8">
        <f t="shared" si="234"/>
        <v>135.24631291488146</v>
      </c>
      <c r="AS847" s="8">
        <f t="shared" si="235"/>
        <v>41.697308071520077</v>
      </c>
    </row>
    <row r="848" spans="1:45">
      <c r="A848" s="19">
        <v>27.2272</v>
      </c>
      <c r="B848" s="19">
        <v>827.41622389999998</v>
      </c>
      <c r="C848" s="19">
        <v>-378.82004890000002</v>
      </c>
      <c r="E848" s="9">
        <f t="shared" si="221"/>
        <v>-132.58377610000002</v>
      </c>
      <c r="F848" s="9">
        <f t="shared" si="226"/>
        <v>161.17995109999998</v>
      </c>
      <c r="I848">
        <v>1</v>
      </c>
      <c r="J848">
        <f t="shared" si="222"/>
        <v>0.13639719321977023</v>
      </c>
      <c r="K848">
        <f t="shared" si="227"/>
        <v>2.2591560956857171</v>
      </c>
      <c r="O848">
        <f t="shared" si="228"/>
        <v>-8.6380799559648391E-2</v>
      </c>
      <c r="P848">
        <f t="shared" si="229"/>
        <v>0.1050117401883459</v>
      </c>
      <c r="Q848">
        <f t="shared" si="230"/>
        <v>0.99071231540243365</v>
      </c>
      <c r="R848">
        <f t="shared" si="220"/>
        <v>1</v>
      </c>
      <c r="AG848" s="8">
        <f t="shared" si="223"/>
        <v>-0.52993857338334405</v>
      </c>
      <c r="AH848" s="8">
        <f t="shared" si="224"/>
        <v>0.52586341415119875</v>
      </c>
      <c r="AI848" s="8">
        <f t="shared" si="225"/>
        <v>0.66530652942660262</v>
      </c>
      <c r="AJ848" s="8"/>
      <c r="AK848" s="8"/>
      <c r="AL848" s="8"/>
      <c r="AN848" s="8">
        <f t="shared" si="231"/>
        <v>1</v>
      </c>
      <c r="AO848" s="8">
        <f t="shared" si="232"/>
        <v>2.3600542470817749</v>
      </c>
      <c r="AP848" s="8">
        <f t="shared" si="233"/>
        <v>0.84289200039937218</v>
      </c>
      <c r="AQ848" s="8"/>
      <c r="AR848" s="8">
        <f t="shared" si="234"/>
        <v>135.22114777971089</v>
      </c>
      <c r="AS848" s="8">
        <f t="shared" si="235"/>
        <v>41.705845791776675</v>
      </c>
    </row>
    <row r="849" spans="1:45">
      <c r="A849" s="19">
        <v>27.260566669999999</v>
      </c>
      <c r="B849" s="19">
        <v>826.60116389999996</v>
      </c>
      <c r="C849" s="19">
        <v>-378.60316069999999</v>
      </c>
      <c r="E849" s="9">
        <f t="shared" si="221"/>
        <v>-133.39883610000004</v>
      </c>
      <c r="F849" s="9">
        <f t="shared" si="226"/>
        <v>161.39683930000001</v>
      </c>
      <c r="I849">
        <v>1</v>
      </c>
      <c r="J849">
        <f t="shared" si="222"/>
        <v>0.1368443016763867</v>
      </c>
      <c r="K849">
        <f t="shared" si="227"/>
        <v>2.2615042470550955</v>
      </c>
      <c r="O849">
        <f t="shared" si="228"/>
        <v>-8.6909335628772885E-2</v>
      </c>
      <c r="P849">
        <f t="shared" si="229"/>
        <v>0.10515003343531287</v>
      </c>
      <c r="Q849">
        <f t="shared" si="230"/>
        <v>0.99065142095952086</v>
      </c>
      <c r="R849">
        <f t="shared" si="220"/>
        <v>1</v>
      </c>
      <c r="AG849" s="8">
        <f t="shared" si="223"/>
        <v>-0.52956615406466134</v>
      </c>
      <c r="AH849" s="8">
        <f t="shared" si="224"/>
        <v>0.52626711384768732</v>
      </c>
      <c r="AI849" s="8">
        <f t="shared" si="225"/>
        <v>0.665283859229719</v>
      </c>
      <c r="AJ849" s="8"/>
      <c r="AK849" s="8"/>
      <c r="AL849" s="8"/>
      <c r="AN849" s="8">
        <f t="shared" si="231"/>
        <v>0.99999999999999989</v>
      </c>
      <c r="AO849" s="8">
        <f t="shared" si="232"/>
        <v>2.3593190644798669</v>
      </c>
      <c r="AP849" s="8">
        <f t="shared" si="233"/>
        <v>0.84292236577819535</v>
      </c>
      <c r="AQ849" s="8"/>
      <c r="AR849" s="8">
        <f t="shared" si="234"/>
        <v>135.17902491945011</v>
      </c>
      <c r="AS849" s="8">
        <f t="shared" si="235"/>
        <v>41.704105983726791</v>
      </c>
    </row>
    <row r="850" spans="1:45">
      <c r="A850" s="19">
        <v>27.293933330000002</v>
      </c>
      <c r="B850" s="19">
        <v>826.14153399999998</v>
      </c>
      <c r="C850" s="19">
        <v>-378.4480709</v>
      </c>
      <c r="E850" s="9">
        <f t="shared" si="221"/>
        <v>-133.85846600000002</v>
      </c>
      <c r="F850" s="9">
        <f t="shared" si="226"/>
        <v>161.5519291</v>
      </c>
      <c r="I850">
        <v>1</v>
      </c>
      <c r="J850">
        <f t="shared" si="222"/>
        <v>0.13711320134135468</v>
      </c>
      <c r="K850">
        <f t="shared" si="227"/>
        <v>2.2627219419614244</v>
      </c>
      <c r="O850">
        <f t="shared" si="228"/>
        <v>-8.7207268464789045E-2</v>
      </c>
      <c r="P850">
        <f t="shared" si="229"/>
        <v>0.10524924476594748</v>
      </c>
      <c r="Q850">
        <f t="shared" si="230"/>
        <v>0.9906147024969435</v>
      </c>
      <c r="R850">
        <f t="shared" si="220"/>
        <v>1</v>
      </c>
      <c r="AG850" s="8">
        <f t="shared" si="223"/>
        <v>-0.52934181618565068</v>
      </c>
      <c r="AH850" s="8">
        <f t="shared" si="224"/>
        <v>0.52648987471510356</v>
      </c>
      <c r="AI850" s="8">
        <f t="shared" si="225"/>
        <v>0.66528614404611763</v>
      </c>
      <c r="AJ850" s="8"/>
      <c r="AK850" s="8"/>
      <c r="AL850" s="8"/>
      <c r="AN850" s="8">
        <f t="shared" si="231"/>
        <v>1.0000000000000002</v>
      </c>
      <c r="AO850" s="8">
        <f t="shared" si="232"/>
        <v>2.358895616289546</v>
      </c>
      <c r="AP850" s="8">
        <f t="shared" si="233"/>
        <v>0.84291930543991178</v>
      </c>
      <c r="AQ850" s="8"/>
      <c r="AR850" s="8">
        <f t="shared" si="234"/>
        <v>135.15476312530228</v>
      </c>
      <c r="AS850" s="8">
        <f t="shared" si="235"/>
        <v>41.70428132819432</v>
      </c>
    </row>
    <row r="851" spans="1:45">
      <c r="A851" s="19">
        <v>27.327300000000001</v>
      </c>
      <c r="B851" s="19">
        <v>825.55934400000001</v>
      </c>
      <c r="C851" s="19">
        <v>-378.52242319999999</v>
      </c>
      <c r="E851" s="9">
        <f t="shared" si="221"/>
        <v>-134.44065599999999</v>
      </c>
      <c r="F851" s="9">
        <f t="shared" si="226"/>
        <v>161.47757680000001</v>
      </c>
      <c r="I851">
        <v>1</v>
      </c>
      <c r="J851">
        <f t="shared" si="222"/>
        <v>0.13731838054583723</v>
      </c>
      <c r="K851">
        <f t="shared" si="227"/>
        <v>2.2650812716164164</v>
      </c>
      <c r="O851">
        <f t="shared" si="228"/>
        <v>-8.7585390285339501E-2</v>
      </c>
      <c r="P851">
        <f t="shared" si="229"/>
        <v>0.10519940178184554</v>
      </c>
      <c r="Q851">
        <f t="shared" si="230"/>
        <v>0.99058663693455229</v>
      </c>
      <c r="R851">
        <f t="shared" si="220"/>
        <v>1</v>
      </c>
      <c r="AG851" s="8">
        <f t="shared" si="223"/>
        <v>-0.52917542468940038</v>
      </c>
      <c r="AH851" s="8">
        <f t="shared" si="224"/>
        <v>0.52681170957165246</v>
      </c>
      <c r="AI851" s="8">
        <f t="shared" si="225"/>
        <v>0.66516373364983272</v>
      </c>
      <c r="AJ851" s="8"/>
      <c r="AK851" s="8"/>
      <c r="AL851" s="8"/>
      <c r="AN851" s="8">
        <f t="shared" si="231"/>
        <v>1</v>
      </c>
      <c r="AO851" s="8">
        <f t="shared" si="232"/>
        <v>2.3584328803141039</v>
      </c>
      <c r="AP851" s="8">
        <f t="shared" si="233"/>
        <v>0.84308325313045374</v>
      </c>
      <c r="AQ851" s="8"/>
      <c r="AR851" s="8">
        <f t="shared" si="234"/>
        <v>135.12825030688057</v>
      </c>
      <c r="AS851" s="8">
        <f t="shared" si="235"/>
        <v>41.69488781746535</v>
      </c>
    </row>
    <row r="852" spans="1:45">
      <c r="A852" s="19">
        <v>27.360666670000001</v>
      </c>
      <c r="B852" s="19">
        <v>825.25858019999998</v>
      </c>
      <c r="C852" s="19">
        <v>-378.51027429999999</v>
      </c>
      <c r="E852" s="9">
        <f t="shared" si="221"/>
        <v>-134.74141980000002</v>
      </c>
      <c r="F852" s="9">
        <f t="shared" si="226"/>
        <v>161.48972570000001</v>
      </c>
      <c r="I852">
        <v>1</v>
      </c>
      <c r="J852">
        <f t="shared" si="222"/>
        <v>0.13744997391639591</v>
      </c>
      <c r="K852">
        <f t="shared" si="227"/>
        <v>2.2661433102294017</v>
      </c>
      <c r="O852">
        <f t="shared" si="228"/>
        <v>-8.778057788118683E-2</v>
      </c>
      <c r="P852">
        <f t="shared" si="229"/>
        <v>0.10520641288225724</v>
      </c>
      <c r="Q852">
        <f t="shared" si="230"/>
        <v>0.99056861490524362</v>
      </c>
      <c r="R852">
        <f t="shared" si="220"/>
        <v>1</v>
      </c>
      <c r="AG852" s="8">
        <f t="shared" si="223"/>
        <v>-0.52906743853562899</v>
      </c>
      <c r="AH852" s="8">
        <f t="shared" si="224"/>
        <v>0.52697051611814016</v>
      </c>
      <c r="AI852" s="8">
        <f t="shared" si="225"/>
        <v>0.66512383856206003</v>
      </c>
      <c r="AJ852" s="8"/>
      <c r="AK852" s="8"/>
      <c r="AL852" s="8"/>
      <c r="AN852" s="8">
        <f t="shared" si="231"/>
        <v>0.99999999999999978</v>
      </c>
      <c r="AO852" s="8">
        <f t="shared" si="232"/>
        <v>2.3581801382008596</v>
      </c>
      <c r="AP852" s="8">
        <f t="shared" si="233"/>
        <v>0.84313668057144209</v>
      </c>
      <c r="AQ852" s="8"/>
      <c r="AR852" s="8">
        <f t="shared" si="234"/>
        <v>135.11376925048646</v>
      </c>
      <c r="AS852" s="8">
        <f t="shared" si="235"/>
        <v>41.691826650586535</v>
      </c>
    </row>
    <row r="853" spans="1:45">
      <c r="A853" s="19">
        <v>27.394033329999999</v>
      </c>
      <c r="B853" s="19">
        <v>824.53206950000003</v>
      </c>
      <c r="C853" s="19">
        <v>-378.48571939999999</v>
      </c>
      <c r="E853" s="9">
        <f t="shared" si="221"/>
        <v>-135.46793049999997</v>
      </c>
      <c r="F853" s="9">
        <f t="shared" si="226"/>
        <v>161.51428060000001</v>
      </c>
      <c r="I853">
        <v>1</v>
      </c>
      <c r="J853">
        <f t="shared" si="222"/>
        <v>0.1377660731256144</v>
      </c>
      <c r="K853">
        <f t="shared" si="227"/>
        <v>2.2687149247659861</v>
      </c>
      <c r="O853">
        <f t="shared" si="228"/>
        <v>-8.8252050488717412E-2</v>
      </c>
      <c r="P853">
        <f t="shared" si="229"/>
        <v>0.10522022735233323</v>
      </c>
      <c r="Q853">
        <f t="shared" si="230"/>
        <v>0.99052525426687643</v>
      </c>
      <c r="R853">
        <f t="shared" si="220"/>
        <v>1</v>
      </c>
      <c r="AG853" s="8">
        <f t="shared" si="223"/>
        <v>-0.5288085996134787</v>
      </c>
      <c r="AH853" s="8">
        <f t="shared" si="224"/>
        <v>0.52735473065935412</v>
      </c>
      <c r="AI853" s="8">
        <f t="shared" si="225"/>
        <v>0.66502515217548852</v>
      </c>
      <c r="AJ853" s="8"/>
      <c r="AK853" s="8"/>
      <c r="AL853" s="8"/>
      <c r="AN853" s="8">
        <f t="shared" si="231"/>
        <v>1</v>
      </c>
      <c r="AO853" s="8">
        <f t="shared" si="232"/>
        <v>2.3575710462553485</v>
      </c>
      <c r="AP853" s="8">
        <f t="shared" si="233"/>
        <v>0.84326883030870958</v>
      </c>
      <c r="AQ853" s="8"/>
      <c r="AR853" s="8">
        <f t="shared" si="234"/>
        <v>135.07887085267325</v>
      </c>
      <c r="AS853" s="8">
        <f t="shared" si="235"/>
        <v>41.684255028377343</v>
      </c>
    </row>
    <row r="854" spans="1:45">
      <c r="A854" s="19">
        <v>27.427399999999999</v>
      </c>
      <c r="B854" s="19">
        <v>823.8419083</v>
      </c>
      <c r="C854" s="19">
        <v>-378.39885930000003</v>
      </c>
      <c r="E854" s="9">
        <f t="shared" si="221"/>
        <v>-136.1580917</v>
      </c>
      <c r="F854" s="9">
        <f t="shared" si="226"/>
        <v>161.60114069999997</v>
      </c>
      <c r="I854">
        <v>1</v>
      </c>
      <c r="J854">
        <f t="shared" si="222"/>
        <v>0.1380988371696926</v>
      </c>
      <c r="K854">
        <f t="shared" si="227"/>
        <v>2.2709531523084956</v>
      </c>
      <c r="O854">
        <f t="shared" si="228"/>
        <v>-8.869971203475352E-2</v>
      </c>
      <c r="P854">
        <f t="shared" si="229"/>
        <v>0.10527449720843647</v>
      </c>
      <c r="Q854">
        <f t="shared" si="230"/>
        <v>0.99047950070784541</v>
      </c>
      <c r="R854">
        <f t="shared" si="220"/>
        <v>1</v>
      </c>
      <c r="AG854" s="8">
        <f t="shared" si="223"/>
        <v>-0.52853497159357388</v>
      </c>
      <c r="AH854" s="8">
        <f t="shared" si="224"/>
        <v>0.52771026670727417</v>
      </c>
      <c r="AI854" s="8">
        <f t="shared" si="225"/>
        <v>0.66496064410934697</v>
      </c>
      <c r="AJ854" s="8"/>
      <c r="AK854" s="8"/>
      <c r="AL854" s="8"/>
      <c r="AN854" s="8">
        <f t="shared" si="231"/>
        <v>1</v>
      </c>
      <c r="AO854" s="8">
        <f t="shared" si="232"/>
        <v>2.3569752792447414</v>
      </c>
      <c r="AP854" s="8">
        <f t="shared" si="233"/>
        <v>0.84335520386939322</v>
      </c>
      <c r="AQ854" s="8"/>
      <c r="AR854" s="8">
        <f t="shared" si="234"/>
        <v>135.04473591739233</v>
      </c>
      <c r="AS854" s="8">
        <f t="shared" si="235"/>
        <v>41.679306187888656</v>
      </c>
    </row>
    <row r="855" spans="1:45">
      <c r="A855" s="19">
        <v>27.460766670000002</v>
      </c>
      <c r="B855" s="19">
        <v>823.17666169999995</v>
      </c>
      <c r="C855" s="19">
        <v>-378.06667099999999</v>
      </c>
      <c r="E855" s="9">
        <f t="shared" si="221"/>
        <v>-136.82333830000005</v>
      </c>
      <c r="F855" s="9">
        <f t="shared" si="226"/>
        <v>161.93332900000001</v>
      </c>
      <c r="I855">
        <v>1</v>
      </c>
      <c r="J855">
        <f t="shared" si="222"/>
        <v>0.13854385165222172</v>
      </c>
      <c r="K855">
        <f t="shared" si="227"/>
        <v>2.2723432622453847</v>
      </c>
      <c r="O855">
        <f t="shared" si="228"/>
        <v>-8.9130438579786087E-2</v>
      </c>
      <c r="P855">
        <f t="shared" si="229"/>
        <v>0.10548776848879728</v>
      </c>
      <c r="Q855">
        <f t="shared" si="230"/>
        <v>0.99041814180568644</v>
      </c>
      <c r="R855">
        <f t="shared" si="220"/>
        <v>1</v>
      </c>
      <c r="AG855" s="8">
        <f t="shared" si="223"/>
        <v>-0.52816304141804471</v>
      </c>
      <c r="AH855" s="8">
        <f t="shared" si="224"/>
        <v>0.52801634122450347</v>
      </c>
      <c r="AI855" s="8">
        <f t="shared" si="225"/>
        <v>0.66501319165857864</v>
      </c>
      <c r="AJ855" s="8"/>
      <c r="AK855" s="8"/>
      <c r="AL855" s="8"/>
      <c r="AN855" s="8">
        <f t="shared" si="231"/>
        <v>1</v>
      </c>
      <c r="AO855" s="8">
        <f t="shared" si="232"/>
        <v>2.3563333872348444</v>
      </c>
      <c r="AP855" s="8">
        <f t="shared" si="233"/>
        <v>0.84328484543450211</v>
      </c>
      <c r="AQ855" s="8"/>
      <c r="AR855" s="8">
        <f t="shared" si="234"/>
        <v>135.00795821432209</v>
      </c>
      <c r="AS855" s="8">
        <f t="shared" si="235"/>
        <v>41.683337429261059</v>
      </c>
    </row>
    <row r="856" spans="1:45">
      <c r="A856" s="19">
        <v>27.49413333</v>
      </c>
      <c r="B856" s="19">
        <v>822.47654069999999</v>
      </c>
      <c r="C856" s="19">
        <v>-377.63607719999999</v>
      </c>
      <c r="E856" s="9">
        <f t="shared" si="221"/>
        <v>-137.52345930000001</v>
      </c>
      <c r="F856" s="9">
        <f t="shared" si="226"/>
        <v>162.36392280000001</v>
      </c>
      <c r="I856">
        <v>1</v>
      </c>
      <c r="J856">
        <f t="shared" si="222"/>
        <v>0.13905270133158401</v>
      </c>
      <c r="K856">
        <f t="shared" si="227"/>
        <v>2.2735505193490653</v>
      </c>
      <c r="O856">
        <f t="shared" si="228"/>
        <v>-8.9583442219357948E-2</v>
      </c>
      <c r="P856">
        <f t="shared" si="229"/>
        <v>0.10576463950730551</v>
      </c>
      <c r="Q856">
        <f t="shared" si="230"/>
        <v>0.99034774090216449</v>
      </c>
      <c r="R856">
        <f t="shared" si="220"/>
        <v>1</v>
      </c>
      <c r="AG856" s="8">
        <f t="shared" si="223"/>
        <v>-0.5277362753920406</v>
      </c>
      <c r="AH856" s="8">
        <f t="shared" si="224"/>
        <v>0.52832639195634834</v>
      </c>
      <c r="AI856" s="8">
        <f t="shared" si="225"/>
        <v>0.66510574136577949</v>
      </c>
      <c r="AJ856" s="8"/>
      <c r="AK856" s="8"/>
      <c r="AL856" s="8"/>
      <c r="AN856" s="8">
        <f t="shared" si="231"/>
        <v>0.99999999999999978</v>
      </c>
      <c r="AO856" s="8">
        <f t="shared" si="232"/>
        <v>2.3556357009072646</v>
      </c>
      <c r="AP856" s="8">
        <f t="shared" si="233"/>
        <v>0.8431609154709806</v>
      </c>
      <c r="AQ856" s="8"/>
      <c r="AR856" s="8">
        <f t="shared" si="234"/>
        <v>134.96798373232778</v>
      </c>
      <c r="AS856" s="8">
        <f t="shared" si="235"/>
        <v>41.690438093126055</v>
      </c>
    </row>
    <row r="857" spans="1:45">
      <c r="A857" s="19">
        <v>27.5275</v>
      </c>
      <c r="B857" s="19">
        <v>821.87150699999995</v>
      </c>
      <c r="C857" s="19">
        <v>-377.66505949999998</v>
      </c>
      <c r="E857" s="9">
        <f t="shared" si="221"/>
        <v>-138.12849300000005</v>
      </c>
      <c r="F857" s="9">
        <f t="shared" si="226"/>
        <v>162.33494050000002</v>
      </c>
      <c r="I857">
        <v>1</v>
      </c>
      <c r="J857">
        <f t="shared" si="222"/>
        <v>0.13929343190808094</v>
      </c>
      <c r="K857">
        <f t="shared" si="227"/>
        <v>2.2758044091405383</v>
      </c>
      <c r="O857">
        <f t="shared" si="228"/>
        <v>-8.9976090969434749E-2</v>
      </c>
      <c r="P857">
        <f t="shared" si="229"/>
        <v>0.1057440290320534</v>
      </c>
      <c r="Q857">
        <f t="shared" si="230"/>
        <v>0.99031434573973942</v>
      </c>
      <c r="R857">
        <f t="shared" si="220"/>
        <v>1</v>
      </c>
      <c r="AG857" s="8">
        <f t="shared" si="223"/>
        <v>-0.52754190276097013</v>
      </c>
      <c r="AH857" s="8">
        <f t="shared" si="224"/>
        <v>0.52865320099172275</v>
      </c>
      <c r="AI857" s="8">
        <f t="shared" si="225"/>
        <v>0.66500025106201299</v>
      </c>
      <c r="AJ857" s="8"/>
      <c r="AK857" s="8"/>
      <c r="AL857" s="8"/>
      <c r="AN857" s="8">
        <f t="shared" si="231"/>
        <v>1</v>
      </c>
      <c r="AO857" s="8">
        <f t="shared" si="232"/>
        <v>2.3551423192281815</v>
      </c>
      <c r="AP857" s="8">
        <f t="shared" si="233"/>
        <v>0.84330217262921336</v>
      </c>
      <c r="AQ857" s="8"/>
      <c r="AR857" s="8">
        <f t="shared" si="234"/>
        <v>134.93971504442723</v>
      </c>
      <c r="AS857" s="8">
        <f t="shared" si="235"/>
        <v>41.682344654133303</v>
      </c>
    </row>
    <row r="858" spans="1:45">
      <c r="A858" s="19">
        <v>27.560866669999999</v>
      </c>
      <c r="B858" s="19">
        <v>820.71128659999999</v>
      </c>
      <c r="C858" s="19">
        <v>-377.6369803</v>
      </c>
      <c r="E858" s="9">
        <f t="shared" si="221"/>
        <v>-139.28871340000001</v>
      </c>
      <c r="F858" s="9">
        <f t="shared" si="226"/>
        <v>162.3630197</v>
      </c>
      <c r="I858">
        <v>1</v>
      </c>
      <c r="J858">
        <f t="shared" si="222"/>
        <v>0.13979834885865333</v>
      </c>
      <c r="K858">
        <f t="shared" si="227"/>
        <v>2.2798499613464909</v>
      </c>
      <c r="O858">
        <f t="shared" si="228"/>
        <v>-9.0728710109516192E-2</v>
      </c>
      <c r="P858">
        <f t="shared" si="229"/>
        <v>0.105758657591757</v>
      </c>
      <c r="Q858">
        <f t="shared" si="230"/>
        <v>0.99024411510811461</v>
      </c>
      <c r="R858">
        <f t="shared" si="220"/>
        <v>1</v>
      </c>
      <c r="AG858" s="8">
        <f t="shared" si="223"/>
        <v>-0.5271325619140077</v>
      </c>
      <c r="AH858" s="8">
        <f t="shared" si="224"/>
        <v>0.52926732990543601</v>
      </c>
      <c r="AI858" s="8">
        <f t="shared" si="225"/>
        <v>0.66483633750325755</v>
      </c>
      <c r="AJ858" s="8"/>
      <c r="AK858" s="8"/>
      <c r="AL858" s="8"/>
      <c r="AN858" s="8">
        <f t="shared" si="231"/>
        <v>1</v>
      </c>
      <c r="AO858" s="8">
        <f t="shared" si="232"/>
        <v>2.3541736975908778</v>
      </c>
      <c r="AP858" s="8">
        <f t="shared" si="233"/>
        <v>0.84352162640674966</v>
      </c>
      <c r="AQ858" s="8"/>
      <c r="AR858" s="8">
        <f t="shared" si="234"/>
        <v>134.88421711266469</v>
      </c>
      <c r="AS858" s="8">
        <f t="shared" si="235"/>
        <v>41.669770878882275</v>
      </c>
    </row>
    <row r="859" spans="1:45">
      <c r="A859" s="19">
        <v>27.594233330000002</v>
      </c>
      <c r="B859" s="19">
        <v>820.45398420000004</v>
      </c>
      <c r="C859" s="19">
        <v>-377.59266930000001</v>
      </c>
      <c r="E859" s="9">
        <f t="shared" si="221"/>
        <v>-139.54601579999996</v>
      </c>
      <c r="F859" s="9">
        <f t="shared" si="226"/>
        <v>162.40733069999999</v>
      </c>
      <c r="I859">
        <v>1</v>
      </c>
      <c r="J859">
        <f t="shared" si="222"/>
        <v>0.13992944140005367</v>
      </c>
      <c r="K859">
        <f t="shared" si="227"/>
        <v>2.2806272452072784</v>
      </c>
      <c r="O859">
        <f t="shared" si="228"/>
        <v>-9.089548666394906E-2</v>
      </c>
      <c r="P859">
        <f t="shared" si="229"/>
        <v>0.10578656278461387</v>
      </c>
      <c r="Q859">
        <f t="shared" si="230"/>
        <v>0.99022583971452738</v>
      </c>
      <c r="R859">
        <f t="shared" ref="R859:R922" si="236">SQRT(O859^2+P859^2+Q859^2)</f>
        <v>1</v>
      </c>
      <c r="AG859" s="8">
        <f t="shared" si="223"/>
        <v>-0.52702517806586269</v>
      </c>
      <c r="AH859" s="8">
        <f t="shared" si="224"/>
        <v>0.52939787558870033</v>
      </c>
      <c r="AI859" s="8">
        <f t="shared" si="225"/>
        <v>0.66481753211450179</v>
      </c>
      <c r="AJ859" s="8"/>
      <c r="AK859" s="8"/>
      <c r="AL859" s="8"/>
      <c r="AN859" s="8">
        <f t="shared" si="231"/>
        <v>0.99999999999999989</v>
      </c>
      <c r="AO859" s="8">
        <f t="shared" si="232"/>
        <v>2.3539485210940425</v>
      </c>
      <c r="AP859" s="8">
        <f t="shared" si="233"/>
        <v>0.84354680104354562</v>
      </c>
      <c r="AQ859" s="8"/>
      <c r="AR859" s="8">
        <f t="shared" si="234"/>
        <v>134.87131544975048</v>
      </c>
      <c r="AS859" s="8">
        <f t="shared" si="235"/>
        <v>41.668328478443087</v>
      </c>
    </row>
    <row r="860" spans="1:45">
      <c r="A860" s="19">
        <v>27.627600000000001</v>
      </c>
      <c r="B860" s="19">
        <v>820.14244199999996</v>
      </c>
      <c r="C860" s="19">
        <v>-377.55747200000002</v>
      </c>
      <c r="E860" s="9">
        <f t="shared" si="221"/>
        <v>-139.85755800000004</v>
      </c>
      <c r="F860" s="9">
        <f t="shared" si="226"/>
        <v>162.44252799999998</v>
      </c>
      <c r="I860">
        <v>1</v>
      </c>
      <c r="J860">
        <f t="shared" si="222"/>
        <v>0.14007916559029535</v>
      </c>
      <c r="K860">
        <f t="shared" si="227"/>
        <v>2.2816225970446902</v>
      </c>
      <c r="O860">
        <f t="shared" si="228"/>
        <v>-9.1097469690166105E-2</v>
      </c>
      <c r="P860">
        <f t="shared" si="229"/>
        <v>0.105808391641401</v>
      </c>
      <c r="Q860">
        <f t="shared" si="230"/>
        <v>0.99020494609666998</v>
      </c>
      <c r="R860">
        <f t="shared" si="236"/>
        <v>1</v>
      </c>
      <c r="AG860" s="8">
        <f t="shared" si="223"/>
        <v>-0.52690316796948089</v>
      </c>
      <c r="AH860" s="8">
        <f t="shared" si="224"/>
        <v>0.52955863229653177</v>
      </c>
      <c r="AI860" s="8">
        <f t="shared" si="225"/>
        <v>0.66478621115660308</v>
      </c>
      <c r="AJ860" s="8"/>
      <c r="AK860" s="8"/>
      <c r="AL860" s="8"/>
      <c r="AN860" s="8">
        <f t="shared" si="231"/>
        <v>1</v>
      </c>
      <c r="AO860" s="8">
        <f t="shared" si="232"/>
        <v>2.3536809504372145</v>
      </c>
      <c r="AP860" s="8">
        <f t="shared" si="233"/>
        <v>0.84358872892952264</v>
      </c>
      <c r="AQ860" s="8"/>
      <c r="AR860" s="8">
        <f t="shared" si="234"/>
        <v>134.85598478039267</v>
      </c>
      <c r="AS860" s="8">
        <f t="shared" si="235"/>
        <v>41.665926187532698</v>
      </c>
    </row>
    <row r="861" spans="1:45">
      <c r="A861" s="19">
        <v>27.660966670000001</v>
      </c>
      <c r="B861" s="19">
        <v>819.45753649999995</v>
      </c>
      <c r="C861" s="19">
        <v>-377.51659619999998</v>
      </c>
      <c r="E861" s="9">
        <f t="shared" si="221"/>
        <v>-140.54246350000005</v>
      </c>
      <c r="F861" s="9">
        <f t="shared" si="226"/>
        <v>162.48340380000002</v>
      </c>
      <c r="I861">
        <v>1</v>
      </c>
      <c r="J861">
        <f t="shared" si="222"/>
        <v>0.14039080819232205</v>
      </c>
      <c r="K861">
        <f t="shared" si="227"/>
        <v>2.2839144642377018</v>
      </c>
      <c r="O861">
        <f t="shared" si="228"/>
        <v>-9.1541602718895901E-2</v>
      </c>
      <c r="P861">
        <f t="shared" si="229"/>
        <v>0.10583272008088529</v>
      </c>
      <c r="Q861">
        <f t="shared" si="230"/>
        <v>0.99016138600328019</v>
      </c>
      <c r="R861">
        <f t="shared" si="236"/>
        <v>1</v>
      </c>
      <c r="AG861" s="8">
        <f t="shared" si="223"/>
        <v>-0.52665074715025062</v>
      </c>
      <c r="AH861" s="8">
        <f t="shared" si="224"/>
        <v>0.52991732838336847</v>
      </c>
      <c r="AI861" s="8">
        <f t="shared" si="225"/>
        <v>0.66470039537006143</v>
      </c>
      <c r="AJ861" s="8"/>
      <c r="AK861" s="8"/>
      <c r="AL861" s="8"/>
      <c r="AN861" s="8">
        <f t="shared" si="231"/>
        <v>1</v>
      </c>
      <c r="AO861" s="8">
        <f t="shared" si="232"/>
        <v>2.3531028097782811</v>
      </c>
      <c r="AP861" s="8">
        <f t="shared" si="233"/>
        <v>0.84370359845290066</v>
      </c>
      <c r="AQ861" s="8"/>
      <c r="AR861" s="8">
        <f t="shared" si="234"/>
        <v>134.82285976067089</v>
      </c>
      <c r="AS861" s="8">
        <f t="shared" si="235"/>
        <v>41.659344648648457</v>
      </c>
    </row>
    <row r="862" spans="1:45">
      <c r="A862" s="19">
        <v>27.694333329999999</v>
      </c>
      <c r="B862" s="19">
        <v>818.59475669999995</v>
      </c>
      <c r="C862" s="19">
        <v>-377.46368030000002</v>
      </c>
      <c r="E862" s="9">
        <f t="shared" si="221"/>
        <v>-141.40524330000005</v>
      </c>
      <c r="F862" s="9">
        <f t="shared" si="226"/>
        <v>162.53631969999998</v>
      </c>
      <c r="I862">
        <v>1</v>
      </c>
      <c r="J862">
        <f t="shared" si="222"/>
        <v>0.14078509793833111</v>
      </c>
      <c r="K862">
        <f t="shared" si="227"/>
        <v>2.2867826966940821</v>
      </c>
      <c r="O862">
        <f t="shared" si="228"/>
        <v>-9.2101022019325657E-2</v>
      </c>
      <c r="P862">
        <f t="shared" si="229"/>
        <v>0.10586425800258743</v>
      </c>
      <c r="Q862">
        <f t="shared" si="230"/>
        <v>0.99010613603823161</v>
      </c>
      <c r="R862">
        <f t="shared" si="236"/>
        <v>1</v>
      </c>
      <c r="AG862" s="8">
        <f t="shared" si="223"/>
        <v>-0.52633201714001721</v>
      </c>
      <c r="AH862" s="8">
        <f t="shared" si="224"/>
        <v>0.53036879766060308</v>
      </c>
      <c r="AI862" s="8">
        <f t="shared" si="225"/>
        <v>0.66459276719007909</v>
      </c>
      <c r="AJ862" s="8"/>
      <c r="AK862" s="8"/>
      <c r="AL862" s="8"/>
      <c r="AN862" s="8">
        <f t="shared" si="231"/>
        <v>0.99999999999999978</v>
      </c>
      <c r="AO862" s="8">
        <f t="shared" si="232"/>
        <v>2.3523743352090287</v>
      </c>
      <c r="AP862" s="8">
        <f t="shared" si="233"/>
        <v>0.84384764856711381</v>
      </c>
      <c r="AQ862" s="8"/>
      <c r="AR862" s="8">
        <f t="shared" si="234"/>
        <v>134.78112124237012</v>
      </c>
      <c r="AS862" s="8">
        <f t="shared" si="235"/>
        <v>41.651091185065667</v>
      </c>
    </row>
    <row r="863" spans="1:45">
      <c r="A863" s="19">
        <v>27.727699999999999</v>
      </c>
      <c r="B863" s="19">
        <v>818.24800740000001</v>
      </c>
      <c r="C863" s="19">
        <v>-377.1505368</v>
      </c>
      <c r="E863" s="9">
        <f t="shared" si="221"/>
        <v>-141.75199259999999</v>
      </c>
      <c r="F863" s="9">
        <f t="shared" si="226"/>
        <v>162.8494632</v>
      </c>
      <c r="I863">
        <v>1</v>
      </c>
      <c r="J863">
        <f t="shared" si="222"/>
        <v>0.14108720849585174</v>
      </c>
      <c r="K863">
        <f t="shared" si="227"/>
        <v>2.2870423899197774</v>
      </c>
      <c r="O863">
        <f t="shared" si="228"/>
        <v>-9.2324897502054803E-2</v>
      </c>
      <c r="P863">
        <f t="shared" si="229"/>
        <v>0.10606595168387532</v>
      </c>
      <c r="Q863">
        <f t="shared" si="230"/>
        <v>0.99006369855410259</v>
      </c>
      <c r="R863">
        <f t="shared" si="236"/>
        <v>1</v>
      </c>
      <c r="AG863" s="8">
        <f t="shared" si="223"/>
        <v>-0.52607692441774079</v>
      </c>
      <c r="AH863" s="8">
        <f t="shared" si="224"/>
        <v>0.5305072078751617</v>
      </c>
      <c r="AI863" s="8">
        <f t="shared" si="225"/>
        <v>0.66468426488647281</v>
      </c>
      <c r="AJ863" s="8"/>
      <c r="AK863" s="8"/>
      <c r="AL863" s="8"/>
      <c r="AN863" s="8">
        <f t="shared" si="231"/>
        <v>1.0000000000000002</v>
      </c>
      <c r="AO863" s="8">
        <f t="shared" si="232"/>
        <v>2.3520014899771438</v>
      </c>
      <c r="AP863" s="8">
        <f t="shared" si="233"/>
        <v>0.84372518875178748</v>
      </c>
      <c r="AQ863" s="8"/>
      <c r="AR863" s="8">
        <f t="shared" si="234"/>
        <v>134.75975878417154</v>
      </c>
      <c r="AS863" s="8">
        <f t="shared" si="235"/>
        <v>41.658107615643821</v>
      </c>
    </row>
    <row r="864" spans="1:45">
      <c r="A864" s="19">
        <v>27.761066670000002</v>
      </c>
      <c r="B864" s="19">
        <v>817.60665170000004</v>
      </c>
      <c r="C864" s="19">
        <v>-376.78944100000001</v>
      </c>
      <c r="E864" s="9">
        <f t="shared" ref="E864:E927" si="237">(B864-($B$15/2))</f>
        <v>-142.39334829999996</v>
      </c>
      <c r="F864" s="9">
        <f t="shared" si="226"/>
        <v>163.21055899999999</v>
      </c>
      <c r="I864">
        <v>1</v>
      </c>
      <c r="J864">
        <f t="shared" ref="J864:J927" si="238">ATAN((SQRT(E864^2+F864^2)^$B$16)/($F$24))</f>
        <v>0.14153891689821704</v>
      </c>
      <c r="K864">
        <f t="shared" si="227"/>
        <v>2.2881812823310517</v>
      </c>
      <c r="O864">
        <f t="shared" si="228"/>
        <v>-9.2739635694818273E-2</v>
      </c>
      <c r="P864">
        <f t="shared" si="229"/>
        <v>0.10629771659922155</v>
      </c>
      <c r="Q864">
        <f t="shared" si="230"/>
        <v>0.99000007849342309</v>
      </c>
      <c r="R864">
        <f t="shared" si="236"/>
        <v>1</v>
      </c>
      <c r="AG864" s="8">
        <f t="shared" ref="AG864:AG927" si="239">$O864*$Z$27+$P864*$Z$31+$Q864*$Z$35</f>
        <v>-0.52569989690335506</v>
      </c>
      <c r="AH864" s="8">
        <f t="shared" ref="AH864:AH927" si="240">$O864*$AA$27+$P864*$AA$31+$Q864*$AA$35</f>
        <v>0.53079521225035398</v>
      </c>
      <c r="AI864" s="8">
        <f t="shared" ref="AI864:AI927" si="241">$AB$27*$O864+$P864*$AB$31+$AB$35*$Q864</f>
        <v>0.66475263147121388</v>
      </c>
      <c r="AJ864" s="8"/>
      <c r="AK864" s="8"/>
      <c r="AL864" s="8"/>
      <c r="AN864" s="8">
        <f t="shared" si="231"/>
        <v>1</v>
      </c>
      <c r="AO864" s="8">
        <f t="shared" si="232"/>
        <v>2.3513716795631634</v>
      </c>
      <c r="AP864" s="8">
        <f t="shared" si="233"/>
        <v>0.84363367872961126</v>
      </c>
      <c r="AQ864" s="8"/>
      <c r="AR864" s="8">
        <f t="shared" si="234"/>
        <v>134.72367330555707</v>
      </c>
      <c r="AS864" s="8">
        <f t="shared" si="235"/>
        <v>41.663350753697664</v>
      </c>
    </row>
    <row r="865" spans="1:45">
      <c r="A865" s="19">
        <v>27.79443333</v>
      </c>
      <c r="B865" s="19">
        <v>817.37859260000005</v>
      </c>
      <c r="C865" s="19">
        <v>-376.69029519999998</v>
      </c>
      <c r="E865" s="9">
        <f t="shared" si="237"/>
        <v>-142.62140739999995</v>
      </c>
      <c r="F865" s="9">
        <f t="shared" ref="F865:F928" si="242">(($C$15/2)+C865)</f>
        <v>163.30970480000002</v>
      </c>
      <c r="I865">
        <v>1</v>
      </c>
      <c r="J865">
        <f t="shared" si="238"/>
        <v>0.14168522255929766</v>
      </c>
      <c r="K865">
        <f t="shared" ref="K865:K928" si="243">ATAN2(E865,F865)</f>
        <v>2.2886732512973538</v>
      </c>
      <c r="O865">
        <f t="shared" ref="O865:O928" si="244">COS(K865)*SIN(J865)</f>
        <v>-9.2887194250551197E-2</v>
      </c>
      <c r="P865">
        <f t="shared" ref="P865:P928" si="245">SIN(K865)*SIN(J865)</f>
        <v>0.10636117360848439</v>
      </c>
      <c r="Q865">
        <f t="shared" ref="Q865:Q928" si="246">COS(J865)</f>
        <v>0.98997942902511171</v>
      </c>
      <c r="R865">
        <f t="shared" si="236"/>
        <v>1</v>
      </c>
      <c r="AG865" s="8">
        <f t="shared" si="239"/>
        <v>-0.52557853658602949</v>
      </c>
      <c r="AH865" s="8">
        <f t="shared" si="240"/>
        <v>0.53090190108696145</v>
      </c>
      <c r="AI865" s="8">
        <f t="shared" si="241"/>
        <v>0.66476339648204008</v>
      </c>
      <c r="AJ865" s="8"/>
      <c r="AK865" s="8"/>
      <c r="AL865" s="8"/>
      <c r="AN865" s="8">
        <f t="shared" ref="AN865:AN928" si="247">AG865^2+AH865^2+AI865^2</f>
        <v>1.0000000000000002</v>
      </c>
      <c r="AO865" s="8">
        <f t="shared" ref="AO865:AO928" si="248">IF(ATAN2(AG865,AH865)&gt;=0,ATAN2(AG865,AH865),ATAN2(AG865,AH865)+2*PI())</f>
        <v>2.3511557604063906</v>
      </c>
      <c r="AP865" s="8">
        <f t="shared" ref="AP865:AP928" si="249">ACOS(AI865/AN865)</f>
        <v>0.84361926887127037</v>
      </c>
      <c r="AQ865" s="8"/>
      <c r="AR865" s="8">
        <f t="shared" ref="AR865:AR928" si="250">DEGREES(AO865)</f>
        <v>134.71130204915798</v>
      </c>
      <c r="AS865" s="8">
        <f t="shared" ref="AS865:AS928" si="251">90-DEGREES(AP865)</f>
        <v>41.66417637776398</v>
      </c>
    </row>
    <row r="866" spans="1:45">
      <c r="A866" s="19">
        <v>27.8278</v>
      </c>
      <c r="B866" s="19">
        <v>816.76962930000002</v>
      </c>
      <c r="C866" s="19">
        <v>-376.62782770000001</v>
      </c>
      <c r="E866" s="9">
        <f t="shared" si="237"/>
        <v>-143.23037069999998</v>
      </c>
      <c r="F866" s="9">
        <f t="shared" si="242"/>
        <v>163.37217229999999</v>
      </c>
      <c r="I866">
        <v>1</v>
      </c>
      <c r="J866">
        <f t="shared" si="238"/>
        <v>0.14197696707111754</v>
      </c>
      <c r="K866">
        <f t="shared" si="243"/>
        <v>2.2905952251499007</v>
      </c>
      <c r="O866">
        <f t="shared" si="244"/>
        <v>-9.328184250586663E-2</v>
      </c>
      <c r="P866">
        <f t="shared" si="245"/>
        <v>0.10639962161551476</v>
      </c>
      <c r="Q866">
        <f t="shared" si="246"/>
        <v>0.98993818917081178</v>
      </c>
      <c r="R866">
        <f t="shared" si="236"/>
        <v>1</v>
      </c>
      <c r="AG866" s="8">
        <f t="shared" si="239"/>
        <v>-0.5253424238903972</v>
      </c>
      <c r="AH866" s="8">
        <f t="shared" si="240"/>
        <v>0.53121652660094321</v>
      </c>
      <c r="AI866" s="8">
        <f t="shared" si="241"/>
        <v>0.66469868325955916</v>
      </c>
      <c r="AJ866" s="8"/>
      <c r="AK866" s="8"/>
      <c r="AL866" s="8"/>
      <c r="AN866" s="8">
        <f t="shared" si="247"/>
        <v>1</v>
      </c>
      <c r="AO866" s="8">
        <f t="shared" si="248"/>
        <v>2.3506348929861764</v>
      </c>
      <c r="AP866" s="8">
        <f t="shared" si="249"/>
        <v>0.84370589009497132</v>
      </c>
      <c r="AQ866" s="8"/>
      <c r="AR866" s="8">
        <f t="shared" si="250"/>
        <v>134.68145854429383</v>
      </c>
      <c r="AS866" s="8">
        <f t="shared" si="251"/>
        <v>41.65921334722966</v>
      </c>
    </row>
    <row r="867" spans="1:45">
      <c r="A867" s="19">
        <v>27.861166669999999</v>
      </c>
      <c r="B867" s="19">
        <v>815.72557270000004</v>
      </c>
      <c r="C867" s="19">
        <v>-376.55099869999998</v>
      </c>
      <c r="E867" s="9">
        <f t="shared" si="237"/>
        <v>-144.27442729999996</v>
      </c>
      <c r="F867" s="9">
        <f t="shared" si="242"/>
        <v>163.44900130000002</v>
      </c>
      <c r="I867">
        <v>1</v>
      </c>
      <c r="J867">
        <f t="shared" si="238"/>
        <v>0.14246354765709382</v>
      </c>
      <c r="K867">
        <f t="shared" si="243"/>
        <v>2.2939638840699379</v>
      </c>
      <c r="O867">
        <f t="shared" si="244"/>
        <v>-9.3958486483840184E-2</v>
      </c>
      <c r="P867">
        <f t="shared" si="245"/>
        <v>0.10644589666268064</v>
      </c>
      <c r="Q867">
        <f t="shared" si="246"/>
        <v>0.98986922060509785</v>
      </c>
      <c r="R867">
        <f t="shared" si="236"/>
        <v>1</v>
      </c>
      <c r="AG867" s="8">
        <f t="shared" si="239"/>
        <v>-0.5249506104543934</v>
      </c>
      <c r="AH867" s="8">
        <f t="shared" si="240"/>
        <v>0.53176018252641044</v>
      </c>
      <c r="AI867" s="8">
        <f t="shared" si="241"/>
        <v>0.6645735210366408</v>
      </c>
      <c r="AJ867" s="8"/>
      <c r="AK867" s="8"/>
      <c r="AL867" s="8"/>
      <c r="AN867" s="8">
        <f t="shared" si="247"/>
        <v>1</v>
      </c>
      <c r="AO867" s="8">
        <f t="shared" si="248"/>
        <v>2.3497504585235798</v>
      </c>
      <c r="AP867" s="8">
        <f t="shared" si="249"/>
        <v>0.84387340577337533</v>
      </c>
      <c r="AQ867" s="8"/>
      <c r="AR867" s="8">
        <f t="shared" si="250"/>
        <v>134.63078418233113</v>
      </c>
      <c r="AS867" s="8">
        <f t="shared" si="251"/>
        <v>41.649615405854838</v>
      </c>
    </row>
    <row r="868" spans="1:45">
      <c r="A868" s="19">
        <v>27.894533330000002</v>
      </c>
      <c r="B868" s="19">
        <v>815.1624971</v>
      </c>
      <c r="C868" s="19">
        <v>-376.50117820000003</v>
      </c>
      <c r="E868" s="9">
        <f t="shared" si="237"/>
        <v>-144.8375029</v>
      </c>
      <c r="F868" s="9">
        <f t="shared" si="242"/>
        <v>163.49882179999997</v>
      </c>
      <c r="I868">
        <v>1</v>
      </c>
      <c r="J868">
        <f t="shared" si="238"/>
        <v>0.14273069830571306</v>
      </c>
      <c r="K868">
        <f t="shared" si="243"/>
        <v>2.2957456167737398</v>
      </c>
      <c r="O868">
        <f t="shared" si="244"/>
        <v>-9.4323344305025411E-2</v>
      </c>
      <c r="P868">
        <f t="shared" si="245"/>
        <v>0.10647626031467154</v>
      </c>
      <c r="Q868">
        <f t="shared" si="246"/>
        <v>0.98983125466339861</v>
      </c>
      <c r="R868">
        <f t="shared" si="236"/>
        <v>1</v>
      </c>
      <c r="AG868" s="8">
        <f t="shared" si="239"/>
        <v>-0.52473556284031264</v>
      </c>
      <c r="AH868" s="8">
        <f t="shared" si="240"/>
        <v>0.53205202884958669</v>
      </c>
      <c r="AI868" s="8">
        <f t="shared" si="241"/>
        <v>0.66450976493028224</v>
      </c>
      <c r="AJ868" s="8"/>
      <c r="AK868" s="8"/>
      <c r="AL868" s="8"/>
      <c r="AN868" s="8">
        <f t="shared" si="247"/>
        <v>1</v>
      </c>
      <c r="AO868" s="8">
        <f t="shared" si="248"/>
        <v>2.3492712927853359</v>
      </c>
      <c r="AP868" s="8">
        <f t="shared" si="249"/>
        <v>0.8439587266181402</v>
      </c>
      <c r="AQ868" s="8"/>
      <c r="AR868" s="8">
        <f t="shared" si="250"/>
        <v>134.60333000784246</v>
      </c>
      <c r="AS868" s="8">
        <f t="shared" si="251"/>
        <v>41.644726881545317</v>
      </c>
    </row>
    <row r="869" spans="1:45">
      <c r="A869" s="19">
        <v>27.927900000000001</v>
      </c>
      <c r="B869" s="19">
        <v>814.62169719999997</v>
      </c>
      <c r="C869" s="19">
        <v>-376.47934229999998</v>
      </c>
      <c r="E869" s="9">
        <f t="shared" si="237"/>
        <v>-145.37830280000003</v>
      </c>
      <c r="F869" s="9">
        <f t="shared" si="242"/>
        <v>163.52065770000002</v>
      </c>
      <c r="I869">
        <v>1</v>
      </c>
      <c r="J869">
        <f t="shared" si="238"/>
        <v>0.14297503192505873</v>
      </c>
      <c r="K869">
        <f t="shared" si="243"/>
        <v>2.2975295554250144</v>
      </c>
      <c r="O869">
        <f t="shared" si="244"/>
        <v>-9.4673830602241354E-2</v>
      </c>
      <c r="P869">
        <f t="shared" si="245"/>
        <v>0.10648856637399742</v>
      </c>
      <c r="Q869">
        <f t="shared" si="246"/>
        <v>0.98979646949800182</v>
      </c>
      <c r="R869">
        <f t="shared" si="236"/>
        <v>1</v>
      </c>
      <c r="AG869" s="8">
        <f t="shared" si="239"/>
        <v>-0.52454027824891658</v>
      </c>
      <c r="AH869" s="8">
        <f t="shared" si="240"/>
        <v>0.53233608831552104</v>
      </c>
      <c r="AI869" s="8">
        <f t="shared" si="241"/>
        <v>0.66443644208568142</v>
      </c>
      <c r="AJ869" s="8"/>
      <c r="AK869" s="8"/>
      <c r="AL869" s="8"/>
      <c r="AN869" s="8">
        <f t="shared" si="247"/>
        <v>1.0000000000000002</v>
      </c>
      <c r="AO869" s="8">
        <f t="shared" si="248"/>
        <v>2.3488183495865611</v>
      </c>
      <c r="AP869" s="8">
        <f t="shared" si="249"/>
        <v>0.84405684203314368</v>
      </c>
      <c r="AQ869" s="8"/>
      <c r="AR869" s="8">
        <f t="shared" si="250"/>
        <v>134.57737827419353</v>
      </c>
      <c r="AS869" s="8">
        <f t="shared" si="251"/>
        <v>41.639105282360447</v>
      </c>
    </row>
    <row r="870" spans="1:45">
      <c r="A870" s="19">
        <v>27.961266670000001</v>
      </c>
      <c r="B870" s="19">
        <v>813.94079009999996</v>
      </c>
      <c r="C870" s="19">
        <v>-376.33303539999997</v>
      </c>
      <c r="E870" s="9">
        <f t="shared" si="237"/>
        <v>-146.05920990000004</v>
      </c>
      <c r="F870" s="9">
        <f t="shared" si="242"/>
        <v>163.66696460000003</v>
      </c>
      <c r="I870">
        <v>1</v>
      </c>
      <c r="J870">
        <f t="shared" si="238"/>
        <v>0.14334098766817419</v>
      </c>
      <c r="K870">
        <f t="shared" si="243"/>
        <v>2.299406190514564</v>
      </c>
      <c r="O870">
        <f t="shared" si="244"/>
        <v>-9.5114676795780118E-2</v>
      </c>
      <c r="P870">
        <f t="shared" si="245"/>
        <v>0.10658095748110293</v>
      </c>
      <c r="Q870">
        <f t="shared" si="246"/>
        <v>0.9897442587660944</v>
      </c>
      <c r="R870">
        <f t="shared" si="236"/>
        <v>1</v>
      </c>
      <c r="AG870" s="8">
        <f t="shared" si="239"/>
        <v>-0.52424264443317736</v>
      </c>
      <c r="AH870" s="8">
        <f t="shared" si="240"/>
        <v>0.53267609986438147</v>
      </c>
      <c r="AI870" s="8">
        <f t="shared" si="241"/>
        <v>0.66439884285794837</v>
      </c>
      <c r="AJ870" s="8"/>
      <c r="AK870" s="8"/>
      <c r="AL870" s="8"/>
      <c r="AN870" s="8">
        <f t="shared" si="247"/>
        <v>1.0000000000000002</v>
      </c>
      <c r="AO870" s="8">
        <f t="shared" si="248"/>
        <v>2.348215374957265</v>
      </c>
      <c r="AP870" s="8">
        <f t="shared" si="249"/>
        <v>0.84410715132558345</v>
      </c>
      <c r="AQ870" s="8"/>
      <c r="AR870" s="8">
        <f t="shared" si="250"/>
        <v>134.5428303727814</v>
      </c>
      <c r="AS870" s="8">
        <f t="shared" si="251"/>
        <v>41.636222772233353</v>
      </c>
    </row>
    <row r="871" spans="1:45">
      <c r="A871" s="19">
        <v>27.994633329999999</v>
      </c>
      <c r="B871" s="19">
        <v>813.20038729999999</v>
      </c>
      <c r="C871" s="19">
        <v>-376.21747269999997</v>
      </c>
      <c r="E871" s="9">
        <f t="shared" si="237"/>
        <v>-146.79961270000001</v>
      </c>
      <c r="F871" s="9">
        <f t="shared" si="242"/>
        <v>163.78252730000003</v>
      </c>
      <c r="I871">
        <v>1</v>
      </c>
      <c r="J871">
        <f t="shared" si="238"/>
        <v>0.14371835415014689</v>
      </c>
      <c r="K871">
        <f t="shared" si="243"/>
        <v>2.3015679795234432</v>
      </c>
      <c r="O871">
        <f t="shared" si="244"/>
        <v>-9.5594141152268025E-2</v>
      </c>
      <c r="P871">
        <f t="shared" si="245"/>
        <v>0.1066532107614436</v>
      </c>
      <c r="Q871">
        <f t="shared" si="246"/>
        <v>0.98969028125552261</v>
      </c>
      <c r="R871">
        <f t="shared" si="236"/>
        <v>1</v>
      </c>
      <c r="AG871" s="8">
        <f t="shared" si="239"/>
        <v>-0.52393783524305837</v>
      </c>
      <c r="AH871" s="8">
        <f t="shared" si="240"/>
        <v>0.5330520990332176</v>
      </c>
      <c r="AI871" s="8">
        <f t="shared" si="241"/>
        <v>0.66433771872226177</v>
      </c>
      <c r="AJ871" s="8"/>
      <c r="AK871" s="8"/>
      <c r="AL871" s="8"/>
      <c r="AN871" s="8">
        <f t="shared" si="247"/>
        <v>1.0000000000000004</v>
      </c>
      <c r="AO871" s="8">
        <f t="shared" si="248"/>
        <v>2.3475718556599068</v>
      </c>
      <c r="AP871" s="8">
        <f t="shared" si="249"/>
        <v>0.8441889330978013</v>
      </c>
      <c r="AQ871" s="8"/>
      <c r="AR871" s="8">
        <f t="shared" si="250"/>
        <v>134.50595943300755</v>
      </c>
      <c r="AS871" s="8">
        <f t="shared" si="251"/>
        <v>41.631537021844174</v>
      </c>
    </row>
    <row r="872" spans="1:45">
      <c r="A872" s="19">
        <v>28.027999999999999</v>
      </c>
      <c r="B872" s="19">
        <v>812.72179029999995</v>
      </c>
      <c r="C872" s="19">
        <v>-376.2317893</v>
      </c>
      <c r="E872" s="9">
        <f t="shared" si="237"/>
        <v>-147.27820970000005</v>
      </c>
      <c r="F872" s="9">
        <f t="shared" si="242"/>
        <v>163.7682107</v>
      </c>
      <c r="I872">
        <v>1</v>
      </c>
      <c r="J872">
        <f t="shared" si="238"/>
        <v>0.14391953574611807</v>
      </c>
      <c r="K872">
        <f t="shared" si="243"/>
        <v>2.3032294750870435</v>
      </c>
      <c r="O872">
        <f t="shared" si="244"/>
        <v>-9.5904350359582072E-2</v>
      </c>
      <c r="P872">
        <f t="shared" si="245"/>
        <v>0.10664227850628642</v>
      </c>
      <c r="Q872">
        <f t="shared" si="246"/>
        <v>0.98966144717125071</v>
      </c>
      <c r="R872">
        <f t="shared" si="236"/>
        <v>1</v>
      </c>
      <c r="AG872" s="8">
        <f t="shared" si="239"/>
        <v>-0.52377946244232043</v>
      </c>
      <c r="AH872" s="8">
        <f t="shared" si="240"/>
        <v>0.53330820748101715</v>
      </c>
      <c r="AI872" s="8">
        <f t="shared" si="241"/>
        <v>0.66425705156740211</v>
      </c>
      <c r="AJ872" s="8"/>
      <c r="AK872" s="8"/>
      <c r="AL872" s="8"/>
      <c r="AN872" s="8">
        <f t="shared" si="247"/>
        <v>1.0000000000000002</v>
      </c>
      <c r="AO872" s="8">
        <f t="shared" si="248"/>
        <v>2.3471805860132111</v>
      </c>
      <c r="AP872" s="8">
        <f t="shared" si="249"/>
        <v>0.8442968535888743</v>
      </c>
      <c r="AQ872" s="8"/>
      <c r="AR872" s="8">
        <f t="shared" si="250"/>
        <v>134.4835413336003</v>
      </c>
      <c r="AS872" s="8">
        <f t="shared" si="251"/>
        <v>41.625353633182712</v>
      </c>
    </row>
    <row r="873" spans="1:45">
      <c r="A873" s="19">
        <v>28.061366670000002</v>
      </c>
      <c r="B873" s="19">
        <v>811.71710380000002</v>
      </c>
      <c r="C873" s="19">
        <v>-375.95399620000001</v>
      </c>
      <c r="E873" s="9">
        <f t="shared" si="237"/>
        <v>-148.28289619999998</v>
      </c>
      <c r="F873" s="9">
        <f t="shared" si="242"/>
        <v>164.04600379999999</v>
      </c>
      <c r="I873">
        <v>1</v>
      </c>
      <c r="J873">
        <f t="shared" si="238"/>
        <v>0.14449168422628331</v>
      </c>
      <c r="K873">
        <f t="shared" si="243"/>
        <v>2.3057676990676144</v>
      </c>
      <c r="O873">
        <f t="shared" si="244"/>
        <v>-9.6554404107761865E-2</v>
      </c>
      <c r="P873">
        <f t="shared" si="245"/>
        <v>0.10681855122255596</v>
      </c>
      <c r="Q873">
        <f t="shared" si="246"/>
        <v>0.98957922581373403</v>
      </c>
      <c r="R873">
        <f t="shared" si="236"/>
        <v>1</v>
      </c>
      <c r="AG873" s="8">
        <f t="shared" si="239"/>
        <v>-0.52331298200747123</v>
      </c>
      <c r="AH873" s="8">
        <f t="shared" si="240"/>
        <v>0.53380018469165724</v>
      </c>
      <c r="AI873" s="8">
        <f t="shared" si="241"/>
        <v>0.66422954291841063</v>
      </c>
      <c r="AJ873" s="8"/>
      <c r="AK873" s="8"/>
      <c r="AL873" s="8"/>
      <c r="AN873" s="8">
        <f t="shared" si="247"/>
        <v>1</v>
      </c>
      <c r="AO873" s="8">
        <f t="shared" si="248"/>
        <v>2.3462742101407486</v>
      </c>
      <c r="AP873" s="8">
        <f t="shared" si="249"/>
        <v>0.84433365364728108</v>
      </c>
      <c r="AQ873" s="8"/>
      <c r="AR873" s="8">
        <f t="shared" si="250"/>
        <v>134.43160982145571</v>
      </c>
      <c r="AS873" s="8">
        <f t="shared" si="251"/>
        <v>41.623245145150165</v>
      </c>
    </row>
    <row r="874" spans="1:45">
      <c r="A874" s="19">
        <v>28.09473333</v>
      </c>
      <c r="B874" s="19">
        <v>810.99239639999996</v>
      </c>
      <c r="C874" s="19">
        <v>-375.724267</v>
      </c>
      <c r="E874" s="9">
        <f t="shared" si="237"/>
        <v>-149.00760360000004</v>
      </c>
      <c r="F874" s="9">
        <f t="shared" si="242"/>
        <v>164.275733</v>
      </c>
      <c r="I874">
        <v>1</v>
      </c>
      <c r="J874">
        <f t="shared" si="238"/>
        <v>0.14491906292011664</v>
      </c>
      <c r="K874">
        <f t="shared" si="243"/>
        <v>2.3074971717743313</v>
      </c>
      <c r="O874">
        <f t="shared" si="244"/>
        <v>-9.7023131875426313E-2</v>
      </c>
      <c r="P874">
        <f t="shared" si="245"/>
        <v>0.10696464959987667</v>
      </c>
      <c r="Q874">
        <f t="shared" si="246"/>
        <v>0.989517597426675</v>
      </c>
      <c r="R874">
        <f t="shared" si="236"/>
        <v>1</v>
      </c>
      <c r="AG874" s="8">
        <f t="shared" si="239"/>
        <v>-0.52296361646758183</v>
      </c>
      <c r="AH874" s="8">
        <f t="shared" si="240"/>
        <v>0.53415054168398912</v>
      </c>
      <c r="AI874" s="8">
        <f t="shared" si="241"/>
        <v>0.66422304587378556</v>
      </c>
      <c r="AJ874" s="8"/>
      <c r="AK874" s="8"/>
      <c r="AL874" s="8"/>
      <c r="AN874" s="8">
        <f t="shared" si="247"/>
        <v>1</v>
      </c>
      <c r="AO874" s="8">
        <f t="shared" si="248"/>
        <v>2.3456123713627175</v>
      </c>
      <c r="AP874" s="8">
        <f t="shared" si="249"/>
        <v>0.84434234497884797</v>
      </c>
      <c r="AQ874" s="8"/>
      <c r="AR874" s="8">
        <f t="shared" si="250"/>
        <v>134.39368925275645</v>
      </c>
      <c r="AS874" s="8">
        <f t="shared" si="251"/>
        <v>41.622747168533039</v>
      </c>
    </row>
    <row r="875" spans="1:45">
      <c r="A875" s="19">
        <v>28.1281</v>
      </c>
      <c r="B875" s="19">
        <v>810.35383260000003</v>
      </c>
      <c r="C875" s="19">
        <v>-375.65845030000003</v>
      </c>
      <c r="E875" s="9">
        <f t="shared" si="237"/>
        <v>-149.64616739999997</v>
      </c>
      <c r="F875" s="9">
        <f t="shared" si="242"/>
        <v>164.34154969999997</v>
      </c>
      <c r="I875">
        <v>1</v>
      </c>
      <c r="J875">
        <f t="shared" si="238"/>
        <v>0.14523022669584168</v>
      </c>
      <c r="K875">
        <f t="shared" si="243"/>
        <v>2.3094262070080172</v>
      </c>
      <c r="O875">
        <f t="shared" si="244"/>
        <v>-9.7436587985767972E-2</v>
      </c>
      <c r="P875">
        <f t="shared" si="245"/>
        <v>0.10700494469904824</v>
      </c>
      <c r="Q875">
        <f t="shared" si="246"/>
        <v>0.98947261363397288</v>
      </c>
      <c r="R875">
        <f t="shared" si="236"/>
        <v>1</v>
      </c>
      <c r="AG875" s="8">
        <f t="shared" si="239"/>
        <v>-0.5227151035390174</v>
      </c>
      <c r="AH875" s="8">
        <f t="shared" si="240"/>
        <v>0.53447931616854205</v>
      </c>
      <c r="AI875" s="8">
        <f t="shared" si="241"/>
        <v>0.66415418474944676</v>
      </c>
      <c r="AJ875" s="8"/>
      <c r="AK875" s="8"/>
      <c r="AL875" s="8"/>
      <c r="AN875" s="8">
        <f t="shared" si="247"/>
        <v>1.0000000000000002</v>
      </c>
      <c r="AO875" s="8">
        <f t="shared" si="248"/>
        <v>2.3450671829820022</v>
      </c>
      <c r="AP875" s="8">
        <f t="shared" si="249"/>
        <v>0.84443445887006807</v>
      </c>
      <c r="AQ875" s="8"/>
      <c r="AR875" s="8">
        <f t="shared" si="250"/>
        <v>134.36245225950188</v>
      </c>
      <c r="AS875" s="8">
        <f t="shared" si="251"/>
        <v>41.6174694313316</v>
      </c>
    </row>
    <row r="876" spans="1:45">
      <c r="A876" s="19">
        <v>28.161466669999999</v>
      </c>
      <c r="B876" s="19">
        <v>809.59754710000004</v>
      </c>
      <c r="C876" s="19">
        <v>-375.64361580000002</v>
      </c>
      <c r="E876" s="9">
        <f t="shared" si="237"/>
        <v>-150.40245289999996</v>
      </c>
      <c r="F876" s="9">
        <f t="shared" si="242"/>
        <v>164.35638419999998</v>
      </c>
      <c r="I876">
        <v>1</v>
      </c>
      <c r="J876">
        <f t="shared" si="238"/>
        <v>0.14556912112743928</v>
      </c>
      <c r="K876">
        <f t="shared" si="243"/>
        <v>2.31189136340857</v>
      </c>
      <c r="O876">
        <f t="shared" si="244"/>
        <v>-9.7926447773878947E-2</v>
      </c>
      <c r="P876">
        <f t="shared" si="245"/>
        <v>0.10701179776879086</v>
      </c>
      <c r="Q876">
        <f t="shared" si="246"/>
        <v>0.98942351193241873</v>
      </c>
      <c r="R876">
        <f t="shared" si="236"/>
        <v>1</v>
      </c>
      <c r="AG876" s="8">
        <f t="shared" si="239"/>
        <v>-0.52244811978602446</v>
      </c>
      <c r="AH876" s="8">
        <f t="shared" si="240"/>
        <v>0.53487789051567602</v>
      </c>
      <c r="AI876" s="8">
        <f t="shared" si="241"/>
        <v>0.66404337536756453</v>
      </c>
      <c r="AJ876" s="8"/>
      <c r="AK876" s="8"/>
      <c r="AL876" s="8"/>
      <c r="AN876" s="8">
        <f t="shared" si="247"/>
        <v>0.99999999999999989</v>
      </c>
      <c r="AO876" s="8">
        <f t="shared" si="248"/>
        <v>2.3444391772070912</v>
      </c>
      <c r="AP876" s="8">
        <f t="shared" si="249"/>
        <v>0.84458267012753085</v>
      </c>
      <c r="AQ876" s="8"/>
      <c r="AR876" s="8">
        <f t="shared" si="250"/>
        <v>134.32647017908963</v>
      </c>
      <c r="AS876" s="8">
        <f t="shared" si="251"/>
        <v>41.608977551802653</v>
      </c>
    </row>
    <row r="877" spans="1:45">
      <c r="A877" s="19">
        <v>28.194833330000002</v>
      </c>
      <c r="B877" s="19">
        <v>809.29507230000002</v>
      </c>
      <c r="C877" s="19">
        <v>-375.57398310000002</v>
      </c>
      <c r="E877" s="9">
        <f t="shared" si="237"/>
        <v>-150.70492769999998</v>
      </c>
      <c r="F877" s="9">
        <f t="shared" si="242"/>
        <v>164.42601689999998</v>
      </c>
      <c r="I877">
        <v>1</v>
      </c>
      <c r="J877">
        <f t="shared" si="238"/>
        <v>0.14573545017084433</v>
      </c>
      <c r="K877">
        <f t="shared" si="243"/>
        <v>2.3126810605530004</v>
      </c>
      <c r="O877">
        <f t="shared" si="244"/>
        <v>-9.8122119110714598E-2</v>
      </c>
      <c r="P877">
        <f t="shared" si="245"/>
        <v>0.10705575100556039</v>
      </c>
      <c r="Q877">
        <f t="shared" si="246"/>
        <v>0.98939937129445266</v>
      </c>
      <c r="R877">
        <f t="shared" si="236"/>
        <v>1</v>
      </c>
      <c r="AG877" s="8">
        <f t="shared" si="239"/>
        <v>-0.52231361098210449</v>
      </c>
      <c r="AH877" s="8">
        <f t="shared" si="240"/>
        <v>0.53502783966167256</v>
      </c>
      <c r="AI877" s="8">
        <f t="shared" si="241"/>
        <v>0.66402838988238932</v>
      </c>
      <c r="AJ877" s="8"/>
      <c r="AK877" s="8"/>
      <c r="AL877" s="8"/>
      <c r="AN877" s="8">
        <f t="shared" si="247"/>
        <v>1</v>
      </c>
      <c r="AO877" s="8">
        <f t="shared" si="248"/>
        <v>2.3441703555803404</v>
      </c>
      <c r="AP877" s="8">
        <f t="shared" si="249"/>
        <v>0.8446027122179619</v>
      </c>
      <c r="AQ877" s="8"/>
      <c r="AR877" s="8">
        <f t="shared" si="250"/>
        <v>134.31106783443497</v>
      </c>
      <c r="AS877" s="8">
        <f t="shared" si="251"/>
        <v>41.607829224608331</v>
      </c>
    </row>
    <row r="878" spans="1:45">
      <c r="A878" s="19">
        <v>28.228200000000001</v>
      </c>
      <c r="B878" s="19">
        <v>808.64961889999995</v>
      </c>
      <c r="C878" s="19">
        <v>-375.4927697</v>
      </c>
      <c r="E878" s="9">
        <f t="shared" si="237"/>
        <v>-151.35038110000005</v>
      </c>
      <c r="F878" s="9">
        <f t="shared" si="242"/>
        <v>164.5072303</v>
      </c>
      <c r="I878">
        <v>1</v>
      </c>
      <c r="J878">
        <f t="shared" si="238"/>
        <v>0.14605840059308564</v>
      </c>
      <c r="K878">
        <f t="shared" si="243"/>
        <v>2.3145641883913535</v>
      </c>
      <c r="O878">
        <f t="shared" si="244"/>
        <v>-9.8539880238211447E-2</v>
      </c>
      <c r="P878">
        <f t="shared" si="245"/>
        <v>0.1071059263562163</v>
      </c>
      <c r="Q878">
        <f t="shared" si="246"/>
        <v>0.9893524207995934</v>
      </c>
      <c r="R878">
        <f t="shared" si="236"/>
        <v>1</v>
      </c>
      <c r="AG878" s="8">
        <f t="shared" si="239"/>
        <v>-0.52205582061616562</v>
      </c>
      <c r="AH878" s="8">
        <f t="shared" si="240"/>
        <v>0.53535769463512994</v>
      </c>
      <c r="AI878" s="8">
        <f t="shared" si="241"/>
        <v>0.66396525432867426</v>
      </c>
      <c r="AJ878" s="8"/>
      <c r="AK878" s="8"/>
      <c r="AL878" s="8"/>
      <c r="AN878" s="8">
        <f t="shared" si="247"/>
        <v>1.0000000000000002</v>
      </c>
      <c r="AO878" s="8">
        <f t="shared" si="248"/>
        <v>2.3436155206289384</v>
      </c>
      <c r="AP878" s="8">
        <f t="shared" si="249"/>
        <v>0.84468714790769939</v>
      </c>
      <c r="AQ878" s="8"/>
      <c r="AR878" s="8">
        <f t="shared" si="250"/>
        <v>134.27927813339329</v>
      </c>
      <c r="AS878" s="8">
        <f t="shared" si="251"/>
        <v>41.6029914159461</v>
      </c>
    </row>
    <row r="879" spans="1:45">
      <c r="A879" s="19">
        <v>28.261566670000001</v>
      </c>
      <c r="B879" s="19">
        <v>808.22602659999995</v>
      </c>
      <c r="C879" s="19">
        <v>-375.36129410000001</v>
      </c>
      <c r="E879" s="9">
        <f t="shared" si="237"/>
        <v>-151.77397340000005</v>
      </c>
      <c r="F879" s="9">
        <f t="shared" si="242"/>
        <v>164.63870589999999</v>
      </c>
      <c r="I879">
        <v>1</v>
      </c>
      <c r="J879">
        <f t="shared" si="238"/>
        <v>0.14630799936026784</v>
      </c>
      <c r="K879">
        <f t="shared" si="243"/>
        <v>2.3155587901873345</v>
      </c>
      <c r="O879">
        <f t="shared" si="244"/>
        <v>-9.8813732165032267E-2</v>
      </c>
      <c r="P879">
        <f t="shared" si="245"/>
        <v>0.10718942533002244</v>
      </c>
      <c r="Q879">
        <f t="shared" si="246"/>
        <v>0.98931606346659351</v>
      </c>
      <c r="R879">
        <f t="shared" si="236"/>
        <v>1</v>
      </c>
      <c r="AG879" s="8">
        <f t="shared" si="239"/>
        <v>-0.52185260618902185</v>
      </c>
      <c r="AH879" s="8">
        <f t="shared" si="240"/>
        <v>0.53556254333148368</v>
      </c>
      <c r="AI879" s="8">
        <f t="shared" si="241"/>
        <v>0.66395980269443911</v>
      </c>
      <c r="AJ879" s="8"/>
      <c r="AK879" s="8"/>
      <c r="AL879" s="8"/>
      <c r="AN879" s="8">
        <f t="shared" si="247"/>
        <v>1.0000000000000002</v>
      </c>
      <c r="AO879" s="8">
        <f t="shared" si="248"/>
        <v>2.3432296967607655</v>
      </c>
      <c r="AP879" s="8">
        <f t="shared" si="249"/>
        <v>0.84469443847099934</v>
      </c>
      <c r="AQ879" s="8"/>
      <c r="AR879" s="8">
        <f t="shared" si="250"/>
        <v>134.25717205411158</v>
      </c>
      <c r="AS879" s="8">
        <f t="shared" si="251"/>
        <v>41.602573697438736</v>
      </c>
    </row>
    <row r="880" spans="1:45">
      <c r="A880" s="19">
        <v>28.294933329999999</v>
      </c>
      <c r="B880" s="19">
        <v>807.54632949999996</v>
      </c>
      <c r="C880" s="19">
        <v>-375.11143509999999</v>
      </c>
      <c r="E880" s="9">
        <f t="shared" si="237"/>
        <v>-152.45367050000004</v>
      </c>
      <c r="F880" s="9">
        <f t="shared" si="242"/>
        <v>164.88856490000001</v>
      </c>
      <c r="I880">
        <v>1</v>
      </c>
      <c r="J880">
        <f t="shared" si="238"/>
        <v>0.14672735135476153</v>
      </c>
      <c r="K880">
        <f t="shared" si="243"/>
        <v>2.3170300343147026</v>
      </c>
      <c r="O880">
        <f t="shared" si="244"/>
        <v>-9.9252965585518674E-2</v>
      </c>
      <c r="P880">
        <f t="shared" si="245"/>
        <v>0.10734854073234835</v>
      </c>
      <c r="Q880">
        <f t="shared" si="246"/>
        <v>0.98925484058715385</v>
      </c>
      <c r="R880">
        <f t="shared" si="236"/>
        <v>1</v>
      </c>
      <c r="AG880" s="8">
        <f t="shared" si="239"/>
        <v>-0.52150954780689396</v>
      </c>
      <c r="AH880" s="8">
        <f t="shared" si="240"/>
        <v>0.53588537570942107</v>
      </c>
      <c r="AI880" s="8">
        <f t="shared" si="241"/>
        <v>0.66396886647419062</v>
      </c>
      <c r="AJ880" s="8"/>
      <c r="AK880" s="8"/>
      <c r="AL880" s="8"/>
      <c r="AN880" s="8">
        <f t="shared" si="247"/>
        <v>1</v>
      </c>
      <c r="AO880" s="8">
        <f t="shared" si="248"/>
        <v>2.3425998133616739</v>
      </c>
      <c r="AP880" s="8">
        <f t="shared" si="249"/>
        <v>0.8446823172979927</v>
      </c>
      <c r="AQ880" s="8"/>
      <c r="AR880" s="8">
        <f t="shared" si="250"/>
        <v>134.22108239375828</v>
      </c>
      <c r="AS880" s="8">
        <f t="shared" si="251"/>
        <v>41.60326818949477</v>
      </c>
    </row>
    <row r="881" spans="1:45">
      <c r="A881" s="19">
        <v>28.328299999999999</v>
      </c>
      <c r="B881" s="19">
        <v>806.76209759999995</v>
      </c>
      <c r="C881" s="19">
        <v>-374.96345639999998</v>
      </c>
      <c r="E881" s="9">
        <f t="shared" si="237"/>
        <v>-153.23790240000005</v>
      </c>
      <c r="F881" s="9">
        <f t="shared" si="242"/>
        <v>165.03654360000002</v>
      </c>
      <c r="I881">
        <v>1</v>
      </c>
      <c r="J881">
        <f t="shared" si="238"/>
        <v>0.14714465018631942</v>
      </c>
      <c r="K881">
        <f t="shared" si="243"/>
        <v>2.319140805533447</v>
      </c>
      <c r="O881">
        <f t="shared" si="244"/>
        <v>-9.976021404428885E-2</v>
      </c>
      <c r="P881">
        <f t="shared" si="245"/>
        <v>0.10744130960295371</v>
      </c>
      <c r="Q881">
        <f t="shared" si="246"/>
        <v>0.98919374476623123</v>
      </c>
      <c r="R881">
        <f t="shared" si="236"/>
        <v>1</v>
      </c>
      <c r="AG881" s="8">
        <f t="shared" si="239"/>
        <v>-0.52117462991306862</v>
      </c>
      <c r="AH881" s="8">
        <f t="shared" si="240"/>
        <v>0.53627845441720245</v>
      </c>
      <c r="AI881" s="8">
        <f t="shared" si="241"/>
        <v>0.66391447074368881</v>
      </c>
      <c r="AJ881" s="8"/>
      <c r="AK881" s="8"/>
      <c r="AL881" s="8"/>
      <c r="AN881" s="8">
        <f t="shared" si="247"/>
        <v>1</v>
      </c>
      <c r="AO881" s="8">
        <f t="shared" si="248"/>
        <v>2.3419122513462161</v>
      </c>
      <c r="AP881" s="8">
        <f t="shared" si="249"/>
        <v>0.84475505983298882</v>
      </c>
      <c r="AQ881" s="8"/>
      <c r="AR881" s="8">
        <f t="shared" si="250"/>
        <v>134.18168799211904</v>
      </c>
      <c r="AS881" s="8">
        <f t="shared" si="251"/>
        <v>41.59910034924841</v>
      </c>
    </row>
    <row r="882" spans="1:45">
      <c r="A882" s="19">
        <v>28.361666670000002</v>
      </c>
      <c r="B882" s="19">
        <v>806.28430900000001</v>
      </c>
      <c r="C882" s="19">
        <v>-374.70304499999997</v>
      </c>
      <c r="E882" s="9">
        <f t="shared" si="237"/>
        <v>-153.71569099999999</v>
      </c>
      <c r="F882" s="9">
        <f t="shared" si="242"/>
        <v>165.29695500000003</v>
      </c>
      <c r="I882">
        <v>1</v>
      </c>
      <c r="J882">
        <f t="shared" si="238"/>
        <v>0.14748025405941947</v>
      </c>
      <c r="K882">
        <f t="shared" si="243"/>
        <v>2.3199069625496405</v>
      </c>
      <c r="O882">
        <f t="shared" si="244"/>
        <v>-0.10006856848584547</v>
      </c>
      <c r="P882">
        <f t="shared" si="245"/>
        <v>0.10760794525471849</v>
      </c>
      <c r="Q882">
        <f t="shared" si="246"/>
        <v>0.98914448475399752</v>
      </c>
      <c r="R882">
        <f t="shared" si="236"/>
        <v>1</v>
      </c>
      <c r="AG882" s="8">
        <f t="shared" si="239"/>
        <v>-0.52089649895740453</v>
      </c>
      <c r="AH882" s="8">
        <f t="shared" si="240"/>
        <v>0.53649263543771075</v>
      </c>
      <c r="AI882" s="8">
        <f t="shared" si="241"/>
        <v>0.6639597047223712</v>
      </c>
      <c r="AJ882" s="8"/>
      <c r="AK882" s="8"/>
      <c r="AL882" s="8"/>
      <c r="AN882" s="8">
        <f t="shared" si="247"/>
        <v>1</v>
      </c>
      <c r="AO882" s="8">
        <f t="shared" si="248"/>
        <v>2.3414458937418479</v>
      </c>
      <c r="AP882" s="8">
        <f t="shared" si="249"/>
        <v>0.84469456949028221</v>
      </c>
      <c r="AQ882" s="8"/>
      <c r="AR882" s="8">
        <f t="shared" si="250"/>
        <v>134.15496766964489</v>
      </c>
      <c r="AS882" s="8">
        <f t="shared" si="251"/>
        <v>41.602566190586799</v>
      </c>
    </row>
    <row r="883" spans="1:45">
      <c r="A883" s="19">
        <v>28.39503333</v>
      </c>
      <c r="B883" s="19">
        <v>805.54546630000004</v>
      </c>
      <c r="C883" s="19">
        <v>-374.59003580000001</v>
      </c>
      <c r="E883" s="9">
        <f t="shared" si="237"/>
        <v>-154.45453369999996</v>
      </c>
      <c r="F883" s="9">
        <f t="shared" si="242"/>
        <v>165.40996419999999</v>
      </c>
      <c r="I883">
        <v>1</v>
      </c>
      <c r="J883">
        <f t="shared" si="238"/>
        <v>0.1478615980027046</v>
      </c>
      <c r="K883">
        <f t="shared" si="243"/>
        <v>2.3219576501331529</v>
      </c>
      <c r="O883">
        <f t="shared" si="244"/>
        <v>-0.10054645829012857</v>
      </c>
      <c r="P883">
        <f t="shared" si="245"/>
        <v>0.10767819932375972</v>
      </c>
      <c r="Q883">
        <f t="shared" si="246"/>
        <v>0.98908837578636222</v>
      </c>
      <c r="R883">
        <f t="shared" si="236"/>
        <v>1</v>
      </c>
      <c r="AG883" s="8">
        <f t="shared" si="239"/>
        <v>-0.52059227972209599</v>
      </c>
      <c r="AH883" s="8">
        <f t="shared" si="240"/>
        <v>0.53686661008285252</v>
      </c>
      <c r="AI883" s="8">
        <f t="shared" si="241"/>
        <v>0.6638960169122099</v>
      </c>
      <c r="AJ883" s="8"/>
      <c r="AK883" s="8"/>
      <c r="AL883" s="8"/>
      <c r="AN883" s="8">
        <f t="shared" si="247"/>
        <v>0.99999999999999989</v>
      </c>
      <c r="AO883" s="8">
        <f t="shared" si="248"/>
        <v>2.3408056691001682</v>
      </c>
      <c r="AP883" s="8">
        <f t="shared" si="249"/>
        <v>0.84477973677763107</v>
      </c>
      <c r="AQ883" s="8"/>
      <c r="AR883" s="8">
        <f t="shared" si="250"/>
        <v>134.11828549973637</v>
      </c>
      <c r="AS883" s="8">
        <f t="shared" si="251"/>
        <v>41.597686464469128</v>
      </c>
    </row>
    <row r="884" spans="1:45">
      <c r="A884" s="19">
        <v>28.4284</v>
      </c>
      <c r="B884" s="19">
        <v>804.94758839999997</v>
      </c>
      <c r="C884" s="19">
        <v>-374.51685459999999</v>
      </c>
      <c r="E884" s="9">
        <f t="shared" si="237"/>
        <v>-155.05241160000003</v>
      </c>
      <c r="F884" s="9">
        <f t="shared" si="242"/>
        <v>165.48314540000001</v>
      </c>
      <c r="I884">
        <v>1</v>
      </c>
      <c r="J884">
        <f t="shared" si="238"/>
        <v>0.14816194304392111</v>
      </c>
      <c r="K884">
        <f t="shared" si="243"/>
        <v>2.3236643885575115</v>
      </c>
      <c r="O884">
        <f t="shared" si="244"/>
        <v>-0.10093320122212228</v>
      </c>
      <c r="P884">
        <f t="shared" si="245"/>
        <v>0.10772321075932192</v>
      </c>
      <c r="Q884">
        <f t="shared" si="246"/>
        <v>0.9890440833222538</v>
      </c>
      <c r="R884">
        <f t="shared" si="236"/>
        <v>1</v>
      </c>
      <c r="AG884" s="8">
        <f t="shared" si="239"/>
        <v>-0.52035397108785997</v>
      </c>
      <c r="AH884" s="8">
        <f t="shared" si="240"/>
        <v>0.53717182975868993</v>
      </c>
      <c r="AI884" s="8">
        <f t="shared" si="241"/>
        <v>0.66383595118582994</v>
      </c>
      <c r="AJ884" s="8"/>
      <c r="AK884" s="8"/>
      <c r="AL884" s="8"/>
      <c r="AN884" s="8">
        <f t="shared" si="247"/>
        <v>1</v>
      </c>
      <c r="AO884" s="8">
        <f t="shared" si="248"/>
        <v>2.3402928061934292</v>
      </c>
      <c r="AP884" s="8">
        <f t="shared" si="249"/>
        <v>0.8448600544899656</v>
      </c>
      <c r="AQ884" s="8"/>
      <c r="AR884" s="8">
        <f t="shared" si="250"/>
        <v>134.08890061971141</v>
      </c>
      <c r="AS884" s="8">
        <f t="shared" si="251"/>
        <v>41.593084598532215</v>
      </c>
    </row>
    <row r="885" spans="1:45">
      <c r="A885" s="19">
        <v>28.461766669999999</v>
      </c>
      <c r="B885" s="19">
        <v>804.45573000000002</v>
      </c>
      <c r="C885" s="19">
        <v>-374.56032599999998</v>
      </c>
      <c r="E885" s="9">
        <f t="shared" si="237"/>
        <v>-155.54426999999998</v>
      </c>
      <c r="F885" s="9">
        <f t="shared" si="242"/>
        <v>165.43967400000002</v>
      </c>
      <c r="I885">
        <v>1</v>
      </c>
      <c r="J885">
        <f t="shared" si="238"/>
        <v>0.14836021226039939</v>
      </c>
      <c r="K885">
        <f t="shared" si="243"/>
        <v>2.3253759051805538</v>
      </c>
      <c r="O885">
        <f t="shared" si="244"/>
        <v>-0.10125174437428554</v>
      </c>
      <c r="P885">
        <f t="shared" si="245"/>
        <v>0.10769317044731476</v>
      </c>
      <c r="Q885">
        <f t="shared" si="246"/>
        <v>0.98901479528881164</v>
      </c>
      <c r="R885">
        <f t="shared" si="236"/>
        <v>1</v>
      </c>
      <c r="AG885" s="8">
        <f t="shared" si="239"/>
        <v>-0.52020294500010222</v>
      </c>
      <c r="AH885" s="8">
        <f t="shared" si="240"/>
        <v>0.53743821798681379</v>
      </c>
      <c r="AI885" s="8">
        <f t="shared" si="241"/>
        <v>0.66373869697372534</v>
      </c>
      <c r="AJ885" s="8"/>
      <c r="AK885" s="8"/>
      <c r="AL885" s="8"/>
      <c r="AN885" s="8">
        <f t="shared" si="247"/>
        <v>1.0000000000000002</v>
      </c>
      <c r="AO885" s="8">
        <f t="shared" si="248"/>
        <v>2.3398999772922235</v>
      </c>
      <c r="AP885" s="8">
        <f t="shared" si="249"/>
        <v>0.84499008715801494</v>
      </c>
      <c r="AQ885" s="8"/>
      <c r="AR885" s="8">
        <f t="shared" si="250"/>
        <v>134.06639318160157</v>
      </c>
      <c r="AS885" s="8">
        <f t="shared" si="251"/>
        <v>41.585634275454161</v>
      </c>
    </row>
    <row r="886" spans="1:45">
      <c r="A886" s="19">
        <v>28.495133330000002</v>
      </c>
      <c r="B886" s="19">
        <v>803.78203120000001</v>
      </c>
      <c r="C886" s="19">
        <v>-374.54291749999999</v>
      </c>
      <c r="E886" s="9">
        <f t="shared" si="237"/>
        <v>-156.21796879999999</v>
      </c>
      <c r="F886" s="9">
        <f t="shared" si="242"/>
        <v>165.45708250000001</v>
      </c>
      <c r="I886">
        <v>1</v>
      </c>
      <c r="J886">
        <f t="shared" si="238"/>
        <v>0.14866884272621658</v>
      </c>
      <c r="K886">
        <f t="shared" si="243"/>
        <v>2.3274804996995675</v>
      </c>
      <c r="O886">
        <f t="shared" si="244"/>
        <v>-0.10168771725941324</v>
      </c>
      <c r="P886">
        <f t="shared" si="245"/>
        <v>0.10770177818255836</v>
      </c>
      <c r="Q886">
        <f t="shared" si="246"/>
        <v>0.98896912749331289</v>
      </c>
      <c r="R886">
        <f t="shared" si="236"/>
        <v>1</v>
      </c>
      <c r="AG886" s="8">
        <f t="shared" si="239"/>
        <v>-0.51996255147711312</v>
      </c>
      <c r="AH886" s="8">
        <f t="shared" si="240"/>
        <v>0.53779158209539246</v>
      </c>
      <c r="AI886" s="8">
        <f t="shared" si="241"/>
        <v>0.66364083606175506</v>
      </c>
      <c r="AJ886" s="8"/>
      <c r="AK886" s="8"/>
      <c r="AL886" s="8"/>
      <c r="AN886" s="8">
        <f t="shared" si="247"/>
        <v>1</v>
      </c>
      <c r="AO886" s="8">
        <f t="shared" si="248"/>
        <v>2.3393405334233637</v>
      </c>
      <c r="AP886" s="8">
        <f t="shared" si="249"/>
        <v>0.84512091586398796</v>
      </c>
      <c r="AQ886" s="8"/>
      <c r="AR886" s="8">
        <f t="shared" si="250"/>
        <v>134.03433940904142</v>
      </c>
      <c r="AS886" s="8">
        <f t="shared" si="251"/>
        <v>41.578138342762749</v>
      </c>
    </row>
    <row r="887" spans="1:45">
      <c r="A887" s="19">
        <v>28.528500000000001</v>
      </c>
      <c r="B887" s="19">
        <v>803.34915699999999</v>
      </c>
      <c r="C887" s="19">
        <v>-374.42681449999998</v>
      </c>
      <c r="E887" s="9">
        <f t="shared" si="237"/>
        <v>-156.65084300000001</v>
      </c>
      <c r="F887" s="9">
        <f t="shared" si="242"/>
        <v>165.57318550000002</v>
      </c>
      <c r="I887">
        <v>1</v>
      </c>
      <c r="J887">
        <f t="shared" si="238"/>
        <v>0.14891702418494041</v>
      </c>
      <c r="K887">
        <f t="shared" si="243"/>
        <v>2.3285116905880607</v>
      </c>
      <c r="O887">
        <f t="shared" si="244"/>
        <v>-0.10196740573547529</v>
      </c>
      <c r="P887">
        <f t="shared" si="245"/>
        <v>0.1077751505288332</v>
      </c>
      <c r="Q887">
        <f t="shared" si="246"/>
        <v>0.98893233595431806</v>
      </c>
      <c r="R887">
        <f t="shared" si="236"/>
        <v>1</v>
      </c>
      <c r="AG887" s="8">
        <f t="shared" si="239"/>
        <v>-0.51976243589784044</v>
      </c>
      <c r="AH887" s="8">
        <f t="shared" si="240"/>
        <v>0.53800301309973397</v>
      </c>
      <c r="AI887" s="8">
        <f t="shared" si="241"/>
        <v>0.66362622621860767</v>
      </c>
      <c r="AJ887" s="8"/>
      <c r="AK887" s="8"/>
      <c r="AL887" s="8"/>
      <c r="AN887" s="8">
        <f t="shared" si="247"/>
        <v>0.99999999999999978</v>
      </c>
      <c r="AO887" s="8">
        <f t="shared" si="248"/>
        <v>2.3389517550758736</v>
      </c>
      <c r="AP887" s="8">
        <f t="shared" si="249"/>
        <v>0.8451404462295693</v>
      </c>
      <c r="AQ887" s="8"/>
      <c r="AR887" s="8">
        <f t="shared" si="250"/>
        <v>134.01206405056419</v>
      </c>
      <c r="AS887" s="8">
        <f t="shared" si="251"/>
        <v>41.577019335242589</v>
      </c>
    </row>
    <row r="888" spans="1:45">
      <c r="A888" s="19">
        <v>28.561866670000001</v>
      </c>
      <c r="B888" s="19">
        <v>802.62276880000002</v>
      </c>
      <c r="C888" s="19">
        <v>-374.12926770000001</v>
      </c>
      <c r="E888" s="9">
        <f t="shared" si="237"/>
        <v>-157.37723119999998</v>
      </c>
      <c r="F888" s="9">
        <f t="shared" si="242"/>
        <v>165.87073229999999</v>
      </c>
      <c r="I888">
        <v>1</v>
      </c>
      <c r="J888">
        <f t="shared" si="238"/>
        <v>0.14938224238002928</v>
      </c>
      <c r="K888">
        <f t="shared" si="243"/>
        <v>2.3299250369385534</v>
      </c>
      <c r="O888">
        <f t="shared" si="244"/>
        <v>-0.10243627734068747</v>
      </c>
      <c r="P888">
        <f t="shared" si="245"/>
        <v>0.10796466685192088</v>
      </c>
      <c r="Q888">
        <f t="shared" si="246"/>
        <v>0.98886320580560361</v>
      </c>
      <c r="R888">
        <f t="shared" si="236"/>
        <v>1</v>
      </c>
      <c r="AG888" s="8">
        <f t="shared" si="239"/>
        <v>-0.51938190014079022</v>
      </c>
      <c r="AH888" s="8">
        <f t="shared" si="240"/>
        <v>0.53834244611776239</v>
      </c>
      <c r="AI888" s="8">
        <f t="shared" si="241"/>
        <v>0.66364889249819925</v>
      </c>
      <c r="AJ888" s="8"/>
      <c r="AK888" s="8"/>
      <c r="AL888" s="8"/>
      <c r="AN888" s="8">
        <f t="shared" si="247"/>
        <v>1</v>
      </c>
      <c r="AO888" s="8">
        <f t="shared" si="248"/>
        <v>2.338270618489704</v>
      </c>
      <c r="AP888" s="8">
        <f t="shared" si="249"/>
        <v>0.84511014591510714</v>
      </c>
      <c r="AQ888" s="8"/>
      <c r="AR888" s="8">
        <f t="shared" si="250"/>
        <v>133.9730377989047</v>
      </c>
      <c r="AS888" s="8">
        <f t="shared" si="251"/>
        <v>41.578755415379192</v>
      </c>
    </row>
    <row r="889" spans="1:45">
      <c r="A889" s="19">
        <v>28.595233329999999</v>
      </c>
      <c r="B889" s="19">
        <v>802.23093389999997</v>
      </c>
      <c r="C889" s="19">
        <v>-374.29463070000003</v>
      </c>
      <c r="E889" s="9">
        <f t="shared" si="237"/>
        <v>-157.76906610000003</v>
      </c>
      <c r="F889" s="9">
        <f t="shared" si="242"/>
        <v>165.70536929999997</v>
      </c>
      <c r="I889">
        <v>1</v>
      </c>
      <c r="J889">
        <f t="shared" si="238"/>
        <v>0.14947980711892445</v>
      </c>
      <c r="K889">
        <f t="shared" si="243"/>
        <v>2.3316648504391466</v>
      </c>
      <c r="O889">
        <f t="shared" si="244"/>
        <v>-0.10269048670664943</v>
      </c>
      <c r="P889">
        <f t="shared" si="245"/>
        <v>0.10785615611451027</v>
      </c>
      <c r="Q889">
        <f t="shared" si="246"/>
        <v>0.98884868080417332</v>
      </c>
      <c r="R889">
        <f t="shared" si="236"/>
        <v>1</v>
      </c>
      <c r="AG889" s="8">
        <f t="shared" si="239"/>
        <v>-0.5193182466152213</v>
      </c>
      <c r="AH889" s="8">
        <f t="shared" si="240"/>
        <v>0.53857381708674201</v>
      </c>
      <c r="AI889" s="8">
        <f t="shared" si="241"/>
        <v>0.66351096621013639</v>
      </c>
      <c r="AJ889" s="8"/>
      <c r="AK889" s="8"/>
      <c r="AL889" s="8"/>
      <c r="AN889" s="8">
        <f t="shared" si="247"/>
        <v>1</v>
      </c>
      <c r="AO889" s="8">
        <f t="shared" si="248"/>
        <v>2.3379946708953798</v>
      </c>
      <c r="AP889" s="8">
        <f t="shared" si="249"/>
        <v>0.84529451337217476</v>
      </c>
      <c r="AQ889" s="8"/>
      <c r="AR889" s="8">
        <f t="shared" si="250"/>
        <v>133.95722716638315</v>
      </c>
      <c r="AS889" s="8">
        <f t="shared" si="251"/>
        <v>41.568191938209658</v>
      </c>
    </row>
    <row r="890" spans="1:45">
      <c r="A890" s="19">
        <v>28.628599999999999</v>
      </c>
      <c r="B890" s="19">
        <v>801.31825030000005</v>
      </c>
      <c r="C890" s="19">
        <v>-373.96306140000002</v>
      </c>
      <c r="E890" s="9">
        <f t="shared" si="237"/>
        <v>-158.68174969999995</v>
      </c>
      <c r="F890" s="9">
        <f t="shared" si="242"/>
        <v>166.03693859999998</v>
      </c>
      <c r="I890">
        <v>1</v>
      </c>
      <c r="J890">
        <f t="shared" si="238"/>
        <v>0.1500452540815318</v>
      </c>
      <c r="K890">
        <f t="shared" si="243"/>
        <v>2.3335474062598394</v>
      </c>
      <c r="O890">
        <f t="shared" si="244"/>
        <v>-0.10327965145631104</v>
      </c>
      <c r="P890">
        <f t="shared" si="245"/>
        <v>0.1080668519215409</v>
      </c>
      <c r="Q890">
        <f t="shared" si="246"/>
        <v>0.98876431423814581</v>
      </c>
      <c r="R890">
        <f t="shared" si="236"/>
        <v>1</v>
      </c>
      <c r="AG890" s="8">
        <f t="shared" si="239"/>
        <v>-0.51885830390421006</v>
      </c>
      <c r="AH890" s="8">
        <f t="shared" si="240"/>
        <v>0.53900625546804526</v>
      </c>
      <c r="AI890" s="8">
        <f t="shared" si="241"/>
        <v>0.66351964329322077</v>
      </c>
      <c r="AJ890" s="8"/>
      <c r="AK890" s="8"/>
      <c r="AL890" s="8"/>
      <c r="AN890" s="8">
        <f t="shared" si="247"/>
        <v>1.0000000000000002</v>
      </c>
      <c r="AO890" s="8">
        <f t="shared" si="248"/>
        <v>2.3371509219731292</v>
      </c>
      <c r="AP890" s="8">
        <f t="shared" si="249"/>
        <v>0.84528291551656054</v>
      </c>
      <c r="AQ890" s="8"/>
      <c r="AR890" s="8">
        <f t="shared" si="250"/>
        <v>133.90888391416948</v>
      </c>
      <c r="AS890" s="8">
        <f t="shared" si="251"/>
        <v>41.568856446387755</v>
      </c>
    </row>
    <row r="891" spans="1:45">
      <c r="A891" s="19">
        <v>28.661966670000002</v>
      </c>
      <c r="B891" s="19">
        <v>800.57813920000001</v>
      </c>
      <c r="C891" s="19">
        <v>-373.79199679999999</v>
      </c>
      <c r="E891" s="9">
        <f t="shared" si="237"/>
        <v>-159.42186079999999</v>
      </c>
      <c r="F891" s="9">
        <f t="shared" si="242"/>
        <v>166.20800320000001</v>
      </c>
      <c r="I891">
        <v>1</v>
      </c>
      <c r="J891">
        <f t="shared" si="238"/>
        <v>0.15045823227211227</v>
      </c>
      <c r="K891">
        <f t="shared" si="243"/>
        <v>2.3353574571633331</v>
      </c>
      <c r="O891">
        <f t="shared" si="244"/>
        <v>-0.10375773977007338</v>
      </c>
      <c r="P891">
        <f t="shared" si="245"/>
        <v>0.10817441633907421</v>
      </c>
      <c r="Q891">
        <f t="shared" si="246"/>
        <v>0.98870249675395605</v>
      </c>
      <c r="R891">
        <f t="shared" si="236"/>
        <v>1</v>
      </c>
      <c r="AG891" s="8">
        <f t="shared" si="239"/>
        <v>-0.5185277363009585</v>
      </c>
      <c r="AH891" s="8">
        <f t="shared" si="240"/>
        <v>0.53937125714554179</v>
      </c>
      <c r="AI891" s="8">
        <f t="shared" si="241"/>
        <v>0.66348144936527165</v>
      </c>
      <c r="AJ891" s="8"/>
      <c r="AK891" s="8"/>
      <c r="AL891" s="8"/>
      <c r="AN891" s="8">
        <f t="shared" si="247"/>
        <v>1</v>
      </c>
      <c r="AO891" s="8">
        <f t="shared" si="248"/>
        <v>2.336494287752255</v>
      </c>
      <c r="AP891" s="8">
        <f t="shared" si="249"/>
        <v>0.84533396491972823</v>
      </c>
      <c r="AQ891" s="8"/>
      <c r="AR891" s="8">
        <f t="shared" si="250"/>
        <v>133.87126154462953</v>
      </c>
      <c r="AS891" s="8">
        <f t="shared" si="251"/>
        <v>41.565931531039581</v>
      </c>
    </row>
    <row r="892" spans="1:45">
      <c r="A892" s="19">
        <v>28.69533333</v>
      </c>
      <c r="B892" s="19">
        <v>800.00178930000004</v>
      </c>
      <c r="C892" s="19">
        <v>-373.7753088</v>
      </c>
      <c r="E892" s="9">
        <f t="shared" si="237"/>
        <v>-159.99821069999996</v>
      </c>
      <c r="F892" s="9">
        <f t="shared" si="242"/>
        <v>166.2246912</v>
      </c>
      <c r="I892">
        <v>1</v>
      </c>
      <c r="J892">
        <f t="shared" si="238"/>
        <v>0.15072557410875062</v>
      </c>
      <c r="K892">
        <f t="shared" si="243"/>
        <v>2.3371102243987534</v>
      </c>
      <c r="O892">
        <f t="shared" si="244"/>
        <v>-0.10413048396573633</v>
      </c>
      <c r="P892">
        <f t="shared" si="245"/>
        <v>0.10818281945768712</v>
      </c>
      <c r="Q892">
        <f t="shared" si="246"/>
        <v>0.98866238923266769</v>
      </c>
      <c r="R892">
        <f t="shared" si="236"/>
        <v>1</v>
      </c>
      <c r="AG892" s="8">
        <f t="shared" si="239"/>
        <v>-0.51832089402320858</v>
      </c>
      <c r="AH892" s="8">
        <f t="shared" si="240"/>
        <v>0.53967268949230407</v>
      </c>
      <c r="AI892" s="8">
        <f t="shared" si="241"/>
        <v>0.66339794922438888</v>
      </c>
      <c r="AJ892" s="8"/>
      <c r="AK892" s="8"/>
      <c r="AL892" s="8"/>
      <c r="AN892" s="8">
        <f t="shared" si="247"/>
        <v>0.99999999999999989</v>
      </c>
      <c r="AO892" s="8">
        <f t="shared" si="248"/>
        <v>2.3360158258547257</v>
      </c>
      <c r="AP892" s="8">
        <f t="shared" si="249"/>
        <v>0.84544556184638731</v>
      </c>
      <c r="AQ892" s="8"/>
      <c r="AR892" s="8">
        <f t="shared" si="250"/>
        <v>133.84384769724326</v>
      </c>
      <c r="AS892" s="8">
        <f t="shared" si="251"/>
        <v>41.559537498135391</v>
      </c>
    </row>
    <row r="893" spans="1:45">
      <c r="A893" s="19">
        <v>28.7287</v>
      </c>
      <c r="B893" s="19">
        <v>799.49114680000002</v>
      </c>
      <c r="C893" s="19">
        <v>-373.6752611</v>
      </c>
      <c r="E893" s="9">
        <f t="shared" si="237"/>
        <v>-160.50885319999998</v>
      </c>
      <c r="F893" s="9">
        <f t="shared" si="242"/>
        <v>166.3247389</v>
      </c>
      <c r="I893">
        <v>1</v>
      </c>
      <c r="J893">
        <f t="shared" si="238"/>
        <v>0.15100267112140517</v>
      </c>
      <c r="K893">
        <f t="shared" si="243"/>
        <v>2.3384017293132864</v>
      </c>
      <c r="O893">
        <f t="shared" si="244"/>
        <v>-0.10446035021935313</v>
      </c>
      <c r="P893">
        <f t="shared" si="245"/>
        <v>0.10824537169913862</v>
      </c>
      <c r="Q893">
        <f t="shared" si="246"/>
        <v>0.98862074363112851</v>
      </c>
      <c r="R893">
        <f t="shared" si="236"/>
        <v>1</v>
      </c>
      <c r="AG893" s="8">
        <f t="shared" si="239"/>
        <v>-0.51810052203573087</v>
      </c>
      <c r="AH893" s="8">
        <f t="shared" si="240"/>
        <v>0.53992701952248823</v>
      </c>
      <c r="AI893" s="8">
        <f t="shared" si="241"/>
        <v>0.66336314538559182</v>
      </c>
      <c r="AJ893" s="8"/>
      <c r="AK893" s="8"/>
      <c r="AL893" s="8"/>
      <c r="AN893" s="8">
        <f t="shared" si="247"/>
        <v>1</v>
      </c>
      <c r="AO893" s="8">
        <f t="shared" si="248"/>
        <v>2.3355679930896671</v>
      </c>
      <c r="AP893" s="8">
        <f t="shared" si="249"/>
        <v>0.84549207349513511</v>
      </c>
      <c r="AQ893" s="8"/>
      <c r="AR893" s="8">
        <f t="shared" si="250"/>
        <v>133.81818876987774</v>
      </c>
      <c r="AS893" s="8">
        <f t="shared" si="251"/>
        <v>41.556872576963947</v>
      </c>
    </row>
    <row r="894" spans="1:45">
      <c r="A894" s="19">
        <v>28.762066669999999</v>
      </c>
      <c r="B894" s="19">
        <v>798.73712609999995</v>
      </c>
      <c r="C894" s="19">
        <v>-373.68175189999999</v>
      </c>
      <c r="E894" s="9">
        <f t="shared" si="237"/>
        <v>-161.26287390000005</v>
      </c>
      <c r="F894" s="9">
        <f t="shared" si="242"/>
        <v>166.31824810000001</v>
      </c>
      <c r="I894">
        <v>1</v>
      </c>
      <c r="J894">
        <f t="shared" si="238"/>
        <v>0.15134029789348857</v>
      </c>
      <c r="K894">
        <f t="shared" si="243"/>
        <v>2.3407632806735768</v>
      </c>
      <c r="O894">
        <f t="shared" si="244"/>
        <v>-0.10494803119385493</v>
      </c>
      <c r="P894">
        <f t="shared" si="245"/>
        <v>0.10823801081785199</v>
      </c>
      <c r="Q894">
        <f t="shared" si="246"/>
        <v>0.98856989826856867</v>
      </c>
      <c r="R894">
        <f t="shared" si="236"/>
        <v>1</v>
      </c>
      <c r="AG894" s="8">
        <f t="shared" si="239"/>
        <v>-0.5178420606321793</v>
      </c>
      <c r="AH894" s="8">
        <f t="shared" si="240"/>
        <v>0.54032533952019057</v>
      </c>
      <c r="AI894" s="8">
        <f t="shared" si="241"/>
        <v>0.66324062580077914</v>
      </c>
      <c r="AJ894" s="8"/>
      <c r="AK894" s="8"/>
      <c r="AL894" s="8"/>
      <c r="AN894" s="8">
        <f t="shared" si="247"/>
        <v>1</v>
      </c>
      <c r="AO894" s="8">
        <f t="shared" si="248"/>
        <v>2.3349503123474147</v>
      </c>
      <c r="AP894" s="8">
        <f t="shared" si="249"/>
        <v>0.845655792703493</v>
      </c>
      <c r="AQ894" s="8"/>
      <c r="AR894" s="8">
        <f t="shared" si="250"/>
        <v>133.78279827026017</v>
      </c>
      <c r="AS894" s="8">
        <f t="shared" si="251"/>
        <v>41.547492157299814</v>
      </c>
    </row>
    <row r="895" spans="1:45">
      <c r="A895" s="19">
        <v>28.795433330000002</v>
      </c>
      <c r="B895" s="19">
        <v>798.45436940000002</v>
      </c>
      <c r="C895" s="19">
        <v>-373.51876279999999</v>
      </c>
      <c r="E895" s="9">
        <f t="shared" si="237"/>
        <v>-161.54563059999998</v>
      </c>
      <c r="F895" s="9">
        <f t="shared" si="242"/>
        <v>166.48123720000001</v>
      </c>
      <c r="I895">
        <v>1</v>
      </c>
      <c r="J895">
        <f t="shared" si="238"/>
        <v>0.15154423581218343</v>
      </c>
      <c r="K895">
        <f t="shared" si="243"/>
        <v>2.3411492769082272</v>
      </c>
      <c r="O895">
        <f t="shared" si="244"/>
        <v>-0.10513019738941808</v>
      </c>
      <c r="P895">
        <f t="shared" si="245"/>
        <v>0.1083421771512187</v>
      </c>
      <c r="Q895">
        <f t="shared" si="246"/>
        <v>0.98853913136860494</v>
      </c>
      <c r="R895">
        <f t="shared" si="236"/>
        <v>1</v>
      </c>
      <c r="AG895" s="8">
        <f t="shared" si="239"/>
        <v>-0.51767321641979636</v>
      </c>
      <c r="AH895" s="8">
        <f t="shared" si="240"/>
        <v>0.54045009401644029</v>
      </c>
      <c r="AI895" s="8">
        <f t="shared" si="241"/>
        <v>0.66327078699367092</v>
      </c>
      <c r="AJ895" s="8"/>
      <c r="AK895" s="8"/>
      <c r="AL895" s="8"/>
      <c r="AN895" s="8">
        <f t="shared" si="247"/>
        <v>1</v>
      </c>
      <c r="AO895" s="8">
        <f t="shared" si="248"/>
        <v>2.3346720831088046</v>
      </c>
      <c r="AP895" s="8">
        <f t="shared" si="249"/>
        <v>0.84561549141970949</v>
      </c>
      <c r="AQ895" s="8"/>
      <c r="AR895" s="8">
        <f t="shared" si="250"/>
        <v>133.76685690915068</v>
      </c>
      <c r="AS895" s="8">
        <f t="shared" si="251"/>
        <v>41.549801250769569</v>
      </c>
    </row>
    <row r="896" spans="1:45">
      <c r="A896" s="19">
        <v>28.828800000000001</v>
      </c>
      <c r="B896" s="19">
        <v>797.85690399999999</v>
      </c>
      <c r="C896" s="19">
        <v>-373.11778040000002</v>
      </c>
      <c r="E896" s="9">
        <f t="shared" si="237"/>
        <v>-162.14309600000001</v>
      </c>
      <c r="F896" s="9">
        <f t="shared" si="242"/>
        <v>166.88221959999998</v>
      </c>
      <c r="I896">
        <v>1</v>
      </c>
      <c r="J896">
        <f t="shared" si="238"/>
        <v>0.15200156271860882</v>
      </c>
      <c r="K896">
        <f t="shared" si="243"/>
        <v>2.3417919634334625</v>
      </c>
      <c r="O896">
        <f t="shared" si="244"/>
        <v>-0.10551483038012553</v>
      </c>
      <c r="P896">
        <f t="shared" si="245"/>
        <v>0.10859882121994796</v>
      </c>
      <c r="Q896">
        <f t="shared" si="246"/>
        <v>0.98846998770801897</v>
      </c>
      <c r="R896">
        <f t="shared" si="236"/>
        <v>1</v>
      </c>
      <c r="AG896" s="8">
        <f t="shared" si="239"/>
        <v>-0.51729180315057366</v>
      </c>
      <c r="AH896" s="8">
        <f t="shared" si="240"/>
        <v>0.5407051897016627</v>
      </c>
      <c r="AI896" s="8">
        <f t="shared" si="241"/>
        <v>0.66336045120501208</v>
      </c>
      <c r="AJ896" s="8"/>
      <c r="AK896" s="8"/>
      <c r="AL896" s="8"/>
      <c r="AN896" s="8">
        <f t="shared" si="247"/>
        <v>1.0000000000000002</v>
      </c>
      <c r="AO896" s="8">
        <f t="shared" si="248"/>
        <v>2.3340681838538644</v>
      </c>
      <c r="AP896" s="8">
        <f t="shared" si="249"/>
        <v>0.84549567390249447</v>
      </c>
      <c r="AQ896" s="8"/>
      <c r="AR896" s="8">
        <f t="shared" si="250"/>
        <v>133.73225603059151</v>
      </c>
      <c r="AS896" s="8">
        <f t="shared" si="251"/>
        <v>41.556666288817723</v>
      </c>
    </row>
    <row r="897" spans="1:45">
      <c r="A897" s="19">
        <v>28.862166670000001</v>
      </c>
      <c r="B897" s="19">
        <v>796.91324129999998</v>
      </c>
      <c r="C897" s="19">
        <v>-372.801447</v>
      </c>
      <c r="E897" s="9">
        <f t="shared" si="237"/>
        <v>-163.08675870000002</v>
      </c>
      <c r="F897" s="9">
        <f t="shared" si="242"/>
        <v>167.198553</v>
      </c>
      <c r="I897">
        <v>1</v>
      </c>
      <c r="J897">
        <f t="shared" si="238"/>
        <v>0.152576436147419</v>
      </c>
      <c r="K897">
        <f t="shared" si="243"/>
        <v>2.3437459139020564</v>
      </c>
      <c r="O897">
        <f t="shared" si="244"/>
        <v>-0.10612358506619167</v>
      </c>
      <c r="P897">
        <f t="shared" si="245"/>
        <v>0.10879920604026121</v>
      </c>
      <c r="Q897">
        <f t="shared" si="246"/>
        <v>0.98838277881482106</v>
      </c>
      <c r="R897">
        <f t="shared" si="236"/>
        <v>1</v>
      </c>
      <c r="AG897" s="8">
        <f t="shared" si="239"/>
        <v>-0.51682703241349215</v>
      </c>
      <c r="AH897" s="8">
        <f t="shared" si="240"/>
        <v>0.54115497807521107</v>
      </c>
      <c r="AI897" s="8">
        <f t="shared" si="241"/>
        <v>0.66335594387257957</v>
      </c>
      <c r="AJ897" s="8"/>
      <c r="AK897" s="8"/>
      <c r="AL897" s="8"/>
      <c r="AN897" s="8">
        <f t="shared" si="247"/>
        <v>1</v>
      </c>
      <c r="AO897" s="8">
        <f t="shared" si="248"/>
        <v>2.333203873205294</v>
      </c>
      <c r="AP897" s="8">
        <f t="shared" si="249"/>
        <v>0.84550169731597957</v>
      </c>
      <c r="AQ897" s="8"/>
      <c r="AR897" s="8">
        <f t="shared" si="250"/>
        <v>133.68273467824022</v>
      </c>
      <c r="AS897" s="8">
        <f t="shared" si="251"/>
        <v>41.556321172646769</v>
      </c>
    </row>
    <row r="898" spans="1:45">
      <c r="A898" s="19">
        <v>28.895533329999999</v>
      </c>
      <c r="B898" s="19">
        <v>796.45786829999997</v>
      </c>
      <c r="C898" s="19">
        <v>-372.58783290000002</v>
      </c>
      <c r="E898" s="9">
        <f t="shared" si="237"/>
        <v>-163.54213170000003</v>
      </c>
      <c r="F898" s="9">
        <f t="shared" si="242"/>
        <v>167.41216709999998</v>
      </c>
      <c r="I898">
        <v>1</v>
      </c>
      <c r="J898">
        <f t="shared" si="238"/>
        <v>0.15288234787608196</v>
      </c>
      <c r="K898">
        <f t="shared" si="243"/>
        <v>2.344501458758697</v>
      </c>
      <c r="O898">
        <f t="shared" si="244"/>
        <v>-0.10641703726536288</v>
      </c>
      <c r="P898">
        <f t="shared" si="245"/>
        <v>0.10893527337430353</v>
      </c>
      <c r="Q898">
        <f t="shared" si="246"/>
        <v>0.98833623853146668</v>
      </c>
      <c r="R898">
        <f t="shared" si="236"/>
        <v>1</v>
      </c>
      <c r="AG898" s="8">
        <f t="shared" si="239"/>
        <v>-0.51657619790773179</v>
      </c>
      <c r="AH898" s="8">
        <f t="shared" si="240"/>
        <v>0.54136285483092539</v>
      </c>
      <c r="AI898" s="8">
        <f t="shared" si="241"/>
        <v>0.66338170849406342</v>
      </c>
      <c r="AJ898" s="8"/>
      <c r="AK898" s="8"/>
      <c r="AL898" s="8"/>
      <c r="AN898" s="8">
        <f t="shared" si="247"/>
        <v>1.0000000000000002</v>
      </c>
      <c r="AO898" s="8">
        <f t="shared" si="248"/>
        <v>2.3327695840061957</v>
      </c>
      <c r="AP898" s="8">
        <f t="shared" si="249"/>
        <v>0.84546726610307199</v>
      </c>
      <c r="AQ898" s="8"/>
      <c r="AR898" s="8">
        <f t="shared" si="250"/>
        <v>133.65785174004375</v>
      </c>
      <c r="AS898" s="8">
        <f t="shared" si="251"/>
        <v>41.558293935829887</v>
      </c>
    </row>
    <row r="899" spans="1:45">
      <c r="A899" s="19">
        <v>28.928899999999999</v>
      </c>
      <c r="B899" s="19">
        <v>795.6179065</v>
      </c>
      <c r="C899" s="19">
        <v>-372.59409640000001</v>
      </c>
      <c r="E899" s="9">
        <f t="shared" si="237"/>
        <v>-164.3820935</v>
      </c>
      <c r="F899" s="9">
        <f t="shared" si="242"/>
        <v>167.40590359999999</v>
      </c>
      <c r="I899">
        <v>1</v>
      </c>
      <c r="J899">
        <f t="shared" si="238"/>
        <v>0.15326118096952207</v>
      </c>
      <c r="K899">
        <f t="shared" si="243"/>
        <v>2.3470810610984771</v>
      </c>
      <c r="O899">
        <f t="shared" si="244"/>
        <v>-0.10696001217281759</v>
      </c>
      <c r="P899">
        <f t="shared" si="245"/>
        <v>0.10892754256629252</v>
      </c>
      <c r="Q899">
        <f t="shared" si="246"/>
        <v>0.98827847607162789</v>
      </c>
      <c r="R899">
        <f t="shared" si="236"/>
        <v>1</v>
      </c>
      <c r="AG899" s="8">
        <f t="shared" si="239"/>
        <v>-0.51628741260967903</v>
      </c>
      <c r="AH899" s="8">
        <f t="shared" si="240"/>
        <v>0.54180571079594686</v>
      </c>
      <c r="AI899" s="8">
        <f t="shared" si="241"/>
        <v>0.66324496178237324</v>
      </c>
      <c r="AJ899" s="8"/>
      <c r="AK899" s="8"/>
      <c r="AL899" s="8"/>
      <c r="AN899" s="8">
        <f t="shared" si="247"/>
        <v>1</v>
      </c>
      <c r="AO899" s="8">
        <f t="shared" si="248"/>
        <v>2.332081912722018</v>
      </c>
      <c r="AP899" s="8">
        <f t="shared" si="249"/>
        <v>0.8456499990681634</v>
      </c>
      <c r="AQ899" s="8"/>
      <c r="AR899" s="8">
        <f t="shared" si="250"/>
        <v>133.61845107776804</v>
      </c>
      <c r="AS899" s="8">
        <f t="shared" si="251"/>
        <v>41.547824108152241</v>
      </c>
    </row>
    <row r="900" spans="1:45">
      <c r="A900" s="19">
        <v>28.962266670000002</v>
      </c>
      <c r="B900" s="19">
        <v>794.90643609999995</v>
      </c>
      <c r="C900" s="19">
        <v>-372.60716939999998</v>
      </c>
      <c r="E900" s="9">
        <f t="shared" si="237"/>
        <v>-165.09356390000005</v>
      </c>
      <c r="F900" s="9">
        <f t="shared" si="242"/>
        <v>167.39283060000002</v>
      </c>
      <c r="I900">
        <v>1</v>
      </c>
      <c r="J900">
        <f t="shared" si="238"/>
        <v>0.15357923338157736</v>
      </c>
      <c r="K900">
        <f t="shared" si="243"/>
        <v>2.3492792296374141</v>
      </c>
      <c r="O900">
        <f t="shared" si="244"/>
        <v>-0.10741990782661033</v>
      </c>
      <c r="P900">
        <f t="shared" si="245"/>
        <v>0.10891595050173487</v>
      </c>
      <c r="Q900">
        <f t="shared" si="246"/>
        <v>0.98822987160317421</v>
      </c>
      <c r="R900">
        <f t="shared" si="236"/>
        <v>1</v>
      </c>
      <c r="AG900" s="8">
        <f t="shared" si="239"/>
        <v>-0.51604607377652933</v>
      </c>
      <c r="AH900" s="8">
        <f t="shared" si="240"/>
        <v>0.54218182863841857</v>
      </c>
      <c r="AI900" s="8">
        <f t="shared" si="241"/>
        <v>0.66312541380505807</v>
      </c>
      <c r="AJ900" s="8"/>
      <c r="AK900" s="8"/>
      <c r="AL900" s="8"/>
      <c r="AN900" s="8">
        <f t="shared" si="247"/>
        <v>1</v>
      </c>
      <c r="AO900" s="8">
        <f t="shared" si="248"/>
        <v>2.3315018481836853</v>
      </c>
      <c r="AP900" s="8">
        <f t="shared" si="249"/>
        <v>0.84580972533399257</v>
      </c>
      <c r="AQ900" s="8"/>
      <c r="AR900" s="8">
        <f t="shared" si="250"/>
        <v>133.58521582787637</v>
      </c>
      <c r="AS900" s="8">
        <f t="shared" si="251"/>
        <v>41.53867246724284</v>
      </c>
    </row>
    <row r="901" spans="1:45">
      <c r="A901" s="19">
        <v>28.99563333</v>
      </c>
      <c r="B901" s="19">
        <v>794.44731090000005</v>
      </c>
      <c r="C901" s="19">
        <v>-372.51472740000003</v>
      </c>
      <c r="E901" s="9">
        <f t="shared" si="237"/>
        <v>-165.55268909999995</v>
      </c>
      <c r="F901" s="9">
        <f t="shared" si="242"/>
        <v>167.48527259999997</v>
      </c>
      <c r="I901">
        <v>1</v>
      </c>
      <c r="J901">
        <f t="shared" si="238"/>
        <v>0.1538314393874648</v>
      </c>
      <c r="K901">
        <f t="shared" si="243"/>
        <v>2.3503916627961816</v>
      </c>
      <c r="O901">
        <f t="shared" si="244"/>
        <v>-0.10771621152309596</v>
      </c>
      <c r="P901">
        <f t="shared" si="245"/>
        <v>0.10897363944047829</v>
      </c>
      <c r="Q901">
        <f t="shared" si="246"/>
        <v>0.98819125865502788</v>
      </c>
      <c r="R901">
        <f t="shared" si="236"/>
        <v>1</v>
      </c>
      <c r="AG901" s="8">
        <f t="shared" si="239"/>
        <v>-0.51584644317452022</v>
      </c>
      <c r="AH901" s="8">
        <f t="shared" si="240"/>
        <v>0.54240945178125743</v>
      </c>
      <c r="AI901" s="8">
        <f t="shared" si="241"/>
        <v>0.66309458878997973</v>
      </c>
      <c r="AJ901" s="8"/>
      <c r="AK901" s="8"/>
      <c r="AL901" s="8"/>
      <c r="AN901" s="8">
        <f t="shared" si="247"/>
        <v>1</v>
      </c>
      <c r="AO901" s="8">
        <f t="shared" si="248"/>
        <v>2.3310990173573503</v>
      </c>
      <c r="AP901" s="8">
        <f t="shared" si="249"/>
        <v>0.84585090651061734</v>
      </c>
      <c r="AQ901" s="8"/>
      <c r="AR901" s="8">
        <f t="shared" si="250"/>
        <v>133.56213532166961</v>
      </c>
      <c r="AS901" s="8">
        <f t="shared" si="251"/>
        <v>41.536312959626862</v>
      </c>
    </row>
    <row r="902" spans="1:45">
      <c r="A902" s="19">
        <v>29.029</v>
      </c>
      <c r="B902" s="19">
        <v>793.75332800000001</v>
      </c>
      <c r="C902" s="19">
        <v>-372.49813849999998</v>
      </c>
      <c r="E902" s="9">
        <f t="shared" si="237"/>
        <v>-166.24667199999999</v>
      </c>
      <c r="F902" s="9">
        <f t="shared" si="242"/>
        <v>167.50186150000002</v>
      </c>
      <c r="I902">
        <v>1</v>
      </c>
      <c r="J902">
        <f t="shared" si="238"/>
        <v>0.1541562228148724</v>
      </c>
      <c r="K902">
        <f t="shared" si="243"/>
        <v>2.352433623982737</v>
      </c>
      <c r="O902">
        <f t="shared" si="244"/>
        <v>-0.10816459054440929</v>
      </c>
      <c r="P902">
        <f t="shared" si="245"/>
        <v>0.10898125085219061</v>
      </c>
      <c r="Q902">
        <f t="shared" si="246"/>
        <v>0.98814144145210925</v>
      </c>
      <c r="R902">
        <f t="shared" si="236"/>
        <v>1</v>
      </c>
      <c r="AG902" s="8">
        <f t="shared" si="239"/>
        <v>-0.51559813605391303</v>
      </c>
      <c r="AH902" s="8">
        <f t="shared" si="240"/>
        <v>0.54277173528067812</v>
      </c>
      <c r="AI902" s="8">
        <f t="shared" si="241"/>
        <v>0.66299125595903008</v>
      </c>
      <c r="AJ902" s="8"/>
      <c r="AK902" s="8"/>
      <c r="AL902" s="8"/>
      <c r="AN902" s="8">
        <f t="shared" si="247"/>
        <v>1</v>
      </c>
      <c r="AO902" s="8">
        <f t="shared" si="248"/>
        <v>2.3305251742495994</v>
      </c>
      <c r="AP902" s="8">
        <f t="shared" si="249"/>
        <v>0.84598894471718999</v>
      </c>
      <c r="AQ902" s="8"/>
      <c r="AR902" s="8">
        <f t="shared" si="250"/>
        <v>133.5292565334928</v>
      </c>
      <c r="AS902" s="8">
        <f t="shared" si="251"/>
        <v>41.528403952978692</v>
      </c>
    </row>
    <row r="903" spans="1:45">
      <c r="A903" s="19">
        <v>29.062366669999999</v>
      </c>
      <c r="B903" s="19">
        <v>793.30564979999997</v>
      </c>
      <c r="C903" s="19">
        <v>-372.51626659999999</v>
      </c>
      <c r="E903" s="9">
        <f t="shared" si="237"/>
        <v>-166.69435020000003</v>
      </c>
      <c r="F903" s="9">
        <f t="shared" si="242"/>
        <v>167.48373340000001</v>
      </c>
      <c r="I903">
        <v>1</v>
      </c>
      <c r="J903">
        <f t="shared" si="238"/>
        <v>0.15435279172166189</v>
      </c>
      <c r="K903">
        <f t="shared" si="243"/>
        <v>2.3538323313000054</v>
      </c>
      <c r="O903">
        <f t="shared" si="244"/>
        <v>-0.10845393757459036</v>
      </c>
      <c r="P903">
        <f t="shared" si="245"/>
        <v>0.1089675225652785</v>
      </c>
      <c r="Q903">
        <f t="shared" si="246"/>
        <v>0.98811123991712202</v>
      </c>
      <c r="R903">
        <f t="shared" si="236"/>
        <v>1</v>
      </c>
      <c r="AG903" s="8">
        <f t="shared" si="239"/>
        <v>-0.51545043586333217</v>
      </c>
      <c r="AH903" s="8">
        <f t="shared" si="240"/>
        <v>0.54300966277587814</v>
      </c>
      <c r="AI903" s="8">
        <f t="shared" si="241"/>
        <v>0.6629112718157143</v>
      </c>
      <c r="AJ903" s="8"/>
      <c r="AK903" s="8"/>
      <c r="AL903" s="8"/>
      <c r="AN903" s="8">
        <f t="shared" si="247"/>
        <v>0.99999999999999978</v>
      </c>
      <c r="AO903" s="8">
        <f t="shared" si="248"/>
        <v>2.3301632758513939</v>
      </c>
      <c r="AP903" s="8">
        <f t="shared" si="249"/>
        <v>0.84609578075817649</v>
      </c>
      <c r="AQ903" s="8"/>
      <c r="AR903" s="8">
        <f t="shared" si="250"/>
        <v>133.50852128266308</v>
      </c>
      <c r="AS903" s="8">
        <f t="shared" si="251"/>
        <v>41.52228269873028</v>
      </c>
    </row>
    <row r="904" spans="1:45">
      <c r="A904" s="19">
        <v>29.095733330000002</v>
      </c>
      <c r="B904" s="19">
        <v>792.55122970000002</v>
      </c>
      <c r="C904" s="19">
        <v>-372.51226459999998</v>
      </c>
      <c r="E904" s="9">
        <f t="shared" si="237"/>
        <v>-167.44877029999998</v>
      </c>
      <c r="F904" s="9">
        <f t="shared" si="242"/>
        <v>167.48773540000002</v>
      </c>
      <c r="I904">
        <v>1</v>
      </c>
      <c r="J904">
        <f t="shared" si="238"/>
        <v>0.15470056493996936</v>
      </c>
      <c r="K904">
        <f t="shared" si="243"/>
        <v>2.3560781544117981</v>
      </c>
      <c r="O904">
        <f t="shared" si="244"/>
        <v>-0.10894133999835248</v>
      </c>
      <c r="P904">
        <f t="shared" si="245"/>
        <v>0.1089666904992822</v>
      </c>
      <c r="Q904">
        <f t="shared" si="246"/>
        <v>0.98805771329462178</v>
      </c>
      <c r="R904">
        <f t="shared" si="236"/>
        <v>1</v>
      </c>
      <c r="AG904" s="8">
        <f t="shared" si="239"/>
        <v>-0.51518643463261715</v>
      </c>
      <c r="AH904" s="8">
        <f t="shared" si="240"/>
        <v>0.54340534499701798</v>
      </c>
      <c r="AI904" s="8">
        <f t="shared" si="241"/>
        <v>0.6627922514628577</v>
      </c>
      <c r="AJ904" s="8"/>
      <c r="AK904" s="8"/>
      <c r="AL904" s="8"/>
      <c r="AN904" s="8">
        <f t="shared" si="247"/>
        <v>1</v>
      </c>
      <c r="AO904" s="8">
        <f t="shared" si="248"/>
        <v>2.3295437739639819</v>
      </c>
      <c r="AP904" s="8">
        <f t="shared" si="249"/>
        <v>0.84625473935489592</v>
      </c>
      <c r="AQ904" s="8"/>
      <c r="AR904" s="8">
        <f t="shared" si="250"/>
        <v>133.47302643911399</v>
      </c>
      <c r="AS904" s="8">
        <f t="shared" si="251"/>
        <v>41.513175042020933</v>
      </c>
    </row>
    <row r="905" spans="1:45">
      <c r="A905" s="19">
        <v>29.129100000000001</v>
      </c>
      <c r="B905" s="19">
        <v>791.76638030000004</v>
      </c>
      <c r="C905" s="19">
        <v>-372.36561139999998</v>
      </c>
      <c r="E905" s="9">
        <f t="shared" si="237"/>
        <v>-168.23361969999996</v>
      </c>
      <c r="F905" s="9">
        <f t="shared" si="242"/>
        <v>167.63438860000002</v>
      </c>
      <c r="I905">
        <v>1</v>
      </c>
      <c r="J905">
        <f t="shared" si="238"/>
        <v>0.1551284317887193</v>
      </c>
      <c r="K905">
        <f t="shared" si="243"/>
        <v>2.3579786150550501</v>
      </c>
      <c r="O905">
        <f t="shared" si="244"/>
        <v>-0.10944768734689786</v>
      </c>
      <c r="P905">
        <f t="shared" si="245"/>
        <v>0.10905784577897415</v>
      </c>
      <c r="Q905">
        <f t="shared" si="246"/>
        <v>0.98799169531351083</v>
      </c>
      <c r="R905">
        <f t="shared" si="236"/>
        <v>1</v>
      </c>
      <c r="AG905" s="8">
        <f t="shared" si="239"/>
        <v>-0.51484976813007444</v>
      </c>
      <c r="AH905" s="8">
        <f t="shared" si="240"/>
        <v>0.54379559195935034</v>
      </c>
      <c r="AI905" s="8">
        <f t="shared" si="241"/>
        <v>0.66273378548402706</v>
      </c>
      <c r="AJ905" s="8"/>
      <c r="AK905" s="8"/>
      <c r="AL905" s="8"/>
      <c r="AN905" s="8">
        <f t="shared" si="247"/>
        <v>1</v>
      </c>
      <c r="AO905" s="8">
        <f t="shared" si="248"/>
        <v>2.3288589774424899</v>
      </c>
      <c r="AP905" s="8">
        <f t="shared" si="249"/>
        <v>0.84633281587532172</v>
      </c>
      <c r="AQ905" s="8"/>
      <c r="AR905" s="8">
        <f t="shared" si="250"/>
        <v>133.43379048860726</v>
      </c>
      <c r="AS905" s="8">
        <f t="shared" si="251"/>
        <v>41.508701586921468</v>
      </c>
    </row>
    <row r="906" spans="1:45">
      <c r="A906" s="19">
        <v>29.162466670000001</v>
      </c>
      <c r="B906" s="19">
        <v>791.23688059999995</v>
      </c>
      <c r="C906" s="19">
        <v>-372.27069160000002</v>
      </c>
      <c r="E906" s="9">
        <f t="shared" si="237"/>
        <v>-168.76311940000005</v>
      </c>
      <c r="F906" s="9">
        <f t="shared" si="242"/>
        <v>167.72930839999998</v>
      </c>
      <c r="I906">
        <v>1</v>
      </c>
      <c r="J906">
        <f t="shared" si="238"/>
        <v>0.15541554064907906</v>
      </c>
      <c r="K906">
        <f t="shared" si="243"/>
        <v>2.3592667963182827</v>
      </c>
      <c r="O906">
        <f t="shared" si="244"/>
        <v>-0.10978927228105129</v>
      </c>
      <c r="P906">
        <f t="shared" si="245"/>
        <v>0.10911672393180483</v>
      </c>
      <c r="Q906">
        <f t="shared" si="246"/>
        <v>0.98794729426745609</v>
      </c>
      <c r="R906">
        <f t="shared" si="236"/>
        <v>1</v>
      </c>
      <c r="AG906" s="8">
        <f t="shared" si="239"/>
        <v>-0.51462432178854711</v>
      </c>
      <c r="AH906" s="8">
        <f t="shared" si="240"/>
        <v>0.54405937035515761</v>
      </c>
      <c r="AI906" s="8">
        <f t="shared" si="241"/>
        <v>0.66269239391472379</v>
      </c>
      <c r="AJ906" s="8"/>
      <c r="AK906" s="8"/>
      <c r="AL906" s="8"/>
      <c r="AN906" s="8">
        <f t="shared" si="247"/>
        <v>1</v>
      </c>
      <c r="AO906" s="8">
        <f t="shared" si="248"/>
        <v>2.3283982111306711</v>
      </c>
      <c r="AP906" s="8">
        <f t="shared" si="249"/>
        <v>0.84638808766042473</v>
      </c>
      <c r="AQ906" s="8"/>
      <c r="AR906" s="8">
        <f t="shared" si="250"/>
        <v>133.40739052359822</v>
      </c>
      <c r="AS906" s="8">
        <f t="shared" si="251"/>
        <v>41.505534746908914</v>
      </c>
    </row>
    <row r="907" spans="1:45">
      <c r="A907" s="19">
        <v>29.195833329999999</v>
      </c>
      <c r="B907" s="19">
        <v>790.49833699999999</v>
      </c>
      <c r="C907" s="19">
        <v>-372.31162110000002</v>
      </c>
      <c r="E907" s="9">
        <f t="shared" si="237"/>
        <v>-169.50166300000001</v>
      </c>
      <c r="F907" s="9">
        <f t="shared" si="242"/>
        <v>167.68837889999998</v>
      </c>
      <c r="I907">
        <v>1</v>
      </c>
      <c r="J907">
        <f t="shared" si="238"/>
        <v>0.15573724886649667</v>
      </c>
      <c r="K907">
        <f t="shared" si="243"/>
        <v>2.3615720707717527</v>
      </c>
      <c r="O907">
        <f t="shared" si="244"/>
        <v>-0.11026646422156719</v>
      </c>
      <c r="P907">
        <f t="shared" si="245"/>
        <v>0.10908686266015835</v>
      </c>
      <c r="Q907">
        <f t="shared" si="246"/>
        <v>0.98789744572148663</v>
      </c>
      <c r="R907">
        <f t="shared" si="236"/>
        <v>1</v>
      </c>
      <c r="AG907" s="8">
        <f t="shared" si="239"/>
        <v>-0.51438508214224754</v>
      </c>
      <c r="AH907" s="8">
        <f t="shared" si="240"/>
        <v>0.5444529883177478</v>
      </c>
      <c r="AI907" s="8">
        <f t="shared" si="241"/>
        <v>0.66255485114923707</v>
      </c>
      <c r="AJ907" s="8"/>
      <c r="AK907" s="8"/>
      <c r="AL907" s="8"/>
      <c r="AN907" s="8">
        <f t="shared" si="247"/>
        <v>1</v>
      </c>
      <c r="AO907" s="8">
        <f t="shared" si="248"/>
        <v>2.3278050426181691</v>
      </c>
      <c r="AP907" s="8">
        <f t="shared" si="249"/>
        <v>0.8465717344943603</v>
      </c>
      <c r="AQ907" s="8"/>
      <c r="AR907" s="8">
        <f t="shared" si="250"/>
        <v>133.37340447129182</v>
      </c>
      <c r="AS907" s="8">
        <f t="shared" si="251"/>
        <v>41.495012558403467</v>
      </c>
    </row>
    <row r="908" spans="1:45">
      <c r="A908" s="19">
        <v>29.229199999999999</v>
      </c>
      <c r="B908" s="19">
        <v>789.67685200000005</v>
      </c>
      <c r="C908" s="19">
        <v>-372.30794309999999</v>
      </c>
      <c r="E908" s="9">
        <f t="shared" si="237"/>
        <v>-170.32314799999995</v>
      </c>
      <c r="F908" s="9">
        <f t="shared" si="242"/>
        <v>167.69205690000001</v>
      </c>
      <c r="I908">
        <v>1</v>
      </c>
      <c r="J908">
        <f t="shared" si="238"/>
        <v>0.15611842090274489</v>
      </c>
      <c r="K908">
        <f t="shared" si="243"/>
        <v>2.3639782760242354</v>
      </c>
      <c r="O908">
        <f t="shared" si="244"/>
        <v>-0.11079695392177719</v>
      </c>
      <c r="P908">
        <f t="shared" si="245"/>
        <v>0.10908540218736061</v>
      </c>
      <c r="Q908">
        <f t="shared" si="246"/>
        <v>0.98783825094560762</v>
      </c>
      <c r="R908">
        <f t="shared" si="236"/>
        <v>1</v>
      </c>
      <c r="AG908" s="8">
        <f t="shared" si="239"/>
        <v>-0.5140974792859816</v>
      </c>
      <c r="AH908" s="8">
        <f t="shared" si="240"/>
        <v>0.54488330173245703</v>
      </c>
      <c r="AI908" s="8">
        <f t="shared" si="241"/>
        <v>0.6624243121179475</v>
      </c>
      <c r="AJ908" s="8"/>
      <c r="AK908" s="8"/>
      <c r="AL908" s="8"/>
      <c r="AN908" s="8">
        <f t="shared" si="247"/>
        <v>1</v>
      </c>
      <c r="AO908" s="8">
        <f t="shared" si="248"/>
        <v>2.3271314942604575</v>
      </c>
      <c r="AP908" s="8">
        <f t="shared" si="249"/>
        <v>0.84674600236696929</v>
      </c>
      <c r="AQ908" s="8"/>
      <c r="AR908" s="8">
        <f t="shared" si="250"/>
        <v>133.33481299309696</v>
      </c>
      <c r="AS908" s="8">
        <f t="shared" si="251"/>
        <v>41.485027744798245</v>
      </c>
    </row>
    <row r="909" spans="1:45">
      <c r="A909" s="19">
        <v>29.262566669999998</v>
      </c>
      <c r="B909" s="19">
        <v>789.29732579999995</v>
      </c>
      <c r="C909" s="19">
        <v>-372.45477499999998</v>
      </c>
      <c r="E909" s="9">
        <f t="shared" si="237"/>
        <v>-170.70267420000005</v>
      </c>
      <c r="F909" s="9">
        <f t="shared" si="242"/>
        <v>167.54522500000002</v>
      </c>
      <c r="I909">
        <v>1</v>
      </c>
      <c r="J909">
        <f t="shared" si="238"/>
        <v>0.15622727344132392</v>
      </c>
      <c r="K909">
        <f t="shared" si="243"/>
        <v>2.365528938394569</v>
      </c>
      <c r="O909">
        <f t="shared" si="244"/>
        <v>-0.11104271530523653</v>
      </c>
      <c r="P909">
        <f t="shared" si="245"/>
        <v>0.10898878302649813</v>
      </c>
      <c r="Q909">
        <f t="shared" si="246"/>
        <v>0.98782132015463364</v>
      </c>
      <c r="R909">
        <f t="shared" si="236"/>
        <v>1</v>
      </c>
      <c r="AG909" s="8">
        <f t="shared" si="239"/>
        <v>-0.51402907296991052</v>
      </c>
      <c r="AH909" s="8">
        <f t="shared" si="240"/>
        <v>0.54510418507326741</v>
      </c>
      <c r="AI909" s="8">
        <f t="shared" si="241"/>
        <v>0.66229565871844853</v>
      </c>
      <c r="AJ909" s="8"/>
      <c r="AK909" s="8"/>
      <c r="AL909" s="8"/>
      <c r="AN909" s="8">
        <f t="shared" si="247"/>
        <v>1.0000000000000002</v>
      </c>
      <c r="AO909" s="8">
        <f t="shared" si="248"/>
        <v>2.3268627705675211</v>
      </c>
      <c r="AP909" s="8">
        <f t="shared" si="249"/>
        <v>0.84691772667488052</v>
      </c>
      <c r="AQ909" s="8"/>
      <c r="AR909" s="8">
        <f t="shared" si="250"/>
        <v>133.31941625963654</v>
      </c>
      <c r="AS909" s="8">
        <f t="shared" si="251"/>
        <v>41.475188666715127</v>
      </c>
    </row>
    <row r="910" spans="1:45">
      <c r="A910" s="19">
        <v>29.29593333</v>
      </c>
      <c r="B910" s="19">
        <v>788.61223710000002</v>
      </c>
      <c r="C910" s="19">
        <v>-372.4920922</v>
      </c>
      <c r="E910" s="9">
        <f t="shared" si="237"/>
        <v>-171.38776289999998</v>
      </c>
      <c r="F910" s="9">
        <f t="shared" si="242"/>
        <v>167.5079078</v>
      </c>
      <c r="I910">
        <v>1</v>
      </c>
      <c r="J910">
        <f t="shared" si="238"/>
        <v>0.15652796471720606</v>
      </c>
      <c r="K910">
        <f t="shared" si="243"/>
        <v>2.3676425136980321</v>
      </c>
      <c r="O910">
        <f t="shared" si="244"/>
        <v>-0.11148524010339428</v>
      </c>
      <c r="P910">
        <f t="shared" si="245"/>
        <v>0.10896145094790916</v>
      </c>
      <c r="Q910">
        <f t="shared" si="246"/>
        <v>0.98777449017800356</v>
      </c>
      <c r="R910">
        <f t="shared" si="236"/>
        <v>1</v>
      </c>
      <c r="AG910" s="8">
        <f t="shared" si="239"/>
        <v>-0.51380660970999892</v>
      </c>
      <c r="AH910" s="8">
        <f t="shared" si="240"/>
        <v>0.54546885966695569</v>
      </c>
      <c r="AI910" s="8">
        <f t="shared" si="241"/>
        <v>0.6621680232025311</v>
      </c>
      <c r="AJ910" s="8"/>
      <c r="AK910" s="8"/>
      <c r="AL910" s="8"/>
      <c r="AN910" s="8">
        <f t="shared" si="247"/>
        <v>1</v>
      </c>
      <c r="AO910" s="8">
        <f t="shared" si="248"/>
        <v>2.3263129093605812</v>
      </c>
      <c r="AP910" s="8">
        <f t="shared" si="249"/>
        <v>0.84708806657487612</v>
      </c>
      <c r="AQ910" s="8"/>
      <c r="AR910" s="8">
        <f t="shared" si="250"/>
        <v>133.28791153316092</v>
      </c>
      <c r="AS910" s="8">
        <f t="shared" si="251"/>
        <v>41.4654289093627</v>
      </c>
    </row>
    <row r="911" spans="1:45">
      <c r="A911" s="19">
        <v>29.3293</v>
      </c>
      <c r="B911" s="19">
        <v>788.04994669999996</v>
      </c>
      <c r="C911" s="19">
        <v>-372.03210209999997</v>
      </c>
      <c r="E911" s="9">
        <f t="shared" si="237"/>
        <v>-171.95005330000004</v>
      </c>
      <c r="F911" s="9">
        <f t="shared" si="242"/>
        <v>167.96789790000003</v>
      </c>
      <c r="I911">
        <v>1</v>
      </c>
      <c r="J911">
        <f t="shared" si="238"/>
        <v>0.15699755606507737</v>
      </c>
      <c r="K911">
        <f t="shared" si="243"/>
        <v>2.3679090031430778</v>
      </c>
      <c r="O911">
        <f t="shared" si="244"/>
        <v>-0.11184607231502765</v>
      </c>
      <c r="P911">
        <f t="shared" si="245"/>
        <v>0.10925585246751754</v>
      </c>
      <c r="Q911">
        <f t="shared" si="246"/>
        <v>0.98770117687957504</v>
      </c>
      <c r="R911">
        <f t="shared" si="236"/>
        <v>1</v>
      </c>
      <c r="AG911" s="8">
        <f t="shared" si="239"/>
        <v>-0.51341089904225645</v>
      </c>
      <c r="AH911" s="8">
        <f t="shared" si="240"/>
        <v>0.54569490960111899</v>
      </c>
      <c r="AI911" s="8">
        <f t="shared" si="241"/>
        <v>0.66228869413575864</v>
      </c>
      <c r="AJ911" s="8"/>
      <c r="AK911" s="8"/>
      <c r="AL911" s="8"/>
      <c r="AN911" s="8">
        <f t="shared" si="247"/>
        <v>1</v>
      </c>
      <c r="AO911" s="8">
        <f t="shared" si="248"/>
        <v>2.3257215981261794</v>
      </c>
      <c r="AP911" s="8">
        <f t="shared" si="249"/>
        <v>0.84692702213426685</v>
      </c>
      <c r="AQ911" s="8"/>
      <c r="AR911" s="8">
        <f t="shared" si="250"/>
        <v>133.25403189505104</v>
      </c>
      <c r="AS911" s="8">
        <f t="shared" si="251"/>
        <v>41.474656076123658</v>
      </c>
    </row>
    <row r="912" spans="1:45">
      <c r="A912" s="19">
        <v>29.362666669999999</v>
      </c>
      <c r="B912" s="19">
        <v>787.43256020000001</v>
      </c>
      <c r="C912" s="19">
        <v>-371.53292640000001</v>
      </c>
      <c r="E912" s="9">
        <f t="shared" si="237"/>
        <v>-172.56743979999999</v>
      </c>
      <c r="F912" s="9">
        <f t="shared" si="242"/>
        <v>168.46707359999999</v>
      </c>
      <c r="I912">
        <v>1</v>
      </c>
      <c r="J912">
        <f t="shared" si="238"/>
        <v>0.15751044098502348</v>
      </c>
      <c r="K912">
        <f t="shared" si="243"/>
        <v>2.3682172282813982</v>
      </c>
      <c r="O912">
        <f t="shared" si="244"/>
        <v>-0.11224221233208809</v>
      </c>
      <c r="P912">
        <f t="shared" si="245"/>
        <v>0.10957523080768747</v>
      </c>
      <c r="Q912">
        <f t="shared" si="246"/>
        <v>0.98762085567501079</v>
      </c>
      <c r="R912">
        <f t="shared" si="236"/>
        <v>1</v>
      </c>
      <c r="AG912" s="8">
        <f t="shared" si="239"/>
        <v>-0.51297889418393627</v>
      </c>
      <c r="AH912" s="8">
        <f t="shared" si="240"/>
        <v>0.54594381851684093</v>
      </c>
      <c r="AI912" s="8">
        <f t="shared" si="241"/>
        <v>0.66241829771306637</v>
      </c>
      <c r="AJ912" s="8"/>
      <c r="AK912" s="8"/>
      <c r="AL912" s="8"/>
      <c r="AN912" s="8">
        <f t="shared" si="247"/>
        <v>1</v>
      </c>
      <c r="AO912" s="8">
        <f t="shared" si="248"/>
        <v>2.3250739171956112</v>
      </c>
      <c r="AP912" s="8">
        <f t="shared" si="249"/>
        <v>0.84675403087040946</v>
      </c>
      <c r="AQ912" s="8"/>
      <c r="AR912" s="8">
        <f t="shared" si="250"/>
        <v>133.21692251125836</v>
      </c>
      <c r="AS912" s="8">
        <f t="shared" si="251"/>
        <v>41.484567745435314</v>
      </c>
    </row>
    <row r="913" spans="1:45">
      <c r="A913" s="19">
        <v>29.396033330000002</v>
      </c>
      <c r="B913" s="19">
        <v>786.79123089999996</v>
      </c>
      <c r="C913" s="19">
        <v>-371.46858989999998</v>
      </c>
      <c r="E913" s="9">
        <f t="shared" si="237"/>
        <v>-173.20876910000004</v>
      </c>
      <c r="F913" s="9">
        <f t="shared" si="242"/>
        <v>168.53141010000002</v>
      </c>
      <c r="I913">
        <v>1</v>
      </c>
      <c r="J913">
        <f t="shared" si="238"/>
        <v>0.15783754084549229</v>
      </c>
      <c r="K913">
        <f t="shared" si="243"/>
        <v>2.3698805219974055</v>
      </c>
      <c r="O913">
        <f t="shared" si="244"/>
        <v>-0.11265584288923527</v>
      </c>
      <c r="P913">
        <f t="shared" si="245"/>
        <v>0.10961366538645353</v>
      </c>
      <c r="Q913">
        <f t="shared" si="246"/>
        <v>0.98756949397167115</v>
      </c>
      <c r="R913">
        <f t="shared" si="236"/>
        <v>1</v>
      </c>
      <c r="AG913" s="8">
        <f t="shared" si="239"/>
        <v>-0.51272734204785031</v>
      </c>
      <c r="AH913" s="8">
        <f t="shared" si="240"/>
        <v>0.54627004295324633</v>
      </c>
      <c r="AI913" s="8">
        <f t="shared" si="241"/>
        <v>0.66234410459247339</v>
      </c>
      <c r="AJ913" s="8"/>
      <c r="AK913" s="8"/>
      <c r="AL913" s="8"/>
      <c r="AN913" s="8">
        <f t="shared" si="247"/>
        <v>1.0000000000000002</v>
      </c>
      <c r="AO913" s="8">
        <f t="shared" si="248"/>
        <v>2.3245310593247357</v>
      </c>
      <c r="AP913" s="8">
        <f t="shared" si="249"/>
        <v>0.84685306502963997</v>
      </c>
      <c r="AQ913" s="8"/>
      <c r="AR913" s="8">
        <f t="shared" si="250"/>
        <v>133.18581904638174</v>
      </c>
      <c r="AS913" s="8">
        <f t="shared" si="251"/>
        <v>41.478893506083779</v>
      </c>
    </row>
    <row r="914" spans="1:45">
      <c r="A914" s="19">
        <v>29.429400000000001</v>
      </c>
      <c r="B914" s="19">
        <v>786.31641990000003</v>
      </c>
      <c r="C914" s="19">
        <v>-371.42662189999999</v>
      </c>
      <c r="E914" s="9">
        <f t="shared" si="237"/>
        <v>-173.68358009999997</v>
      </c>
      <c r="F914" s="9">
        <f t="shared" si="242"/>
        <v>168.57337810000001</v>
      </c>
      <c r="I914">
        <v>1</v>
      </c>
      <c r="J914">
        <f t="shared" si="238"/>
        <v>0.15807741259410618</v>
      </c>
      <c r="K914">
        <f t="shared" si="243"/>
        <v>2.3711242737557958</v>
      </c>
      <c r="O914">
        <f t="shared" si="244"/>
        <v>-0.1129620732777837</v>
      </c>
      <c r="P914">
        <f t="shared" si="245"/>
        <v>0.10963844871606117</v>
      </c>
      <c r="Q914">
        <f t="shared" si="246"/>
        <v>0.98753176180005486</v>
      </c>
      <c r="R914">
        <f t="shared" si="236"/>
        <v>1</v>
      </c>
      <c r="AG914" s="8">
        <f t="shared" si="239"/>
        <v>-0.51254351781071961</v>
      </c>
      <c r="AH914" s="8">
        <f t="shared" si="240"/>
        <v>0.54651233513191877</v>
      </c>
      <c r="AI914" s="8">
        <f t="shared" si="241"/>
        <v>0.66228650137147593</v>
      </c>
      <c r="AJ914" s="8"/>
      <c r="AK914" s="8"/>
      <c r="AL914" s="8"/>
      <c r="AN914" s="8">
        <f t="shared" si="247"/>
        <v>1.0000000000000002</v>
      </c>
      <c r="AO914" s="8">
        <f t="shared" si="248"/>
        <v>2.3241308595704551</v>
      </c>
      <c r="AP914" s="8">
        <f t="shared" si="249"/>
        <v>0.84692994874769656</v>
      </c>
      <c r="AQ914" s="8"/>
      <c r="AR914" s="8">
        <f t="shared" si="250"/>
        <v>133.16288928949928</v>
      </c>
      <c r="AS914" s="8">
        <f t="shared" si="251"/>
        <v>41.474488393525867</v>
      </c>
    </row>
    <row r="915" spans="1:45">
      <c r="A915" s="19">
        <v>29.462766670000001</v>
      </c>
      <c r="B915" s="19">
        <v>785.62902699999995</v>
      </c>
      <c r="C915" s="19">
        <v>-371.43004789999998</v>
      </c>
      <c r="E915" s="9">
        <f t="shared" si="237"/>
        <v>-174.37097300000005</v>
      </c>
      <c r="F915" s="9">
        <f t="shared" si="242"/>
        <v>168.56995210000002</v>
      </c>
      <c r="I915">
        <v>1</v>
      </c>
      <c r="J915">
        <f t="shared" si="238"/>
        <v>0.15839614261614052</v>
      </c>
      <c r="K915">
        <f t="shared" si="243"/>
        <v>2.3731083878338515</v>
      </c>
      <c r="O915">
        <f t="shared" si="244"/>
        <v>-0.11340567878485588</v>
      </c>
      <c r="P915">
        <f t="shared" si="245"/>
        <v>0.10963286785485307</v>
      </c>
      <c r="Q915">
        <f t="shared" si="246"/>
        <v>0.98748153719716014</v>
      </c>
      <c r="R915">
        <f t="shared" si="236"/>
        <v>1</v>
      </c>
      <c r="AG915" s="8">
        <f t="shared" si="239"/>
        <v>-0.51230519544428355</v>
      </c>
      <c r="AH915" s="8">
        <f t="shared" si="240"/>
        <v>0.54687258038503606</v>
      </c>
      <c r="AI915" s="8">
        <f t="shared" si="241"/>
        <v>0.66217351770046406</v>
      </c>
      <c r="AJ915" s="8"/>
      <c r="AK915" s="8"/>
      <c r="AL915" s="8"/>
      <c r="AN915" s="8">
        <f t="shared" si="247"/>
        <v>1</v>
      </c>
      <c r="AO915" s="8">
        <f t="shared" si="248"/>
        <v>2.323570014063113</v>
      </c>
      <c r="AP915" s="8">
        <f t="shared" si="249"/>
        <v>0.8470807342519695</v>
      </c>
      <c r="AQ915" s="8"/>
      <c r="AR915" s="8">
        <f t="shared" si="250"/>
        <v>133.1307552089697</v>
      </c>
      <c r="AS915" s="8">
        <f t="shared" si="251"/>
        <v>41.465849020519272</v>
      </c>
    </row>
    <row r="916" spans="1:45">
      <c r="A916" s="19">
        <v>29.496133329999999</v>
      </c>
      <c r="B916" s="19">
        <v>785.23247919999994</v>
      </c>
      <c r="C916" s="19">
        <v>-371.40200320000002</v>
      </c>
      <c r="E916" s="9">
        <f t="shared" si="237"/>
        <v>-174.76752080000006</v>
      </c>
      <c r="F916" s="9">
        <f t="shared" si="242"/>
        <v>168.59799679999998</v>
      </c>
      <c r="I916">
        <v>1</v>
      </c>
      <c r="J916">
        <f t="shared" si="238"/>
        <v>0.15859380144448057</v>
      </c>
      <c r="K916">
        <f t="shared" si="243"/>
        <v>2.3741603600462771</v>
      </c>
      <c r="O916">
        <f t="shared" si="244"/>
        <v>-0.11366141794455464</v>
      </c>
      <c r="P916">
        <f t="shared" si="245"/>
        <v>0.10964901997339249</v>
      </c>
      <c r="Q916">
        <f t="shared" si="246"/>
        <v>0.98745034026512335</v>
      </c>
      <c r="R916">
        <f t="shared" si="236"/>
        <v>1</v>
      </c>
      <c r="AG916" s="8">
        <f t="shared" si="239"/>
        <v>-0.51215463409460471</v>
      </c>
      <c r="AH916" s="8">
        <f t="shared" si="240"/>
        <v>0.54707585666525371</v>
      </c>
      <c r="AI916" s="8">
        <f t="shared" si="241"/>
        <v>0.66212207169781045</v>
      </c>
      <c r="AJ916" s="8"/>
      <c r="AK916" s="8"/>
      <c r="AL916" s="8"/>
      <c r="AN916" s="8">
        <f t="shared" si="247"/>
        <v>1</v>
      </c>
      <c r="AO916" s="8">
        <f t="shared" si="248"/>
        <v>2.3232379439845596</v>
      </c>
      <c r="AP916" s="8">
        <f t="shared" si="249"/>
        <v>0.84714938629059755</v>
      </c>
      <c r="AQ916" s="8"/>
      <c r="AR916" s="8">
        <f t="shared" si="250"/>
        <v>133.11172899496603</v>
      </c>
      <c r="AS916" s="8">
        <f t="shared" si="251"/>
        <v>41.461915548450918</v>
      </c>
    </row>
    <row r="917" spans="1:45">
      <c r="A917" s="19">
        <v>29.529499999999999</v>
      </c>
      <c r="B917" s="19">
        <v>784.52919489999999</v>
      </c>
      <c r="C917" s="19">
        <v>-371.47253310000002</v>
      </c>
      <c r="E917" s="9">
        <f t="shared" si="237"/>
        <v>-175.47080510000001</v>
      </c>
      <c r="F917" s="9">
        <f t="shared" si="242"/>
        <v>168.52746689999998</v>
      </c>
      <c r="I917">
        <v>1</v>
      </c>
      <c r="J917">
        <f t="shared" si="238"/>
        <v>0.15889071428839499</v>
      </c>
      <c r="K917">
        <f t="shared" si="243"/>
        <v>2.3763759738899664</v>
      </c>
      <c r="O917">
        <f t="shared" si="244"/>
        <v>-0.11411552933437723</v>
      </c>
      <c r="P917">
        <f t="shared" si="245"/>
        <v>0.10960000486528368</v>
      </c>
      <c r="Q917">
        <f t="shared" si="246"/>
        <v>0.98740340535075366</v>
      </c>
      <c r="R917">
        <f t="shared" si="236"/>
        <v>1</v>
      </c>
      <c r="AG917" s="8">
        <f t="shared" si="239"/>
        <v>-0.51193976427947652</v>
      </c>
      <c r="AH917" s="8">
        <f t="shared" si="240"/>
        <v>0.54745422967876423</v>
      </c>
      <c r="AI917" s="8">
        <f t="shared" si="241"/>
        <v>0.66197548606901224</v>
      </c>
      <c r="AJ917" s="8"/>
      <c r="AK917" s="8"/>
      <c r="AL917" s="8"/>
      <c r="AN917" s="8">
        <f t="shared" si="247"/>
        <v>1</v>
      </c>
      <c r="AO917" s="8">
        <f t="shared" si="248"/>
        <v>2.3226836616934921</v>
      </c>
      <c r="AP917" s="8">
        <f t="shared" si="249"/>
        <v>0.84734497442481682</v>
      </c>
      <c r="AQ917" s="8"/>
      <c r="AR917" s="8">
        <f t="shared" si="250"/>
        <v>133.07997095902903</v>
      </c>
      <c r="AS917" s="8">
        <f t="shared" si="251"/>
        <v>41.450709173837318</v>
      </c>
    </row>
    <row r="918" spans="1:45">
      <c r="A918" s="19">
        <v>29.562866669999998</v>
      </c>
      <c r="B918" s="19">
        <v>783.83969500000001</v>
      </c>
      <c r="C918" s="19">
        <v>-371.46771810000001</v>
      </c>
      <c r="E918" s="9">
        <f t="shared" si="237"/>
        <v>-176.16030499999999</v>
      </c>
      <c r="F918" s="9">
        <f t="shared" si="242"/>
        <v>168.53228189999999</v>
      </c>
      <c r="I918">
        <v>1</v>
      </c>
      <c r="J918">
        <f t="shared" si="238"/>
        <v>0.15921568928815108</v>
      </c>
      <c r="K918">
        <f t="shared" si="243"/>
        <v>2.3783208094749484</v>
      </c>
      <c r="O918">
        <f t="shared" si="244"/>
        <v>-0.11456032321915469</v>
      </c>
      <c r="P918">
        <f t="shared" si="245"/>
        <v>0.10959967790317859</v>
      </c>
      <c r="Q918">
        <f t="shared" si="246"/>
        <v>0.98735193469575089</v>
      </c>
      <c r="R918">
        <f t="shared" si="236"/>
        <v>1</v>
      </c>
      <c r="AG918" s="8">
        <f t="shared" si="239"/>
        <v>-0.51169690035318083</v>
      </c>
      <c r="AH918" s="8">
        <f t="shared" si="240"/>
        <v>0.54781400397230451</v>
      </c>
      <c r="AI918" s="8">
        <f t="shared" si="241"/>
        <v>0.66186562021363438</v>
      </c>
      <c r="AJ918" s="8"/>
      <c r="AK918" s="8"/>
      <c r="AL918" s="8"/>
      <c r="AN918" s="8">
        <f t="shared" si="247"/>
        <v>1</v>
      </c>
      <c r="AO918" s="8">
        <f t="shared" si="248"/>
        <v>2.3221192168048717</v>
      </c>
      <c r="AP918" s="8">
        <f t="shared" si="249"/>
        <v>0.84749154548480643</v>
      </c>
      <c r="AQ918" s="8"/>
      <c r="AR918" s="8">
        <f t="shared" si="250"/>
        <v>133.04763064914334</v>
      </c>
      <c r="AS918" s="8">
        <f t="shared" si="251"/>
        <v>41.442311270701154</v>
      </c>
    </row>
    <row r="919" spans="1:45">
      <c r="A919" s="19">
        <v>29.59623333</v>
      </c>
      <c r="B919" s="19">
        <v>783.18610530000001</v>
      </c>
      <c r="C919" s="19">
        <v>-371.374843</v>
      </c>
      <c r="E919" s="9">
        <f t="shared" si="237"/>
        <v>-176.81389469999999</v>
      </c>
      <c r="F919" s="9">
        <f t="shared" si="242"/>
        <v>168.625157</v>
      </c>
      <c r="I919">
        <v>1</v>
      </c>
      <c r="J919">
        <f t="shared" si="238"/>
        <v>0.159563780559449</v>
      </c>
      <c r="K919">
        <f t="shared" si="243"/>
        <v>2.3798953552595683</v>
      </c>
      <c r="O919">
        <f t="shared" si="244"/>
        <v>-0.11498145952522679</v>
      </c>
      <c r="P919">
        <f t="shared" si="245"/>
        <v>0.10965635193674926</v>
      </c>
      <c r="Q919">
        <f t="shared" si="246"/>
        <v>0.9872966871439266</v>
      </c>
      <c r="R919">
        <f t="shared" si="236"/>
        <v>1</v>
      </c>
      <c r="AG919" s="8">
        <f t="shared" si="239"/>
        <v>-0.51142826674157049</v>
      </c>
      <c r="AH919" s="8">
        <f t="shared" si="240"/>
        <v>0.54814172083753965</v>
      </c>
      <c r="AI919" s="8">
        <f t="shared" si="241"/>
        <v>0.66180192040743879</v>
      </c>
      <c r="AJ919" s="8"/>
      <c r="AK919" s="8"/>
      <c r="AL919" s="8"/>
      <c r="AN919" s="8">
        <f t="shared" si="247"/>
        <v>1</v>
      </c>
      <c r="AO919" s="8">
        <f t="shared" si="248"/>
        <v>2.3215589563265677</v>
      </c>
      <c r="AP919" s="8">
        <f t="shared" si="249"/>
        <v>0.84757651814284662</v>
      </c>
      <c r="AQ919" s="8"/>
      <c r="AR919" s="8">
        <f t="shared" si="250"/>
        <v>133.01553008830854</v>
      </c>
      <c r="AS919" s="8">
        <f t="shared" si="251"/>
        <v>41.437442696021442</v>
      </c>
    </row>
    <row r="920" spans="1:45">
      <c r="A920" s="19">
        <v>29.6296</v>
      </c>
      <c r="B920" s="19">
        <v>782.49158550000004</v>
      </c>
      <c r="C920" s="19">
        <v>-371.32086659999999</v>
      </c>
      <c r="E920" s="9">
        <f t="shared" si="237"/>
        <v>-177.50841449999996</v>
      </c>
      <c r="F920" s="9">
        <f t="shared" si="242"/>
        <v>168.67913340000001</v>
      </c>
      <c r="I920">
        <v>1</v>
      </c>
      <c r="J920">
        <f t="shared" si="238"/>
        <v>0.15991409154251698</v>
      </c>
      <c r="K920">
        <f t="shared" si="243"/>
        <v>2.3816932913591011</v>
      </c>
      <c r="O920">
        <f t="shared" si="244"/>
        <v>-0.11542913801063268</v>
      </c>
      <c r="P920">
        <f t="shared" si="245"/>
        <v>0.10968768451673896</v>
      </c>
      <c r="Q920">
        <f t="shared" si="246"/>
        <v>0.98724096651399074</v>
      </c>
      <c r="R920">
        <f t="shared" si="236"/>
        <v>1</v>
      </c>
      <c r="AG920" s="8">
        <f t="shared" si="239"/>
        <v>-0.51116214230888424</v>
      </c>
      <c r="AH920" s="8">
        <f t="shared" si="240"/>
        <v>0.54849650812530537</v>
      </c>
      <c r="AI920" s="8">
        <f t="shared" si="241"/>
        <v>0.66171356707002671</v>
      </c>
      <c r="AJ920" s="8"/>
      <c r="AK920" s="8"/>
      <c r="AL920" s="8"/>
      <c r="AN920" s="8">
        <f t="shared" si="247"/>
        <v>1</v>
      </c>
      <c r="AO920" s="8">
        <f t="shared" si="248"/>
        <v>2.3209766119949506</v>
      </c>
      <c r="AP920" s="8">
        <f t="shared" si="249"/>
        <v>0.84769436694507283</v>
      </c>
      <c r="AQ920" s="8"/>
      <c r="AR920" s="8">
        <f t="shared" si="250"/>
        <v>132.9821642158835</v>
      </c>
      <c r="AS920" s="8">
        <f t="shared" si="251"/>
        <v>41.430690457033208</v>
      </c>
    </row>
    <row r="921" spans="1:45">
      <c r="A921" s="19">
        <v>29.662966669999999</v>
      </c>
      <c r="B921" s="19">
        <v>781.83117200000004</v>
      </c>
      <c r="C921" s="19">
        <v>-371.24480990000001</v>
      </c>
      <c r="E921" s="9">
        <f t="shared" si="237"/>
        <v>-178.16882799999996</v>
      </c>
      <c r="F921" s="9">
        <f t="shared" si="242"/>
        <v>168.75519009999999</v>
      </c>
      <c r="I921">
        <v>1</v>
      </c>
      <c r="J921">
        <f t="shared" si="238"/>
        <v>0.16025866963968718</v>
      </c>
      <c r="K921">
        <f t="shared" si="243"/>
        <v>2.3833224146198999</v>
      </c>
      <c r="O921">
        <f t="shared" si="244"/>
        <v>-0.11585465354354355</v>
      </c>
      <c r="P921">
        <f t="shared" si="245"/>
        <v>0.10973341578421529</v>
      </c>
      <c r="Q921">
        <f t="shared" si="246"/>
        <v>0.98718603956530604</v>
      </c>
      <c r="R921">
        <f t="shared" si="236"/>
        <v>1</v>
      </c>
      <c r="AG921" s="8">
        <f t="shared" si="239"/>
        <v>-0.51089827358384177</v>
      </c>
      <c r="AH921" s="8">
        <f t="shared" si="240"/>
        <v>0.54883004730813512</v>
      </c>
      <c r="AI921" s="8">
        <f t="shared" si="241"/>
        <v>0.66164078866164244</v>
      </c>
      <c r="AJ921" s="8"/>
      <c r="AK921" s="8"/>
      <c r="AL921" s="8"/>
      <c r="AN921" s="8">
        <f t="shared" si="247"/>
        <v>1</v>
      </c>
      <c r="AO921" s="8">
        <f t="shared" si="248"/>
        <v>2.3204158986314387</v>
      </c>
      <c r="AP921" s="8">
        <f t="shared" si="249"/>
        <v>0.8477914321507658</v>
      </c>
      <c r="AQ921" s="8"/>
      <c r="AR921" s="8">
        <f t="shared" si="250"/>
        <v>132.95003770663769</v>
      </c>
      <c r="AS921" s="8">
        <f t="shared" si="251"/>
        <v>41.42512903040943</v>
      </c>
    </row>
    <row r="922" spans="1:45">
      <c r="A922" s="19">
        <v>29.696333330000002</v>
      </c>
      <c r="B922" s="19">
        <v>781.36355279999998</v>
      </c>
      <c r="C922" s="19">
        <v>-371.17085470000001</v>
      </c>
      <c r="E922" s="9">
        <f t="shared" si="237"/>
        <v>-178.63644720000002</v>
      </c>
      <c r="F922" s="9">
        <f t="shared" si="242"/>
        <v>168.82914529999999</v>
      </c>
      <c r="I922">
        <v>1</v>
      </c>
      <c r="J922">
        <f t="shared" si="238"/>
        <v>0.16051184185324299</v>
      </c>
      <c r="K922">
        <f t="shared" si="243"/>
        <v>2.3844122446385807</v>
      </c>
      <c r="O922">
        <f t="shared" si="244"/>
        <v>-0.11615581339721985</v>
      </c>
      <c r="P922">
        <f t="shared" si="245"/>
        <v>0.10977875458709255</v>
      </c>
      <c r="Q922">
        <f t="shared" si="246"/>
        <v>0.98714560833513165</v>
      </c>
      <c r="R922">
        <f t="shared" si="236"/>
        <v>1</v>
      </c>
      <c r="AG922" s="8">
        <f t="shared" si="239"/>
        <v>-0.5107026655287642</v>
      </c>
      <c r="AH922" s="8">
        <f t="shared" si="240"/>
        <v>0.54906313414394381</v>
      </c>
      <c r="AI922" s="8">
        <f t="shared" si="241"/>
        <v>0.66159841455814028</v>
      </c>
      <c r="AJ922" s="8"/>
      <c r="AK922" s="8"/>
      <c r="AL922" s="8"/>
      <c r="AN922" s="8">
        <f t="shared" si="247"/>
        <v>1</v>
      </c>
      <c r="AO922" s="8">
        <f t="shared" si="248"/>
        <v>2.32001316778278</v>
      </c>
      <c r="AP922" s="8">
        <f t="shared" si="249"/>
        <v>0.84784794303738498</v>
      </c>
      <c r="AQ922" s="8"/>
      <c r="AR922" s="8">
        <f t="shared" si="250"/>
        <v>132.92696292872984</v>
      </c>
      <c r="AS922" s="8">
        <f t="shared" si="251"/>
        <v>41.421891195109609</v>
      </c>
    </row>
    <row r="923" spans="1:45">
      <c r="A923" s="19">
        <v>29.729700000000001</v>
      </c>
      <c r="B923" s="19">
        <v>780.54907260000004</v>
      </c>
      <c r="C923" s="19">
        <v>-371.26419729999998</v>
      </c>
      <c r="E923" s="9">
        <f t="shared" si="237"/>
        <v>-179.45092739999996</v>
      </c>
      <c r="F923" s="9">
        <f t="shared" si="242"/>
        <v>168.73580270000002</v>
      </c>
      <c r="I923">
        <v>1</v>
      </c>
      <c r="J923">
        <f t="shared" si="238"/>
        <v>0.1608545342657805</v>
      </c>
      <c r="K923">
        <f t="shared" si="243"/>
        <v>2.3869588563525261</v>
      </c>
      <c r="O923">
        <f t="shared" si="244"/>
        <v>-0.11668144336675815</v>
      </c>
      <c r="P923">
        <f t="shared" si="245"/>
        <v>0.10971432297364957</v>
      </c>
      <c r="Q923">
        <f t="shared" si="246"/>
        <v>0.98709078007460072</v>
      </c>
      <c r="R923">
        <f t="shared" ref="R923:R986" si="252">SQRT(O923^2+P923^2+Q923^2)</f>
        <v>1</v>
      </c>
      <c r="AG923" s="8">
        <f t="shared" si="239"/>
        <v>-0.5104582967057153</v>
      </c>
      <c r="AH923" s="8">
        <f t="shared" si="240"/>
        <v>0.54950218849704002</v>
      </c>
      <c r="AI923" s="8">
        <f t="shared" si="241"/>
        <v>0.66142246118593784</v>
      </c>
      <c r="AJ923" s="8"/>
      <c r="AK923" s="8"/>
      <c r="AL923" s="8"/>
      <c r="AN923" s="8">
        <f t="shared" si="247"/>
        <v>1</v>
      </c>
      <c r="AO923" s="8">
        <f t="shared" si="248"/>
        <v>2.3193759030850951</v>
      </c>
      <c r="AP923" s="8">
        <f t="shared" si="249"/>
        <v>0.84808256756998879</v>
      </c>
      <c r="AQ923" s="8"/>
      <c r="AR923" s="8">
        <f t="shared" si="250"/>
        <v>132.8904503511198</v>
      </c>
      <c r="AS923" s="8">
        <f t="shared" si="251"/>
        <v>41.408448199621184</v>
      </c>
    </row>
    <row r="924" spans="1:45">
      <c r="A924" s="19">
        <v>29.763066670000001</v>
      </c>
      <c r="B924" s="19">
        <v>779.65815959999998</v>
      </c>
      <c r="C924" s="19">
        <v>-371.39918180000001</v>
      </c>
      <c r="E924" s="9">
        <f t="shared" si="237"/>
        <v>-180.34184040000002</v>
      </c>
      <c r="F924" s="9">
        <f t="shared" si="242"/>
        <v>168.60081819999999</v>
      </c>
      <c r="I924">
        <v>1</v>
      </c>
      <c r="J924">
        <f t="shared" si="238"/>
        <v>0.16121597457641629</v>
      </c>
      <c r="K924">
        <f t="shared" si="243"/>
        <v>2.3898292266023216</v>
      </c>
      <c r="O924">
        <f t="shared" si="244"/>
        <v>-0.11725649394496125</v>
      </c>
      <c r="P924">
        <f t="shared" si="245"/>
        <v>0.10962259658953674</v>
      </c>
      <c r="Q924">
        <f t="shared" si="246"/>
        <v>0.98703282668040127</v>
      </c>
      <c r="R924">
        <f t="shared" si="252"/>
        <v>1</v>
      </c>
      <c r="AG924" s="8">
        <f t="shared" si="239"/>
        <v>-0.51020511512291589</v>
      </c>
      <c r="AH924" s="8">
        <f t="shared" si="240"/>
        <v>0.54998715068608128</v>
      </c>
      <c r="AI924" s="8">
        <f t="shared" si="241"/>
        <v>0.66121469628451091</v>
      </c>
      <c r="AJ924" s="8"/>
      <c r="AK924" s="8"/>
      <c r="AL924" s="8"/>
      <c r="AN924" s="8">
        <f t="shared" si="247"/>
        <v>1.0000000000000002</v>
      </c>
      <c r="AO924" s="8">
        <f t="shared" si="248"/>
        <v>2.3186886702782097</v>
      </c>
      <c r="AP924" s="8">
        <f t="shared" si="249"/>
        <v>0.84835954860843155</v>
      </c>
      <c r="AQ924" s="8"/>
      <c r="AR924" s="8">
        <f t="shared" si="250"/>
        <v>132.85107481174234</v>
      </c>
      <c r="AS924" s="8">
        <f t="shared" si="251"/>
        <v>41.392578355113258</v>
      </c>
    </row>
    <row r="925" spans="1:45">
      <c r="A925" s="19">
        <v>29.796433329999999</v>
      </c>
      <c r="B925" s="19">
        <v>779.25722250000001</v>
      </c>
      <c r="C925" s="19">
        <v>-371.22165230000002</v>
      </c>
      <c r="E925" s="9">
        <f t="shared" si="237"/>
        <v>-180.74277749999999</v>
      </c>
      <c r="F925" s="9">
        <f t="shared" si="242"/>
        <v>168.77834769999998</v>
      </c>
      <c r="I925">
        <v>1</v>
      </c>
      <c r="J925">
        <f t="shared" si="238"/>
        <v>0.16148441438440478</v>
      </c>
      <c r="K925">
        <f t="shared" si="243"/>
        <v>2.3904120498475256</v>
      </c>
      <c r="O925">
        <f t="shared" si="244"/>
        <v>-0.11751401451461252</v>
      </c>
      <c r="P925">
        <f t="shared" si="245"/>
        <v>0.10973506922770462</v>
      </c>
      <c r="Q925">
        <f t="shared" si="246"/>
        <v>0.9869897015543021</v>
      </c>
      <c r="R925">
        <f t="shared" si="252"/>
        <v>1</v>
      </c>
      <c r="AG925" s="8">
        <f t="shared" si="239"/>
        <v>-0.50998773188374169</v>
      </c>
      <c r="AH925" s="8">
        <f t="shared" si="240"/>
        <v>0.55016968897653495</v>
      </c>
      <c r="AI925" s="8">
        <f t="shared" si="241"/>
        <v>0.66123053972085999</v>
      </c>
      <c r="AJ925" s="8"/>
      <c r="AK925" s="8"/>
      <c r="AL925" s="8"/>
      <c r="AN925" s="8">
        <f t="shared" si="247"/>
        <v>1.0000000000000002</v>
      </c>
      <c r="AO925" s="8">
        <f t="shared" si="248"/>
        <v>2.3183107460346286</v>
      </c>
      <c r="AP925" s="8">
        <f t="shared" si="249"/>
        <v>0.84833842936958193</v>
      </c>
      <c r="AQ925" s="8"/>
      <c r="AR925" s="8">
        <f t="shared" si="250"/>
        <v>132.82942134760947</v>
      </c>
      <c r="AS925" s="8">
        <f t="shared" si="251"/>
        <v>41.393788398365871</v>
      </c>
    </row>
    <row r="926" spans="1:45">
      <c r="A926" s="19">
        <v>29.829799999999999</v>
      </c>
      <c r="B926" s="19">
        <v>778.75393150000002</v>
      </c>
      <c r="C926" s="19">
        <v>-371.01909010000003</v>
      </c>
      <c r="E926" s="9">
        <f t="shared" si="237"/>
        <v>-181.24606849999998</v>
      </c>
      <c r="F926" s="9">
        <f t="shared" si="242"/>
        <v>168.98090989999997</v>
      </c>
      <c r="I926">
        <v>1</v>
      </c>
      <c r="J926">
        <f t="shared" si="238"/>
        <v>0.1618124667709479</v>
      </c>
      <c r="K926">
        <f t="shared" si="243"/>
        <v>2.391200782890051</v>
      </c>
      <c r="O926">
        <f t="shared" si="244"/>
        <v>-0.11783734617815284</v>
      </c>
      <c r="P926">
        <f t="shared" si="245"/>
        <v>0.10986313878243137</v>
      </c>
      <c r="Q926">
        <f t="shared" si="246"/>
        <v>0.98693690304019055</v>
      </c>
      <c r="R926">
        <f t="shared" si="252"/>
        <v>1</v>
      </c>
      <c r="AG926" s="8">
        <f t="shared" si="239"/>
        <v>-0.50972362059333676</v>
      </c>
      <c r="AH926" s="8">
        <f t="shared" si="240"/>
        <v>0.55040178361394843</v>
      </c>
      <c r="AI926" s="8">
        <f t="shared" si="241"/>
        <v>0.66124103563209424</v>
      </c>
      <c r="AJ926" s="8"/>
      <c r="AK926" s="8"/>
      <c r="AL926" s="8"/>
      <c r="AN926" s="8">
        <f t="shared" si="247"/>
        <v>1.0000000000000002</v>
      </c>
      <c r="AO926" s="8">
        <f t="shared" si="248"/>
        <v>2.3178422193714052</v>
      </c>
      <c r="AP926" s="8">
        <f t="shared" si="249"/>
        <v>0.84832443814435765</v>
      </c>
      <c r="AQ926" s="8"/>
      <c r="AR926" s="8">
        <f t="shared" si="250"/>
        <v>132.80257674721742</v>
      </c>
      <c r="AS926" s="8">
        <f t="shared" si="251"/>
        <v>41.394590036521443</v>
      </c>
    </row>
    <row r="927" spans="1:45">
      <c r="A927" s="19">
        <v>29.863166669999998</v>
      </c>
      <c r="B927" s="19">
        <v>778.3679684</v>
      </c>
      <c r="C927" s="19">
        <v>-370.67298290000002</v>
      </c>
      <c r="E927" s="9">
        <f t="shared" si="237"/>
        <v>-181.6320316</v>
      </c>
      <c r="F927" s="9">
        <f t="shared" si="242"/>
        <v>169.32701709999998</v>
      </c>
      <c r="I927">
        <v>1</v>
      </c>
      <c r="J927">
        <f t="shared" si="238"/>
        <v>0.16214836280720504</v>
      </c>
      <c r="K927">
        <f t="shared" si="243"/>
        <v>2.3912412460802832</v>
      </c>
      <c r="O927">
        <f t="shared" si="244"/>
        <v>-0.11808426627559228</v>
      </c>
      <c r="P927">
        <f t="shared" si="245"/>
        <v>0.11008441847373007</v>
      </c>
      <c r="Q927">
        <f t="shared" si="246"/>
        <v>0.98688273207481736</v>
      </c>
      <c r="R927">
        <f t="shared" si="252"/>
        <v>1</v>
      </c>
      <c r="AG927" s="8">
        <f t="shared" si="239"/>
        <v>-0.50943826592579289</v>
      </c>
      <c r="AH927" s="8">
        <f t="shared" si="240"/>
        <v>0.55055115435899749</v>
      </c>
      <c r="AI927" s="8">
        <f t="shared" si="241"/>
        <v>0.66133658574472987</v>
      </c>
      <c r="AJ927" s="8"/>
      <c r="AK927" s="8"/>
      <c r="AL927" s="8"/>
      <c r="AN927" s="8">
        <f t="shared" si="247"/>
        <v>1</v>
      </c>
      <c r="AO927" s="8">
        <f t="shared" si="248"/>
        <v>2.3174277912174728</v>
      </c>
      <c r="AP927" s="8">
        <f t="shared" si="249"/>
        <v>0.84819706030953457</v>
      </c>
      <c r="AQ927" s="8"/>
      <c r="AR927" s="8">
        <f t="shared" si="250"/>
        <v>132.77883176308569</v>
      </c>
      <c r="AS927" s="8">
        <f t="shared" si="251"/>
        <v>41.401888248860317</v>
      </c>
    </row>
    <row r="928" spans="1:45">
      <c r="A928" s="19">
        <v>29.89653333</v>
      </c>
      <c r="B928" s="19">
        <v>777.57538969999996</v>
      </c>
      <c r="C928" s="19">
        <v>-370.57625480000002</v>
      </c>
      <c r="E928" s="9">
        <f t="shared" ref="E928:E991" si="253">(B928-($B$15/2))</f>
        <v>-182.42461030000004</v>
      </c>
      <c r="F928" s="9">
        <f t="shared" si="242"/>
        <v>169.42374519999998</v>
      </c>
      <c r="I928">
        <v>1</v>
      </c>
      <c r="J928">
        <f t="shared" ref="J928:J991" si="254">ATAN((SQRT(E928^2+F928^2)^$B$16)/($F$24))</f>
        <v>0.16256704463537255</v>
      </c>
      <c r="K928">
        <f t="shared" si="243"/>
        <v>2.3931278820139479</v>
      </c>
      <c r="O928">
        <f t="shared" si="244"/>
        <v>-0.11859449330186311</v>
      </c>
      <c r="P928">
        <f t="shared" si="245"/>
        <v>0.11014261278812754</v>
      </c>
      <c r="Q928">
        <f t="shared" si="246"/>
        <v>0.98681505410420189</v>
      </c>
      <c r="R928">
        <f t="shared" si="252"/>
        <v>1</v>
      </c>
      <c r="AG928" s="8">
        <f t="shared" ref="AG928:AG991" si="255">$O928*$Z$27+$P928*$Z$31+$Q928*$Z$35</f>
        <v>-0.50911866887986412</v>
      </c>
      <c r="AH928" s="8">
        <f t="shared" ref="AH928:AH991" si="256">$O928*$AA$27+$P928*$AA$31+$Q928*$AA$35</f>
        <v>0.55094965417698627</v>
      </c>
      <c r="AI928" s="8">
        <f t="shared" ref="AI928:AI991" si="257">$AB$27*$O928+$P928*$AB$31+$AB$35*$Q928</f>
        <v>0.66125082953464387</v>
      </c>
      <c r="AJ928" s="8"/>
      <c r="AK928" s="8"/>
      <c r="AL928" s="8"/>
      <c r="AN928" s="8">
        <f t="shared" si="247"/>
        <v>1.0000000000000002</v>
      </c>
      <c r="AO928" s="8">
        <f t="shared" si="248"/>
        <v>2.3167543028227584</v>
      </c>
      <c r="AP928" s="8">
        <f t="shared" si="249"/>
        <v>0.84831138255282679</v>
      </c>
      <c r="AQ928" s="8"/>
      <c r="AR928" s="8">
        <f t="shared" si="250"/>
        <v>132.74024372051753</v>
      </c>
      <c r="AS928" s="8">
        <f t="shared" si="251"/>
        <v>41.395338066815206</v>
      </c>
    </row>
    <row r="929" spans="1:45">
      <c r="A929" s="19">
        <v>29.9299</v>
      </c>
      <c r="B929" s="19">
        <v>776.97177529999999</v>
      </c>
      <c r="C929" s="19">
        <v>-370.46348169999999</v>
      </c>
      <c r="E929" s="9">
        <f t="shared" si="253"/>
        <v>-183.02822470000001</v>
      </c>
      <c r="F929" s="9">
        <f t="shared" ref="F929:F992" si="258">(($C$15/2)+C929)</f>
        <v>169.53651830000001</v>
      </c>
      <c r="I929">
        <v>1</v>
      </c>
      <c r="J929">
        <f t="shared" si="254"/>
        <v>0.16290347418379222</v>
      </c>
      <c r="K929">
        <f t="shared" ref="K929:K992" si="259">ATAN2(E929,F929)</f>
        <v>2.3944431431074378</v>
      </c>
      <c r="O929">
        <f t="shared" ref="O929:O992" si="260">COS(K929)*SIN(J929)</f>
        <v>-0.11898281045387615</v>
      </c>
      <c r="P929">
        <f t="shared" ref="P929:P992" si="261">SIN(K929)*SIN(J929)</f>
        <v>0.11021213506803469</v>
      </c>
      <c r="Q929">
        <f t="shared" ref="Q929:Q992" si="262">COS(J929)</f>
        <v>0.98676054648543898</v>
      </c>
      <c r="R929">
        <f t="shared" si="252"/>
        <v>1</v>
      </c>
      <c r="AG929" s="8">
        <f t="shared" si="255"/>
        <v>-0.5088582293149494</v>
      </c>
      <c r="AH929" s="8">
        <f t="shared" si="256"/>
        <v>0.55124716285129094</v>
      </c>
      <c r="AI929" s="8">
        <f t="shared" si="257"/>
        <v>0.66120334837843697</v>
      </c>
      <c r="AJ929" s="8"/>
      <c r="AK929" s="8"/>
      <c r="AL929" s="8"/>
      <c r="AN929" s="8">
        <f t="shared" ref="AN929:AN992" si="263">AG929^2+AH929^2+AI929^2</f>
        <v>1</v>
      </c>
      <c r="AO929" s="8">
        <f t="shared" ref="AO929:AO992" si="264">IF(ATAN2(AG929,AH929)&gt;=0,ATAN2(AG929,AH929),ATAN2(AG929,AH929)+2*PI())</f>
        <v>2.316230195738711</v>
      </c>
      <c r="AP929" s="8">
        <f t="shared" ref="AP929:AP992" si="265">ACOS(AI929/AN929)</f>
        <v>0.84837467508133879</v>
      </c>
      <c r="AQ929" s="8"/>
      <c r="AR929" s="8">
        <f t="shared" ref="AR929:AR992" si="266">DEGREES(AO929)</f>
        <v>132.71021459658868</v>
      </c>
      <c r="AS929" s="8">
        <f t="shared" ref="AS929:AS992" si="267">90-DEGREES(AP929)</f>
        <v>41.391711672056758</v>
      </c>
    </row>
    <row r="930" spans="1:45">
      <c r="A930" s="19">
        <v>29.963266669999999</v>
      </c>
      <c r="B930" s="19">
        <v>776.3184655</v>
      </c>
      <c r="C930" s="19">
        <v>-370.3556979</v>
      </c>
      <c r="E930" s="9">
        <f t="shared" si="253"/>
        <v>-183.6815345</v>
      </c>
      <c r="F930" s="9">
        <f t="shared" si="258"/>
        <v>169.6443021</v>
      </c>
      <c r="I930">
        <v>1</v>
      </c>
      <c r="J930">
        <f t="shared" si="254"/>
        <v>0.16326160753242083</v>
      </c>
      <c r="K930">
        <f t="shared" si="259"/>
        <v>2.3959024666836077</v>
      </c>
      <c r="O930">
        <f t="shared" si="260"/>
        <v>-0.11940311987996541</v>
      </c>
      <c r="P930">
        <f t="shared" si="261"/>
        <v>0.11027814524600112</v>
      </c>
      <c r="Q930">
        <f t="shared" si="262"/>
        <v>0.98670239973562068</v>
      </c>
      <c r="R930">
        <f t="shared" si="252"/>
        <v>1</v>
      </c>
      <c r="AG930" s="8">
        <f t="shared" si="255"/>
        <v>-0.50858247490050956</v>
      </c>
      <c r="AH930" s="8">
        <f t="shared" si="256"/>
        <v>0.55157118062699229</v>
      </c>
      <c r="AI930" s="8">
        <f t="shared" si="257"/>
        <v>0.6611452933552644</v>
      </c>
      <c r="AJ930" s="8"/>
      <c r="AK930" s="8"/>
      <c r="AL930" s="8"/>
      <c r="AN930" s="8">
        <f t="shared" si="263"/>
        <v>1.0000000000000002</v>
      </c>
      <c r="AO930" s="8">
        <f t="shared" si="264"/>
        <v>2.3156671881827613</v>
      </c>
      <c r="AP930" s="8">
        <f t="shared" si="265"/>
        <v>0.84845205781003052</v>
      </c>
      <c r="AQ930" s="8"/>
      <c r="AR930" s="8">
        <f t="shared" si="266"/>
        <v>132.67795663979879</v>
      </c>
      <c r="AS930" s="8">
        <f t="shared" si="267"/>
        <v>41.387277968295514</v>
      </c>
    </row>
    <row r="931" spans="1:45">
      <c r="A931" s="19">
        <v>29.996633330000002</v>
      </c>
      <c r="B931" s="19">
        <v>775.65672989999996</v>
      </c>
      <c r="C931" s="19">
        <v>-370.4189629</v>
      </c>
      <c r="E931" s="9">
        <f t="shared" si="253"/>
        <v>-184.34327010000004</v>
      </c>
      <c r="F931" s="9">
        <f t="shared" si="258"/>
        <v>169.5810371</v>
      </c>
      <c r="I931">
        <v>1</v>
      </c>
      <c r="J931">
        <f t="shared" si="254"/>
        <v>0.16354903002362797</v>
      </c>
      <c r="K931">
        <f t="shared" si="259"/>
        <v>2.3978804688867088</v>
      </c>
      <c r="O931">
        <f t="shared" si="260"/>
        <v>-0.11982973033412513</v>
      </c>
      <c r="P931">
        <f t="shared" si="261"/>
        <v>0.11023374997335622</v>
      </c>
      <c r="Q931">
        <f t="shared" si="262"/>
        <v>0.98665564210359757</v>
      </c>
      <c r="R931">
        <f t="shared" si="252"/>
        <v>1</v>
      </c>
      <c r="AG931" s="8">
        <f t="shared" si="255"/>
        <v>-0.50837791079983108</v>
      </c>
      <c r="AH931" s="8">
        <f t="shared" si="256"/>
        <v>0.55192509166322423</v>
      </c>
      <c r="AI931" s="8">
        <f t="shared" si="257"/>
        <v>0.66100725639234903</v>
      </c>
      <c r="AJ931" s="8"/>
      <c r="AK931" s="8"/>
      <c r="AL931" s="8"/>
      <c r="AN931" s="8">
        <f t="shared" si="263"/>
        <v>1.0000000000000002</v>
      </c>
      <c r="AO931" s="8">
        <f t="shared" si="264"/>
        <v>2.3151470532038503</v>
      </c>
      <c r="AP931" s="8">
        <f t="shared" si="265"/>
        <v>0.8486360289181436</v>
      </c>
      <c r="AQ931" s="8"/>
      <c r="AR931" s="8">
        <f t="shared" si="266"/>
        <v>132.64815510073007</v>
      </c>
      <c r="AS931" s="8">
        <f t="shared" si="267"/>
        <v>41.376737200248293</v>
      </c>
    </row>
    <row r="932" spans="1:45">
      <c r="A932" s="19">
        <v>30.03</v>
      </c>
      <c r="B932" s="19">
        <v>775.20050649999996</v>
      </c>
      <c r="C932" s="19">
        <v>-370.41434829999997</v>
      </c>
      <c r="E932" s="9">
        <f t="shared" si="253"/>
        <v>-184.79949350000004</v>
      </c>
      <c r="F932" s="9">
        <f t="shared" si="258"/>
        <v>169.58565170000003</v>
      </c>
      <c r="I932">
        <v>1</v>
      </c>
      <c r="J932">
        <f t="shared" si="254"/>
        <v>0.16376866632812834</v>
      </c>
      <c r="K932">
        <f t="shared" si="259"/>
        <v>2.3990983927021956</v>
      </c>
      <c r="O932">
        <f t="shared" si="260"/>
        <v>-0.12012356000177923</v>
      </c>
      <c r="P932">
        <f t="shared" si="261"/>
        <v>0.11023424264648102</v>
      </c>
      <c r="Q932">
        <f t="shared" si="262"/>
        <v>0.9866198569259873</v>
      </c>
      <c r="R932">
        <f t="shared" si="252"/>
        <v>1</v>
      </c>
      <c r="AG932" s="8">
        <f t="shared" si="255"/>
        <v>-0.5082159041227492</v>
      </c>
      <c r="AH932" s="8">
        <f t="shared" si="256"/>
        <v>0.55216179014508948</v>
      </c>
      <c r="AI932" s="8">
        <f t="shared" si="257"/>
        <v>0.66093415125900912</v>
      </c>
      <c r="AJ932" s="8"/>
      <c r="AK932" s="8"/>
      <c r="AL932" s="8"/>
      <c r="AN932" s="8">
        <f t="shared" si="263"/>
        <v>1</v>
      </c>
      <c r="AO932" s="8">
        <f t="shared" si="264"/>
        <v>2.3147745772095165</v>
      </c>
      <c r="AP932" s="8">
        <f t="shared" si="265"/>
        <v>0.84873344895149283</v>
      </c>
      <c r="AQ932" s="8"/>
      <c r="AR932" s="8">
        <f t="shared" si="266"/>
        <v>132.62681379828481</v>
      </c>
      <c r="AS932" s="8">
        <f t="shared" si="267"/>
        <v>41.371155443497358</v>
      </c>
    </row>
    <row r="933" spans="1:45">
      <c r="A933" s="19">
        <v>30.063366670000001</v>
      </c>
      <c r="B933" s="19">
        <v>774.51091020000001</v>
      </c>
      <c r="C933" s="19">
        <v>-370.27189929999997</v>
      </c>
      <c r="E933" s="9">
        <f t="shared" si="253"/>
        <v>-185.48908979999999</v>
      </c>
      <c r="F933" s="9">
        <f t="shared" si="258"/>
        <v>169.72810070000003</v>
      </c>
      <c r="I933">
        <v>1</v>
      </c>
      <c r="J933">
        <f t="shared" si="254"/>
        <v>0.16416030441430651</v>
      </c>
      <c r="K933">
        <f t="shared" si="259"/>
        <v>2.4005354141342501</v>
      </c>
      <c r="O933">
        <f t="shared" si="260"/>
        <v>-0.12056690274872299</v>
      </c>
      <c r="P933">
        <f t="shared" si="261"/>
        <v>0.11032234528126075</v>
      </c>
      <c r="Q933">
        <f t="shared" si="262"/>
        <v>0.98655592953122651</v>
      </c>
      <c r="R933">
        <f t="shared" si="252"/>
        <v>1</v>
      </c>
      <c r="AG933" s="8">
        <f t="shared" si="255"/>
        <v>-0.50791218648157777</v>
      </c>
      <c r="AH933" s="8">
        <f t="shared" si="256"/>
        <v>0.55249914650710985</v>
      </c>
      <c r="AI933" s="8">
        <f t="shared" si="257"/>
        <v>0.66088569657121365</v>
      </c>
      <c r="AJ933" s="8"/>
      <c r="AK933" s="8"/>
      <c r="AL933" s="8"/>
      <c r="AN933" s="8">
        <f t="shared" si="263"/>
        <v>1</v>
      </c>
      <c r="AO933" s="8">
        <f t="shared" si="264"/>
        <v>2.3141723891286956</v>
      </c>
      <c r="AP933" s="8">
        <f t="shared" si="265"/>
        <v>0.84879801515044784</v>
      </c>
      <c r="AQ933" s="8"/>
      <c r="AR933" s="8">
        <f t="shared" si="266"/>
        <v>132.59231096278069</v>
      </c>
      <c r="AS933" s="8">
        <f t="shared" si="267"/>
        <v>41.367456072798035</v>
      </c>
    </row>
    <row r="934" spans="1:45">
      <c r="A934" s="19">
        <v>30.096733329999999</v>
      </c>
      <c r="B934" s="19">
        <v>773.92790179999997</v>
      </c>
      <c r="C934" s="19">
        <v>-370.03329400000001</v>
      </c>
      <c r="E934" s="9">
        <f t="shared" si="253"/>
        <v>-186.07209820000003</v>
      </c>
      <c r="F934" s="9">
        <f t="shared" si="258"/>
        <v>169.96670599999999</v>
      </c>
      <c r="I934">
        <v>1</v>
      </c>
      <c r="J934">
        <f t="shared" si="254"/>
        <v>0.16454324213398031</v>
      </c>
      <c r="K934">
        <f t="shared" si="259"/>
        <v>2.4013986098815399</v>
      </c>
      <c r="O934">
        <f t="shared" si="260"/>
        <v>-0.1209410149603049</v>
      </c>
      <c r="P934">
        <f t="shared" si="261"/>
        <v>0.11047301627676137</v>
      </c>
      <c r="Q934">
        <f t="shared" si="262"/>
        <v>0.98649327599081271</v>
      </c>
      <c r="R934">
        <f t="shared" si="252"/>
        <v>1</v>
      </c>
      <c r="AG934" s="8">
        <f t="shared" si="255"/>
        <v>-0.50760408800750201</v>
      </c>
      <c r="AH934" s="8">
        <f t="shared" si="256"/>
        <v>0.5527665227426517</v>
      </c>
      <c r="AI934" s="8">
        <f t="shared" si="257"/>
        <v>0.66089882824307522</v>
      </c>
      <c r="AJ934" s="8"/>
      <c r="AK934" s="8"/>
      <c r="AL934" s="8"/>
      <c r="AN934" s="8">
        <f t="shared" si="263"/>
        <v>1.0000000000000002</v>
      </c>
      <c r="AO934" s="8">
        <f t="shared" si="264"/>
        <v>2.3136290365536891</v>
      </c>
      <c r="AP934" s="8">
        <f t="shared" si="265"/>
        <v>0.84878051747159777</v>
      </c>
      <c r="AQ934" s="8"/>
      <c r="AR934" s="8">
        <f t="shared" si="266"/>
        <v>132.56117915344527</v>
      </c>
      <c r="AS934" s="8">
        <f t="shared" si="267"/>
        <v>41.368458615947418</v>
      </c>
    </row>
    <row r="935" spans="1:45">
      <c r="A935" s="19">
        <v>30.130099999999999</v>
      </c>
      <c r="B935" s="19">
        <v>773.32635760000005</v>
      </c>
      <c r="C935" s="19">
        <v>-369.71236590000001</v>
      </c>
      <c r="E935" s="9">
        <f t="shared" si="253"/>
        <v>-186.67364239999995</v>
      </c>
      <c r="F935" s="9">
        <f t="shared" si="258"/>
        <v>170.28763409999999</v>
      </c>
      <c r="I935">
        <v>1</v>
      </c>
      <c r="J935">
        <f t="shared" si="254"/>
        <v>0.16497105074923255</v>
      </c>
      <c r="K935">
        <f t="shared" si="259"/>
        <v>2.4020664500341469</v>
      </c>
      <c r="O935">
        <f t="shared" si="260"/>
        <v>-0.12132654613394035</v>
      </c>
      <c r="P935">
        <f t="shared" si="261"/>
        <v>0.11067663452134584</v>
      </c>
      <c r="Q935">
        <f t="shared" si="262"/>
        <v>0.98642310991492754</v>
      </c>
      <c r="R935">
        <f t="shared" si="252"/>
        <v>1</v>
      </c>
      <c r="AG935" s="8">
        <f t="shared" si="255"/>
        <v>-0.50725371438497535</v>
      </c>
      <c r="AH935" s="8">
        <f t="shared" si="256"/>
        <v>0.55303106185038808</v>
      </c>
      <c r="AI935" s="8">
        <f t="shared" si="257"/>
        <v>0.66094652875348248</v>
      </c>
      <c r="AJ935" s="8"/>
      <c r="AK935" s="8"/>
      <c r="AL935" s="8"/>
      <c r="AN935" s="8">
        <f t="shared" si="263"/>
        <v>1</v>
      </c>
      <c r="AO935" s="8">
        <f t="shared" si="264"/>
        <v>2.3130467089594928</v>
      </c>
      <c r="AP935" s="8">
        <f t="shared" si="265"/>
        <v>0.84871695526773117</v>
      </c>
      <c r="AQ935" s="8"/>
      <c r="AR935" s="8">
        <f t="shared" si="266"/>
        <v>132.52781424000381</v>
      </c>
      <c r="AS935" s="8">
        <f t="shared" si="267"/>
        <v>41.372100461965523</v>
      </c>
    </row>
    <row r="936" spans="1:45">
      <c r="A936" s="19">
        <v>30.163466669999998</v>
      </c>
      <c r="B936" s="19">
        <v>772.56044250000002</v>
      </c>
      <c r="C936" s="19">
        <v>-369.62389030000003</v>
      </c>
      <c r="E936" s="9">
        <f t="shared" si="253"/>
        <v>-187.43955749999998</v>
      </c>
      <c r="F936" s="9">
        <f t="shared" si="258"/>
        <v>170.37610969999997</v>
      </c>
      <c r="I936">
        <v>1</v>
      </c>
      <c r="J936">
        <f t="shared" si="254"/>
        <v>0.16537630030088302</v>
      </c>
      <c r="K936">
        <f t="shared" si="259"/>
        <v>2.4038462063220738</v>
      </c>
      <c r="O936">
        <f t="shared" si="260"/>
        <v>-0.12181912898729989</v>
      </c>
      <c r="P936">
        <f t="shared" si="261"/>
        <v>0.11072939757606218</v>
      </c>
      <c r="Q936">
        <f t="shared" si="262"/>
        <v>0.98635647730687004</v>
      </c>
      <c r="R936">
        <f t="shared" si="252"/>
        <v>1</v>
      </c>
      <c r="AG936" s="8">
        <f t="shared" si="255"/>
        <v>-0.50694641098668225</v>
      </c>
      <c r="AH936" s="8">
        <f t="shared" si="256"/>
        <v>0.55341575765669049</v>
      </c>
      <c r="AI936" s="8">
        <f t="shared" si="257"/>
        <v>0.66086029958304593</v>
      </c>
      <c r="AJ936" s="8"/>
      <c r="AK936" s="8"/>
      <c r="AL936" s="8"/>
      <c r="AN936" s="8">
        <f t="shared" si="263"/>
        <v>1</v>
      </c>
      <c r="AO936" s="8">
        <f t="shared" si="264"/>
        <v>2.3123984802633788</v>
      </c>
      <c r="AP936" s="8">
        <f t="shared" si="265"/>
        <v>0.84883185534250583</v>
      </c>
      <c r="AQ936" s="8"/>
      <c r="AR936" s="8">
        <f t="shared" si="266"/>
        <v>132.49067347155719</v>
      </c>
      <c r="AS936" s="8">
        <f t="shared" si="267"/>
        <v>41.365517172615199</v>
      </c>
    </row>
    <row r="937" spans="1:45">
      <c r="A937" s="19">
        <v>30.19683333</v>
      </c>
      <c r="B937" s="19">
        <v>771.72476930000005</v>
      </c>
      <c r="C937" s="19">
        <v>-369.57708270000001</v>
      </c>
      <c r="E937" s="9">
        <f t="shared" si="253"/>
        <v>-188.27523069999995</v>
      </c>
      <c r="F937" s="9">
        <f t="shared" si="258"/>
        <v>170.42291729999999</v>
      </c>
      <c r="I937">
        <v>1</v>
      </c>
      <c r="J937">
        <f t="shared" si="254"/>
        <v>0.16579739255028239</v>
      </c>
      <c r="K937">
        <f t="shared" si="259"/>
        <v>2.4059231970376751</v>
      </c>
      <c r="O937">
        <f t="shared" si="260"/>
        <v>-0.12235676986351542</v>
      </c>
      <c r="P937">
        <f t="shared" si="261"/>
        <v>0.11075486453537529</v>
      </c>
      <c r="Q937">
        <f t="shared" si="262"/>
        <v>0.98628706817554768</v>
      </c>
      <c r="R937">
        <f t="shared" si="252"/>
        <v>1</v>
      </c>
      <c r="AG937" s="8">
        <f t="shared" si="255"/>
        <v>-0.50663257958219376</v>
      </c>
      <c r="AH937" s="8">
        <f t="shared" si="256"/>
        <v>0.5538427593607167</v>
      </c>
      <c r="AI937" s="8">
        <f t="shared" si="257"/>
        <v>0.66074323848950534</v>
      </c>
      <c r="AJ937" s="8"/>
      <c r="AK937" s="8"/>
      <c r="AL937" s="8"/>
      <c r="AN937" s="8">
        <f t="shared" si="263"/>
        <v>1</v>
      </c>
      <c r="AO937" s="8">
        <f t="shared" si="264"/>
        <v>2.3117059223849203</v>
      </c>
      <c r="AP937" s="8">
        <f t="shared" si="265"/>
        <v>0.84898782024914754</v>
      </c>
      <c r="AQ937" s="8"/>
      <c r="AR937" s="8">
        <f t="shared" si="266"/>
        <v>132.45099282805299</v>
      </c>
      <c r="AS937" s="8">
        <f t="shared" si="267"/>
        <v>41.356581041712474</v>
      </c>
    </row>
    <row r="938" spans="1:45">
      <c r="A938" s="19">
        <v>30.2302</v>
      </c>
      <c r="B938" s="19">
        <v>771.09896909999998</v>
      </c>
      <c r="C938" s="19">
        <v>-369.50330939999998</v>
      </c>
      <c r="E938" s="9">
        <f t="shared" si="253"/>
        <v>-188.90103090000002</v>
      </c>
      <c r="F938" s="9">
        <f t="shared" si="258"/>
        <v>170.49669060000002</v>
      </c>
      <c r="I938">
        <v>1</v>
      </c>
      <c r="J938">
        <f t="shared" si="254"/>
        <v>0.16612995417189272</v>
      </c>
      <c r="K938">
        <f t="shared" si="259"/>
        <v>2.4073586377462628</v>
      </c>
      <c r="O938">
        <f t="shared" si="260"/>
        <v>-0.12275910881988053</v>
      </c>
      <c r="P938">
        <f t="shared" si="261"/>
        <v>0.11079887544856649</v>
      </c>
      <c r="Q938">
        <f t="shared" si="262"/>
        <v>0.98623212805154636</v>
      </c>
      <c r="R938">
        <f t="shared" si="252"/>
        <v>1</v>
      </c>
      <c r="AG938" s="8">
        <f t="shared" si="255"/>
        <v>-0.50638069229354421</v>
      </c>
      <c r="AH938" s="8">
        <f t="shared" si="256"/>
        <v>0.55415657496469417</v>
      </c>
      <c r="AI938" s="8">
        <f t="shared" si="257"/>
        <v>0.66067320582547495</v>
      </c>
      <c r="AJ938" s="8"/>
      <c r="AK938" s="8"/>
      <c r="AL938" s="8"/>
      <c r="AN938" s="8">
        <f t="shared" si="263"/>
        <v>1.0000000000000002</v>
      </c>
      <c r="AO938" s="8">
        <f t="shared" si="264"/>
        <v>2.3111761727757409</v>
      </c>
      <c r="AP938" s="8">
        <f t="shared" si="265"/>
        <v>0.84908111717030299</v>
      </c>
      <c r="AQ938" s="8"/>
      <c r="AR938" s="8">
        <f t="shared" si="266"/>
        <v>132.42064041124831</v>
      </c>
      <c r="AS938" s="8">
        <f t="shared" si="267"/>
        <v>41.351235521888704</v>
      </c>
    </row>
    <row r="939" spans="1:45">
      <c r="A939" s="19">
        <v>30.263566669999999</v>
      </c>
      <c r="B939" s="19">
        <v>770.56698119999999</v>
      </c>
      <c r="C939" s="19">
        <v>-369.4872297</v>
      </c>
      <c r="E939" s="9">
        <f t="shared" si="253"/>
        <v>-189.43301880000001</v>
      </c>
      <c r="F939" s="9">
        <f t="shared" si="258"/>
        <v>170.5127703</v>
      </c>
      <c r="I939">
        <v>1</v>
      </c>
      <c r="J939">
        <f t="shared" si="254"/>
        <v>0.16639270837547157</v>
      </c>
      <c r="K939">
        <f t="shared" si="259"/>
        <v>2.4087103201062083</v>
      </c>
      <c r="O939">
        <f t="shared" si="260"/>
        <v>-0.12310136036185626</v>
      </c>
      <c r="P939">
        <f t="shared" si="261"/>
        <v>0.1108062053593728</v>
      </c>
      <c r="Q939">
        <f t="shared" si="262"/>
        <v>0.98618864317680976</v>
      </c>
      <c r="R939">
        <f t="shared" si="252"/>
        <v>1</v>
      </c>
      <c r="AG939" s="8">
        <f t="shared" si="255"/>
        <v>-0.50618674126178886</v>
      </c>
      <c r="AH939" s="8">
        <f t="shared" si="256"/>
        <v>0.55443026026673103</v>
      </c>
      <c r="AI939" s="8">
        <f t="shared" si="257"/>
        <v>0.66059221117973821</v>
      </c>
      <c r="AJ939" s="8"/>
      <c r="AK939" s="8"/>
      <c r="AL939" s="8"/>
      <c r="AN939" s="8">
        <f t="shared" si="263"/>
        <v>1</v>
      </c>
      <c r="AO939" s="8">
        <f t="shared" si="264"/>
        <v>2.3107395444309593</v>
      </c>
      <c r="AP939" s="8">
        <f t="shared" si="265"/>
        <v>0.84918900799825192</v>
      </c>
      <c r="AQ939" s="8"/>
      <c r="AR939" s="8">
        <f t="shared" si="266"/>
        <v>132.39562344987652</v>
      </c>
      <c r="AS939" s="8">
        <f t="shared" si="267"/>
        <v>41.34505383279906</v>
      </c>
    </row>
    <row r="940" spans="1:45">
      <c r="A940" s="19">
        <v>30.296933330000002</v>
      </c>
      <c r="B940" s="19">
        <v>770.18929549999996</v>
      </c>
      <c r="C940" s="19">
        <v>-369.38341229999997</v>
      </c>
      <c r="E940" s="9">
        <f t="shared" si="253"/>
        <v>-189.81070450000004</v>
      </c>
      <c r="F940" s="9">
        <f t="shared" si="258"/>
        <v>170.61658770000003</v>
      </c>
      <c r="I940">
        <v>1</v>
      </c>
      <c r="J940">
        <f t="shared" si="254"/>
        <v>0.16661939646368895</v>
      </c>
      <c r="K940">
        <f t="shared" si="259"/>
        <v>2.4093980167011058</v>
      </c>
      <c r="O940">
        <f t="shared" si="260"/>
        <v>-0.12334379066200669</v>
      </c>
      <c r="P940">
        <f t="shared" si="261"/>
        <v>0.11087096869573392</v>
      </c>
      <c r="Q940">
        <f t="shared" si="262"/>
        <v>0.98615107240503297</v>
      </c>
      <c r="R940">
        <f t="shared" si="252"/>
        <v>1</v>
      </c>
      <c r="AG940" s="8">
        <f t="shared" si="255"/>
        <v>-0.50600894085019021</v>
      </c>
      <c r="AH940" s="8">
        <f t="shared" si="256"/>
        <v>0.55461063346663564</v>
      </c>
      <c r="AI940" s="8">
        <f t="shared" si="257"/>
        <v>0.66057701823890747</v>
      </c>
      <c r="AJ940" s="8"/>
      <c r="AK940" s="8"/>
      <c r="AL940" s="8"/>
      <c r="AN940" s="8">
        <f t="shared" si="263"/>
        <v>1</v>
      </c>
      <c r="AO940" s="8">
        <f t="shared" si="264"/>
        <v>2.3104026547349688</v>
      </c>
      <c r="AP940" s="8">
        <f t="shared" si="265"/>
        <v>0.84920924497251327</v>
      </c>
      <c r="AQ940" s="8"/>
      <c r="AR940" s="8">
        <f t="shared" si="266"/>
        <v>132.37632109213484</v>
      </c>
      <c r="AS940" s="8">
        <f t="shared" si="267"/>
        <v>41.34389433958377</v>
      </c>
    </row>
    <row r="941" spans="1:45">
      <c r="A941" s="19">
        <v>30.330300000000001</v>
      </c>
      <c r="B941" s="19">
        <v>769.52989639999998</v>
      </c>
      <c r="C941" s="19">
        <v>-369.48469790000001</v>
      </c>
      <c r="E941" s="9">
        <f t="shared" si="253"/>
        <v>-190.47010360000002</v>
      </c>
      <c r="F941" s="9">
        <f t="shared" si="258"/>
        <v>170.51530209999999</v>
      </c>
      <c r="I941">
        <v>1</v>
      </c>
      <c r="J941">
        <f t="shared" si="254"/>
        <v>0.16689330359202798</v>
      </c>
      <c r="K941">
        <f t="shared" si="259"/>
        <v>2.4114169807651402</v>
      </c>
      <c r="O941">
        <f t="shared" si="260"/>
        <v>-0.12376862923428453</v>
      </c>
      <c r="P941">
        <f t="shared" si="261"/>
        <v>0.11080187811892869</v>
      </c>
      <c r="Q941">
        <f t="shared" si="262"/>
        <v>0.98610560804752767</v>
      </c>
      <c r="R941">
        <f t="shared" si="252"/>
        <v>1</v>
      </c>
      <c r="AG941" s="8">
        <f t="shared" si="255"/>
        <v>-0.5058210001346013</v>
      </c>
      <c r="AH941" s="8">
        <f t="shared" si="256"/>
        <v>0.55496788951535414</v>
      </c>
      <c r="AI941" s="8">
        <f t="shared" si="257"/>
        <v>0.66042089414986371</v>
      </c>
      <c r="AJ941" s="8"/>
      <c r="AK941" s="8"/>
      <c r="AL941" s="8"/>
      <c r="AN941" s="8">
        <f t="shared" si="263"/>
        <v>1</v>
      </c>
      <c r="AO941" s="8">
        <f t="shared" si="264"/>
        <v>2.3098970881201741</v>
      </c>
      <c r="AP941" s="8">
        <f t="shared" si="265"/>
        <v>0.84941718115168996</v>
      </c>
      <c r="AQ941" s="8"/>
      <c r="AR941" s="8">
        <f t="shared" si="266"/>
        <v>132.34735425884438</v>
      </c>
      <c r="AS941" s="8">
        <f t="shared" si="267"/>
        <v>41.331980474108867</v>
      </c>
    </row>
    <row r="942" spans="1:45">
      <c r="A942" s="19">
        <v>30.363666670000001</v>
      </c>
      <c r="B942" s="19">
        <v>768.82947439999998</v>
      </c>
      <c r="C942" s="19">
        <v>-369.50140140000002</v>
      </c>
      <c r="E942" s="9">
        <f t="shared" si="253"/>
        <v>-191.17052560000002</v>
      </c>
      <c r="F942" s="9">
        <f t="shared" si="258"/>
        <v>170.49859859999998</v>
      </c>
      <c r="I942">
        <v>1</v>
      </c>
      <c r="J942">
        <f t="shared" si="254"/>
        <v>0.16722410509408009</v>
      </c>
      <c r="K942">
        <f t="shared" si="259"/>
        <v>2.413289382830206</v>
      </c>
      <c r="O942">
        <f t="shared" si="260"/>
        <v>-0.12421931955853084</v>
      </c>
      <c r="P942">
        <f t="shared" si="261"/>
        <v>0.11078705693413173</v>
      </c>
      <c r="Q942">
        <f t="shared" si="262"/>
        <v>0.98605060147250512</v>
      </c>
      <c r="R942">
        <f t="shared" si="252"/>
        <v>1</v>
      </c>
      <c r="AG942" s="8">
        <f t="shared" si="255"/>
        <v>-0.50558186627116941</v>
      </c>
      <c r="AH942" s="8">
        <f t="shared" si="256"/>
        <v>0.55533358210417771</v>
      </c>
      <c r="AI942" s="8">
        <f t="shared" si="257"/>
        <v>0.66029659175638944</v>
      </c>
      <c r="AJ942" s="8"/>
      <c r="AK942" s="8"/>
      <c r="AL942" s="8"/>
      <c r="AN942" s="8">
        <f t="shared" si="263"/>
        <v>1.0000000000000002</v>
      </c>
      <c r="AO942" s="8">
        <f t="shared" si="264"/>
        <v>2.3093337403713199</v>
      </c>
      <c r="AP942" s="8">
        <f t="shared" si="265"/>
        <v>0.84958270794676727</v>
      </c>
      <c r="AQ942" s="8"/>
      <c r="AR942" s="8">
        <f t="shared" si="266"/>
        <v>132.31507681043684</v>
      </c>
      <c r="AS942" s="8">
        <f t="shared" si="267"/>
        <v>41.322496487354613</v>
      </c>
    </row>
    <row r="943" spans="1:45">
      <c r="A943" s="19">
        <v>30.397033329999999</v>
      </c>
      <c r="B943" s="19">
        <v>768.3065355</v>
      </c>
      <c r="C943" s="19">
        <v>-369.42050940000001</v>
      </c>
      <c r="E943" s="9">
        <f t="shared" si="253"/>
        <v>-191.6934645</v>
      </c>
      <c r="F943" s="9">
        <f t="shared" si="258"/>
        <v>170.57949059999999</v>
      </c>
      <c r="I943">
        <v>1</v>
      </c>
      <c r="J943">
        <f t="shared" si="254"/>
        <v>0.16751159560159981</v>
      </c>
      <c r="K943">
        <f t="shared" si="259"/>
        <v>2.414410582950782</v>
      </c>
      <c r="O943">
        <f t="shared" si="260"/>
        <v>-0.12455522482895015</v>
      </c>
      <c r="P943">
        <f t="shared" si="261"/>
        <v>0.11083615635154211</v>
      </c>
      <c r="Q943">
        <f t="shared" si="262"/>
        <v>0.98600270913067278</v>
      </c>
      <c r="R943">
        <f t="shared" si="252"/>
        <v>1</v>
      </c>
      <c r="AG943" s="8">
        <f t="shared" si="255"/>
        <v>-0.5053627904790271</v>
      </c>
      <c r="AH943" s="8">
        <f t="shared" si="256"/>
        <v>0.55559248943796202</v>
      </c>
      <c r="AI943" s="8">
        <f t="shared" si="257"/>
        <v>0.66024649615077768</v>
      </c>
      <c r="AJ943" s="8"/>
      <c r="AK943" s="8"/>
      <c r="AL943" s="8"/>
      <c r="AN943" s="8">
        <f t="shared" si="263"/>
        <v>0.99999999999999989</v>
      </c>
      <c r="AO943" s="8">
        <f t="shared" si="264"/>
        <v>2.3088859736523344</v>
      </c>
      <c r="AP943" s="8">
        <f t="shared" si="265"/>
        <v>0.84964941075318401</v>
      </c>
      <c r="AQ943" s="8"/>
      <c r="AR943" s="8">
        <f t="shared" si="266"/>
        <v>132.28942166723255</v>
      </c>
      <c r="AS943" s="8">
        <f t="shared" si="267"/>
        <v>41.318674698065252</v>
      </c>
    </row>
    <row r="944" spans="1:45">
      <c r="A944" s="19">
        <v>30.430399999999999</v>
      </c>
      <c r="B944" s="19">
        <v>767.5680327</v>
      </c>
      <c r="C944" s="19">
        <v>-369.30456479999998</v>
      </c>
      <c r="E944" s="9">
        <f t="shared" si="253"/>
        <v>-192.4319673</v>
      </c>
      <c r="F944" s="9">
        <f t="shared" si="258"/>
        <v>170.69543520000002</v>
      </c>
      <c r="I944">
        <v>1</v>
      </c>
      <c r="J944">
        <f t="shared" si="254"/>
        <v>0.16791864236886275</v>
      </c>
      <c r="K944">
        <f t="shared" si="259"/>
        <v>2.4159823938906611</v>
      </c>
      <c r="O944">
        <f t="shared" si="260"/>
        <v>-0.12502952121636676</v>
      </c>
      <c r="P944">
        <f t="shared" si="261"/>
        <v>0.11090656524652893</v>
      </c>
      <c r="Q944">
        <f t="shared" si="262"/>
        <v>0.98593476082833365</v>
      </c>
      <c r="R944">
        <f t="shared" si="252"/>
        <v>1</v>
      </c>
      <c r="AG944" s="8">
        <f t="shared" si="255"/>
        <v>-0.50505259419213022</v>
      </c>
      <c r="AH944" s="8">
        <f t="shared" si="256"/>
        <v>0.5559577248367179</v>
      </c>
      <c r="AI944" s="8">
        <f t="shared" si="257"/>
        <v>0.6601764046784615</v>
      </c>
      <c r="AJ944" s="8"/>
      <c r="AK944" s="8"/>
      <c r="AL944" s="8"/>
      <c r="AN944" s="8">
        <f t="shared" si="263"/>
        <v>1</v>
      </c>
      <c r="AO944" s="8">
        <f t="shared" si="264"/>
        <v>2.3082532738696595</v>
      </c>
      <c r="AP944" s="8">
        <f t="shared" si="265"/>
        <v>0.84974273169453785</v>
      </c>
      <c r="AQ944" s="8"/>
      <c r="AR944" s="8">
        <f t="shared" si="266"/>
        <v>132.25317063998645</v>
      </c>
      <c r="AS944" s="8">
        <f t="shared" si="267"/>
        <v>41.313327801985487</v>
      </c>
    </row>
    <row r="945" spans="1:45">
      <c r="A945" s="19">
        <v>30.463766669999998</v>
      </c>
      <c r="B945" s="19">
        <v>767.10740510000005</v>
      </c>
      <c r="C945" s="19">
        <v>-368.96774959999999</v>
      </c>
      <c r="E945" s="9">
        <f t="shared" si="253"/>
        <v>-192.89259489999995</v>
      </c>
      <c r="F945" s="9">
        <f t="shared" si="258"/>
        <v>171.03225040000001</v>
      </c>
      <c r="I945">
        <v>1</v>
      </c>
      <c r="J945">
        <f t="shared" si="254"/>
        <v>0.1682861889484529</v>
      </c>
      <c r="K945">
        <f t="shared" si="259"/>
        <v>2.4161906937815378</v>
      </c>
      <c r="O945">
        <f t="shared" si="260"/>
        <v>-0.12532375419841102</v>
      </c>
      <c r="P945">
        <f t="shared" si="261"/>
        <v>0.11112092571642157</v>
      </c>
      <c r="Q945">
        <f t="shared" si="262"/>
        <v>0.98587326594321534</v>
      </c>
      <c r="R945">
        <f t="shared" si="252"/>
        <v>1</v>
      </c>
      <c r="AG945" s="8">
        <f t="shared" si="255"/>
        <v>-0.50474439212892452</v>
      </c>
      <c r="AH945" s="8">
        <f t="shared" si="256"/>
        <v>0.55614567712000762</v>
      </c>
      <c r="AI945" s="8">
        <f t="shared" si="257"/>
        <v>0.66025380304480696</v>
      </c>
      <c r="AJ945" s="8"/>
      <c r="AK945" s="8"/>
      <c r="AL945" s="8"/>
      <c r="AN945" s="8">
        <f t="shared" si="263"/>
        <v>1</v>
      </c>
      <c r="AO945" s="8">
        <f t="shared" si="264"/>
        <v>2.3077812555082842</v>
      </c>
      <c r="AP945" s="8">
        <f t="shared" si="265"/>
        <v>0.8496396817934091</v>
      </c>
      <c r="AQ945" s="8"/>
      <c r="AR945" s="8">
        <f t="shared" si="266"/>
        <v>132.22612598002695</v>
      </c>
      <c r="AS945" s="8">
        <f t="shared" si="267"/>
        <v>41.319232126399406</v>
      </c>
    </row>
    <row r="946" spans="1:45">
      <c r="A946" s="19">
        <v>30.49713333</v>
      </c>
      <c r="B946" s="19">
        <v>766.53449420000004</v>
      </c>
      <c r="C946" s="19">
        <v>-368.62995460000002</v>
      </c>
      <c r="E946" s="9">
        <f t="shared" si="253"/>
        <v>-193.46550579999996</v>
      </c>
      <c r="F946" s="9">
        <f t="shared" si="258"/>
        <v>171.37004539999998</v>
      </c>
      <c r="I946">
        <v>1</v>
      </c>
      <c r="J946">
        <f t="shared" si="254"/>
        <v>0.16870848768568861</v>
      </c>
      <c r="K946">
        <f t="shared" si="259"/>
        <v>2.416683401784411</v>
      </c>
      <c r="O946">
        <f t="shared" si="260"/>
        <v>-0.12569012805388996</v>
      </c>
      <c r="P946">
        <f t="shared" si="261"/>
        <v>0.11133521121431331</v>
      </c>
      <c r="Q946">
        <f t="shared" si="262"/>
        <v>0.9858024459564203</v>
      </c>
      <c r="R946">
        <f t="shared" si="252"/>
        <v>1</v>
      </c>
      <c r="AG946" s="8">
        <f t="shared" si="255"/>
        <v>-0.50439618775470063</v>
      </c>
      <c r="AH946" s="8">
        <f t="shared" si="256"/>
        <v>0.55639152183711016</v>
      </c>
      <c r="AI946" s="8">
        <f t="shared" si="257"/>
        <v>0.66031277452909343</v>
      </c>
      <c r="AJ946" s="8"/>
      <c r="AK946" s="8"/>
      <c r="AL946" s="8"/>
      <c r="AN946" s="8">
        <f t="shared" si="263"/>
        <v>1</v>
      </c>
      <c r="AO946" s="8">
        <f t="shared" si="264"/>
        <v>2.3072179106803712</v>
      </c>
      <c r="AP946" s="8">
        <f t="shared" si="265"/>
        <v>0.84956115958500455</v>
      </c>
      <c r="AQ946" s="8"/>
      <c r="AR946" s="8">
        <f t="shared" si="266"/>
        <v>132.19384869897701</v>
      </c>
      <c r="AS946" s="8">
        <f t="shared" si="267"/>
        <v>41.323731117539033</v>
      </c>
    </row>
    <row r="947" spans="1:45">
      <c r="A947" s="19">
        <v>30.5305</v>
      </c>
      <c r="B947" s="19">
        <v>765.7175704</v>
      </c>
      <c r="C947" s="19">
        <v>-368.58102880000001</v>
      </c>
      <c r="E947" s="9">
        <f t="shared" si="253"/>
        <v>-194.2824296</v>
      </c>
      <c r="F947" s="9">
        <f t="shared" si="258"/>
        <v>171.41897119999999</v>
      </c>
      <c r="I947">
        <v>1</v>
      </c>
      <c r="J947">
        <f t="shared" si="254"/>
        <v>0.16912533051538212</v>
      </c>
      <c r="K947">
        <f t="shared" si="259"/>
        <v>2.4186326961594347</v>
      </c>
      <c r="O947">
        <f t="shared" si="260"/>
        <v>-0.12621503542929943</v>
      </c>
      <c r="P947">
        <f t="shared" si="261"/>
        <v>0.1113618538115196</v>
      </c>
      <c r="Q947">
        <f t="shared" si="262"/>
        <v>0.98573236851959078</v>
      </c>
      <c r="R947">
        <f t="shared" si="252"/>
        <v>1</v>
      </c>
      <c r="AG947" s="8">
        <f t="shared" si="255"/>
        <v>-0.50408723120774912</v>
      </c>
      <c r="AH947" s="8">
        <f t="shared" si="256"/>
        <v>0.55680700789900106</v>
      </c>
      <c r="AI947" s="8">
        <f t="shared" si="257"/>
        <v>0.66019846961945239</v>
      </c>
      <c r="AJ947" s="8"/>
      <c r="AK947" s="8"/>
      <c r="AL947" s="8"/>
      <c r="AN947" s="8">
        <f t="shared" si="263"/>
        <v>1</v>
      </c>
      <c r="AO947" s="8">
        <f t="shared" si="264"/>
        <v>2.3065416196406683</v>
      </c>
      <c r="AP947" s="8">
        <f t="shared" si="265"/>
        <v>0.84971335489407041</v>
      </c>
      <c r="AQ947" s="8"/>
      <c r="AR947" s="8">
        <f t="shared" si="266"/>
        <v>132.15510007667953</v>
      </c>
      <c r="AS947" s="8">
        <f t="shared" si="267"/>
        <v>41.31501096866787</v>
      </c>
    </row>
    <row r="948" spans="1:45">
      <c r="A948" s="19">
        <v>30.563866669999999</v>
      </c>
      <c r="B948" s="19">
        <v>765.22346319999997</v>
      </c>
      <c r="C948" s="19">
        <v>-368.51800229999998</v>
      </c>
      <c r="E948" s="9">
        <f t="shared" si="253"/>
        <v>-194.77653680000003</v>
      </c>
      <c r="F948" s="9">
        <f t="shared" si="258"/>
        <v>171.48199770000002</v>
      </c>
      <c r="I948">
        <v>1</v>
      </c>
      <c r="J948">
        <f t="shared" si="254"/>
        <v>0.16939202499269804</v>
      </c>
      <c r="K948">
        <f t="shared" si="259"/>
        <v>2.4197102941721056</v>
      </c>
      <c r="O948">
        <f t="shared" si="260"/>
        <v>-0.12653227603482961</v>
      </c>
      <c r="P948">
        <f t="shared" si="261"/>
        <v>0.1113994931035267</v>
      </c>
      <c r="Q948">
        <f t="shared" si="262"/>
        <v>0.98568744339051162</v>
      </c>
      <c r="R948">
        <f t="shared" si="252"/>
        <v>1</v>
      </c>
      <c r="AG948" s="8">
        <f t="shared" si="255"/>
        <v>-0.50388581343976069</v>
      </c>
      <c r="AH948" s="8">
        <f t="shared" si="256"/>
        <v>0.55705318110703939</v>
      </c>
      <c r="AI948" s="8">
        <f t="shared" si="257"/>
        <v>0.66014456025379675</v>
      </c>
      <c r="AJ948" s="8"/>
      <c r="AK948" s="8"/>
      <c r="AL948" s="8"/>
      <c r="AN948" s="8">
        <f t="shared" si="263"/>
        <v>1</v>
      </c>
      <c r="AO948" s="8">
        <f t="shared" si="264"/>
        <v>2.3061228768716928</v>
      </c>
      <c r="AP948" s="8">
        <f t="shared" si="265"/>
        <v>0.84978512735757983</v>
      </c>
      <c r="AQ948" s="8"/>
      <c r="AR948" s="8">
        <f t="shared" si="266"/>
        <v>132.13110788331559</v>
      </c>
      <c r="AS948" s="8">
        <f t="shared" si="267"/>
        <v>41.310898709423526</v>
      </c>
    </row>
    <row r="949" spans="1:45">
      <c r="A949" s="19">
        <v>30.597233330000002</v>
      </c>
      <c r="B949" s="19">
        <v>764.527873</v>
      </c>
      <c r="C949" s="19">
        <v>-368.53173409999999</v>
      </c>
      <c r="E949" s="9">
        <f t="shared" si="253"/>
        <v>-195.472127</v>
      </c>
      <c r="F949" s="9">
        <f t="shared" si="258"/>
        <v>171.46826590000001</v>
      </c>
      <c r="I949">
        <v>1</v>
      </c>
      <c r="J949">
        <f t="shared" si="254"/>
        <v>0.16972406504891796</v>
      </c>
      <c r="K949">
        <f t="shared" si="259"/>
        <v>2.4215176582735203</v>
      </c>
      <c r="O949">
        <f t="shared" si="260"/>
        <v>-0.1269794423095654</v>
      </c>
      <c r="P949">
        <f t="shared" si="261"/>
        <v>0.11138644221009716</v>
      </c>
      <c r="Q949">
        <f t="shared" si="262"/>
        <v>0.98563141271092225</v>
      </c>
      <c r="R949">
        <f t="shared" si="252"/>
        <v>1</v>
      </c>
      <c r="AG949" s="8">
        <f t="shared" si="255"/>
        <v>-0.50364661619445239</v>
      </c>
      <c r="AH949" s="8">
        <f t="shared" si="256"/>
        <v>0.55741503971702011</v>
      </c>
      <c r="AI949" s="8">
        <f t="shared" si="257"/>
        <v>0.66002163562503835</v>
      </c>
      <c r="AJ949" s="8"/>
      <c r="AK949" s="8"/>
      <c r="AL949" s="8"/>
      <c r="AN949" s="8">
        <f t="shared" si="263"/>
        <v>1</v>
      </c>
      <c r="AO949" s="8">
        <f t="shared" si="264"/>
        <v>2.3055636239018238</v>
      </c>
      <c r="AP949" s="8">
        <f t="shared" si="265"/>
        <v>0.84994876665757568</v>
      </c>
      <c r="AQ949" s="8"/>
      <c r="AR949" s="8">
        <f t="shared" si="266"/>
        <v>132.09906504846197</v>
      </c>
      <c r="AS949" s="8">
        <f t="shared" si="267"/>
        <v>41.30152286817129</v>
      </c>
    </row>
    <row r="950" spans="1:45">
      <c r="A950" s="19">
        <v>30.630600000000001</v>
      </c>
      <c r="B950" s="19">
        <v>763.98914609999997</v>
      </c>
      <c r="C950" s="19">
        <v>-368.49697579999997</v>
      </c>
      <c r="E950" s="9">
        <f t="shared" si="253"/>
        <v>-196.01085390000003</v>
      </c>
      <c r="F950" s="9">
        <f t="shared" si="258"/>
        <v>171.50302420000003</v>
      </c>
      <c r="I950">
        <v>1</v>
      </c>
      <c r="J950">
        <f t="shared" si="254"/>
        <v>0.17000090789409614</v>
      </c>
      <c r="K950">
        <f t="shared" si="259"/>
        <v>2.4227813578439008</v>
      </c>
      <c r="O950">
        <f t="shared" si="260"/>
        <v>-0.12732545021221944</v>
      </c>
      <c r="P950">
        <f t="shared" si="261"/>
        <v>0.11140556420494306</v>
      </c>
      <c r="Q950">
        <f t="shared" si="262"/>
        <v>0.98558461330949865</v>
      </c>
      <c r="R950">
        <f t="shared" si="252"/>
        <v>1</v>
      </c>
      <c r="AG950" s="8">
        <f t="shared" si="255"/>
        <v>-0.50344162585858088</v>
      </c>
      <c r="AH950" s="8">
        <f t="shared" si="256"/>
        <v>0.55768836314064352</v>
      </c>
      <c r="AI950" s="8">
        <f t="shared" si="257"/>
        <v>0.65994713346629397</v>
      </c>
      <c r="AJ950" s="8"/>
      <c r="AK950" s="8"/>
      <c r="AL950" s="8"/>
      <c r="AN950" s="8">
        <f t="shared" si="263"/>
        <v>1</v>
      </c>
      <c r="AO950" s="8">
        <f t="shared" si="264"/>
        <v>2.3051172845616925</v>
      </c>
      <c r="AP950" s="8">
        <f t="shared" si="265"/>
        <v>0.85004793371456699</v>
      </c>
      <c r="AQ950" s="8"/>
      <c r="AR950" s="8">
        <f t="shared" si="266"/>
        <v>132.07349168804177</v>
      </c>
      <c r="AS950" s="8">
        <f t="shared" si="267"/>
        <v>41.295841014338954</v>
      </c>
    </row>
    <row r="951" spans="1:45">
      <c r="A951" s="19">
        <v>30.663966670000001</v>
      </c>
      <c r="B951" s="19">
        <v>763.35396409999998</v>
      </c>
      <c r="C951" s="19">
        <v>-368.45031940000001</v>
      </c>
      <c r="E951" s="9">
        <f t="shared" si="253"/>
        <v>-196.64603590000002</v>
      </c>
      <c r="F951" s="9">
        <f t="shared" si="258"/>
        <v>171.54968059999999</v>
      </c>
      <c r="I951">
        <v>1</v>
      </c>
      <c r="J951">
        <f t="shared" si="254"/>
        <v>0.17033004570637594</v>
      </c>
      <c r="K951">
        <f t="shared" si="259"/>
        <v>2.4242495968638078</v>
      </c>
      <c r="O951">
        <f t="shared" si="260"/>
        <v>-0.12773332409766711</v>
      </c>
      <c r="P951">
        <f t="shared" si="261"/>
        <v>0.11143174511829088</v>
      </c>
      <c r="Q951">
        <f t="shared" si="262"/>
        <v>0.98552887532271349</v>
      </c>
      <c r="R951">
        <f t="shared" si="252"/>
        <v>1</v>
      </c>
      <c r="AG951" s="8">
        <f t="shared" si="255"/>
        <v>-0.50319741309731303</v>
      </c>
      <c r="AH951" s="8">
        <f t="shared" si="256"/>
        <v>0.55800965788288792</v>
      </c>
      <c r="AI951" s="8">
        <f t="shared" si="257"/>
        <v>0.65986179246990395</v>
      </c>
      <c r="AJ951" s="8"/>
      <c r="AK951" s="8"/>
      <c r="AL951" s="8"/>
      <c r="AN951" s="8">
        <f t="shared" si="263"/>
        <v>1</v>
      </c>
      <c r="AO951" s="8">
        <f t="shared" si="264"/>
        <v>2.3045895006755086</v>
      </c>
      <c r="AP951" s="8">
        <f t="shared" si="265"/>
        <v>0.85016151733228418</v>
      </c>
      <c r="AQ951" s="8"/>
      <c r="AR951" s="8">
        <f t="shared" si="266"/>
        <v>132.04325189886842</v>
      </c>
      <c r="AS951" s="8">
        <f t="shared" si="267"/>
        <v>41.289333152421932</v>
      </c>
    </row>
    <row r="952" spans="1:45">
      <c r="A952" s="19">
        <v>30.697333329999999</v>
      </c>
      <c r="B952" s="19">
        <v>762.58647010000004</v>
      </c>
      <c r="C952" s="19">
        <v>-368.38669240000002</v>
      </c>
      <c r="E952" s="9">
        <f t="shared" si="253"/>
        <v>-197.41352989999996</v>
      </c>
      <c r="F952" s="9">
        <f t="shared" si="258"/>
        <v>171.61330759999998</v>
      </c>
      <c r="I952">
        <v>1</v>
      </c>
      <c r="J952">
        <f t="shared" si="254"/>
        <v>0.17073126250052914</v>
      </c>
      <c r="K952">
        <f t="shared" si="259"/>
        <v>2.4259951263458497</v>
      </c>
      <c r="O952">
        <f t="shared" si="260"/>
        <v>-0.1282260435161113</v>
      </c>
      <c r="P952">
        <f t="shared" si="261"/>
        <v>0.1114680207552553</v>
      </c>
      <c r="Q952">
        <f t="shared" si="262"/>
        <v>0.98546078669478787</v>
      </c>
      <c r="R952">
        <f t="shared" si="252"/>
        <v>1</v>
      </c>
      <c r="AG952" s="8">
        <f t="shared" si="255"/>
        <v>-0.50289909959187773</v>
      </c>
      <c r="AH952" s="8">
        <f t="shared" si="256"/>
        <v>0.55839662747938024</v>
      </c>
      <c r="AI952" s="8">
        <f t="shared" si="257"/>
        <v>0.65976185252660136</v>
      </c>
      <c r="AJ952" s="8"/>
      <c r="AK952" s="8"/>
      <c r="AL952" s="8"/>
      <c r="AN952" s="8">
        <f t="shared" si="263"/>
        <v>1</v>
      </c>
      <c r="AO952" s="8">
        <f t="shared" si="264"/>
        <v>2.3039498389461945</v>
      </c>
      <c r="AP952" s="8">
        <f t="shared" si="265"/>
        <v>0.85029451684955326</v>
      </c>
      <c r="AQ952" s="8"/>
      <c r="AR952" s="8">
        <f t="shared" si="266"/>
        <v>132.00660198146269</v>
      </c>
      <c r="AS952" s="8">
        <f t="shared" si="267"/>
        <v>41.281712841405131</v>
      </c>
    </row>
    <row r="953" spans="1:45">
      <c r="A953" s="19">
        <v>30.730699999999999</v>
      </c>
      <c r="B953" s="19">
        <v>762.20861390000005</v>
      </c>
      <c r="C953" s="19">
        <v>-368.30747100000002</v>
      </c>
      <c r="E953" s="9">
        <f t="shared" si="253"/>
        <v>-197.79138609999995</v>
      </c>
      <c r="F953" s="9">
        <f t="shared" si="258"/>
        <v>171.69252899999998</v>
      </c>
      <c r="I953">
        <v>1</v>
      </c>
      <c r="J953">
        <f t="shared" si="254"/>
        <v>0.17094925823552046</v>
      </c>
      <c r="K953">
        <f t="shared" si="259"/>
        <v>2.4267133389981956</v>
      </c>
      <c r="O953">
        <f t="shared" si="260"/>
        <v>-0.12846829597560305</v>
      </c>
      <c r="P953">
        <f t="shared" si="261"/>
        <v>0.11151672005180317</v>
      </c>
      <c r="Q953">
        <f t="shared" si="262"/>
        <v>0.98542372514467735</v>
      </c>
      <c r="R953">
        <f t="shared" si="252"/>
        <v>1</v>
      </c>
      <c r="AG953" s="8">
        <f t="shared" si="255"/>
        <v>-0.50273143947749521</v>
      </c>
      <c r="AH953" s="8">
        <f t="shared" si="256"/>
        <v>0.55857986100787249</v>
      </c>
      <c r="AI953" s="8">
        <f t="shared" si="257"/>
        <v>0.65973452133211241</v>
      </c>
      <c r="AJ953" s="8"/>
      <c r="AK953" s="8"/>
      <c r="AL953" s="8"/>
      <c r="AN953" s="8">
        <f t="shared" si="263"/>
        <v>1</v>
      </c>
      <c r="AO953" s="8">
        <f t="shared" si="264"/>
        <v>2.3036208887292204</v>
      </c>
      <c r="AP953" s="8">
        <f t="shared" si="265"/>
        <v>0.85033088634592702</v>
      </c>
      <c r="AQ953" s="8"/>
      <c r="AR953" s="8">
        <f t="shared" si="266"/>
        <v>131.98775452236015</v>
      </c>
      <c r="AS953" s="8">
        <f t="shared" si="267"/>
        <v>41.279629022759899</v>
      </c>
    </row>
    <row r="954" spans="1:45">
      <c r="A954" s="19">
        <v>30.764066669999998</v>
      </c>
      <c r="B954" s="19">
        <v>761.61564539999995</v>
      </c>
      <c r="C954" s="19">
        <v>-368.2561589</v>
      </c>
      <c r="E954" s="9">
        <f t="shared" si="253"/>
        <v>-198.38435460000005</v>
      </c>
      <c r="F954" s="9">
        <f t="shared" si="258"/>
        <v>171.7438411</v>
      </c>
      <c r="I954">
        <v>1</v>
      </c>
      <c r="J954">
        <f t="shared" si="254"/>
        <v>0.17126061413119215</v>
      </c>
      <c r="K954">
        <f t="shared" si="259"/>
        <v>2.4280470309708599</v>
      </c>
      <c r="O954">
        <f t="shared" si="260"/>
        <v>-0.12884887251280863</v>
      </c>
      <c r="P954">
        <f t="shared" si="261"/>
        <v>0.11154609611918434</v>
      </c>
      <c r="Q954">
        <f t="shared" si="262"/>
        <v>0.98537071018614497</v>
      </c>
      <c r="R954">
        <f t="shared" si="252"/>
        <v>1</v>
      </c>
      <c r="AG954" s="8">
        <f t="shared" si="255"/>
        <v>-0.5024999292456156</v>
      </c>
      <c r="AH954" s="8">
        <f t="shared" si="256"/>
        <v>0.55887832164008244</v>
      </c>
      <c r="AI954" s="8">
        <f t="shared" si="257"/>
        <v>0.65965812562941717</v>
      </c>
      <c r="AJ954" s="8"/>
      <c r="AK954" s="8"/>
      <c r="AL954" s="8"/>
      <c r="AN954" s="8">
        <f t="shared" si="263"/>
        <v>1</v>
      </c>
      <c r="AO954" s="8">
        <f t="shared" si="264"/>
        <v>2.3031262673883433</v>
      </c>
      <c r="AP954" s="8">
        <f t="shared" si="265"/>
        <v>0.85043253960197085</v>
      </c>
      <c r="AQ954" s="8"/>
      <c r="AR954" s="8">
        <f t="shared" si="266"/>
        <v>131.9594148070708</v>
      </c>
      <c r="AS954" s="8">
        <f t="shared" si="267"/>
        <v>41.273804720214827</v>
      </c>
    </row>
    <row r="955" spans="1:45">
      <c r="A955" s="19">
        <v>30.79743333</v>
      </c>
      <c r="B955" s="19">
        <v>760.85537999999997</v>
      </c>
      <c r="C955" s="19">
        <v>-368.18535919999999</v>
      </c>
      <c r="E955" s="9">
        <f t="shared" si="253"/>
        <v>-199.14462000000003</v>
      </c>
      <c r="F955" s="9">
        <f t="shared" si="258"/>
        <v>171.81464080000001</v>
      </c>
      <c r="I955">
        <v>1</v>
      </c>
      <c r="J955">
        <f t="shared" si="254"/>
        <v>0.17166232855030605</v>
      </c>
      <c r="K955">
        <f t="shared" si="259"/>
        <v>2.4297354285401962</v>
      </c>
      <c r="O955">
        <f t="shared" si="260"/>
        <v>-0.12933672095005572</v>
      </c>
      <c r="P955">
        <f t="shared" si="261"/>
        <v>0.11158695752003576</v>
      </c>
      <c r="Q955">
        <f t="shared" si="262"/>
        <v>0.98530216863930076</v>
      </c>
      <c r="R955">
        <f t="shared" si="252"/>
        <v>1</v>
      </c>
      <c r="AG955" s="8">
        <f t="shared" si="255"/>
        <v>-0.50220084895548145</v>
      </c>
      <c r="AH955" s="8">
        <f t="shared" si="256"/>
        <v>0.55926007878360429</v>
      </c>
      <c r="AI955" s="8">
        <f t="shared" si="257"/>
        <v>0.65956233336004733</v>
      </c>
      <c r="AJ955" s="8"/>
      <c r="AK955" s="8"/>
      <c r="AL955" s="8"/>
      <c r="AN955" s="8">
        <f t="shared" si="263"/>
        <v>0.99999999999999978</v>
      </c>
      <c r="AO955" s="8">
        <f t="shared" si="264"/>
        <v>2.3024908038722494</v>
      </c>
      <c r="AP955" s="8">
        <f t="shared" si="265"/>
        <v>0.85055998940289979</v>
      </c>
      <c r="AQ955" s="8"/>
      <c r="AR955" s="8">
        <f t="shared" si="266"/>
        <v>131.92300542956409</v>
      </c>
      <c r="AS955" s="8">
        <f t="shared" si="267"/>
        <v>41.266502384521814</v>
      </c>
    </row>
    <row r="956" spans="1:45">
      <c r="A956" s="19">
        <v>30.8308</v>
      </c>
      <c r="B956" s="19">
        <v>760.12263210000003</v>
      </c>
      <c r="C956" s="19">
        <v>-368.09506959999999</v>
      </c>
      <c r="E956" s="9">
        <f t="shared" si="253"/>
        <v>-199.87736789999997</v>
      </c>
      <c r="F956" s="9">
        <f t="shared" si="258"/>
        <v>171.90493040000001</v>
      </c>
      <c r="I956">
        <v>1</v>
      </c>
      <c r="J956">
        <f t="shared" si="254"/>
        <v>0.17205920788146742</v>
      </c>
      <c r="K956">
        <f t="shared" si="259"/>
        <v>2.4312917538412799</v>
      </c>
      <c r="O956">
        <f t="shared" si="260"/>
        <v>-0.12980669735739434</v>
      </c>
      <c r="P956">
        <f t="shared" si="261"/>
        <v>0.11164050992426919</v>
      </c>
      <c r="Q956">
        <f t="shared" si="262"/>
        <v>0.98523429592407863</v>
      </c>
      <c r="R956">
        <f t="shared" si="252"/>
        <v>1</v>
      </c>
      <c r="AG956" s="8">
        <f t="shared" si="255"/>
        <v>-0.50190295191707335</v>
      </c>
      <c r="AH956" s="8">
        <f t="shared" si="256"/>
        <v>0.55962452886502945</v>
      </c>
      <c r="AI956" s="8">
        <f t="shared" si="257"/>
        <v>0.65947995689749495</v>
      </c>
      <c r="AJ956" s="8"/>
      <c r="AK956" s="8"/>
      <c r="AL956" s="8"/>
      <c r="AN956" s="8">
        <f t="shared" si="263"/>
        <v>1</v>
      </c>
      <c r="AO956" s="8">
        <f t="shared" si="264"/>
        <v>2.3018720262214107</v>
      </c>
      <c r="AP956" s="8">
        <f t="shared" si="265"/>
        <v>0.8506695783289725</v>
      </c>
      <c r="AQ956" s="8"/>
      <c r="AR956" s="8">
        <f t="shared" si="266"/>
        <v>131.88755208171401</v>
      </c>
      <c r="AS956" s="8">
        <f t="shared" si="267"/>
        <v>41.260223401576482</v>
      </c>
    </row>
    <row r="957" spans="1:45">
      <c r="A957" s="19">
        <v>30.864166669999999</v>
      </c>
      <c r="B957" s="19">
        <v>759.5117328</v>
      </c>
      <c r="C957" s="19">
        <v>-368.34522759999999</v>
      </c>
      <c r="E957" s="9">
        <f t="shared" si="253"/>
        <v>-200.4882672</v>
      </c>
      <c r="F957" s="9">
        <f t="shared" si="258"/>
        <v>171.65477240000001</v>
      </c>
      <c r="I957">
        <v>1</v>
      </c>
      <c r="J957">
        <f t="shared" si="254"/>
        <v>0.17225352663635426</v>
      </c>
      <c r="K957">
        <f t="shared" si="259"/>
        <v>2.4335196098083549</v>
      </c>
      <c r="O957">
        <f t="shared" si="260"/>
        <v>-0.13020051973877397</v>
      </c>
      <c r="P957">
        <f t="shared" si="261"/>
        <v>0.11147555362841186</v>
      </c>
      <c r="Q957">
        <f t="shared" si="262"/>
        <v>0.98520100771517294</v>
      </c>
      <c r="R957">
        <f t="shared" si="252"/>
        <v>1</v>
      </c>
      <c r="AG957" s="8">
        <f t="shared" si="255"/>
        <v>-0.50179552589254317</v>
      </c>
      <c r="AH957" s="8">
        <f t="shared" si="256"/>
        <v>0.55997731601906953</v>
      </c>
      <c r="AI957" s="8">
        <f t="shared" si="257"/>
        <v>0.65926220560434468</v>
      </c>
      <c r="AJ957" s="8"/>
      <c r="AK957" s="8"/>
      <c r="AL957" s="8"/>
      <c r="AN957" s="8">
        <f t="shared" si="263"/>
        <v>1</v>
      </c>
      <c r="AO957" s="8">
        <f t="shared" si="264"/>
        <v>2.3014524036510382</v>
      </c>
      <c r="AP957" s="8">
        <f t="shared" si="265"/>
        <v>0.85095921145474951</v>
      </c>
      <c r="AQ957" s="8"/>
      <c r="AR957" s="8">
        <f t="shared" si="266"/>
        <v>131.86350947944322</v>
      </c>
      <c r="AS957" s="8">
        <f t="shared" si="267"/>
        <v>41.243628645862273</v>
      </c>
    </row>
    <row r="958" spans="1:45">
      <c r="A958" s="19">
        <v>30.897533330000002</v>
      </c>
      <c r="B958" s="19">
        <v>758.80987049999999</v>
      </c>
      <c r="C958" s="19">
        <v>-368.41355770000001</v>
      </c>
      <c r="E958" s="9">
        <f t="shared" si="253"/>
        <v>-201.19012950000001</v>
      </c>
      <c r="F958" s="9">
        <f t="shared" si="258"/>
        <v>171.58644229999999</v>
      </c>
      <c r="I958">
        <v>1</v>
      </c>
      <c r="J958">
        <f t="shared" si="254"/>
        <v>0.17256963215649546</v>
      </c>
      <c r="K958">
        <f t="shared" si="259"/>
        <v>2.4354421981269594</v>
      </c>
      <c r="O958">
        <f t="shared" si="260"/>
        <v>-0.13065154847862492</v>
      </c>
      <c r="P958">
        <f t="shared" si="261"/>
        <v>0.11142710847767123</v>
      </c>
      <c r="Q958">
        <f t="shared" si="262"/>
        <v>0.98514677707255527</v>
      </c>
      <c r="R958">
        <f t="shared" si="252"/>
        <v>1</v>
      </c>
      <c r="AG958" s="8">
        <f t="shared" si="255"/>
        <v>-0.50157709555856234</v>
      </c>
      <c r="AH958" s="8">
        <f t="shared" si="256"/>
        <v>0.56034947194478513</v>
      </c>
      <c r="AI958" s="8">
        <f t="shared" si="257"/>
        <v>0.65911219568616497</v>
      </c>
      <c r="AJ958" s="8"/>
      <c r="AK958" s="8"/>
      <c r="AL958" s="8"/>
      <c r="AN958" s="8">
        <f t="shared" si="263"/>
        <v>1.0000000000000002</v>
      </c>
      <c r="AO958" s="8">
        <f t="shared" si="264"/>
        <v>2.3009058476665945</v>
      </c>
      <c r="AP958" s="8">
        <f t="shared" si="265"/>
        <v>0.85115869833288604</v>
      </c>
      <c r="AQ958" s="8"/>
      <c r="AR958" s="8">
        <f t="shared" si="266"/>
        <v>131.83219412826699</v>
      </c>
      <c r="AS958" s="8">
        <f t="shared" si="267"/>
        <v>41.232198889676809</v>
      </c>
    </row>
    <row r="959" spans="1:45">
      <c r="A959" s="19">
        <v>30.930900000000001</v>
      </c>
      <c r="B959" s="19">
        <v>758.38228609999999</v>
      </c>
      <c r="C959" s="19">
        <v>-368.11472140000001</v>
      </c>
      <c r="E959" s="9">
        <f t="shared" si="253"/>
        <v>-201.61771390000001</v>
      </c>
      <c r="F959" s="9">
        <f t="shared" si="258"/>
        <v>171.88527859999999</v>
      </c>
      <c r="I959">
        <v>1</v>
      </c>
      <c r="J959">
        <f t="shared" si="254"/>
        <v>0.17290513110620662</v>
      </c>
      <c r="K959">
        <f t="shared" si="259"/>
        <v>2.4356312560785343</v>
      </c>
      <c r="O959">
        <f t="shared" si="260"/>
        <v>-0.13092412351395588</v>
      </c>
      <c r="P959">
        <f t="shared" si="261"/>
        <v>0.11161682676760641</v>
      </c>
      <c r="Q959">
        <f t="shared" si="262"/>
        <v>0.98508911163631918</v>
      </c>
      <c r="R959">
        <f t="shared" si="252"/>
        <v>1</v>
      </c>
      <c r="AG959" s="8">
        <f t="shared" si="255"/>
        <v>-0.50129650210593146</v>
      </c>
      <c r="AH959" s="8">
        <f t="shared" si="256"/>
        <v>0.56052478896859281</v>
      </c>
      <c r="AI959" s="8">
        <f t="shared" si="257"/>
        <v>0.65917659085261238</v>
      </c>
      <c r="AJ959" s="8"/>
      <c r="AK959" s="8"/>
      <c r="AL959" s="8"/>
      <c r="AN959" s="8">
        <f t="shared" si="263"/>
        <v>1</v>
      </c>
      <c r="AO959" s="8">
        <f t="shared" si="264"/>
        <v>2.3004723322341296</v>
      </c>
      <c r="AP959" s="8">
        <f t="shared" si="265"/>
        <v>0.8510730683302099</v>
      </c>
      <c r="AQ959" s="8"/>
      <c r="AR959" s="8">
        <f t="shared" si="266"/>
        <v>131.80735552363296</v>
      </c>
      <c r="AS959" s="8">
        <f t="shared" si="267"/>
        <v>41.237105127429849</v>
      </c>
    </row>
    <row r="960" spans="1:45">
      <c r="A960" s="19">
        <v>30.964266670000001</v>
      </c>
      <c r="B960" s="19">
        <v>757.54913150000004</v>
      </c>
      <c r="C960" s="19">
        <v>-367.7208478</v>
      </c>
      <c r="E960" s="9">
        <f t="shared" si="253"/>
        <v>-202.45086849999996</v>
      </c>
      <c r="F960" s="9">
        <f t="shared" si="258"/>
        <v>172.2791522</v>
      </c>
      <c r="I960">
        <v>1</v>
      </c>
      <c r="J960">
        <f t="shared" si="254"/>
        <v>0.173479877619093</v>
      </c>
      <c r="K960">
        <f t="shared" si="259"/>
        <v>2.4365370513429054</v>
      </c>
      <c r="O960">
        <f t="shared" si="260"/>
        <v>-0.13145633630490125</v>
      </c>
      <c r="P960">
        <f t="shared" si="261"/>
        <v>0.11186509762948479</v>
      </c>
      <c r="Q960">
        <f t="shared" si="262"/>
        <v>0.98499006674059331</v>
      </c>
      <c r="R960">
        <f t="shared" si="252"/>
        <v>1</v>
      </c>
      <c r="AG960" s="8">
        <f t="shared" si="255"/>
        <v>-0.50083130329342984</v>
      </c>
      <c r="AH960" s="8">
        <f t="shared" si="256"/>
        <v>0.56089460622887155</v>
      </c>
      <c r="AI960" s="8">
        <f t="shared" si="257"/>
        <v>0.65921562962718316</v>
      </c>
      <c r="AJ960" s="8"/>
      <c r="AK960" s="8"/>
      <c r="AL960" s="8"/>
      <c r="AN960" s="8">
        <f t="shared" si="263"/>
        <v>1</v>
      </c>
      <c r="AO960" s="8">
        <f t="shared" si="264"/>
        <v>2.2996833405688806</v>
      </c>
      <c r="AP960" s="8">
        <f t="shared" si="265"/>
        <v>0.85102115306882897</v>
      </c>
      <c r="AQ960" s="8"/>
      <c r="AR960" s="8">
        <f t="shared" si="266"/>
        <v>131.76214963114319</v>
      </c>
      <c r="AS960" s="8">
        <f t="shared" si="267"/>
        <v>41.240079652799295</v>
      </c>
    </row>
    <row r="961" spans="1:45">
      <c r="A961" s="19">
        <v>30.997633329999999</v>
      </c>
      <c r="B961" s="19">
        <v>756.90198869999995</v>
      </c>
      <c r="C961" s="19">
        <v>-367.63184310000003</v>
      </c>
      <c r="E961" s="9">
        <f t="shared" si="253"/>
        <v>-203.09801130000005</v>
      </c>
      <c r="F961" s="9">
        <f t="shared" si="258"/>
        <v>172.36815689999997</v>
      </c>
      <c r="I961">
        <v>1</v>
      </c>
      <c r="J961">
        <f t="shared" si="254"/>
        <v>0.17383563709122005</v>
      </c>
      <c r="K961">
        <f t="shared" si="259"/>
        <v>2.4378570114113218</v>
      </c>
      <c r="O961">
        <f t="shared" si="260"/>
        <v>-0.13187104134831087</v>
      </c>
      <c r="P961">
        <f t="shared" si="261"/>
        <v>0.11191822214406894</v>
      </c>
      <c r="Q961">
        <f t="shared" si="262"/>
        <v>0.98492859639966945</v>
      </c>
      <c r="R961">
        <f t="shared" si="252"/>
        <v>1</v>
      </c>
      <c r="AG961" s="8">
        <f t="shared" si="255"/>
        <v>-0.50056387316338102</v>
      </c>
      <c r="AH961" s="8">
        <f t="shared" si="256"/>
        <v>0.56121443366218682</v>
      </c>
      <c r="AI961" s="8">
        <f t="shared" si="257"/>
        <v>0.65914654541528583</v>
      </c>
      <c r="AJ961" s="8"/>
      <c r="AK961" s="8"/>
      <c r="AL961" s="8"/>
      <c r="AN961" s="8">
        <f t="shared" si="263"/>
        <v>1</v>
      </c>
      <c r="AO961" s="8">
        <f t="shared" si="264"/>
        <v>2.2991348161935319</v>
      </c>
      <c r="AP961" s="8">
        <f t="shared" si="265"/>
        <v>0.85111302229760777</v>
      </c>
      <c r="AQ961" s="8"/>
      <c r="AR961" s="8">
        <f t="shared" si="266"/>
        <v>131.73072149947566</v>
      </c>
      <c r="AS961" s="8">
        <f t="shared" si="267"/>
        <v>41.234815933723148</v>
      </c>
    </row>
    <row r="962" spans="1:45">
      <c r="A962" s="19">
        <v>31.030999999999999</v>
      </c>
      <c r="B962" s="19">
        <v>756.38647600000002</v>
      </c>
      <c r="C962" s="19">
        <v>-367.56122499999998</v>
      </c>
      <c r="E962" s="9">
        <f t="shared" si="253"/>
        <v>-203.61352399999998</v>
      </c>
      <c r="F962" s="9">
        <f t="shared" si="258"/>
        <v>172.43877500000002</v>
      </c>
      <c r="I962">
        <v>1</v>
      </c>
      <c r="J962">
        <f t="shared" si="254"/>
        <v>0.1741191034914655</v>
      </c>
      <c r="K962">
        <f t="shared" si="259"/>
        <v>2.4389053972703549</v>
      </c>
      <c r="O962">
        <f t="shared" si="260"/>
        <v>-0.13220135240162076</v>
      </c>
      <c r="P962">
        <f t="shared" si="261"/>
        <v>0.11196033943933313</v>
      </c>
      <c r="Q962">
        <f t="shared" si="262"/>
        <v>0.98487952807224688</v>
      </c>
      <c r="R962">
        <f t="shared" si="252"/>
        <v>1</v>
      </c>
      <c r="AG962" s="8">
        <f t="shared" si="255"/>
        <v>-0.50035091609033633</v>
      </c>
      <c r="AH962" s="8">
        <f t="shared" si="256"/>
        <v>0.56146915800955466</v>
      </c>
      <c r="AI962" s="8">
        <f t="shared" si="257"/>
        <v>0.65909130275827721</v>
      </c>
      <c r="AJ962" s="8"/>
      <c r="AK962" s="8"/>
      <c r="AL962" s="8"/>
      <c r="AN962" s="8">
        <f t="shared" si="263"/>
        <v>1</v>
      </c>
      <c r="AO962" s="8">
        <f t="shared" si="264"/>
        <v>2.298698046588755</v>
      </c>
      <c r="AP962" s="8">
        <f t="shared" si="265"/>
        <v>0.85118647949497361</v>
      </c>
      <c r="AQ962" s="8"/>
      <c r="AR962" s="8">
        <f t="shared" si="266"/>
        <v>131.70569644450234</v>
      </c>
      <c r="AS962" s="8">
        <f t="shared" si="267"/>
        <v>41.230607146339224</v>
      </c>
    </row>
    <row r="963" spans="1:45">
      <c r="A963" s="19">
        <v>31.064366669999998</v>
      </c>
      <c r="B963" s="19">
        <v>755.59324800000002</v>
      </c>
      <c r="C963" s="19">
        <v>-367.5055643</v>
      </c>
      <c r="E963" s="9">
        <f t="shared" si="253"/>
        <v>-204.40675199999998</v>
      </c>
      <c r="F963" s="9">
        <f t="shared" si="258"/>
        <v>172.4944357</v>
      </c>
      <c r="I963">
        <v>1</v>
      </c>
      <c r="J963">
        <f t="shared" si="254"/>
        <v>0.17453352473561612</v>
      </c>
      <c r="K963">
        <f t="shared" si="259"/>
        <v>2.4406632670511956</v>
      </c>
      <c r="O963">
        <f t="shared" si="260"/>
        <v>-0.13270987801544548</v>
      </c>
      <c r="P963">
        <f t="shared" si="261"/>
        <v>0.11199099489673464</v>
      </c>
      <c r="Q963">
        <f t="shared" si="262"/>
        <v>0.98480764890366546</v>
      </c>
      <c r="R963">
        <f t="shared" si="252"/>
        <v>1</v>
      </c>
      <c r="AG963" s="8">
        <f t="shared" si="255"/>
        <v>-0.50004611343733174</v>
      </c>
      <c r="AH963" s="8">
        <f t="shared" si="256"/>
        <v>0.56186895123988667</v>
      </c>
      <c r="AI963" s="8">
        <f t="shared" si="257"/>
        <v>0.65898191634430237</v>
      </c>
      <c r="AJ963" s="8"/>
      <c r="AK963" s="8"/>
      <c r="AL963" s="8"/>
      <c r="AN963" s="8">
        <f t="shared" si="263"/>
        <v>1</v>
      </c>
      <c r="AO963" s="8">
        <f t="shared" si="264"/>
        <v>2.2980418800265143</v>
      </c>
      <c r="AP963" s="8">
        <f t="shared" si="265"/>
        <v>0.85133191871140024</v>
      </c>
      <c r="AQ963" s="8"/>
      <c r="AR963" s="8">
        <f t="shared" si="266"/>
        <v>131.66810086982835</v>
      </c>
      <c r="AS963" s="8">
        <f t="shared" si="267"/>
        <v>41.222274093062289</v>
      </c>
    </row>
    <row r="964" spans="1:45">
      <c r="A964" s="19">
        <v>31.097733330000001</v>
      </c>
      <c r="B964" s="19">
        <v>755.08782180000003</v>
      </c>
      <c r="C964" s="19">
        <v>-367.42919239999998</v>
      </c>
      <c r="E964" s="9">
        <f t="shared" si="253"/>
        <v>-204.91217819999997</v>
      </c>
      <c r="F964" s="9">
        <f t="shared" si="258"/>
        <v>172.57080760000002</v>
      </c>
      <c r="I964">
        <v>1</v>
      </c>
      <c r="J964">
        <f t="shared" si="254"/>
        <v>0.17481484888944776</v>
      </c>
      <c r="K964">
        <f t="shared" si="259"/>
        <v>2.4416621409907755</v>
      </c>
      <c r="O964">
        <f t="shared" si="260"/>
        <v>-0.13303358348493421</v>
      </c>
      <c r="P964">
        <f t="shared" si="261"/>
        <v>0.11203684008233893</v>
      </c>
      <c r="Q964">
        <f t="shared" si="262"/>
        <v>0.98475875834110838</v>
      </c>
      <c r="R964">
        <f t="shared" si="252"/>
        <v>1</v>
      </c>
      <c r="AG964" s="8">
        <f t="shared" si="255"/>
        <v>-0.4998341323985977</v>
      </c>
      <c r="AH964" s="8">
        <f t="shared" si="256"/>
        <v>0.56211741209049049</v>
      </c>
      <c r="AI964" s="8">
        <f t="shared" si="257"/>
        <v>0.65893084243646616</v>
      </c>
      <c r="AJ964" s="8"/>
      <c r="AK964" s="8"/>
      <c r="AL964" s="8"/>
      <c r="AN964" s="8">
        <f t="shared" si="263"/>
        <v>1</v>
      </c>
      <c r="AO964" s="8">
        <f t="shared" si="264"/>
        <v>2.2976117676781023</v>
      </c>
      <c r="AP964" s="8">
        <f t="shared" si="265"/>
        <v>0.85139981978486301</v>
      </c>
      <c r="AQ964" s="8"/>
      <c r="AR964" s="8">
        <f t="shared" si="266"/>
        <v>131.64345724754787</v>
      </c>
      <c r="AS964" s="8">
        <f t="shared" si="267"/>
        <v>41.218383648128466</v>
      </c>
    </row>
    <row r="965" spans="1:45">
      <c r="A965" s="19">
        <v>31.1311</v>
      </c>
      <c r="B965" s="19">
        <v>754.49548100000004</v>
      </c>
      <c r="C965" s="19">
        <v>-367.49979760000002</v>
      </c>
      <c r="E965" s="9">
        <f t="shared" si="253"/>
        <v>-205.50451899999996</v>
      </c>
      <c r="F965" s="9">
        <f t="shared" si="258"/>
        <v>172.50020239999998</v>
      </c>
      <c r="I965">
        <v>1</v>
      </c>
      <c r="J965">
        <f t="shared" si="254"/>
        <v>0.17507825779008224</v>
      </c>
      <c r="K965">
        <f t="shared" si="259"/>
        <v>2.4432855454807179</v>
      </c>
      <c r="O965">
        <f t="shared" si="260"/>
        <v>-0.1334139628419562</v>
      </c>
      <c r="P965">
        <f t="shared" si="261"/>
        <v>0.11198749159001967</v>
      </c>
      <c r="Q965">
        <f t="shared" si="262"/>
        <v>0.98471291057149257</v>
      </c>
      <c r="R965">
        <f t="shared" si="252"/>
        <v>1</v>
      </c>
      <c r="AG965" s="8">
        <f t="shared" si="255"/>
        <v>-0.49965498912061784</v>
      </c>
      <c r="AH965" s="8">
        <f t="shared" si="256"/>
        <v>0.56243268600135521</v>
      </c>
      <c r="AI965" s="8">
        <f t="shared" si="257"/>
        <v>0.65879766663534578</v>
      </c>
      <c r="AJ965" s="8"/>
      <c r="AK965" s="8"/>
      <c r="AL965" s="8"/>
      <c r="AN965" s="8">
        <f t="shared" si="263"/>
        <v>0.99999999999999989</v>
      </c>
      <c r="AO965" s="8">
        <f t="shared" si="264"/>
        <v>2.2971553527765671</v>
      </c>
      <c r="AP965" s="8">
        <f t="shared" si="265"/>
        <v>0.85157685362132063</v>
      </c>
      <c r="AQ965" s="8"/>
      <c r="AR965" s="8">
        <f t="shared" si="266"/>
        <v>131.61730659998304</v>
      </c>
      <c r="AS965" s="8">
        <f t="shared" si="267"/>
        <v>41.208240356468437</v>
      </c>
    </row>
    <row r="966" spans="1:45">
      <c r="A966" s="19">
        <v>31.164466669999999</v>
      </c>
      <c r="B966" s="19">
        <v>753.75585560000002</v>
      </c>
      <c r="C966" s="19">
        <v>-367.50344569999999</v>
      </c>
      <c r="E966" s="9">
        <f t="shared" si="253"/>
        <v>-206.24414439999998</v>
      </c>
      <c r="F966" s="9">
        <f t="shared" si="258"/>
        <v>172.49655430000001</v>
      </c>
      <c r="I966">
        <v>1</v>
      </c>
      <c r="J966">
        <f t="shared" si="254"/>
        <v>0.17544277236643843</v>
      </c>
      <c r="K966">
        <f t="shared" si="259"/>
        <v>2.4450645233422059</v>
      </c>
      <c r="O966">
        <f t="shared" si="260"/>
        <v>-0.13388830132358759</v>
      </c>
      <c r="P966">
        <f t="shared" si="261"/>
        <v>0.11198024897427825</v>
      </c>
      <c r="Q966">
        <f t="shared" si="262"/>
        <v>0.98464935210883209</v>
      </c>
      <c r="R966">
        <f t="shared" si="252"/>
        <v>1</v>
      </c>
      <c r="AG966" s="8">
        <f t="shared" si="255"/>
        <v>-0.4993946184743604</v>
      </c>
      <c r="AH966" s="8">
        <f t="shared" si="256"/>
        <v>0.56281344020654878</v>
      </c>
      <c r="AI966" s="8">
        <f t="shared" si="257"/>
        <v>0.65866990713233409</v>
      </c>
      <c r="AJ966" s="8"/>
      <c r="AK966" s="8"/>
      <c r="AL966" s="8"/>
      <c r="AN966" s="8">
        <f t="shared" si="263"/>
        <v>1</v>
      </c>
      <c r="AO966" s="8">
        <f t="shared" si="264"/>
        <v>2.2965605732505043</v>
      </c>
      <c r="AP966" s="8">
        <f t="shared" si="265"/>
        <v>0.85174666165120583</v>
      </c>
      <c r="AQ966" s="8"/>
      <c r="AR966" s="8">
        <f t="shared" si="266"/>
        <v>131.58322824339885</v>
      </c>
      <c r="AS966" s="8">
        <f t="shared" si="267"/>
        <v>41.198511073028577</v>
      </c>
    </row>
    <row r="967" spans="1:45">
      <c r="A967" s="19">
        <v>31.197833330000002</v>
      </c>
      <c r="B967" s="19">
        <v>753.38355039999999</v>
      </c>
      <c r="C967" s="19">
        <v>-367.3806098</v>
      </c>
      <c r="E967" s="9">
        <f t="shared" si="253"/>
        <v>-206.61644960000001</v>
      </c>
      <c r="F967" s="9">
        <f t="shared" si="258"/>
        <v>172.6193902</v>
      </c>
      <c r="I967">
        <v>1</v>
      </c>
      <c r="J967">
        <f t="shared" si="254"/>
        <v>0.17567804102255574</v>
      </c>
      <c r="K967">
        <f t="shared" si="259"/>
        <v>2.4456017155740581</v>
      </c>
      <c r="O967">
        <f t="shared" si="260"/>
        <v>-0.13412621123663107</v>
      </c>
      <c r="P967">
        <f t="shared" si="261"/>
        <v>0.11205683205924012</v>
      </c>
      <c r="Q967">
        <f t="shared" si="262"/>
        <v>0.98460826009543201</v>
      </c>
      <c r="R967">
        <f t="shared" si="252"/>
        <v>1</v>
      </c>
      <c r="AG967" s="8">
        <f t="shared" si="255"/>
        <v>-0.49920953929742173</v>
      </c>
      <c r="AH967" s="8">
        <f t="shared" si="256"/>
        <v>0.56298620137898026</v>
      </c>
      <c r="AI967" s="8">
        <f t="shared" si="257"/>
        <v>0.65866256378461518</v>
      </c>
      <c r="AJ967" s="8"/>
      <c r="AK967" s="8"/>
      <c r="AL967" s="8"/>
      <c r="AN967" s="8">
        <f t="shared" si="263"/>
        <v>1</v>
      </c>
      <c r="AO967" s="8">
        <f t="shared" si="264"/>
        <v>2.2962241993304069</v>
      </c>
      <c r="AP967" s="8">
        <f t="shared" si="265"/>
        <v>0.85175642109272254</v>
      </c>
      <c r="AQ967" s="8"/>
      <c r="AR967" s="8">
        <f t="shared" si="266"/>
        <v>131.56395543743898</v>
      </c>
      <c r="AS967" s="8">
        <f t="shared" si="267"/>
        <v>41.197951898219266</v>
      </c>
    </row>
    <row r="968" spans="1:45">
      <c r="A968" s="19">
        <v>31.231200000000001</v>
      </c>
      <c r="B968" s="19">
        <v>752.75552200000004</v>
      </c>
      <c r="C968" s="19">
        <v>-367.15245119999997</v>
      </c>
      <c r="E968" s="9">
        <f t="shared" si="253"/>
        <v>-207.24447799999996</v>
      </c>
      <c r="F968" s="9">
        <f t="shared" si="258"/>
        <v>172.84754880000003</v>
      </c>
      <c r="I968">
        <v>1</v>
      </c>
      <c r="J968">
        <f t="shared" si="254"/>
        <v>0.17608364472174889</v>
      </c>
      <c r="K968">
        <f t="shared" si="259"/>
        <v>2.4464449733680302</v>
      </c>
      <c r="O968">
        <f t="shared" si="260"/>
        <v>-0.1345273380184854</v>
      </c>
      <c r="P968">
        <f t="shared" si="261"/>
        <v>0.11219947014985977</v>
      </c>
      <c r="Q968">
        <f t="shared" si="262"/>
        <v>0.98453728940236229</v>
      </c>
      <c r="R968">
        <f t="shared" si="252"/>
        <v>1</v>
      </c>
      <c r="AG968" s="8">
        <f t="shared" si="255"/>
        <v>-0.49888822027387947</v>
      </c>
      <c r="AH968" s="8">
        <f t="shared" si="256"/>
        <v>0.56327435205770005</v>
      </c>
      <c r="AI968" s="8">
        <f t="shared" si="257"/>
        <v>0.65865966020847155</v>
      </c>
      <c r="AJ968" s="8"/>
      <c r="AK968" s="8"/>
      <c r="AL968" s="8"/>
      <c r="AN968" s="8">
        <f t="shared" si="263"/>
        <v>1</v>
      </c>
      <c r="AO968" s="8">
        <f t="shared" si="264"/>
        <v>2.2956506113262005</v>
      </c>
      <c r="AP968" s="8">
        <f t="shared" si="265"/>
        <v>0.85176027997476678</v>
      </c>
      <c r="AQ968" s="8"/>
      <c r="AR968" s="8">
        <f t="shared" si="266"/>
        <v>131.53109126561864</v>
      </c>
      <c r="AS968" s="8">
        <f t="shared" si="267"/>
        <v>41.197730800564493</v>
      </c>
    </row>
    <row r="969" spans="1:45">
      <c r="A969" s="19">
        <v>31.264566670000001</v>
      </c>
      <c r="B969" s="19">
        <v>752.22784839999997</v>
      </c>
      <c r="C969" s="19">
        <v>-366.94427020000001</v>
      </c>
      <c r="E969" s="9">
        <f t="shared" si="253"/>
        <v>-207.77215160000003</v>
      </c>
      <c r="F969" s="9">
        <f t="shared" si="258"/>
        <v>173.05572979999999</v>
      </c>
      <c r="I969">
        <v>1</v>
      </c>
      <c r="J969">
        <f t="shared" si="254"/>
        <v>0.17643130029184417</v>
      </c>
      <c r="K969">
        <f t="shared" si="259"/>
        <v>2.4471036204009029</v>
      </c>
      <c r="O969">
        <f t="shared" si="260"/>
        <v>-0.13486420182989972</v>
      </c>
      <c r="P969">
        <f t="shared" si="261"/>
        <v>0.11232988969811385</v>
      </c>
      <c r="Q969">
        <f t="shared" si="262"/>
        <v>0.98447632929654216</v>
      </c>
      <c r="R969">
        <f t="shared" si="252"/>
        <v>1</v>
      </c>
      <c r="AG969" s="8">
        <f t="shared" si="255"/>
        <v>-0.49861106759421231</v>
      </c>
      <c r="AH969" s="8">
        <f t="shared" si="256"/>
        <v>0.56351385993941727</v>
      </c>
      <c r="AI969" s="8">
        <f t="shared" si="257"/>
        <v>0.658664658934073</v>
      </c>
      <c r="AJ969" s="8"/>
      <c r="AK969" s="8"/>
      <c r="AL969" s="8"/>
      <c r="AN969" s="8">
        <f t="shared" si="263"/>
        <v>1</v>
      </c>
      <c r="AO969" s="8">
        <f t="shared" si="264"/>
        <v>2.2951638255359739</v>
      </c>
      <c r="AP969" s="8">
        <f t="shared" si="265"/>
        <v>0.85175363660981884</v>
      </c>
      <c r="AQ969" s="8"/>
      <c r="AR969" s="8">
        <f t="shared" si="266"/>
        <v>131.5032004943117</v>
      </c>
      <c r="AS969" s="8">
        <f t="shared" si="267"/>
        <v>41.198111437337779</v>
      </c>
    </row>
    <row r="970" spans="1:45">
      <c r="A970" s="19">
        <v>31.297933329999999</v>
      </c>
      <c r="B970" s="19">
        <v>751.53353100000004</v>
      </c>
      <c r="C970" s="19">
        <v>-366.69379930000002</v>
      </c>
      <c r="E970" s="9">
        <f t="shared" si="253"/>
        <v>-208.46646899999996</v>
      </c>
      <c r="F970" s="9">
        <f t="shared" si="258"/>
        <v>173.30620069999998</v>
      </c>
      <c r="I970">
        <v>1</v>
      </c>
      <c r="J970">
        <f t="shared" si="254"/>
        <v>0.17687913141011499</v>
      </c>
      <c r="K970">
        <f t="shared" si="259"/>
        <v>2.4480328143207548</v>
      </c>
      <c r="O970">
        <f t="shared" si="260"/>
        <v>-0.13530753140398719</v>
      </c>
      <c r="P970">
        <f t="shared" si="261"/>
        <v>0.11248635958678305</v>
      </c>
      <c r="Q970">
        <f t="shared" si="262"/>
        <v>0.98439762842678158</v>
      </c>
      <c r="R970">
        <f t="shared" si="252"/>
        <v>1</v>
      </c>
      <c r="AG970" s="8">
        <f t="shared" si="255"/>
        <v>-0.49825648566910563</v>
      </c>
      <c r="AH970" s="8">
        <f t="shared" si="256"/>
        <v>0.56383240521830313</v>
      </c>
      <c r="AI970" s="8">
        <f t="shared" si="257"/>
        <v>0.65866037782336317</v>
      </c>
      <c r="AJ970" s="8"/>
      <c r="AK970" s="8"/>
      <c r="AL970" s="8"/>
      <c r="AN970" s="8">
        <f t="shared" si="263"/>
        <v>1</v>
      </c>
      <c r="AO970" s="8">
        <f t="shared" si="264"/>
        <v>2.2945303655257931</v>
      </c>
      <c r="AP970" s="8">
        <f t="shared" si="265"/>
        <v>0.85175932625853479</v>
      </c>
      <c r="AQ970" s="8"/>
      <c r="AR970" s="8">
        <f t="shared" si="266"/>
        <v>131.46690590923802</v>
      </c>
      <c r="AS970" s="8">
        <f t="shared" si="267"/>
        <v>41.197785444479443</v>
      </c>
    </row>
    <row r="971" spans="1:45">
      <c r="A971" s="19">
        <v>31.331299999999999</v>
      </c>
      <c r="B971" s="19">
        <v>750.74776529999997</v>
      </c>
      <c r="C971" s="19">
        <v>-366.70611680000002</v>
      </c>
      <c r="E971" s="9">
        <f t="shared" si="253"/>
        <v>-209.25223470000003</v>
      </c>
      <c r="F971" s="9">
        <f t="shared" si="258"/>
        <v>173.29388319999998</v>
      </c>
      <c r="I971">
        <v>1</v>
      </c>
      <c r="J971">
        <f t="shared" si="254"/>
        <v>0.17726426549058727</v>
      </c>
      <c r="K971">
        <f t="shared" si="259"/>
        <v>2.4499165388375919</v>
      </c>
      <c r="O971">
        <f t="shared" si="260"/>
        <v>-0.13581116827137443</v>
      </c>
      <c r="P971">
        <f t="shared" si="261"/>
        <v>0.11247308668133001</v>
      </c>
      <c r="Q971">
        <f t="shared" si="262"/>
        <v>0.98432978789892289</v>
      </c>
      <c r="R971">
        <f t="shared" si="252"/>
        <v>1</v>
      </c>
      <c r="AG971" s="8">
        <f t="shared" si="255"/>
        <v>-0.49798318631192601</v>
      </c>
      <c r="AH971" s="8">
        <f t="shared" si="256"/>
        <v>0.56423747222024434</v>
      </c>
      <c r="AI971" s="8">
        <f t="shared" si="257"/>
        <v>0.65852017516028383</v>
      </c>
      <c r="AJ971" s="8"/>
      <c r="AK971" s="8"/>
      <c r="AL971" s="8"/>
      <c r="AN971" s="8">
        <f t="shared" si="263"/>
        <v>1.0000000000000002</v>
      </c>
      <c r="AO971" s="8">
        <f t="shared" si="264"/>
        <v>2.2939018149478256</v>
      </c>
      <c r="AP971" s="8">
        <f t="shared" si="265"/>
        <v>0.85194564166339637</v>
      </c>
      <c r="AQ971" s="8"/>
      <c r="AR971" s="8">
        <f t="shared" si="266"/>
        <v>131.43089261390998</v>
      </c>
      <c r="AS971" s="8">
        <f t="shared" si="267"/>
        <v>41.187110358122602</v>
      </c>
    </row>
    <row r="972" spans="1:45">
      <c r="A972" s="19">
        <v>31.364666669999998</v>
      </c>
      <c r="B972" s="19">
        <v>750.23436370000002</v>
      </c>
      <c r="C972" s="19">
        <v>-366.66826179999998</v>
      </c>
      <c r="E972" s="9">
        <f t="shared" si="253"/>
        <v>-209.76563629999998</v>
      </c>
      <c r="F972" s="9">
        <f t="shared" si="258"/>
        <v>173.33173820000002</v>
      </c>
      <c r="I972">
        <v>1</v>
      </c>
      <c r="J972">
        <f t="shared" si="254"/>
        <v>0.17753507782831723</v>
      </c>
      <c r="K972">
        <f t="shared" si="259"/>
        <v>2.4510128015432064</v>
      </c>
      <c r="O972">
        <f t="shared" si="260"/>
        <v>-0.13613987328686269</v>
      </c>
      <c r="P972">
        <f t="shared" si="261"/>
        <v>0.11249393032799461</v>
      </c>
      <c r="Q972">
        <f t="shared" si="262"/>
        <v>0.98428199746861023</v>
      </c>
      <c r="R972">
        <f t="shared" si="252"/>
        <v>1</v>
      </c>
      <c r="AG972" s="8">
        <f t="shared" si="255"/>
        <v>-0.49778469188879809</v>
      </c>
      <c r="AH972" s="8">
        <f t="shared" si="256"/>
        <v>0.56449508693554984</v>
      </c>
      <c r="AI972" s="8">
        <f t="shared" si="257"/>
        <v>0.65844946453528252</v>
      </c>
      <c r="AJ972" s="8"/>
      <c r="AK972" s="8"/>
      <c r="AL972" s="8"/>
      <c r="AN972" s="8">
        <f t="shared" si="263"/>
        <v>0.99999999999999978</v>
      </c>
      <c r="AO972" s="8">
        <f t="shared" si="264"/>
        <v>2.2934775798581644</v>
      </c>
      <c r="AP972" s="8">
        <f t="shared" si="265"/>
        <v>0.8520395975337105</v>
      </c>
      <c r="AQ972" s="8"/>
      <c r="AR972" s="8">
        <f t="shared" si="266"/>
        <v>131.40658573375103</v>
      </c>
      <c r="AS972" s="8">
        <f t="shared" si="267"/>
        <v>41.181727083293119</v>
      </c>
    </row>
    <row r="973" spans="1:45">
      <c r="A973" s="19">
        <v>31.398033330000001</v>
      </c>
      <c r="B973" s="19">
        <v>749.58010839999997</v>
      </c>
      <c r="C973" s="19">
        <v>-366.60720240000001</v>
      </c>
      <c r="E973" s="9">
        <f t="shared" si="253"/>
        <v>-210.41989160000003</v>
      </c>
      <c r="F973" s="9">
        <f t="shared" si="258"/>
        <v>173.39279759999999</v>
      </c>
      <c r="I973">
        <v>1</v>
      </c>
      <c r="J973">
        <f t="shared" si="254"/>
        <v>0.17788572007024273</v>
      </c>
      <c r="K973">
        <f t="shared" si="259"/>
        <v>2.4523686508188458</v>
      </c>
      <c r="O973">
        <f t="shared" si="260"/>
        <v>-0.1365586157226977</v>
      </c>
      <c r="P973">
        <f t="shared" si="261"/>
        <v>0.11252871692165586</v>
      </c>
      <c r="Q973">
        <f t="shared" si="262"/>
        <v>0.98422001216184707</v>
      </c>
      <c r="R973">
        <f t="shared" si="252"/>
        <v>1</v>
      </c>
      <c r="AG973" s="8">
        <f t="shared" si="255"/>
        <v>-0.49752613246504673</v>
      </c>
      <c r="AH973" s="8">
        <f t="shared" si="256"/>
        <v>0.56482132200221313</v>
      </c>
      <c r="AI973" s="8">
        <f t="shared" si="257"/>
        <v>0.65836511278016929</v>
      </c>
      <c r="AJ973" s="8"/>
      <c r="AK973" s="8"/>
      <c r="AL973" s="8"/>
      <c r="AN973" s="8">
        <f t="shared" si="263"/>
        <v>1</v>
      </c>
      <c r="AO973" s="8">
        <f t="shared" si="264"/>
        <v>2.2929332719145181</v>
      </c>
      <c r="AP973" s="8">
        <f t="shared" si="265"/>
        <v>0.85215166878670956</v>
      </c>
      <c r="AQ973" s="8"/>
      <c r="AR973" s="8">
        <f t="shared" si="266"/>
        <v>131.37539918582468</v>
      </c>
      <c r="AS973" s="8">
        <f t="shared" si="267"/>
        <v>41.175305873491531</v>
      </c>
    </row>
    <row r="974" spans="1:45">
      <c r="A974" s="19">
        <v>31.4314</v>
      </c>
      <c r="B974" s="19">
        <v>749.19933760000004</v>
      </c>
      <c r="C974" s="19">
        <v>-366.53927599999997</v>
      </c>
      <c r="E974" s="9">
        <f t="shared" si="253"/>
        <v>-210.80066239999996</v>
      </c>
      <c r="F974" s="9">
        <f t="shared" si="258"/>
        <v>173.46072400000003</v>
      </c>
      <c r="I974">
        <v>1</v>
      </c>
      <c r="J974">
        <f t="shared" si="254"/>
        <v>0.1781031977402073</v>
      </c>
      <c r="K974">
        <f t="shared" si="259"/>
        <v>2.453063631509651</v>
      </c>
      <c r="O974">
        <f t="shared" si="260"/>
        <v>-0.1368020670579814</v>
      </c>
      <c r="P974">
        <f t="shared" si="261"/>
        <v>0.11256978667147688</v>
      </c>
      <c r="Q974">
        <f t="shared" si="262"/>
        <v>0.98418150641911661</v>
      </c>
      <c r="R974">
        <f t="shared" si="252"/>
        <v>1</v>
      </c>
      <c r="AG974" s="8">
        <f t="shared" si="255"/>
        <v>-0.49736160266676144</v>
      </c>
      <c r="AH974" s="8">
        <f t="shared" si="256"/>
        <v>0.565006223429245</v>
      </c>
      <c r="AI974" s="8">
        <f t="shared" si="257"/>
        <v>0.65833077072165813</v>
      </c>
      <c r="AJ974" s="8"/>
      <c r="AK974" s="8"/>
      <c r="AL974" s="8"/>
      <c r="AN974" s="8">
        <f t="shared" si="263"/>
        <v>0.99999999999999978</v>
      </c>
      <c r="AO974" s="8">
        <f t="shared" si="264"/>
        <v>2.2926068857194468</v>
      </c>
      <c r="AP974" s="8">
        <f t="shared" si="265"/>
        <v>0.85219729311412062</v>
      </c>
      <c r="AQ974" s="8"/>
      <c r="AR974" s="8">
        <f t="shared" si="266"/>
        <v>131.35669863435575</v>
      </c>
      <c r="AS974" s="8">
        <f t="shared" si="267"/>
        <v>41.172691792087754</v>
      </c>
    </row>
    <row r="975" spans="1:45">
      <c r="A975" s="19">
        <v>31.464766669999999</v>
      </c>
      <c r="B975" s="19">
        <v>748.49002580000001</v>
      </c>
      <c r="C975" s="19">
        <v>-366.49858829999999</v>
      </c>
      <c r="E975" s="9">
        <f t="shared" si="253"/>
        <v>-211.50997419999999</v>
      </c>
      <c r="F975" s="9">
        <f t="shared" si="258"/>
        <v>173.50141170000001</v>
      </c>
      <c r="I975">
        <v>1</v>
      </c>
      <c r="J975">
        <f t="shared" si="254"/>
        <v>0.17847338620961062</v>
      </c>
      <c r="K975">
        <f t="shared" si="259"/>
        <v>2.454596269439616</v>
      </c>
      <c r="O975">
        <f t="shared" si="260"/>
        <v>-0.1372561110555966</v>
      </c>
      <c r="P975">
        <f t="shared" si="261"/>
        <v>0.11259104504490076</v>
      </c>
      <c r="Q975">
        <f t="shared" si="262"/>
        <v>0.98411585524956913</v>
      </c>
      <c r="R975">
        <f t="shared" si="252"/>
        <v>1</v>
      </c>
      <c r="AG975" s="8">
        <f t="shared" si="255"/>
        <v>-0.49709221500081913</v>
      </c>
      <c r="AH975" s="8">
        <f t="shared" si="256"/>
        <v>0.56536354145897716</v>
      </c>
      <c r="AI975" s="8">
        <f t="shared" si="257"/>
        <v>0.65822746507156848</v>
      </c>
      <c r="AJ975" s="8"/>
      <c r="AK975" s="8"/>
      <c r="AL975" s="8"/>
      <c r="AN975" s="8">
        <f t="shared" si="263"/>
        <v>1</v>
      </c>
      <c r="AO975" s="8">
        <f t="shared" si="264"/>
        <v>2.2920246724177789</v>
      </c>
      <c r="AP975" s="8">
        <f t="shared" si="265"/>
        <v>0.85233452641223539</v>
      </c>
      <c r="AQ975" s="8"/>
      <c r="AR975" s="8">
        <f t="shared" si="266"/>
        <v>131.32334026939378</v>
      </c>
      <c r="AS975" s="8">
        <f t="shared" si="267"/>
        <v>41.164828903297121</v>
      </c>
    </row>
    <row r="976" spans="1:45">
      <c r="A976" s="19">
        <v>31.498133330000002</v>
      </c>
      <c r="B976" s="19">
        <v>747.71079299999997</v>
      </c>
      <c r="C976" s="19">
        <v>-366.42682550000001</v>
      </c>
      <c r="E976" s="9">
        <f t="shared" si="253"/>
        <v>-212.28920700000003</v>
      </c>
      <c r="F976" s="9">
        <f t="shared" si="258"/>
        <v>173.57317449999999</v>
      </c>
      <c r="I976">
        <v>1</v>
      </c>
      <c r="J976">
        <f t="shared" si="254"/>
        <v>0.17889154181318015</v>
      </c>
      <c r="K976">
        <f t="shared" si="259"/>
        <v>2.4561961758555686</v>
      </c>
      <c r="O976">
        <f t="shared" si="260"/>
        <v>-0.13775463911108859</v>
      </c>
      <c r="P976">
        <f t="shared" si="261"/>
        <v>0.11263177412789287</v>
      </c>
      <c r="Q976">
        <f t="shared" si="262"/>
        <v>0.98404153512957826</v>
      </c>
      <c r="R976">
        <f t="shared" si="252"/>
        <v>1</v>
      </c>
      <c r="AG976" s="8">
        <f t="shared" si="255"/>
        <v>-0.49678447017143673</v>
      </c>
      <c r="AH976" s="8">
        <f t="shared" si="256"/>
        <v>0.5657518060329727</v>
      </c>
      <c r="AI976" s="8">
        <f t="shared" si="257"/>
        <v>0.65812619167369002</v>
      </c>
      <c r="AJ976" s="8"/>
      <c r="AK976" s="8"/>
      <c r="AL976" s="8"/>
      <c r="AN976" s="8">
        <f t="shared" si="263"/>
        <v>1</v>
      </c>
      <c r="AO976" s="8">
        <f t="shared" si="264"/>
        <v>2.2913771972570687</v>
      </c>
      <c r="AP976" s="8">
        <f t="shared" si="265"/>
        <v>0.85246904404370438</v>
      </c>
      <c r="AQ976" s="8"/>
      <c r="AR976" s="8">
        <f t="shared" si="266"/>
        <v>131.28624267534553</v>
      </c>
      <c r="AS976" s="8">
        <f t="shared" si="267"/>
        <v>41.15712161074385</v>
      </c>
    </row>
    <row r="977" spans="1:45">
      <c r="A977" s="19">
        <v>31.531500000000001</v>
      </c>
      <c r="B977" s="19">
        <v>747.31038360000002</v>
      </c>
      <c r="C977" s="19">
        <v>-365.93979209999998</v>
      </c>
      <c r="E977" s="9">
        <f t="shared" si="253"/>
        <v>-212.68961639999998</v>
      </c>
      <c r="F977" s="9">
        <f t="shared" si="258"/>
        <v>174.06020790000002</v>
      </c>
      <c r="I977">
        <v>1</v>
      </c>
      <c r="J977">
        <f t="shared" si="254"/>
        <v>0.17929027463624331</v>
      </c>
      <c r="K977">
        <f t="shared" si="259"/>
        <v>2.4557464697688984</v>
      </c>
      <c r="O977">
        <f t="shared" si="260"/>
        <v>-0.13800761140510634</v>
      </c>
      <c r="P977">
        <f t="shared" si="261"/>
        <v>0.11294220159661371</v>
      </c>
      <c r="Q977">
        <f t="shared" si="262"/>
        <v>0.98397050682058917</v>
      </c>
      <c r="R977">
        <f t="shared" si="252"/>
        <v>1</v>
      </c>
      <c r="AG977" s="8">
        <f t="shared" si="255"/>
        <v>-0.49643146476648586</v>
      </c>
      <c r="AH977" s="8">
        <f t="shared" si="256"/>
        <v>0.56588302945711733</v>
      </c>
      <c r="AI977" s="8">
        <f t="shared" si="257"/>
        <v>0.65827972607565288</v>
      </c>
      <c r="AJ977" s="8"/>
      <c r="AK977" s="8"/>
      <c r="AL977" s="8"/>
      <c r="AN977" s="8">
        <f t="shared" si="263"/>
        <v>1</v>
      </c>
      <c r="AO977" s="8">
        <f t="shared" si="264"/>
        <v>2.2909098052783792</v>
      </c>
      <c r="AP977" s="8">
        <f t="shared" si="265"/>
        <v>0.85226510390426924</v>
      </c>
      <c r="AQ977" s="8"/>
      <c r="AR977" s="8">
        <f t="shared" si="266"/>
        <v>131.25946308758836</v>
      </c>
      <c r="AS977" s="8">
        <f t="shared" si="267"/>
        <v>41.168806520006797</v>
      </c>
    </row>
    <row r="978" spans="1:45">
      <c r="A978" s="19">
        <v>31.564866670000001</v>
      </c>
      <c r="B978" s="19">
        <v>746.56931110000005</v>
      </c>
      <c r="C978" s="19">
        <v>-365.63471060000001</v>
      </c>
      <c r="E978" s="9">
        <f t="shared" si="253"/>
        <v>-213.43068889999995</v>
      </c>
      <c r="F978" s="9">
        <f t="shared" si="258"/>
        <v>174.36528939999999</v>
      </c>
      <c r="I978">
        <v>1</v>
      </c>
      <c r="J978">
        <f t="shared" si="254"/>
        <v>0.17978472218020811</v>
      </c>
      <c r="K978">
        <f t="shared" si="259"/>
        <v>2.456592782157256</v>
      </c>
      <c r="O978">
        <f t="shared" si="260"/>
        <v>-0.13847990124615692</v>
      </c>
      <c r="P978">
        <f t="shared" si="261"/>
        <v>0.11313315897219871</v>
      </c>
      <c r="Q978">
        <f t="shared" si="262"/>
        <v>0.98388221108617768</v>
      </c>
      <c r="R978">
        <f t="shared" si="252"/>
        <v>1</v>
      </c>
      <c r="AG978" s="8">
        <f t="shared" si="255"/>
        <v>-0.49603616983446808</v>
      </c>
      <c r="AH978" s="8">
        <f t="shared" si="256"/>
        <v>0.56621608504609222</v>
      </c>
      <c r="AI978" s="8">
        <f t="shared" si="257"/>
        <v>0.6582913209598219</v>
      </c>
      <c r="AJ978" s="8"/>
      <c r="AK978" s="8"/>
      <c r="AL978" s="8"/>
      <c r="AN978" s="8">
        <f t="shared" si="263"/>
        <v>1</v>
      </c>
      <c r="AO978" s="8">
        <f t="shared" si="264"/>
        <v>2.2902232738807591</v>
      </c>
      <c r="AP978" s="8">
        <f t="shared" si="265"/>
        <v>0.85224970091294239</v>
      </c>
      <c r="AQ978" s="8"/>
      <c r="AR978" s="8">
        <f t="shared" si="266"/>
        <v>131.22012773600153</v>
      </c>
      <c r="AS978" s="8">
        <f t="shared" si="267"/>
        <v>41.1696890464017</v>
      </c>
    </row>
    <row r="979" spans="1:45">
      <c r="A979" s="19">
        <v>31.598233329999999</v>
      </c>
      <c r="B979" s="19">
        <v>745.7791082</v>
      </c>
      <c r="C979" s="19">
        <v>-365.66214889999998</v>
      </c>
      <c r="E979" s="9">
        <f t="shared" si="253"/>
        <v>-214.2208918</v>
      </c>
      <c r="F979" s="9">
        <f t="shared" si="258"/>
        <v>174.33785110000002</v>
      </c>
      <c r="I979">
        <v>1</v>
      </c>
      <c r="J979">
        <f t="shared" si="254"/>
        <v>0.18016838037178931</v>
      </c>
      <c r="K979">
        <f t="shared" si="259"/>
        <v>2.4584798075485557</v>
      </c>
      <c r="O979">
        <f t="shared" si="260"/>
        <v>-0.13898590307904476</v>
      </c>
      <c r="P979">
        <f t="shared" si="261"/>
        <v>0.11310990012409958</v>
      </c>
      <c r="Q979">
        <f t="shared" si="262"/>
        <v>0.98381353377518577</v>
      </c>
      <c r="R979">
        <f t="shared" si="252"/>
        <v>1</v>
      </c>
      <c r="AG979" s="8">
        <f t="shared" si="255"/>
        <v>-0.49576726619977401</v>
      </c>
      <c r="AH979" s="8">
        <f t="shared" si="256"/>
        <v>0.56662452142885433</v>
      </c>
      <c r="AI979" s="8">
        <f t="shared" si="257"/>
        <v>0.65814243859541854</v>
      </c>
      <c r="AJ979" s="8"/>
      <c r="AK979" s="8"/>
      <c r="AL979" s="8"/>
      <c r="AN979" s="8">
        <f t="shared" si="263"/>
        <v>1</v>
      </c>
      <c r="AO979" s="8">
        <f t="shared" si="264"/>
        <v>2.2895971486463766</v>
      </c>
      <c r="AP979" s="8">
        <f t="shared" si="265"/>
        <v>0.8524474649361532</v>
      </c>
      <c r="AQ979" s="8"/>
      <c r="AR979" s="8">
        <f t="shared" si="266"/>
        <v>131.18425340262476</v>
      </c>
      <c r="AS979" s="8">
        <f t="shared" si="267"/>
        <v>41.158358002532189</v>
      </c>
    </row>
    <row r="980" spans="1:45">
      <c r="A980" s="19">
        <v>31.631599999999999</v>
      </c>
      <c r="B980" s="19">
        <v>745.35960399999999</v>
      </c>
      <c r="C980" s="19">
        <v>-365.66522509999999</v>
      </c>
      <c r="E980" s="9">
        <f t="shared" si="253"/>
        <v>-214.64039600000001</v>
      </c>
      <c r="F980" s="9">
        <f t="shared" si="258"/>
        <v>174.33477490000001</v>
      </c>
      <c r="I980">
        <v>1</v>
      </c>
      <c r="J980">
        <f t="shared" si="254"/>
        <v>0.18037696559195207</v>
      </c>
      <c r="K980">
        <f t="shared" si="259"/>
        <v>2.4594460369427624</v>
      </c>
      <c r="O980">
        <f t="shared" si="260"/>
        <v>-0.1392544128037754</v>
      </c>
      <c r="P980">
        <f t="shared" si="261"/>
        <v>0.11310492881301748</v>
      </c>
      <c r="Q980">
        <f t="shared" si="262"/>
        <v>0.98377613489699878</v>
      </c>
      <c r="R980">
        <f t="shared" si="252"/>
        <v>1</v>
      </c>
      <c r="AG980" s="8">
        <f t="shared" si="255"/>
        <v>-0.49561949617739753</v>
      </c>
      <c r="AH980" s="8">
        <f t="shared" si="256"/>
        <v>0.56683953324271563</v>
      </c>
      <c r="AI980" s="8">
        <f t="shared" si="257"/>
        <v>0.65806858195939044</v>
      </c>
      <c r="AJ980" s="8"/>
      <c r="AK980" s="8"/>
      <c r="AL980" s="8"/>
      <c r="AN980" s="8">
        <f t="shared" si="263"/>
        <v>1</v>
      </c>
      <c r="AO980" s="8">
        <f t="shared" si="264"/>
        <v>2.2892614158836495</v>
      </c>
      <c r="AP980" s="8">
        <f t="shared" si="265"/>
        <v>0.85254555779488583</v>
      </c>
      <c r="AQ980" s="8"/>
      <c r="AR980" s="8">
        <f t="shared" si="266"/>
        <v>131.16501733227625</v>
      </c>
      <c r="AS980" s="8">
        <f t="shared" si="267"/>
        <v>41.152737695726437</v>
      </c>
    </row>
    <row r="981" spans="1:45">
      <c r="A981" s="19">
        <v>31.664966669999998</v>
      </c>
      <c r="B981" s="19">
        <v>744.56267790000004</v>
      </c>
      <c r="C981" s="19">
        <v>-365.64462880000002</v>
      </c>
      <c r="E981" s="9">
        <f t="shared" si="253"/>
        <v>-215.43732209999996</v>
      </c>
      <c r="F981" s="9">
        <f t="shared" si="258"/>
        <v>174.35537119999998</v>
      </c>
      <c r="I981">
        <v>1</v>
      </c>
      <c r="J981">
        <f t="shared" si="254"/>
        <v>0.18078435237357907</v>
      </c>
      <c r="K981">
        <f t="shared" si="259"/>
        <v>2.4612011900455255</v>
      </c>
      <c r="O981">
        <f t="shared" si="260"/>
        <v>-0.13976423798939414</v>
      </c>
      <c r="P981">
        <f t="shared" si="261"/>
        <v>0.11311246054114395</v>
      </c>
      <c r="Q981">
        <f t="shared" si="262"/>
        <v>0.98370296789710465</v>
      </c>
      <c r="R981">
        <f t="shared" si="252"/>
        <v>1</v>
      </c>
      <c r="AG981" s="8">
        <f t="shared" si="255"/>
        <v>-0.49532726145995598</v>
      </c>
      <c r="AH981" s="8">
        <f t="shared" si="256"/>
        <v>0.5672438296921507</v>
      </c>
      <c r="AI981" s="8">
        <f t="shared" si="257"/>
        <v>0.65794022656375306</v>
      </c>
      <c r="AJ981" s="8"/>
      <c r="AK981" s="8"/>
      <c r="AL981" s="8"/>
      <c r="AN981" s="8">
        <f t="shared" si="263"/>
        <v>1</v>
      </c>
      <c r="AO981" s="8">
        <f t="shared" si="264"/>
        <v>2.2886158992551136</v>
      </c>
      <c r="AP981" s="8">
        <f t="shared" si="265"/>
        <v>0.85271601330114755</v>
      </c>
      <c r="AQ981" s="8"/>
      <c r="AR981" s="8">
        <f t="shared" si="266"/>
        <v>131.12803195385561</v>
      </c>
      <c r="AS981" s="8">
        <f t="shared" si="267"/>
        <v>41.142971314622876</v>
      </c>
    </row>
    <row r="982" spans="1:45">
      <c r="A982" s="19">
        <v>31.698333330000001</v>
      </c>
      <c r="B982" s="19">
        <v>744.04392259999997</v>
      </c>
      <c r="C982" s="19">
        <v>-365.64409319999999</v>
      </c>
      <c r="E982" s="9">
        <f t="shared" si="253"/>
        <v>-215.95607740000003</v>
      </c>
      <c r="F982" s="9">
        <f t="shared" si="258"/>
        <v>174.35590680000001</v>
      </c>
      <c r="I982">
        <v>1</v>
      </c>
      <c r="J982">
        <f t="shared" si="254"/>
        <v>0.18104459451195812</v>
      </c>
      <c r="K982">
        <f t="shared" si="259"/>
        <v>2.4623754828610007</v>
      </c>
      <c r="O982">
        <f t="shared" si="260"/>
        <v>-0.14009614932194359</v>
      </c>
      <c r="P982">
        <f t="shared" si="261"/>
        <v>0.11310907036421139</v>
      </c>
      <c r="Q982">
        <f t="shared" si="262"/>
        <v>0.98365614273815605</v>
      </c>
      <c r="R982">
        <f t="shared" si="252"/>
        <v>1</v>
      </c>
      <c r="AG982" s="8">
        <f t="shared" si="255"/>
        <v>-0.49514254934483704</v>
      </c>
      <c r="AH982" s="8">
        <f t="shared" si="256"/>
        <v>0.56750885331562373</v>
      </c>
      <c r="AI982" s="8">
        <f t="shared" si="257"/>
        <v>0.65785071044780485</v>
      </c>
      <c r="AJ982" s="8"/>
      <c r="AK982" s="8"/>
      <c r="AL982" s="8"/>
      <c r="AN982" s="8">
        <f t="shared" si="263"/>
        <v>1</v>
      </c>
      <c r="AO982" s="8">
        <f t="shared" si="264"/>
        <v>2.2881997122853939</v>
      </c>
      <c r="AP982" s="8">
        <f t="shared" si="265"/>
        <v>0.85283487535911029</v>
      </c>
      <c r="AQ982" s="8"/>
      <c r="AR982" s="8">
        <f t="shared" si="266"/>
        <v>131.10418619700235</v>
      </c>
      <c r="AS982" s="8">
        <f t="shared" si="267"/>
        <v>41.13616102035737</v>
      </c>
    </row>
    <row r="983" spans="1:45">
      <c r="A983" s="19">
        <v>31.7317</v>
      </c>
      <c r="B983" s="19">
        <v>743.53790419999996</v>
      </c>
      <c r="C983" s="19">
        <v>-365.53377289999997</v>
      </c>
      <c r="E983" s="9">
        <f t="shared" si="253"/>
        <v>-216.46209580000004</v>
      </c>
      <c r="F983" s="9">
        <f t="shared" si="258"/>
        <v>174.46622710000003</v>
      </c>
      <c r="I983">
        <v>1</v>
      </c>
      <c r="J983">
        <f t="shared" si="254"/>
        <v>0.18134305897951764</v>
      </c>
      <c r="K983">
        <f t="shared" si="259"/>
        <v>2.4632100906084968</v>
      </c>
      <c r="O983">
        <f t="shared" si="260"/>
        <v>-0.14041907904544365</v>
      </c>
      <c r="P983">
        <f t="shared" si="261"/>
        <v>0.1131763362235506</v>
      </c>
      <c r="Q983">
        <f t="shared" si="262"/>
        <v>0.98360235825207498</v>
      </c>
      <c r="R983">
        <f t="shared" si="252"/>
        <v>1</v>
      </c>
      <c r="AG983" s="8">
        <f t="shared" si="255"/>
        <v>-0.49491482634711659</v>
      </c>
      <c r="AH983" s="8">
        <f t="shared" si="256"/>
        <v>0.56775062836643841</v>
      </c>
      <c r="AI983" s="8">
        <f t="shared" si="257"/>
        <v>0.65781345277465852</v>
      </c>
      <c r="AJ983" s="8"/>
      <c r="AK983" s="8"/>
      <c r="AL983" s="8"/>
      <c r="AN983" s="8">
        <f t="shared" si="263"/>
        <v>1.0000000000000002</v>
      </c>
      <c r="AO983" s="8">
        <f t="shared" si="264"/>
        <v>2.2877608495448674</v>
      </c>
      <c r="AP983" s="8">
        <f t="shared" si="265"/>
        <v>0.85288434352572429</v>
      </c>
      <c r="AQ983" s="8"/>
      <c r="AR983" s="8">
        <f t="shared" si="266"/>
        <v>131.07904121418463</v>
      </c>
      <c r="AS983" s="8">
        <f t="shared" si="267"/>
        <v>41.133326703190143</v>
      </c>
    </row>
    <row r="984" spans="1:45">
      <c r="A984" s="19">
        <v>31.76506667</v>
      </c>
      <c r="B984" s="19">
        <v>743.11567160000004</v>
      </c>
      <c r="C984" s="19">
        <v>-365.26944809999998</v>
      </c>
      <c r="E984" s="9">
        <f t="shared" si="253"/>
        <v>-216.88432839999996</v>
      </c>
      <c r="F984" s="9">
        <f t="shared" si="258"/>
        <v>174.73055190000002</v>
      </c>
      <c r="I984">
        <v>1</v>
      </c>
      <c r="J984">
        <f t="shared" si="254"/>
        <v>0.18166180114588523</v>
      </c>
      <c r="K984">
        <f t="shared" si="259"/>
        <v>2.4634225230298656</v>
      </c>
      <c r="O984">
        <f t="shared" si="260"/>
        <v>-0.14068725252300562</v>
      </c>
      <c r="P984">
        <f t="shared" si="261"/>
        <v>0.11334318832526333</v>
      </c>
      <c r="Q984">
        <f t="shared" si="262"/>
        <v>0.98354482289206924</v>
      </c>
      <c r="R984">
        <f t="shared" si="252"/>
        <v>1</v>
      </c>
      <c r="AG984" s="8">
        <f t="shared" si="255"/>
        <v>-0.49465024573387695</v>
      </c>
      <c r="AH984" s="8">
        <f t="shared" si="256"/>
        <v>0.56792615271059788</v>
      </c>
      <c r="AI984" s="8">
        <f t="shared" si="257"/>
        <v>0.65786094234477388</v>
      </c>
      <c r="AJ984" s="8"/>
      <c r="AK984" s="8"/>
      <c r="AL984" s="8"/>
      <c r="AN984" s="8">
        <f t="shared" si="263"/>
        <v>1</v>
      </c>
      <c r="AO984" s="8">
        <f t="shared" si="264"/>
        <v>2.2873428939262732</v>
      </c>
      <c r="AP984" s="8">
        <f t="shared" si="265"/>
        <v>0.8528212897784907</v>
      </c>
      <c r="AQ984" s="8"/>
      <c r="AR984" s="8">
        <f t="shared" si="266"/>
        <v>131.0550941212154</v>
      </c>
      <c r="AS984" s="8">
        <f t="shared" si="267"/>
        <v>41.136939416789112</v>
      </c>
    </row>
    <row r="985" spans="1:45">
      <c r="A985" s="19">
        <v>31.798433330000002</v>
      </c>
      <c r="B985" s="19">
        <v>742.52696130000004</v>
      </c>
      <c r="C985" s="19">
        <v>-365.23737</v>
      </c>
      <c r="E985" s="9">
        <f t="shared" si="253"/>
        <v>-217.47303869999996</v>
      </c>
      <c r="F985" s="9">
        <f t="shared" si="258"/>
        <v>174.76263</v>
      </c>
      <c r="I985">
        <v>1</v>
      </c>
      <c r="J985">
        <f t="shared" si="254"/>
        <v>0.18197030195852518</v>
      </c>
      <c r="K985">
        <f t="shared" si="259"/>
        <v>2.4646568197327658</v>
      </c>
      <c r="O985">
        <f t="shared" si="260"/>
        <v>-0.14106355576331167</v>
      </c>
      <c r="P985">
        <f t="shared" si="261"/>
        <v>0.11335951412513191</v>
      </c>
      <c r="Q985">
        <f t="shared" si="262"/>
        <v>0.98348904101302781</v>
      </c>
      <c r="R985">
        <f t="shared" si="252"/>
        <v>1</v>
      </c>
      <c r="AG985" s="8">
        <f t="shared" si="255"/>
        <v>-0.49442688716395949</v>
      </c>
      <c r="AH985" s="8">
        <f t="shared" si="256"/>
        <v>0.56822186462509872</v>
      </c>
      <c r="AI985" s="8">
        <f t="shared" si="257"/>
        <v>0.65777349126529361</v>
      </c>
      <c r="AJ985" s="8"/>
      <c r="AK985" s="8"/>
      <c r="AL985" s="8"/>
      <c r="AN985" s="8">
        <f t="shared" si="263"/>
        <v>1</v>
      </c>
      <c r="AO985" s="8">
        <f t="shared" si="264"/>
        <v>2.2868614265062863</v>
      </c>
      <c r="AP985" s="8">
        <f t="shared" si="265"/>
        <v>0.85293739928401313</v>
      </c>
      <c r="AQ985" s="8"/>
      <c r="AR985" s="8">
        <f t="shared" si="266"/>
        <v>131.02750807007709</v>
      </c>
      <c r="AS985" s="8">
        <f t="shared" si="267"/>
        <v>41.130286832161325</v>
      </c>
    </row>
    <row r="986" spans="1:45">
      <c r="A986" s="19">
        <v>31.831800000000001</v>
      </c>
      <c r="B986" s="19">
        <v>741.81389909999996</v>
      </c>
      <c r="C986" s="19">
        <v>-365.17457100000001</v>
      </c>
      <c r="E986" s="9">
        <f t="shared" si="253"/>
        <v>-218.18610090000004</v>
      </c>
      <c r="F986" s="9">
        <f t="shared" si="258"/>
        <v>174.82542899999999</v>
      </c>
      <c r="I986">
        <v>1</v>
      </c>
      <c r="J986">
        <f t="shared" si="254"/>
        <v>0.18235393789271606</v>
      </c>
      <c r="K986">
        <f t="shared" si="259"/>
        <v>2.4660793304934141</v>
      </c>
      <c r="O986">
        <f t="shared" si="260"/>
        <v>-0.1415190987355496</v>
      </c>
      <c r="P986">
        <f t="shared" si="261"/>
        <v>0.1133946527578092</v>
      </c>
      <c r="Q986">
        <f t="shared" si="262"/>
        <v>0.98341954293120171</v>
      </c>
      <c r="R986">
        <f t="shared" si="252"/>
        <v>1</v>
      </c>
      <c r="AG986" s="8">
        <f t="shared" si="255"/>
        <v>-0.49414592078177649</v>
      </c>
      <c r="AH986" s="8">
        <f t="shared" si="256"/>
        <v>0.56857625873932205</v>
      </c>
      <c r="AI986" s="8">
        <f t="shared" si="257"/>
        <v>0.65767837654337225</v>
      </c>
      <c r="AJ986" s="8"/>
      <c r="AK986" s="8"/>
      <c r="AL986" s="8"/>
      <c r="AN986" s="8">
        <f t="shared" si="263"/>
        <v>1</v>
      </c>
      <c r="AO986" s="8">
        <f t="shared" si="264"/>
        <v>2.2862712339574509</v>
      </c>
      <c r="AP986" s="8">
        <f t="shared" si="265"/>
        <v>0.85306367050517873</v>
      </c>
      <c r="AQ986" s="8"/>
      <c r="AR986" s="8">
        <f t="shared" si="266"/>
        <v>130.99369252792877</v>
      </c>
      <c r="AS986" s="8">
        <f t="shared" si="267"/>
        <v>41.123052024114571</v>
      </c>
    </row>
    <row r="987" spans="1:45">
      <c r="A987" s="19">
        <v>31.865166670000001</v>
      </c>
      <c r="B987" s="19">
        <v>741.15687849999995</v>
      </c>
      <c r="C987" s="19">
        <v>-365.08239570000001</v>
      </c>
      <c r="E987" s="9">
        <f t="shared" si="253"/>
        <v>-218.84312150000005</v>
      </c>
      <c r="F987" s="9">
        <f t="shared" si="258"/>
        <v>174.91760429999999</v>
      </c>
      <c r="I987">
        <v>1</v>
      </c>
      <c r="J987">
        <f t="shared" si="254"/>
        <v>0.18272150226442338</v>
      </c>
      <c r="K987">
        <f t="shared" si="259"/>
        <v>2.4672890103022902</v>
      </c>
      <c r="O987">
        <f t="shared" si="260"/>
        <v>-0.14193851616104108</v>
      </c>
      <c r="P987">
        <f t="shared" si="261"/>
        <v>0.11344905443960293</v>
      </c>
      <c r="Q987">
        <f t="shared" si="262"/>
        <v>0.98335282054650242</v>
      </c>
      <c r="R987">
        <f t="shared" ref="R987:R1050" si="268">SQRT(O987^2+P987^2+Q987^2)</f>
        <v>1</v>
      </c>
      <c r="AG987" s="8">
        <f t="shared" si="255"/>
        <v>-0.49387212821970566</v>
      </c>
      <c r="AH987" s="8">
        <f t="shared" si="256"/>
        <v>0.56889744675227361</v>
      </c>
      <c r="AI987" s="8">
        <f t="shared" si="257"/>
        <v>0.65760627737764366</v>
      </c>
      <c r="AJ987" s="8"/>
      <c r="AK987" s="8"/>
      <c r="AL987" s="8"/>
      <c r="AN987" s="8">
        <f t="shared" si="263"/>
        <v>0.99999999999999978</v>
      </c>
      <c r="AO987" s="8">
        <f t="shared" si="264"/>
        <v>2.2857172567320756</v>
      </c>
      <c r="AP987" s="8">
        <f t="shared" si="265"/>
        <v>0.85315937774539419</v>
      </c>
      <c r="AQ987" s="8"/>
      <c r="AR987" s="8">
        <f t="shared" si="266"/>
        <v>130.96195197096839</v>
      </c>
      <c r="AS987" s="8">
        <f t="shared" si="267"/>
        <v>41.11756840318138</v>
      </c>
    </row>
    <row r="988" spans="1:45">
      <c r="A988" s="19">
        <v>31.898533329999999</v>
      </c>
      <c r="B988" s="19">
        <v>740.45622749999995</v>
      </c>
      <c r="C988" s="19">
        <v>-364.72428650000001</v>
      </c>
      <c r="E988" s="9">
        <f t="shared" si="253"/>
        <v>-219.54377250000005</v>
      </c>
      <c r="F988" s="9">
        <f t="shared" si="258"/>
        <v>175.27571349999999</v>
      </c>
      <c r="I988">
        <v>1</v>
      </c>
      <c r="J988">
        <f t="shared" si="254"/>
        <v>0.18321807643877791</v>
      </c>
      <c r="K988">
        <f t="shared" si="259"/>
        <v>2.4678504328549855</v>
      </c>
      <c r="O988">
        <f t="shared" si="260"/>
        <v>-0.14238377777178185</v>
      </c>
      <c r="P988">
        <f t="shared" si="261"/>
        <v>0.11367399747025163</v>
      </c>
      <c r="Q988">
        <f t="shared" si="262"/>
        <v>0.98326246858433941</v>
      </c>
      <c r="R988">
        <f t="shared" si="268"/>
        <v>1</v>
      </c>
      <c r="AG988" s="8">
        <f t="shared" si="255"/>
        <v>-0.49346769827094272</v>
      </c>
      <c r="AH988" s="8">
        <f t="shared" si="256"/>
        <v>0.56920032183546354</v>
      </c>
      <c r="AI988" s="8">
        <f t="shared" si="257"/>
        <v>0.65764779660969186</v>
      </c>
      <c r="AJ988" s="8"/>
      <c r="AK988" s="8"/>
      <c r="AL988" s="8"/>
      <c r="AN988" s="8">
        <f t="shared" si="263"/>
        <v>1</v>
      </c>
      <c r="AO988" s="8">
        <f t="shared" si="264"/>
        <v>2.2850482824451523</v>
      </c>
      <c r="AP988" s="8">
        <f t="shared" si="265"/>
        <v>0.85310426447651222</v>
      </c>
      <c r="AQ988" s="8"/>
      <c r="AR988" s="8">
        <f t="shared" si="266"/>
        <v>130.92362256772492</v>
      </c>
      <c r="AS988" s="8">
        <f t="shared" si="267"/>
        <v>41.120726160883486</v>
      </c>
    </row>
    <row r="989" spans="1:45">
      <c r="A989" s="19">
        <v>31.931899999999999</v>
      </c>
      <c r="B989" s="19">
        <v>739.66343979999999</v>
      </c>
      <c r="C989" s="19">
        <v>-364.70547790000001</v>
      </c>
      <c r="E989" s="9">
        <f t="shared" si="253"/>
        <v>-220.33656020000001</v>
      </c>
      <c r="F989" s="9">
        <f t="shared" si="258"/>
        <v>175.29452209999999</v>
      </c>
      <c r="I989">
        <v>1</v>
      </c>
      <c r="J989">
        <f t="shared" si="254"/>
        <v>0.18362490763288261</v>
      </c>
      <c r="K989">
        <f t="shared" si="259"/>
        <v>2.4695549806295709</v>
      </c>
      <c r="O989">
        <f t="shared" si="260"/>
        <v>-0.14289036074639874</v>
      </c>
      <c r="P989">
        <f t="shared" si="261"/>
        <v>0.11368016945077355</v>
      </c>
      <c r="Q989">
        <f t="shared" si="262"/>
        <v>0.98318826471810949</v>
      </c>
      <c r="R989">
        <f t="shared" si="268"/>
        <v>1</v>
      </c>
      <c r="AG989" s="8">
        <f t="shared" si="255"/>
        <v>-0.49317715478265922</v>
      </c>
      <c r="AH989" s="8">
        <f t="shared" si="256"/>
        <v>0.56960156188458244</v>
      </c>
      <c r="AI989" s="8">
        <f t="shared" si="257"/>
        <v>0.65751833031416329</v>
      </c>
      <c r="AJ989" s="8"/>
      <c r="AK989" s="8"/>
      <c r="AL989" s="8"/>
      <c r="AN989" s="8">
        <f t="shared" si="263"/>
        <v>1</v>
      </c>
      <c r="AO989" s="8">
        <f t="shared" si="264"/>
        <v>2.284408066807222</v>
      </c>
      <c r="AP989" s="8">
        <f t="shared" si="265"/>
        <v>0.85327611127840242</v>
      </c>
      <c r="AQ989" s="8"/>
      <c r="AR989" s="8">
        <f t="shared" si="266"/>
        <v>130.88694091369322</v>
      </c>
      <c r="AS989" s="8">
        <f t="shared" si="267"/>
        <v>41.110880064412356</v>
      </c>
    </row>
    <row r="990" spans="1:45">
      <c r="A990" s="19">
        <v>31.965266669999998</v>
      </c>
      <c r="B990" s="19">
        <v>739.23084270000004</v>
      </c>
      <c r="C990" s="19">
        <v>-364.68785059999999</v>
      </c>
      <c r="E990" s="9">
        <f t="shared" si="253"/>
        <v>-220.76915729999996</v>
      </c>
      <c r="F990" s="9">
        <f t="shared" si="258"/>
        <v>175.31214940000001</v>
      </c>
      <c r="I990">
        <v>1</v>
      </c>
      <c r="J990">
        <f t="shared" si="254"/>
        <v>0.18385004968994068</v>
      </c>
      <c r="K990">
        <f t="shared" si="259"/>
        <v>2.4704614139706158</v>
      </c>
      <c r="O990">
        <f t="shared" si="260"/>
        <v>-0.14316669072565974</v>
      </c>
      <c r="P990">
        <f t="shared" si="261"/>
        <v>0.11368825510120506</v>
      </c>
      <c r="Q990">
        <f t="shared" si="262"/>
        <v>0.98314713004651888</v>
      </c>
      <c r="R990">
        <f t="shared" si="268"/>
        <v>1</v>
      </c>
      <c r="AG990" s="8">
        <f t="shared" si="255"/>
        <v>-0.49301538991944838</v>
      </c>
      <c r="AH990" s="8">
        <f t="shared" si="256"/>
        <v>0.56981930330895625</v>
      </c>
      <c r="AI990" s="8">
        <f t="shared" si="257"/>
        <v>0.65745097678767672</v>
      </c>
      <c r="AJ990" s="8"/>
      <c r="AK990" s="8"/>
      <c r="AL990" s="8"/>
      <c r="AN990" s="8">
        <f t="shared" si="263"/>
        <v>1.0000000000000002</v>
      </c>
      <c r="AO990" s="8">
        <f t="shared" si="264"/>
        <v>2.2840566105378897</v>
      </c>
      <c r="AP990" s="8">
        <f t="shared" si="265"/>
        <v>0.85336550264246214</v>
      </c>
      <c r="AQ990" s="8"/>
      <c r="AR990" s="8">
        <f t="shared" si="266"/>
        <v>130.86680395277708</v>
      </c>
      <c r="AS990" s="8">
        <f t="shared" si="267"/>
        <v>41.105758316526817</v>
      </c>
    </row>
    <row r="991" spans="1:45">
      <c r="A991" s="19">
        <v>31.998633330000001</v>
      </c>
      <c r="B991" s="19">
        <v>738.60329409999997</v>
      </c>
      <c r="C991" s="19">
        <v>-364.54946669999998</v>
      </c>
      <c r="E991" s="9">
        <f t="shared" si="253"/>
        <v>-221.39670590000003</v>
      </c>
      <c r="F991" s="9">
        <f t="shared" si="258"/>
        <v>175.45053330000002</v>
      </c>
      <c r="I991">
        <v>1</v>
      </c>
      <c r="J991">
        <f t="shared" si="254"/>
        <v>0.18422199339818521</v>
      </c>
      <c r="K991">
        <f t="shared" si="259"/>
        <v>2.471459276703956</v>
      </c>
      <c r="O991">
        <f t="shared" si="260"/>
        <v>-0.14356664878782796</v>
      </c>
      <c r="P991">
        <f t="shared" si="261"/>
        <v>0.11377244747848905</v>
      </c>
      <c r="Q991">
        <f t="shared" si="262"/>
        <v>0.9830790647504335</v>
      </c>
      <c r="R991">
        <f t="shared" si="268"/>
        <v>1</v>
      </c>
      <c r="AG991" s="8">
        <f t="shared" si="255"/>
        <v>-0.49273188475097007</v>
      </c>
      <c r="AH991" s="8">
        <f t="shared" si="256"/>
        <v>0.57011790896645342</v>
      </c>
      <c r="AI991" s="8">
        <f t="shared" si="257"/>
        <v>0.65740463918767378</v>
      </c>
      <c r="AJ991" s="8"/>
      <c r="AK991" s="8"/>
      <c r="AL991" s="8"/>
      <c r="AN991" s="8">
        <f t="shared" si="263"/>
        <v>1</v>
      </c>
      <c r="AO991" s="8">
        <f t="shared" si="264"/>
        <v>2.2835128097708846</v>
      </c>
      <c r="AP991" s="8">
        <f t="shared" si="265"/>
        <v>0.85342699769440689</v>
      </c>
      <c r="AQ991" s="8"/>
      <c r="AR991" s="8">
        <f t="shared" si="266"/>
        <v>130.83564646393171</v>
      </c>
      <c r="AS991" s="8">
        <f t="shared" si="267"/>
        <v>41.102234909589448</v>
      </c>
    </row>
    <row r="992" spans="1:45">
      <c r="A992" s="19">
        <v>32.031999999999996</v>
      </c>
      <c r="B992" s="19">
        <v>738.31822179999995</v>
      </c>
      <c r="C992" s="19">
        <v>-364.39097570000001</v>
      </c>
      <c r="E992" s="9">
        <f t="shared" ref="E992:E1055" si="269">(B992-($B$15/2))</f>
        <v>-221.68177820000005</v>
      </c>
      <c r="F992" s="9">
        <f t="shared" si="258"/>
        <v>175.60902429999999</v>
      </c>
      <c r="I992">
        <v>1</v>
      </c>
      <c r="J992">
        <f t="shared" ref="J992:J1055" si="270">ATAN((SQRT(E992^2+F992^2)^$B$16)/($F$24))</f>
        <v>0.18442922257714828</v>
      </c>
      <c r="K992">
        <f t="shared" si="259"/>
        <v>2.471646116648925</v>
      </c>
      <c r="O992">
        <f t="shared" si="260"/>
        <v>-0.14374758943927607</v>
      </c>
      <c r="P992">
        <f t="shared" si="261"/>
        <v>0.11387211944923066</v>
      </c>
      <c r="Q992">
        <f t="shared" si="262"/>
        <v>0.98304108303902404</v>
      </c>
      <c r="R992">
        <f t="shared" si="268"/>
        <v>1</v>
      </c>
      <c r="AG992" s="8">
        <f t="shared" ref="AG992:AG1055" si="271">$O992*$Z$27+$P992*$Z$31+$Q992*$Z$35</f>
        <v>-0.49256172213411759</v>
      </c>
      <c r="AH992" s="8">
        <f t="shared" ref="AH992:AH1055" si="272">$O992*$AA$27+$P992*$AA$31+$Q992*$AA$35</f>
        <v>0.57023896252413286</v>
      </c>
      <c r="AI992" s="8">
        <f t="shared" ref="AI992:AI1055" si="273">$AB$27*$O992+$P992*$AB$31+$AB$35*$Q992</f>
        <v>0.65742716365212117</v>
      </c>
      <c r="AJ992" s="8"/>
      <c r="AK992" s="8"/>
      <c r="AL992" s="8"/>
      <c r="AN992" s="8">
        <f t="shared" si="263"/>
        <v>1</v>
      </c>
      <c r="AO992" s="8">
        <f t="shared" si="264"/>
        <v>2.2832369053861736</v>
      </c>
      <c r="AP992" s="8">
        <f t="shared" si="265"/>
        <v>0.85339710568413563</v>
      </c>
      <c r="AQ992" s="8"/>
      <c r="AR992" s="8">
        <f t="shared" si="266"/>
        <v>130.81983830713861</v>
      </c>
      <c r="AS992" s="8">
        <f t="shared" si="267"/>
        <v>41.103947595619154</v>
      </c>
    </row>
    <row r="993" spans="1:45">
      <c r="A993" s="19">
        <v>32.065366670000003</v>
      </c>
      <c r="B993" s="19">
        <v>737.57202729999995</v>
      </c>
      <c r="C993" s="19">
        <v>-364.03137820000001</v>
      </c>
      <c r="E993" s="9">
        <f t="shared" si="269"/>
        <v>-222.42797270000005</v>
      </c>
      <c r="F993" s="9">
        <f t="shared" ref="F993:F1056" si="274">(($C$15/2)+C993)</f>
        <v>175.96862179999999</v>
      </c>
      <c r="I993">
        <v>1</v>
      </c>
      <c r="J993">
        <f t="shared" si="270"/>
        <v>0.18494954992943766</v>
      </c>
      <c r="K993">
        <f t="shared" ref="K993:K1056" si="275">ATAN2(E993,F993)</f>
        <v>2.4722859661399408</v>
      </c>
      <c r="O993">
        <f t="shared" ref="O993:O1056" si="276">COS(K993)*SIN(J993)</f>
        <v>-0.14422154892611236</v>
      </c>
      <c r="P993">
        <f t="shared" ref="P993:P1056" si="277">SIN(K993)*SIN(J993)</f>
        <v>0.11409746215966501</v>
      </c>
      <c r="Q993">
        <f t="shared" ref="Q993:Q1056" si="278">COS(J993)</f>
        <v>0.9829455294949343</v>
      </c>
      <c r="R993">
        <f t="shared" si="268"/>
        <v>1</v>
      </c>
      <c r="AG993" s="8">
        <f t="shared" si="271"/>
        <v>-0.49214016363935659</v>
      </c>
      <c r="AH993" s="8">
        <f t="shared" si="272"/>
        <v>0.57056408636231049</v>
      </c>
      <c r="AI993" s="8">
        <f t="shared" si="273"/>
        <v>0.65746078414348741</v>
      </c>
      <c r="AJ993" s="8"/>
      <c r="AK993" s="8"/>
      <c r="AL993" s="8"/>
      <c r="AN993" s="8">
        <f t="shared" ref="AN993:AN1056" si="279">AG993^2+AH993^2+AI993^2</f>
        <v>1.0000000000000002</v>
      </c>
      <c r="AO993" s="8">
        <f t="shared" ref="AO993:AO1056" si="280">IF(ATAN2(AG993,AH993)&gt;=0,ATAN2(AG993,AH993),ATAN2(AG993,AH993)+2*PI())</f>
        <v>2.2825314533734042</v>
      </c>
      <c r="AP993" s="8">
        <f t="shared" ref="AP993:AP1056" si="281">ACOS(AI993/AN993)</f>
        <v>0.85335248678795983</v>
      </c>
      <c r="AQ993" s="8"/>
      <c r="AR993" s="8">
        <f t="shared" ref="AR993:AR1056" si="282">DEGREES(AO993)</f>
        <v>130.77941888415791</v>
      </c>
      <c r="AS993" s="8">
        <f t="shared" ref="AS993:AS1056" si="283">90-DEGREES(AP993)</f>
        <v>41.106504070056559</v>
      </c>
    </row>
    <row r="994" spans="1:45">
      <c r="A994" s="19">
        <v>32.098733330000002</v>
      </c>
      <c r="B994" s="19">
        <v>736.9840719</v>
      </c>
      <c r="C994" s="19">
        <v>-363.6911149</v>
      </c>
      <c r="E994" s="9">
        <f t="shared" si="269"/>
        <v>-223.0159281</v>
      </c>
      <c r="F994" s="9">
        <f t="shared" si="274"/>
        <v>176.3088851</v>
      </c>
      <c r="I994">
        <v>1</v>
      </c>
      <c r="J994">
        <f t="shared" si="270"/>
        <v>0.18538224625703054</v>
      </c>
      <c r="K994">
        <f t="shared" si="275"/>
        <v>2.4726304742508622</v>
      </c>
      <c r="O994">
        <f t="shared" si="276"/>
        <v>-0.14459448089556565</v>
      </c>
      <c r="P994">
        <f t="shared" si="277"/>
        <v>0.11431152893653081</v>
      </c>
      <c r="Q994">
        <f t="shared" si="278"/>
        <v>0.98286586594852021</v>
      </c>
      <c r="R994">
        <f t="shared" si="268"/>
        <v>1</v>
      </c>
      <c r="AG994" s="8">
        <f t="shared" si="271"/>
        <v>-0.49178333142148412</v>
      </c>
      <c r="AH994" s="8">
        <f t="shared" si="272"/>
        <v>0.57081144210127488</v>
      </c>
      <c r="AI994" s="8">
        <f t="shared" si="273"/>
        <v>0.65751308162062416</v>
      </c>
      <c r="AJ994" s="8"/>
      <c r="AK994" s="8"/>
      <c r="AL994" s="8"/>
      <c r="AN994" s="8">
        <f t="shared" si="279"/>
        <v>0.99999999999999989</v>
      </c>
      <c r="AO994" s="8">
        <f t="shared" si="280"/>
        <v>2.2819583987745613</v>
      </c>
      <c r="AP994" s="8">
        <f t="shared" si="281"/>
        <v>0.85328307757658295</v>
      </c>
      <c r="AQ994" s="8"/>
      <c r="AR994" s="8">
        <f t="shared" si="282"/>
        <v>130.74658527421366</v>
      </c>
      <c r="AS994" s="8">
        <f t="shared" si="283"/>
        <v>41.110480924927785</v>
      </c>
    </row>
    <row r="995" spans="1:45">
      <c r="A995" s="19">
        <v>32.132100000000001</v>
      </c>
      <c r="B995" s="19">
        <v>736.35187840000003</v>
      </c>
      <c r="C995" s="19">
        <v>-363.61880239999999</v>
      </c>
      <c r="E995" s="9">
        <f t="shared" si="269"/>
        <v>-223.64812159999997</v>
      </c>
      <c r="F995" s="9">
        <f t="shared" si="274"/>
        <v>176.38119760000001</v>
      </c>
      <c r="I995">
        <v>1</v>
      </c>
      <c r="J995">
        <f t="shared" si="270"/>
        <v>0.18573041245496308</v>
      </c>
      <c r="K995">
        <f t="shared" si="275"/>
        <v>2.4738078109767363</v>
      </c>
      <c r="O995">
        <f t="shared" si="276"/>
        <v>-0.14499764940250207</v>
      </c>
      <c r="P995">
        <f t="shared" si="277"/>
        <v>0.11435311357785291</v>
      </c>
      <c r="Q995">
        <f t="shared" si="278"/>
        <v>0.98280163160365164</v>
      </c>
      <c r="R995">
        <f t="shared" si="268"/>
        <v>1</v>
      </c>
      <c r="AG995" s="8">
        <f t="shared" si="271"/>
        <v>-0.4915265708591261</v>
      </c>
      <c r="AH995" s="8">
        <f t="shared" si="272"/>
        <v>0.57112198929322511</v>
      </c>
      <c r="AI995" s="8">
        <f t="shared" si="273"/>
        <v>0.65743539871626777</v>
      </c>
      <c r="AJ995" s="8"/>
      <c r="AK995" s="8"/>
      <c r="AL995" s="8"/>
      <c r="AN995" s="8">
        <f t="shared" si="279"/>
        <v>1.0000000000000002</v>
      </c>
      <c r="AO995" s="8">
        <f t="shared" si="280"/>
        <v>2.2814312378562489</v>
      </c>
      <c r="AP995" s="8">
        <f t="shared" si="281"/>
        <v>0.85338617681138951</v>
      </c>
      <c r="AQ995" s="8"/>
      <c r="AR995" s="8">
        <f t="shared" si="282"/>
        <v>130.7163811784701</v>
      </c>
      <c r="AS995" s="8">
        <f t="shared" si="283"/>
        <v>41.104573773902338</v>
      </c>
    </row>
    <row r="996" spans="1:45">
      <c r="A996" s="19">
        <v>32.165466670000001</v>
      </c>
      <c r="B996" s="19">
        <v>735.52415350000001</v>
      </c>
      <c r="C996" s="19">
        <v>-363.5983683</v>
      </c>
      <c r="E996" s="9">
        <f t="shared" si="269"/>
        <v>-224.47584649999999</v>
      </c>
      <c r="F996" s="9">
        <f t="shared" si="274"/>
        <v>176.4016317</v>
      </c>
      <c r="I996">
        <v>1</v>
      </c>
      <c r="J996">
        <f t="shared" si="270"/>
        <v>0.18615706473025004</v>
      </c>
      <c r="K996">
        <f t="shared" si="275"/>
        <v>2.4755469798149248</v>
      </c>
      <c r="O996">
        <f t="shared" si="276"/>
        <v>-0.14552599108048533</v>
      </c>
      <c r="P996">
        <f t="shared" si="277"/>
        <v>0.11435984174518862</v>
      </c>
      <c r="Q996">
        <f t="shared" si="278"/>
        <v>0.98272275465466752</v>
      </c>
      <c r="R996">
        <f t="shared" si="268"/>
        <v>1</v>
      </c>
      <c r="AG996" s="8">
        <f t="shared" si="271"/>
        <v>-0.49122242025141505</v>
      </c>
      <c r="AH996" s="8">
        <f t="shared" si="272"/>
        <v>0.5715397091210741</v>
      </c>
      <c r="AI996" s="8">
        <f t="shared" si="273"/>
        <v>0.6572996993306327</v>
      </c>
      <c r="AJ996" s="8"/>
      <c r="AK996" s="8"/>
      <c r="AL996" s="8"/>
      <c r="AN996" s="8">
        <f t="shared" si="279"/>
        <v>0.99999999999999989</v>
      </c>
      <c r="AO996" s="8">
        <f t="shared" si="280"/>
        <v>2.2807637806414456</v>
      </c>
      <c r="AP996" s="8">
        <f t="shared" si="281"/>
        <v>0.85356625214221371</v>
      </c>
      <c r="AQ996" s="8"/>
      <c r="AR996" s="8">
        <f t="shared" si="282"/>
        <v>130.67813869705631</v>
      </c>
      <c r="AS996" s="8">
        <f t="shared" si="283"/>
        <v>41.094256217451694</v>
      </c>
    </row>
    <row r="997" spans="1:45">
      <c r="A997" s="19">
        <v>32.198833329999999</v>
      </c>
      <c r="B997" s="19">
        <v>734.80293500000005</v>
      </c>
      <c r="C997" s="19">
        <v>-363.61387289999999</v>
      </c>
      <c r="E997" s="9">
        <f t="shared" si="269"/>
        <v>-225.19706499999995</v>
      </c>
      <c r="F997" s="9">
        <f t="shared" si="274"/>
        <v>176.38612710000001</v>
      </c>
      <c r="I997">
        <v>1</v>
      </c>
      <c r="J997">
        <f t="shared" si="270"/>
        <v>0.18651600577924779</v>
      </c>
      <c r="K997">
        <f t="shared" si="275"/>
        <v>2.4771474531195192</v>
      </c>
      <c r="O997">
        <f t="shared" si="276"/>
        <v>-0.14598652247787186</v>
      </c>
      <c r="P997">
        <f t="shared" si="277"/>
        <v>0.11434428467648515</v>
      </c>
      <c r="Q997">
        <f t="shared" si="278"/>
        <v>0.98265625720118466</v>
      </c>
      <c r="R997">
        <f t="shared" si="268"/>
        <v>1</v>
      </c>
      <c r="AG997" s="8">
        <f t="shared" si="271"/>
        <v>-0.4909717259718191</v>
      </c>
      <c r="AH997" s="8">
        <f t="shared" si="272"/>
        <v>0.57190858272795075</v>
      </c>
      <c r="AI997" s="8">
        <f t="shared" si="273"/>
        <v>0.65716614132071638</v>
      </c>
      <c r="AJ997" s="8"/>
      <c r="AK997" s="8"/>
      <c r="AL997" s="8"/>
      <c r="AN997" s="8">
        <f t="shared" si="279"/>
        <v>1</v>
      </c>
      <c r="AO997" s="8">
        <f t="shared" si="280"/>
        <v>2.2801925568662718</v>
      </c>
      <c r="AP997" s="8">
        <f t="shared" si="281"/>
        <v>0.85374345821992537</v>
      </c>
      <c r="AQ997" s="8"/>
      <c r="AR997" s="8">
        <f t="shared" si="282"/>
        <v>130.64540998558132</v>
      </c>
      <c r="AS997" s="8">
        <f t="shared" si="283"/>
        <v>41.084103057094744</v>
      </c>
    </row>
    <row r="998" spans="1:45">
      <c r="A998" s="19">
        <v>32.232199999999999</v>
      </c>
      <c r="B998" s="19">
        <v>734.35797749999995</v>
      </c>
      <c r="C998" s="19">
        <v>-363.59527500000002</v>
      </c>
      <c r="E998" s="9">
        <f t="shared" si="269"/>
        <v>-225.64202250000005</v>
      </c>
      <c r="F998" s="9">
        <f t="shared" si="274"/>
        <v>176.40472499999998</v>
      </c>
      <c r="I998">
        <v>1</v>
      </c>
      <c r="J998">
        <f t="shared" si="270"/>
        <v>0.18674882788440425</v>
      </c>
      <c r="K998">
        <f t="shared" si="275"/>
        <v>2.4780542855567957</v>
      </c>
      <c r="O998">
        <f t="shared" si="276"/>
        <v>-0.14627038978154705</v>
      </c>
      <c r="P998">
        <f t="shared" si="277"/>
        <v>0.11435275929179642</v>
      </c>
      <c r="Q998">
        <f t="shared" si="278"/>
        <v>0.98261305686190981</v>
      </c>
      <c r="R998">
        <f t="shared" si="268"/>
        <v>1</v>
      </c>
      <c r="AG998" s="8">
        <f t="shared" si="271"/>
        <v>-0.49080484249178202</v>
      </c>
      <c r="AH998" s="8">
        <f t="shared" si="272"/>
        <v>0.57213178721659719</v>
      </c>
      <c r="AI998" s="8">
        <f t="shared" si="273"/>
        <v>0.65709651090456977</v>
      </c>
      <c r="AJ998" s="8"/>
      <c r="AK998" s="8"/>
      <c r="AL998" s="8"/>
      <c r="AN998" s="8">
        <f t="shared" si="279"/>
        <v>1</v>
      </c>
      <c r="AO998" s="8">
        <f t="shared" si="280"/>
        <v>2.2798317033283131</v>
      </c>
      <c r="AP998" s="8">
        <f t="shared" si="281"/>
        <v>0.85383583368199534</v>
      </c>
      <c r="AQ998" s="8"/>
      <c r="AR998" s="8">
        <f t="shared" si="282"/>
        <v>130.62473460083393</v>
      </c>
      <c r="AS998" s="8">
        <f t="shared" si="283"/>
        <v>41.078810332987565</v>
      </c>
    </row>
    <row r="999" spans="1:45">
      <c r="A999" s="19">
        <v>32.265566669999998</v>
      </c>
      <c r="B999" s="19">
        <v>733.60261170000001</v>
      </c>
      <c r="C999" s="19">
        <v>-363.56623889999997</v>
      </c>
      <c r="E999" s="9">
        <f t="shared" si="269"/>
        <v>-226.39738829999999</v>
      </c>
      <c r="F999" s="9">
        <f t="shared" si="274"/>
        <v>176.43376110000003</v>
      </c>
      <c r="I999">
        <v>1</v>
      </c>
      <c r="J999">
        <f t="shared" si="270"/>
        <v>0.18714337262407557</v>
      </c>
      <c r="K999">
        <f t="shared" si="275"/>
        <v>2.4795954669489699</v>
      </c>
      <c r="O999">
        <f t="shared" si="276"/>
        <v>-0.14675223559302245</v>
      </c>
      <c r="P999">
        <f t="shared" si="277"/>
        <v>0.11436549277326737</v>
      </c>
      <c r="Q999">
        <f t="shared" si="278"/>
        <v>0.98253972714144122</v>
      </c>
      <c r="R999">
        <f t="shared" si="268"/>
        <v>1</v>
      </c>
      <c r="AG999" s="8">
        <f t="shared" si="271"/>
        <v>-0.49052256930763666</v>
      </c>
      <c r="AH999" s="8">
        <f t="shared" si="272"/>
        <v>0.57251094700055671</v>
      </c>
      <c r="AI999" s="8">
        <f t="shared" si="273"/>
        <v>0.65697703503574656</v>
      </c>
      <c r="AJ999" s="8"/>
      <c r="AK999" s="8"/>
      <c r="AL999" s="8"/>
      <c r="AN999" s="8">
        <f t="shared" si="279"/>
        <v>1</v>
      </c>
      <c r="AO999" s="8">
        <f t="shared" si="280"/>
        <v>2.279220073365249</v>
      </c>
      <c r="AP999" s="8">
        <f t="shared" si="281"/>
        <v>0.85399431947863946</v>
      </c>
      <c r="AQ999" s="8"/>
      <c r="AR999" s="8">
        <f t="shared" si="282"/>
        <v>130.58969078532661</v>
      </c>
      <c r="AS999" s="8">
        <f t="shared" si="283"/>
        <v>41.069729765727089</v>
      </c>
    </row>
    <row r="1000" spans="1:45">
      <c r="A1000" s="19">
        <v>32.298933329999997</v>
      </c>
      <c r="B1000" s="19">
        <v>733.17831060000003</v>
      </c>
      <c r="C1000" s="19">
        <v>-363.4951944</v>
      </c>
      <c r="E1000" s="9">
        <f t="shared" si="269"/>
        <v>-226.82168939999997</v>
      </c>
      <c r="F1000" s="9">
        <f t="shared" si="274"/>
        <v>176.5048056</v>
      </c>
      <c r="I1000">
        <v>1</v>
      </c>
      <c r="J1000">
        <f t="shared" si="270"/>
        <v>0.18738678311440121</v>
      </c>
      <c r="K1000">
        <f t="shared" si="275"/>
        <v>2.4803079706195339</v>
      </c>
      <c r="O1000">
        <f t="shared" si="276"/>
        <v>-0.14702242620310041</v>
      </c>
      <c r="P1000">
        <f t="shared" si="277"/>
        <v>0.11440777477878435</v>
      </c>
      <c r="Q1000">
        <f t="shared" si="278"/>
        <v>0.98249441080523248</v>
      </c>
      <c r="R1000">
        <f t="shared" si="268"/>
        <v>1</v>
      </c>
      <c r="AG1000" s="8">
        <f t="shared" si="271"/>
        <v>-0.49034031370646092</v>
      </c>
      <c r="AH1000" s="8">
        <f t="shared" si="272"/>
        <v>0.57271550323092446</v>
      </c>
      <c r="AI1000" s="8">
        <f t="shared" si="273"/>
        <v>0.65693479822064427</v>
      </c>
      <c r="AJ1000" s="8"/>
      <c r="AK1000" s="8"/>
      <c r="AL1000" s="8"/>
      <c r="AN1000" s="8">
        <f t="shared" si="279"/>
        <v>1.0000000000000002</v>
      </c>
      <c r="AO1000" s="8">
        <f t="shared" si="280"/>
        <v>2.278859975606681</v>
      </c>
      <c r="AP1000" s="8">
        <f t="shared" si="281"/>
        <v>0.8540503417507892</v>
      </c>
      <c r="AQ1000" s="8"/>
      <c r="AR1000" s="8">
        <f t="shared" si="282"/>
        <v>130.56905870354856</v>
      </c>
      <c r="AS1000" s="8">
        <f t="shared" si="283"/>
        <v>41.066519925974177</v>
      </c>
    </row>
    <row r="1001" spans="1:45">
      <c r="A1001" s="19">
        <v>32.332299999999996</v>
      </c>
      <c r="B1001" s="19">
        <v>732.46240620000003</v>
      </c>
      <c r="C1001" s="19">
        <v>-363.27179219999999</v>
      </c>
      <c r="E1001" s="9">
        <f t="shared" si="269"/>
        <v>-227.53759379999997</v>
      </c>
      <c r="F1001" s="9">
        <f t="shared" si="274"/>
        <v>176.72820780000001</v>
      </c>
      <c r="I1001">
        <v>1</v>
      </c>
      <c r="J1001">
        <f t="shared" si="270"/>
        <v>0.18783848235882045</v>
      </c>
      <c r="K1001">
        <f t="shared" si="275"/>
        <v>2.4812220354987593</v>
      </c>
      <c r="O1001">
        <f t="shared" si="276"/>
        <v>-0.14747741722752297</v>
      </c>
      <c r="P1001">
        <f t="shared" si="277"/>
        <v>0.11454555356027059</v>
      </c>
      <c r="Q1001">
        <f t="shared" si="278"/>
        <v>0.98241016259374592</v>
      </c>
      <c r="R1001">
        <f t="shared" si="268"/>
        <v>1</v>
      </c>
      <c r="AG1001" s="8">
        <f t="shared" si="271"/>
        <v>-0.48998799286184397</v>
      </c>
      <c r="AH1001" s="8">
        <f t="shared" si="272"/>
        <v>0.57304471659223588</v>
      </c>
      <c r="AI1001" s="8">
        <f t="shared" si="273"/>
        <v>0.65691058724680773</v>
      </c>
      <c r="AJ1001" s="8"/>
      <c r="AK1001" s="8"/>
      <c r="AL1001" s="8"/>
      <c r="AN1001" s="8">
        <f t="shared" si="279"/>
        <v>1.0000000000000002</v>
      </c>
      <c r="AO1001" s="8">
        <f t="shared" si="280"/>
        <v>2.2782210371391387</v>
      </c>
      <c r="AP1001" s="8">
        <f t="shared" si="281"/>
        <v>0.85408245358693446</v>
      </c>
      <c r="AQ1001" s="8"/>
      <c r="AR1001" s="8">
        <f t="shared" si="282"/>
        <v>130.53245022598983</v>
      </c>
      <c r="AS1001" s="8">
        <f t="shared" si="283"/>
        <v>41.064680053290637</v>
      </c>
    </row>
    <row r="1002" spans="1:45">
      <c r="A1002" s="19">
        <v>32.365666670000003</v>
      </c>
      <c r="B1002" s="19">
        <v>732.09842370000001</v>
      </c>
      <c r="C1002" s="19">
        <v>-362.92460899999998</v>
      </c>
      <c r="E1002" s="9">
        <f t="shared" si="269"/>
        <v>-227.90157629999999</v>
      </c>
      <c r="F1002" s="9">
        <f t="shared" si="274"/>
        <v>177.07539100000002</v>
      </c>
      <c r="I1002">
        <v>1</v>
      </c>
      <c r="J1002">
        <f t="shared" si="270"/>
        <v>0.18816029836675624</v>
      </c>
      <c r="K1002">
        <f t="shared" si="275"/>
        <v>2.481045593098484</v>
      </c>
      <c r="O1002">
        <f t="shared" si="276"/>
        <v>-0.14770685076400494</v>
      </c>
      <c r="P1002">
        <f t="shared" si="277"/>
        <v>0.11476554386787201</v>
      </c>
      <c r="Q1002">
        <f t="shared" si="278"/>
        <v>0.98235001714159476</v>
      </c>
      <c r="R1002">
        <f t="shared" si="268"/>
        <v>1</v>
      </c>
      <c r="AG1002" s="8">
        <f t="shared" si="271"/>
        <v>-0.4897078538109878</v>
      </c>
      <c r="AH1002" s="8">
        <f t="shared" si="272"/>
        <v>0.57317637858502768</v>
      </c>
      <c r="AI1002" s="8">
        <f t="shared" si="273"/>
        <v>0.65700460953328887</v>
      </c>
      <c r="AJ1002" s="8"/>
      <c r="AK1002" s="8"/>
      <c r="AL1002" s="8"/>
      <c r="AN1002" s="8">
        <f t="shared" si="279"/>
        <v>1.0000000000000002</v>
      </c>
      <c r="AO1002" s="8">
        <f t="shared" si="280"/>
        <v>2.2778251146400521</v>
      </c>
      <c r="AP1002" s="8">
        <f t="shared" si="281"/>
        <v>0.85395774360688559</v>
      </c>
      <c r="AQ1002" s="8"/>
      <c r="AR1002" s="8">
        <f t="shared" si="282"/>
        <v>130.50976553777789</v>
      </c>
      <c r="AS1002" s="8">
        <f t="shared" si="283"/>
        <v>41.071825408810597</v>
      </c>
    </row>
    <row r="1003" spans="1:45">
      <c r="A1003" s="19">
        <v>32.399033330000002</v>
      </c>
      <c r="B1003" s="19">
        <v>731.4686772</v>
      </c>
      <c r="C1003" s="19">
        <v>-362.76454360000002</v>
      </c>
      <c r="E1003" s="9">
        <f t="shared" si="269"/>
        <v>-228.5313228</v>
      </c>
      <c r="F1003" s="9">
        <f t="shared" si="274"/>
        <v>177.23545639999998</v>
      </c>
      <c r="I1003">
        <v>1</v>
      </c>
      <c r="J1003">
        <f t="shared" si="270"/>
        <v>0.18854327696805104</v>
      </c>
      <c r="K1003">
        <f t="shared" si="275"/>
        <v>2.4819445557114044</v>
      </c>
      <c r="O1003">
        <f t="shared" si="276"/>
        <v>-0.14810724142170562</v>
      </c>
      <c r="P1003">
        <f t="shared" si="277"/>
        <v>0.11486326779149501</v>
      </c>
      <c r="Q1003">
        <f t="shared" si="278"/>
        <v>0.98227830819514284</v>
      </c>
      <c r="R1003">
        <f t="shared" si="268"/>
        <v>1</v>
      </c>
      <c r="AG1003" s="8">
        <f t="shared" si="271"/>
        <v>-0.48941361501614472</v>
      </c>
      <c r="AH1003" s="8">
        <f t="shared" si="272"/>
        <v>0.57347129594094337</v>
      </c>
      <c r="AI1003" s="8">
        <f t="shared" si="273"/>
        <v>0.65696650307960447</v>
      </c>
      <c r="AJ1003" s="8"/>
      <c r="AK1003" s="8"/>
      <c r="AL1003" s="8"/>
      <c r="AN1003" s="8">
        <f t="shared" si="279"/>
        <v>1</v>
      </c>
      <c r="AO1003" s="8">
        <f t="shared" si="280"/>
        <v>2.2772742866577609</v>
      </c>
      <c r="AP1003" s="8">
        <f t="shared" si="281"/>
        <v>0.85400828916177962</v>
      </c>
      <c r="AQ1003" s="8"/>
      <c r="AR1003" s="8">
        <f t="shared" si="282"/>
        <v>130.4782054191549</v>
      </c>
      <c r="AS1003" s="8">
        <f t="shared" si="283"/>
        <v>41.068929361842024</v>
      </c>
    </row>
    <row r="1004" spans="1:45">
      <c r="A1004" s="19">
        <v>32.432400000000001</v>
      </c>
      <c r="B1004" s="19">
        <v>730.68453820000002</v>
      </c>
      <c r="C1004" s="19">
        <v>-362.77918019999998</v>
      </c>
      <c r="E1004" s="9">
        <f t="shared" si="269"/>
        <v>-229.31546179999998</v>
      </c>
      <c r="F1004" s="9">
        <f t="shared" si="274"/>
        <v>177.22081980000002</v>
      </c>
      <c r="I1004">
        <v>1</v>
      </c>
      <c r="J1004">
        <f t="shared" si="270"/>
        <v>0.18893615444550646</v>
      </c>
      <c r="K1004">
        <f t="shared" si="275"/>
        <v>2.4836425934809672</v>
      </c>
      <c r="O1004">
        <f t="shared" si="276"/>
        <v>-0.14860741278892389</v>
      </c>
      <c r="P1004">
        <f t="shared" si="277"/>
        <v>0.11484758731960086</v>
      </c>
      <c r="Q1004">
        <f t="shared" si="278"/>
        <v>0.98220459607509936</v>
      </c>
      <c r="R1004">
        <f t="shared" si="268"/>
        <v>1</v>
      </c>
      <c r="AG1004" s="8">
        <f t="shared" si="271"/>
        <v>-0.4891396513866888</v>
      </c>
      <c r="AH1004" s="8">
        <f t="shared" si="272"/>
        <v>0.57387100390761647</v>
      </c>
      <c r="AI1004" s="8">
        <f t="shared" si="273"/>
        <v>0.65682149197127604</v>
      </c>
      <c r="AJ1004" s="8"/>
      <c r="AK1004" s="8"/>
      <c r="AL1004" s="8"/>
      <c r="AN1004" s="8">
        <f t="shared" si="279"/>
        <v>1</v>
      </c>
      <c r="AO1004" s="8">
        <f t="shared" si="280"/>
        <v>2.2766538137239687</v>
      </c>
      <c r="AP1004" s="8">
        <f t="shared" si="281"/>
        <v>0.85420061593880159</v>
      </c>
      <c r="AQ1004" s="8"/>
      <c r="AR1004" s="8">
        <f t="shared" si="282"/>
        <v>130.4426549387465</v>
      </c>
      <c r="AS1004" s="8">
        <f t="shared" si="283"/>
        <v>41.057909849231308</v>
      </c>
    </row>
    <row r="1005" spans="1:45">
      <c r="A1005" s="19">
        <v>32.465766670000001</v>
      </c>
      <c r="B1005" s="19">
        <v>730.19036080000001</v>
      </c>
      <c r="C1005" s="19">
        <v>-362.61198810000002</v>
      </c>
      <c r="E1005" s="9">
        <f t="shared" si="269"/>
        <v>-229.80963919999999</v>
      </c>
      <c r="F1005" s="9">
        <f t="shared" si="274"/>
        <v>177.38801189999998</v>
      </c>
      <c r="I1005">
        <v>1</v>
      </c>
      <c r="J1005">
        <f t="shared" si="270"/>
        <v>0.18925327334552311</v>
      </c>
      <c r="K1005">
        <f t="shared" si="275"/>
        <v>2.4842278236986792</v>
      </c>
      <c r="O1005">
        <f t="shared" si="276"/>
        <v>-0.14892115785801374</v>
      </c>
      <c r="P1005">
        <f t="shared" si="277"/>
        <v>0.11495091421856742</v>
      </c>
      <c r="Q1005">
        <f t="shared" si="278"/>
        <v>0.98214498729186828</v>
      </c>
      <c r="R1005">
        <f t="shared" si="268"/>
        <v>1</v>
      </c>
      <c r="AG1005" s="8">
        <f t="shared" si="271"/>
        <v>-0.48889069490072956</v>
      </c>
      <c r="AH1005" s="8">
        <f t="shared" si="272"/>
        <v>0.57409586387817435</v>
      </c>
      <c r="AI1005" s="8">
        <f t="shared" si="273"/>
        <v>0.65681034364377555</v>
      </c>
      <c r="AJ1005" s="8"/>
      <c r="AK1005" s="8"/>
      <c r="AL1005" s="8"/>
      <c r="AN1005" s="8">
        <f t="shared" si="279"/>
        <v>1</v>
      </c>
      <c r="AO1005" s="8">
        <f t="shared" si="280"/>
        <v>2.2762091073854096</v>
      </c>
      <c r="AP1005" s="8">
        <f t="shared" si="281"/>
        <v>0.85421540051980971</v>
      </c>
      <c r="AQ1005" s="8"/>
      <c r="AR1005" s="8">
        <f t="shared" si="282"/>
        <v>130.41717514242436</v>
      </c>
      <c r="AS1005" s="8">
        <f t="shared" si="283"/>
        <v>41.057062755137679</v>
      </c>
    </row>
    <row r="1006" spans="1:45">
      <c r="A1006" s="19">
        <v>32.499133329999999</v>
      </c>
      <c r="B1006" s="19">
        <v>729.50854579999998</v>
      </c>
      <c r="C1006" s="19">
        <v>-362.57148619999998</v>
      </c>
      <c r="E1006" s="9">
        <f t="shared" si="269"/>
        <v>-230.49145420000002</v>
      </c>
      <c r="F1006" s="9">
        <f t="shared" si="274"/>
        <v>177.42851380000002</v>
      </c>
      <c r="I1006">
        <v>1</v>
      </c>
      <c r="J1006">
        <f t="shared" si="270"/>
        <v>0.18961626810957663</v>
      </c>
      <c r="K1006">
        <f t="shared" si="275"/>
        <v>2.4855498778011107</v>
      </c>
      <c r="O1006">
        <f t="shared" si="276"/>
        <v>-0.14935549483575938</v>
      </c>
      <c r="P1006">
        <f t="shared" si="277"/>
        <v>0.11497139262082179</v>
      </c>
      <c r="Q1006">
        <f t="shared" si="278"/>
        <v>0.98207663399614309</v>
      </c>
      <c r="R1006">
        <f t="shared" si="268"/>
        <v>1</v>
      </c>
      <c r="AG1006" s="8">
        <f t="shared" si="271"/>
        <v>-0.48862935844124911</v>
      </c>
      <c r="AH1006" s="8">
        <f t="shared" si="272"/>
        <v>0.57443501816658282</v>
      </c>
      <c r="AI1006" s="8">
        <f t="shared" si="273"/>
        <v>0.65670827615711613</v>
      </c>
      <c r="AJ1006" s="8"/>
      <c r="AK1006" s="8"/>
      <c r="AL1006" s="8"/>
      <c r="AN1006" s="8">
        <f t="shared" si="279"/>
        <v>1</v>
      </c>
      <c r="AO1006" s="8">
        <f t="shared" si="280"/>
        <v>2.2756537006885473</v>
      </c>
      <c r="AP1006" s="8">
        <f t="shared" si="281"/>
        <v>0.85435075054118614</v>
      </c>
      <c r="AQ1006" s="8"/>
      <c r="AR1006" s="8">
        <f t="shared" si="282"/>
        <v>130.38535268278085</v>
      </c>
      <c r="AS1006" s="8">
        <f t="shared" si="283"/>
        <v>41.049307770155799</v>
      </c>
    </row>
    <row r="1007" spans="1:45">
      <c r="A1007" s="19">
        <v>32.532499999999999</v>
      </c>
      <c r="B1007" s="19">
        <v>728.75837899999999</v>
      </c>
      <c r="C1007" s="19">
        <v>-362.53165059999998</v>
      </c>
      <c r="E1007" s="9">
        <f t="shared" si="269"/>
        <v>-231.24162100000001</v>
      </c>
      <c r="F1007" s="9">
        <f t="shared" si="274"/>
        <v>177.46834940000002</v>
      </c>
      <c r="I1007">
        <v>1</v>
      </c>
      <c r="J1007">
        <f t="shared" si="270"/>
        <v>0.19001412931677356</v>
      </c>
      <c r="K1007">
        <f t="shared" si="275"/>
        <v>2.4870114095055507</v>
      </c>
      <c r="O1007">
        <f t="shared" si="276"/>
        <v>-0.14983332516718881</v>
      </c>
      <c r="P1007">
        <f t="shared" si="277"/>
        <v>0.1149908601554669</v>
      </c>
      <c r="Q1007">
        <f t="shared" si="278"/>
        <v>0.98200156657209525</v>
      </c>
      <c r="R1007">
        <f t="shared" si="268"/>
        <v>1</v>
      </c>
      <c r="AG1007" s="8">
        <f t="shared" si="271"/>
        <v>-0.48834379046797605</v>
      </c>
      <c r="AH1007" s="8">
        <f t="shared" si="272"/>
        <v>0.57480872475448719</v>
      </c>
      <c r="AI1007" s="8">
        <f t="shared" si="273"/>
        <v>0.65659368886510749</v>
      </c>
      <c r="AJ1007" s="8"/>
      <c r="AK1007" s="8"/>
      <c r="AL1007" s="8"/>
      <c r="AN1007" s="8">
        <f t="shared" si="279"/>
        <v>0.99999999999999989</v>
      </c>
      <c r="AO1007" s="8">
        <f t="shared" si="280"/>
        <v>2.2750442799799999</v>
      </c>
      <c r="AP1007" s="8">
        <f t="shared" si="281"/>
        <v>0.85450268386598716</v>
      </c>
      <c r="AQ1007" s="8"/>
      <c r="AR1007" s="8">
        <f t="shared" si="282"/>
        <v>130.35043544823321</v>
      </c>
      <c r="AS1007" s="8">
        <f t="shared" si="283"/>
        <v>41.040602631877313</v>
      </c>
    </row>
    <row r="1008" spans="1:45">
      <c r="A1008" s="19">
        <v>32.565866669999998</v>
      </c>
      <c r="B1008" s="19">
        <v>728.27694640000004</v>
      </c>
      <c r="C1008" s="19">
        <v>-362.43045050000001</v>
      </c>
      <c r="E1008" s="9">
        <f t="shared" si="269"/>
        <v>-231.72305359999996</v>
      </c>
      <c r="F1008" s="9">
        <f t="shared" si="274"/>
        <v>177.56954949999999</v>
      </c>
      <c r="I1008">
        <v>1</v>
      </c>
      <c r="J1008">
        <f t="shared" si="270"/>
        <v>0.19029920459336844</v>
      </c>
      <c r="K1008">
        <f t="shared" si="275"/>
        <v>2.4877404289826628</v>
      </c>
      <c r="O1008">
        <f t="shared" si="276"/>
        <v>-0.15013931471171124</v>
      </c>
      <c r="P1008">
        <f t="shared" si="277"/>
        <v>0.11505186929574152</v>
      </c>
      <c r="Q1008">
        <f t="shared" si="278"/>
        <v>0.98194768371306485</v>
      </c>
      <c r="R1008">
        <f t="shared" si="268"/>
        <v>1</v>
      </c>
      <c r="AG1008" s="8">
        <f t="shared" si="271"/>
        <v>-0.48812779623935032</v>
      </c>
      <c r="AH1008" s="8">
        <f t="shared" si="272"/>
        <v>0.57503690430998666</v>
      </c>
      <c r="AI1008" s="8">
        <f t="shared" si="273"/>
        <v>0.65655450133260262</v>
      </c>
      <c r="AJ1008" s="8"/>
      <c r="AK1008" s="8"/>
      <c r="AL1008" s="8"/>
      <c r="AN1008" s="8">
        <f t="shared" si="279"/>
        <v>1</v>
      </c>
      <c r="AO1008" s="8">
        <f t="shared" si="280"/>
        <v>2.2746301806430695</v>
      </c>
      <c r="AP1008" s="8">
        <f t="shared" si="281"/>
        <v>0.8545546386998103</v>
      </c>
      <c r="AQ1008" s="8"/>
      <c r="AR1008" s="8">
        <f t="shared" si="282"/>
        <v>130.32670930392791</v>
      </c>
      <c r="AS1008" s="8">
        <f t="shared" si="283"/>
        <v>41.037625839173941</v>
      </c>
    </row>
    <row r="1009" spans="1:45">
      <c r="A1009" s="19">
        <v>32.599233329999997</v>
      </c>
      <c r="B1009" s="19">
        <v>727.59932930000002</v>
      </c>
      <c r="C1009" s="19">
        <v>-361.91882880000003</v>
      </c>
      <c r="E1009" s="9">
        <f t="shared" si="269"/>
        <v>-232.40067069999998</v>
      </c>
      <c r="F1009" s="9">
        <f t="shared" si="274"/>
        <v>178.08117119999997</v>
      </c>
      <c r="I1009">
        <v>1</v>
      </c>
      <c r="J1009">
        <f t="shared" si="270"/>
        <v>0.19084474704068552</v>
      </c>
      <c r="K1009">
        <f t="shared" si="275"/>
        <v>2.4877611325014874</v>
      </c>
      <c r="O1009">
        <f t="shared" si="276"/>
        <v>-0.15056688643595237</v>
      </c>
      <c r="P1009">
        <f t="shared" si="277"/>
        <v>0.11537457013221865</v>
      </c>
      <c r="Q1009">
        <f t="shared" si="278"/>
        <v>0.98184434676571253</v>
      </c>
      <c r="R1009">
        <f t="shared" si="268"/>
        <v>1</v>
      </c>
      <c r="AG1009" s="8">
        <f t="shared" si="271"/>
        <v>-0.4876641947340703</v>
      </c>
      <c r="AH1009" s="8">
        <f t="shared" si="272"/>
        <v>0.57530147807606613</v>
      </c>
      <c r="AI1009" s="8">
        <f t="shared" si="273"/>
        <v>0.65666722355989737</v>
      </c>
      <c r="AJ1009" s="8"/>
      <c r="AK1009" s="8"/>
      <c r="AL1009" s="8"/>
      <c r="AN1009" s="8">
        <f t="shared" si="279"/>
        <v>0.99999999999999989</v>
      </c>
      <c r="AO1009" s="8">
        <f t="shared" si="280"/>
        <v>2.2739345221189886</v>
      </c>
      <c r="AP1009" s="8">
        <f t="shared" si="281"/>
        <v>0.85440518521912923</v>
      </c>
      <c r="AQ1009" s="8"/>
      <c r="AR1009" s="8">
        <f t="shared" si="282"/>
        <v>130.2868510065158</v>
      </c>
      <c r="AS1009" s="8">
        <f t="shared" si="283"/>
        <v>41.046188892850509</v>
      </c>
    </row>
    <row r="1010" spans="1:45">
      <c r="A1010" s="19">
        <v>32.632599999999996</v>
      </c>
      <c r="B1010" s="19">
        <v>726.95648759999995</v>
      </c>
      <c r="C1010" s="19">
        <v>-361.60897920000002</v>
      </c>
      <c r="E1010" s="9">
        <f t="shared" si="269"/>
        <v>-233.04351240000005</v>
      </c>
      <c r="F1010" s="9">
        <f t="shared" si="274"/>
        <v>178.39102079999998</v>
      </c>
      <c r="I1010">
        <v>1</v>
      </c>
      <c r="J1010">
        <f t="shared" si="270"/>
        <v>0.19129364774334465</v>
      </c>
      <c r="K1010">
        <f t="shared" si="275"/>
        <v>2.4882553714768934</v>
      </c>
      <c r="O1010">
        <f t="shared" si="276"/>
        <v>-0.15097385776434291</v>
      </c>
      <c r="P1010">
        <f t="shared" si="277"/>
        <v>0.11556803415521791</v>
      </c>
      <c r="Q1010">
        <f t="shared" si="278"/>
        <v>0.98175909659816774</v>
      </c>
      <c r="R1010">
        <f t="shared" si="268"/>
        <v>1</v>
      </c>
      <c r="AG1010" s="8">
        <f t="shared" si="271"/>
        <v>-0.48730018579680567</v>
      </c>
      <c r="AH1010" s="8">
        <f t="shared" si="272"/>
        <v>0.57557913780904679</v>
      </c>
      <c r="AI1010" s="8">
        <f t="shared" si="273"/>
        <v>0.65669413355183348</v>
      </c>
      <c r="AJ1010" s="8"/>
      <c r="AK1010" s="8"/>
      <c r="AL1010" s="8"/>
      <c r="AN1010" s="8">
        <f t="shared" si="279"/>
        <v>1.0000000000000002</v>
      </c>
      <c r="AO1010" s="8">
        <f t="shared" si="280"/>
        <v>2.2733282677169542</v>
      </c>
      <c r="AP1010" s="8">
        <f t="shared" si="281"/>
        <v>0.85436950355989272</v>
      </c>
      <c r="AQ1010" s="8"/>
      <c r="AR1010" s="8">
        <f t="shared" si="282"/>
        <v>130.252115187968</v>
      </c>
      <c r="AS1010" s="8">
        <f t="shared" si="283"/>
        <v>41.048233301330782</v>
      </c>
    </row>
    <row r="1011" spans="1:45">
      <c r="A1011" s="19">
        <v>32.665966670000003</v>
      </c>
      <c r="B1011" s="19">
        <v>726.38817019999999</v>
      </c>
      <c r="C1011" s="19">
        <v>-361.61777119999999</v>
      </c>
      <c r="E1011" s="9">
        <f t="shared" si="269"/>
        <v>-233.61182980000001</v>
      </c>
      <c r="F1011" s="9">
        <f t="shared" si="274"/>
        <v>178.38222880000001</v>
      </c>
      <c r="I1011">
        <v>1</v>
      </c>
      <c r="J1011">
        <f t="shared" si="270"/>
        <v>0.1915802280543005</v>
      </c>
      <c r="K1011">
        <f t="shared" si="275"/>
        <v>2.4894543905178184</v>
      </c>
      <c r="O1011">
        <f t="shared" si="276"/>
        <v>-0.15133592710438712</v>
      </c>
      <c r="P1011">
        <f t="shared" si="277"/>
        <v>0.11555767530054645</v>
      </c>
      <c r="Q1011">
        <f t="shared" si="278"/>
        <v>0.98170456902603298</v>
      </c>
      <c r="R1011">
        <f t="shared" si="268"/>
        <v>1</v>
      </c>
      <c r="AG1011" s="8">
        <f t="shared" si="271"/>
        <v>-0.48710051727561804</v>
      </c>
      <c r="AH1011" s="8">
        <f t="shared" si="272"/>
        <v>0.57586775798464751</v>
      </c>
      <c r="AI1011" s="8">
        <f t="shared" si="273"/>
        <v>0.65658922575957712</v>
      </c>
      <c r="AJ1011" s="8"/>
      <c r="AK1011" s="8"/>
      <c r="AL1011" s="8"/>
      <c r="AN1011" s="8">
        <f t="shared" si="279"/>
        <v>1.0000000000000002</v>
      </c>
      <c r="AO1011" s="8">
        <f t="shared" si="280"/>
        <v>2.2728789710214565</v>
      </c>
      <c r="AP1011" s="8">
        <f t="shared" si="281"/>
        <v>0.8545086011702363</v>
      </c>
      <c r="AQ1011" s="8"/>
      <c r="AR1011" s="8">
        <f t="shared" si="282"/>
        <v>130.2263723835668</v>
      </c>
      <c r="AS1011" s="8">
        <f t="shared" si="283"/>
        <v>41.040263595317739</v>
      </c>
    </row>
    <row r="1012" spans="1:45">
      <c r="A1012" s="19">
        <v>32.699333330000002</v>
      </c>
      <c r="B1012" s="19">
        <v>725.60045660000003</v>
      </c>
      <c r="C1012" s="19">
        <v>-361.69854809999998</v>
      </c>
      <c r="E1012" s="9">
        <f t="shared" si="269"/>
        <v>-234.39954339999997</v>
      </c>
      <c r="F1012" s="9">
        <f t="shared" si="274"/>
        <v>178.30145190000002</v>
      </c>
      <c r="I1012">
        <v>1</v>
      </c>
      <c r="J1012">
        <f t="shared" si="270"/>
        <v>0.19195117001540191</v>
      </c>
      <c r="K1012">
        <f t="shared" si="275"/>
        <v>2.4912956153219907</v>
      </c>
      <c r="O1012">
        <f t="shared" si="276"/>
        <v>-0.15183826044048765</v>
      </c>
      <c r="P1012">
        <f t="shared" si="277"/>
        <v>0.11549929619235463</v>
      </c>
      <c r="Q1012">
        <f t="shared" si="278"/>
        <v>0.98163387026196147</v>
      </c>
      <c r="R1012">
        <f t="shared" si="268"/>
        <v>1</v>
      </c>
      <c r="AG1012" s="8">
        <f t="shared" si="271"/>
        <v>-0.4868533250734105</v>
      </c>
      <c r="AH1012" s="8">
        <f t="shared" si="272"/>
        <v>0.57627813038577214</v>
      </c>
      <c r="AI1012" s="8">
        <f t="shared" si="273"/>
        <v>0.65641248944855035</v>
      </c>
      <c r="AJ1012" s="8"/>
      <c r="AK1012" s="8"/>
      <c r="AL1012" s="8"/>
      <c r="AN1012" s="8">
        <f t="shared" si="279"/>
        <v>1</v>
      </c>
      <c r="AO1012" s="8">
        <f t="shared" si="280"/>
        <v>2.2722774970733983</v>
      </c>
      <c r="AP1012" s="8">
        <f t="shared" si="281"/>
        <v>0.8547428983861316</v>
      </c>
      <c r="AQ1012" s="8"/>
      <c r="AR1012" s="8">
        <f t="shared" si="282"/>
        <v>130.19191046485599</v>
      </c>
      <c r="AS1012" s="8">
        <f t="shared" si="283"/>
        <v>41.026839353695273</v>
      </c>
    </row>
    <row r="1013" spans="1:45">
      <c r="A1013" s="19">
        <v>32.732700000000001</v>
      </c>
      <c r="B1013" s="19">
        <v>725.090957</v>
      </c>
      <c r="C1013" s="19">
        <v>-361.65157879999998</v>
      </c>
      <c r="E1013" s="9">
        <f t="shared" si="269"/>
        <v>-234.909043</v>
      </c>
      <c r="F1013" s="9">
        <f t="shared" si="274"/>
        <v>178.34842120000002</v>
      </c>
      <c r="I1013">
        <v>1</v>
      </c>
      <c r="J1013">
        <f t="shared" si="270"/>
        <v>0.19222993513366038</v>
      </c>
      <c r="K1013">
        <f t="shared" si="275"/>
        <v>2.4922147121343436</v>
      </c>
      <c r="O1013">
        <f t="shared" si="276"/>
        <v>-0.15216229297225789</v>
      </c>
      <c r="P1013">
        <f t="shared" si="277"/>
        <v>0.11552515974352701</v>
      </c>
      <c r="Q1013">
        <f t="shared" si="278"/>
        <v>0.98158065081971602</v>
      </c>
      <c r="R1013">
        <f t="shared" si="268"/>
        <v>1</v>
      </c>
      <c r="AG1013" s="8">
        <f t="shared" si="271"/>
        <v>-0.48665052096374717</v>
      </c>
      <c r="AH1013" s="8">
        <f t="shared" si="272"/>
        <v>0.57652827148577601</v>
      </c>
      <c r="AI1013" s="8">
        <f t="shared" si="273"/>
        <v>0.65634322013968949</v>
      </c>
      <c r="AJ1013" s="8"/>
      <c r="AK1013" s="8"/>
      <c r="AL1013" s="8"/>
      <c r="AN1013" s="8">
        <f t="shared" si="279"/>
        <v>1</v>
      </c>
      <c r="AO1013" s="8">
        <f t="shared" si="280"/>
        <v>2.271858194581283</v>
      </c>
      <c r="AP1013" s="8">
        <f t="shared" si="281"/>
        <v>0.8548347148525518</v>
      </c>
      <c r="AQ1013" s="8"/>
      <c r="AR1013" s="8">
        <f t="shared" si="282"/>
        <v>130.16788620171846</v>
      </c>
      <c r="AS1013" s="8">
        <f t="shared" si="283"/>
        <v>41.021578657679591</v>
      </c>
    </row>
    <row r="1014" spans="1:45">
      <c r="A1014" s="19">
        <v>32.766066670000001</v>
      </c>
      <c r="B1014" s="19">
        <v>724.49876329999995</v>
      </c>
      <c r="C1014" s="19">
        <v>-361.63395200000002</v>
      </c>
      <c r="E1014" s="9">
        <f t="shared" si="269"/>
        <v>-235.50123670000005</v>
      </c>
      <c r="F1014" s="9">
        <f t="shared" si="274"/>
        <v>178.36604799999998</v>
      </c>
      <c r="I1014">
        <v>1</v>
      </c>
      <c r="J1014">
        <f t="shared" si="270"/>
        <v>0.19253978073131114</v>
      </c>
      <c r="K1014">
        <f t="shared" si="275"/>
        <v>2.4933793277385843</v>
      </c>
      <c r="O1014">
        <f t="shared" si="276"/>
        <v>-0.15253917299675299</v>
      </c>
      <c r="P1014">
        <f t="shared" si="277"/>
        <v>0.11553149288671713</v>
      </c>
      <c r="Q1014">
        <f t="shared" si="278"/>
        <v>0.98152140824988277</v>
      </c>
      <c r="R1014">
        <f t="shared" si="268"/>
        <v>1</v>
      </c>
      <c r="AG1014" s="8">
        <f t="shared" si="271"/>
        <v>-0.48643072678151184</v>
      </c>
      <c r="AH1014" s="8">
        <f t="shared" si="272"/>
        <v>0.57682456655343806</v>
      </c>
      <c r="AI1014" s="8">
        <f t="shared" si="273"/>
        <v>0.65624581329197706</v>
      </c>
      <c r="AJ1014" s="8"/>
      <c r="AK1014" s="8"/>
      <c r="AL1014" s="8"/>
      <c r="AN1014" s="8">
        <f t="shared" si="279"/>
        <v>1</v>
      </c>
      <c r="AO1014" s="8">
        <f t="shared" si="280"/>
        <v>2.2713823111701559</v>
      </c>
      <c r="AP1014" s="8">
        <f t="shared" si="281"/>
        <v>0.85496381521974207</v>
      </c>
      <c r="AQ1014" s="8"/>
      <c r="AR1014" s="8">
        <f t="shared" si="282"/>
        <v>130.1406200907206</v>
      </c>
      <c r="AS1014" s="8">
        <f t="shared" si="283"/>
        <v>41.014181751506001</v>
      </c>
    </row>
    <row r="1015" spans="1:45">
      <c r="A1015" s="19">
        <v>32.799433329999999</v>
      </c>
      <c r="B1015" s="19">
        <v>723.70199409999998</v>
      </c>
      <c r="C1015" s="19">
        <v>-361.53929799999997</v>
      </c>
      <c r="E1015" s="9">
        <f t="shared" si="269"/>
        <v>-236.29800590000002</v>
      </c>
      <c r="F1015" s="9">
        <f t="shared" si="274"/>
        <v>178.46070200000003</v>
      </c>
      <c r="I1015">
        <v>1</v>
      </c>
      <c r="J1015">
        <f t="shared" si="270"/>
        <v>0.19298446105834294</v>
      </c>
      <c r="K1015">
        <f t="shared" si="275"/>
        <v>2.4947490766474303</v>
      </c>
      <c r="O1015">
        <f t="shared" si="276"/>
        <v>-0.15304555721805407</v>
      </c>
      <c r="P1015">
        <f t="shared" si="277"/>
        <v>0.11558547637796682</v>
      </c>
      <c r="Q1015">
        <f t="shared" si="278"/>
        <v>0.98143622057996915</v>
      </c>
      <c r="R1015">
        <f t="shared" si="268"/>
        <v>1</v>
      </c>
      <c r="AG1015" s="8">
        <f t="shared" si="271"/>
        <v>-0.4861042841160117</v>
      </c>
      <c r="AH1015" s="8">
        <f t="shared" si="272"/>
        <v>0.57721217868573771</v>
      </c>
      <c r="AI1015" s="8">
        <f t="shared" si="273"/>
        <v>0.65614687817661976</v>
      </c>
      <c r="AJ1015" s="8"/>
      <c r="AK1015" s="8"/>
      <c r="AL1015" s="8"/>
      <c r="AN1015" s="8">
        <f t="shared" si="279"/>
        <v>1</v>
      </c>
      <c r="AO1015" s="8">
        <f t="shared" si="280"/>
        <v>2.2707204874515292</v>
      </c>
      <c r="AP1015" s="8">
        <f t="shared" si="281"/>
        <v>0.85509492627420991</v>
      </c>
      <c r="AQ1015" s="8"/>
      <c r="AR1015" s="8">
        <f t="shared" si="282"/>
        <v>130.10270038486163</v>
      </c>
      <c r="AS1015" s="8">
        <f t="shared" si="283"/>
        <v>41.006669641437483</v>
      </c>
    </row>
    <row r="1016" spans="1:45">
      <c r="A1016" s="19">
        <v>32.832799999999999</v>
      </c>
      <c r="B1016" s="19">
        <v>723.19099730000005</v>
      </c>
      <c r="C1016" s="19">
        <v>-361.30366029999999</v>
      </c>
      <c r="E1016" s="9">
        <f t="shared" si="269"/>
        <v>-236.80900269999995</v>
      </c>
      <c r="F1016" s="9">
        <f t="shared" si="274"/>
        <v>178.69633970000001</v>
      </c>
      <c r="I1016">
        <v>1</v>
      </c>
      <c r="J1016">
        <f t="shared" si="270"/>
        <v>0.19333742315316754</v>
      </c>
      <c r="K1016">
        <f t="shared" si="275"/>
        <v>2.4951533228491645</v>
      </c>
      <c r="O1016">
        <f t="shared" si="276"/>
        <v>-0.15336877609440366</v>
      </c>
      <c r="P1016">
        <f t="shared" si="277"/>
        <v>0.11573225088515107</v>
      </c>
      <c r="Q1016">
        <f t="shared" si="278"/>
        <v>0.98136846526896371</v>
      </c>
      <c r="R1016">
        <f t="shared" si="268"/>
        <v>1</v>
      </c>
      <c r="AG1016" s="8">
        <f t="shared" si="271"/>
        <v>-0.48581931944405909</v>
      </c>
      <c r="AH1016" s="8">
        <f t="shared" si="272"/>
        <v>0.57743386102566807</v>
      </c>
      <c r="AI1016" s="8">
        <f t="shared" si="273"/>
        <v>0.65616287992837652</v>
      </c>
      <c r="AJ1016" s="8"/>
      <c r="AK1016" s="8"/>
      <c r="AL1016" s="8"/>
      <c r="AN1016" s="8">
        <f t="shared" si="279"/>
        <v>1.0000000000000004</v>
      </c>
      <c r="AO1016" s="8">
        <f t="shared" si="280"/>
        <v>2.2702424109327519</v>
      </c>
      <c r="AP1016" s="8">
        <f t="shared" si="281"/>
        <v>0.85507372140386195</v>
      </c>
      <c r="AQ1016" s="8"/>
      <c r="AR1016" s="8">
        <f t="shared" si="282"/>
        <v>130.07530861805139</v>
      </c>
      <c r="AS1016" s="8">
        <f t="shared" si="283"/>
        <v>41.007884591013543</v>
      </c>
    </row>
    <row r="1017" spans="1:45">
      <c r="A1017" s="19">
        <v>32.866166669999998</v>
      </c>
      <c r="B1017" s="19">
        <v>722.59400270000003</v>
      </c>
      <c r="C1017" s="19">
        <v>-361.33267869999997</v>
      </c>
      <c r="E1017" s="9">
        <f t="shared" si="269"/>
        <v>-237.40599729999997</v>
      </c>
      <c r="F1017" s="9">
        <f t="shared" si="274"/>
        <v>178.66732130000003</v>
      </c>
      <c r="I1017">
        <v>1</v>
      </c>
      <c r="J1017">
        <f t="shared" si="270"/>
        <v>0.19363225541110124</v>
      </c>
      <c r="K1017">
        <f t="shared" si="275"/>
        <v>2.496441539241395</v>
      </c>
      <c r="O1017">
        <f t="shared" si="276"/>
        <v>-0.15374891480510344</v>
      </c>
      <c r="P1017">
        <f t="shared" si="277"/>
        <v>0.115708562856132</v>
      </c>
      <c r="Q1017">
        <f t="shared" si="278"/>
        <v>0.98131177496146538</v>
      </c>
      <c r="R1017">
        <f t="shared" si="268"/>
        <v>1</v>
      </c>
      <c r="AG1017" s="8">
        <f t="shared" si="271"/>
        <v>-0.48561780446351166</v>
      </c>
      <c r="AH1017" s="8">
        <f t="shared" si="272"/>
        <v>0.57773936102296197</v>
      </c>
      <c r="AI1017" s="8">
        <f t="shared" si="273"/>
        <v>0.65604312260156972</v>
      </c>
      <c r="AJ1017" s="8"/>
      <c r="AK1017" s="8"/>
      <c r="AL1017" s="8"/>
      <c r="AN1017" s="8">
        <f t="shared" si="279"/>
        <v>1</v>
      </c>
      <c r="AO1017" s="8">
        <f t="shared" si="280"/>
        <v>2.2697775014080319</v>
      </c>
      <c r="AP1017" s="8">
        <f t="shared" si="281"/>
        <v>0.8552324094561754</v>
      </c>
      <c r="AQ1017" s="8"/>
      <c r="AR1017" s="8">
        <f t="shared" si="282"/>
        <v>130.04867126442949</v>
      </c>
      <c r="AS1017" s="8">
        <f t="shared" si="283"/>
        <v>40.998792435356833</v>
      </c>
    </row>
    <row r="1018" spans="1:45">
      <c r="A1018" s="19">
        <v>32.899533329999997</v>
      </c>
      <c r="B1018" s="19">
        <v>722.15200189999996</v>
      </c>
      <c r="C1018" s="19">
        <v>-361.1461248</v>
      </c>
      <c r="E1018" s="9">
        <f t="shared" si="269"/>
        <v>-237.84799810000004</v>
      </c>
      <c r="F1018" s="9">
        <f t="shared" si="274"/>
        <v>178.8538752</v>
      </c>
      <c r="I1018">
        <v>1</v>
      </c>
      <c r="J1018">
        <f t="shared" si="270"/>
        <v>0.19393094453157658</v>
      </c>
      <c r="K1018">
        <f t="shared" si="275"/>
        <v>2.4968337733912316</v>
      </c>
      <c r="O1018">
        <f t="shared" si="276"/>
        <v>-0.15402854530117677</v>
      </c>
      <c r="P1018">
        <f t="shared" si="277"/>
        <v>0.11582440230147231</v>
      </c>
      <c r="Q1018">
        <f t="shared" si="278"/>
        <v>0.98125425607429084</v>
      </c>
      <c r="R1018">
        <f t="shared" si="268"/>
        <v>1</v>
      </c>
      <c r="AG1018" s="8">
        <f t="shared" si="271"/>
        <v>-0.48537872165078816</v>
      </c>
      <c r="AH1018" s="8">
        <f t="shared" si="272"/>
        <v>0.57793359168203962</v>
      </c>
      <c r="AI1018" s="8">
        <f t="shared" si="273"/>
        <v>0.65604897696295827</v>
      </c>
      <c r="AJ1018" s="8"/>
      <c r="AK1018" s="8"/>
      <c r="AL1018" s="8"/>
      <c r="AN1018" s="8">
        <f t="shared" si="279"/>
        <v>1</v>
      </c>
      <c r="AO1018" s="8">
        <f t="shared" si="280"/>
        <v>2.2693694115854481</v>
      </c>
      <c r="AP1018" s="8">
        <f t="shared" si="281"/>
        <v>0.85522465246723001</v>
      </c>
      <c r="AQ1018" s="8"/>
      <c r="AR1018" s="8">
        <f t="shared" si="282"/>
        <v>130.0252894399332</v>
      </c>
      <c r="AS1018" s="8">
        <f t="shared" si="283"/>
        <v>40.999236878085135</v>
      </c>
    </row>
    <row r="1019" spans="1:45">
      <c r="A1019" s="19">
        <v>32.932899999999997</v>
      </c>
      <c r="B1019" s="19">
        <v>721.51453700000002</v>
      </c>
      <c r="C1019" s="19">
        <v>-361.20781140000003</v>
      </c>
      <c r="E1019" s="9">
        <f t="shared" si="269"/>
        <v>-238.48546299999998</v>
      </c>
      <c r="F1019" s="9">
        <f t="shared" si="274"/>
        <v>178.79218859999997</v>
      </c>
      <c r="I1019">
        <v>1</v>
      </c>
      <c r="J1019">
        <f t="shared" si="270"/>
        <v>0.19423433048530842</v>
      </c>
      <c r="K1019">
        <f t="shared" si="275"/>
        <v>2.4982845469046442</v>
      </c>
      <c r="O1019">
        <f t="shared" si="276"/>
        <v>-0.15443460449812965</v>
      </c>
      <c r="P1019">
        <f t="shared" si="277"/>
        <v>0.11577938791932157</v>
      </c>
      <c r="Q1019">
        <f t="shared" si="278"/>
        <v>0.98119574309438051</v>
      </c>
      <c r="R1019">
        <f t="shared" si="268"/>
        <v>1</v>
      </c>
      <c r="AG1019" s="8">
        <f t="shared" si="271"/>
        <v>-0.48517671336718549</v>
      </c>
      <c r="AH1019" s="8">
        <f t="shared" si="272"/>
        <v>0.57826429280285629</v>
      </c>
      <c r="AI1019" s="8">
        <f t="shared" si="273"/>
        <v>0.65590697852319602</v>
      </c>
      <c r="AJ1019" s="8"/>
      <c r="AK1019" s="8"/>
      <c r="AL1019" s="8"/>
      <c r="AN1019" s="8">
        <f t="shared" si="279"/>
        <v>1</v>
      </c>
      <c r="AO1019" s="8">
        <f t="shared" si="280"/>
        <v>2.2688827236158202</v>
      </c>
      <c r="AP1019" s="8">
        <f t="shared" si="281"/>
        <v>0.85541278468446313</v>
      </c>
      <c r="AQ1019" s="8"/>
      <c r="AR1019" s="8">
        <f t="shared" si="282"/>
        <v>129.99740427333373</v>
      </c>
      <c r="AS1019" s="8">
        <f t="shared" si="283"/>
        <v>40.988457696047234</v>
      </c>
    </row>
    <row r="1020" spans="1:45">
      <c r="A1020" s="19">
        <v>32.966266670000003</v>
      </c>
      <c r="B1020" s="19">
        <v>720.80117810000002</v>
      </c>
      <c r="C1020" s="19">
        <v>-361.2452586</v>
      </c>
      <c r="E1020" s="9">
        <f t="shared" si="269"/>
        <v>-239.19882189999998</v>
      </c>
      <c r="F1020" s="9">
        <f t="shared" si="274"/>
        <v>178.7547414</v>
      </c>
      <c r="I1020">
        <v>1</v>
      </c>
      <c r="J1020">
        <f t="shared" si="270"/>
        <v>0.1945864057507036</v>
      </c>
      <c r="K1020">
        <f t="shared" si="275"/>
        <v>2.4998178641556223</v>
      </c>
      <c r="O1020">
        <f t="shared" si="276"/>
        <v>-0.15488866103889962</v>
      </c>
      <c r="P1020">
        <f t="shared" si="277"/>
        <v>0.11574924295143769</v>
      </c>
      <c r="Q1020">
        <f t="shared" si="278"/>
        <v>0.98112772636275336</v>
      </c>
      <c r="R1020">
        <f t="shared" si="268"/>
        <v>1</v>
      </c>
      <c r="AG1020" s="8">
        <f t="shared" si="271"/>
        <v>-0.48493694091942319</v>
      </c>
      <c r="AH1020" s="8">
        <f t="shared" si="272"/>
        <v>0.57862937304166284</v>
      </c>
      <c r="AI1020" s="8">
        <f t="shared" si="273"/>
        <v>0.65576231363591186</v>
      </c>
      <c r="AJ1020" s="8"/>
      <c r="AK1020" s="8"/>
      <c r="AL1020" s="8"/>
      <c r="AN1020" s="8">
        <f t="shared" si="279"/>
        <v>1</v>
      </c>
      <c r="AO1020" s="8">
        <f t="shared" si="280"/>
        <v>2.2683286073270787</v>
      </c>
      <c r="AP1020" s="8">
        <f t="shared" si="281"/>
        <v>0.85560441802838827</v>
      </c>
      <c r="AQ1020" s="8"/>
      <c r="AR1020" s="8">
        <f t="shared" si="282"/>
        <v>129.96565574862939</v>
      </c>
      <c r="AS1020" s="8">
        <f t="shared" si="283"/>
        <v>40.977477914226348</v>
      </c>
    </row>
    <row r="1021" spans="1:45">
      <c r="A1021" s="19">
        <v>32.999633330000002</v>
      </c>
      <c r="B1021" s="19">
        <v>720.1151519</v>
      </c>
      <c r="C1021" s="19">
        <v>-361.17861649999998</v>
      </c>
      <c r="E1021" s="9">
        <f t="shared" si="269"/>
        <v>-239.8848481</v>
      </c>
      <c r="F1021" s="9">
        <f t="shared" si="274"/>
        <v>178.82138350000002</v>
      </c>
      <c r="I1021">
        <v>1</v>
      </c>
      <c r="J1021">
        <f t="shared" si="270"/>
        <v>0.19496473008345688</v>
      </c>
      <c r="K1021">
        <f t="shared" si="275"/>
        <v>2.5010119910077648</v>
      </c>
      <c r="O1021">
        <f t="shared" si="276"/>
        <v>-0.15532435549405213</v>
      </c>
      <c r="P1021">
        <f t="shared" si="277"/>
        <v>0.11578603801234509</v>
      </c>
      <c r="Q1021">
        <f t="shared" si="278"/>
        <v>0.9810545030688973</v>
      </c>
      <c r="R1021">
        <f t="shared" si="268"/>
        <v>1</v>
      </c>
      <c r="AG1021" s="8">
        <f t="shared" si="271"/>
        <v>-0.48466196173935616</v>
      </c>
      <c r="AH1021" s="8">
        <f t="shared" si="272"/>
        <v>0.57896457597155682</v>
      </c>
      <c r="AI1021" s="8">
        <f t="shared" si="273"/>
        <v>0.65566973592887012</v>
      </c>
      <c r="AJ1021" s="8"/>
      <c r="AK1021" s="8"/>
      <c r="AL1021" s="8"/>
      <c r="AN1021" s="8">
        <f t="shared" si="279"/>
        <v>1</v>
      </c>
      <c r="AO1021" s="8">
        <f t="shared" si="280"/>
        <v>2.2677643218173174</v>
      </c>
      <c r="AP1021" s="8">
        <f t="shared" si="281"/>
        <v>0.8557270362718411</v>
      </c>
      <c r="AQ1021" s="8"/>
      <c r="AR1021" s="8">
        <f t="shared" si="282"/>
        <v>129.93332457047967</v>
      </c>
      <c r="AS1021" s="8">
        <f t="shared" si="283"/>
        <v>40.970452406385192</v>
      </c>
    </row>
    <row r="1022" spans="1:45">
      <c r="A1022" s="19">
        <v>33.033000000000001</v>
      </c>
      <c r="B1022" s="19">
        <v>719.48019969999996</v>
      </c>
      <c r="C1022" s="19">
        <v>-361.4331517</v>
      </c>
      <c r="E1022" s="9">
        <f t="shared" si="269"/>
        <v>-240.51980030000004</v>
      </c>
      <c r="F1022" s="9">
        <f t="shared" si="274"/>
        <v>178.5668483</v>
      </c>
      <c r="I1022">
        <v>1</v>
      </c>
      <c r="J1022">
        <f t="shared" si="270"/>
        <v>0.19519409564711365</v>
      </c>
      <c r="K1022">
        <f t="shared" si="275"/>
        <v>2.5029600510680852</v>
      </c>
      <c r="O1022">
        <f t="shared" si="276"/>
        <v>-0.15573028595770352</v>
      </c>
      <c r="P1022">
        <f t="shared" si="277"/>
        <v>0.11561736835653307</v>
      </c>
      <c r="Q1022">
        <f t="shared" si="278"/>
        <v>0.98101004182925755</v>
      </c>
      <c r="R1022">
        <f t="shared" si="268"/>
        <v>1</v>
      </c>
      <c r="AG1022" s="8">
        <f t="shared" si="271"/>
        <v>-0.48454391146077114</v>
      </c>
      <c r="AH1022" s="8">
        <f t="shared" si="272"/>
        <v>0.57932316633648506</v>
      </c>
      <c r="AI1022" s="8">
        <f t="shared" si="273"/>
        <v>0.65544020841886541</v>
      </c>
      <c r="AJ1022" s="8"/>
      <c r="AK1022" s="8"/>
      <c r="AL1022" s="8"/>
      <c r="AN1022" s="8">
        <f t="shared" si="279"/>
        <v>1</v>
      </c>
      <c r="AO1022" s="8">
        <f t="shared" si="280"/>
        <v>2.2673396956949197</v>
      </c>
      <c r="AP1022" s="8">
        <f t="shared" si="281"/>
        <v>0.8560309868598136</v>
      </c>
      <c r="AQ1022" s="8"/>
      <c r="AR1022" s="8">
        <f t="shared" si="282"/>
        <v>129.9089952857953</v>
      </c>
      <c r="AS1022" s="8">
        <f t="shared" si="283"/>
        <v>40.95303732051385</v>
      </c>
    </row>
    <row r="1023" spans="1:45">
      <c r="A1023" s="19">
        <v>33.066366670000001</v>
      </c>
      <c r="B1023" s="19">
        <v>718.7790913</v>
      </c>
      <c r="C1023" s="19">
        <v>-361.3815396</v>
      </c>
      <c r="E1023" s="9">
        <f t="shared" si="269"/>
        <v>-241.2209087</v>
      </c>
      <c r="F1023" s="9">
        <f t="shared" si="274"/>
        <v>178.6184604</v>
      </c>
      <c r="I1023">
        <v>1</v>
      </c>
      <c r="J1023">
        <f t="shared" si="270"/>
        <v>0.19557509474940662</v>
      </c>
      <c r="K1023">
        <f t="shared" si="275"/>
        <v>2.5042143746651564</v>
      </c>
      <c r="O1023">
        <f t="shared" si="276"/>
        <v>-0.15617555232362229</v>
      </c>
      <c r="P1023">
        <f t="shared" si="277"/>
        <v>0.11564435628114796</v>
      </c>
      <c r="Q1023">
        <f t="shared" si="278"/>
        <v>0.98093607320596099</v>
      </c>
      <c r="R1023">
        <f t="shared" si="268"/>
        <v>1</v>
      </c>
      <c r="AG1023" s="8">
        <f t="shared" si="271"/>
        <v>-0.48426987393880744</v>
      </c>
      <c r="AH1023" s="8">
        <f t="shared" si="272"/>
        <v>0.57966797471526821</v>
      </c>
      <c r="AI1023" s="8">
        <f t="shared" si="273"/>
        <v>0.65533787337890892</v>
      </c>
      <c r="AJ1023" s="8"/>
      <c r="AK1023" s="8"/>
      <c r="AL1023" s="8"/>
      <c r="AN1023" s="8">
        <f t="shared" si="279"/>
        <v>1</v>
      </c>
      <c r="AO1023" s="8">
        <f t="shared" si="280"/>
        <v>2.26676852833178</v>
      </c>
      <c r="AP1023" s="8">
        <f t="shared" si="281"/>
        <v>0.856166477652758</v>
      </c>
      <c r="AQ1023" s="8"/>
      <c r="AR1023" s="8">
        <f t="shared" si="282"/>
        <v>129.87626980649176</v>
      </c>
      <c r="AS1023" s="8">
        <f t="shared" si="283"/>
        <v>40.945274269915252</v>
      </c>
    </row>
    <row r="1024" spans="1:45">
      <c r="A1024" s="19">
        <v>33.099733329999999</v>
      </c>
      <c r="B1024" s="19">
        <v>718.44447960000002</v>
      </c>
      <c r="C1024" s="19">
        <v>-361.01273320000001</v>
      </c>
      <c r="E1024" s="9">
        <f t="shared" si="269"/>
        <v>-241.55552039999998</v>
      </c>
      <c r="F1024" s="9">
        <f t="shared" si="274"/>
        <v>178.98726679999999</v>
      </c>
      <c r="I1024">
        <v>1</v>
      </c>
      <c r="J1024">
        <f t="shared" si="270"/>
        <v>0.19588836174724356</v>
      </c>
      <c r="K1024">
        <f t="shared" si="275"/>
        <v>2.5038908328117673</v>
      </c>
      <c r="O1024">
        <f t="shared" si="276"/>
        <v>-0.1563850217293189</v>
      </c>
      <c r="P1024">
        <f t="shared" si="277"/>
        <v>0.11587782204868796</v>
      </c>
      <c r="Q1024">
        <f t="shared" si="278"/>
        <v>0.98087514767985284</v>
      </c>
      <c r="R1024">
        <f t="shared" si="268"/>
        <v>1</v>
      </c>
      <c r="AG1024" s="8">
        <f t="shared" si="271"/>
        <v>-0.48399050349099748</v>
      </c>
      <c r="AH1024" s="8">
        <f t="shared" si="272"/>
        <v>0.57977970112061916</v>
      </c>
      <c r="AI1024" s="8">
        <f t="shared" si="273"/>
        <v>0.65544541397359413</v>
      </c>
      <c r="AJ1024" s="8"/>
      <c r="AK1024" s="8"/>
      <c r="AL1024" s="8"/>
      <c r="AN1024" s="8">
        <f t="shared" si="279"/>
        <v>1</v>
      </c>
      <c r="AO1024" s="8">
        <f t="shared" si="280"/>
        <v>2.2663898038592198</v>
      </c>
      <c r="AP1024" s="8">
        <f t="shared" si="281"/>
        <v>0.85602409432024507</v>
      </c>
      <c r="AQ1024" s="8"/>
      <c r="AR1024" s="8">
        <f t="shared" si="282"/>
        <v>129.85457049261575</v>
      </c>
      <c r="AS1024" s="8">
        <f t="shared" si="283"/>
        <v>40.95343223394125</v>
      </c>
    </row>
    <row r="1025" spans="1:45">
      <c r="A1025" s="19">
        <v>33.133099999999999</v>
      </c>
      <c r="B1025" s="19">
        <v>717.6968521</v>
      </c>
      <c r="C1025" s="19">
        <v>-360.66874790000003</v>
      </c>
      <c r="E1025" s="9">
        <f t="shared" si="269"/>
        <v>-242.3031479</v>
      </c>
      <c r="F1025" s="9">
        <f t="shared" si="274"/>
        <v>179.33125209999997</v>
      </c>
      <c r="I1025">
        <v>1</v>
      </c>
      <c r="J1025">
        <f t="shared" si="270"/>
        <v>0.19640496549535361</v>
      </c>
      <c r="K1025">
        <f t="shared" si="275"/>
        <v>2.5044505321543422</v>
      </c>
      <c r="O1025">
        <f t="shared" si="276"/>
        <v>-0.15685713724029651</v>
      </c>
      <c r="P1025">
        <f t="shared" si="277"/>
        <v>0.11609171018171452</v>
      </c>
      <c r="Q1025">
        <f t="shared" si="278"/>
        <v>0.98077446608476893</v>
      </c>
      <c r="R1025">
        <f t="shared" si="268"/>
        <v>1</v>
      </c>
      <c r="AG1025" s="8">
        <f t="shared" si="271"/>
        <v>-0.48357347077268642</v>
      </c>
      <c r="AH1025" s="8">
        <f t="shared" si="272"/>
        <v>0.58010277999108684</v>
      </c>
      <c r="AI1025" s="8">
        <f t="shared" si="273"/>
        <v>0.65546736227784108</v>
      </c>
      <c r="AJ1025" s="8"/>
      <c r="AK1025" s="8"/>
      <c r="AL1025" s="8"/>
      <c r="AN1025" s="8">
        <f t="shared" si="279"/>
        <v>1</v>
      </c>
      <c r="AO1025" s="8">
        <f t="shared" si="280"/>
        <v>2.2656917492460851</v>
      </c>
      <c r="AP1025" s="8">
        <f t="shared" si="281"/>
        <v>0.85599503268827248</v>
      </c>
      <c r="AQ1025" s="8"/>
      <c r="AR1025" s="8">
        <f t="shared" si="282"/>
        <v>129.81457490941349</v>
      </c>
      <c r="AS1025" s="8">
        <f t="shared" si="283"/>
        <v>40.955097342799043</v>
      </c>
    </row>
    <row r="1026" spans="1:45">
      <c r="A1026" s="19">
        <v>33.166466669999998</v>
      </c>
      <c r="B1026" s="19">
        <v>717.23985860000005</v>
      </c>
      <c r="C1026" s="19">
        <v>-360.38936819999998</v>
      </c>
      <c r="E1026" s="9">
        <f t="shared" si="269"/>
        <v>-242.76014139999995</v>
      </c>
      <c r="F1026" s="9">
        <f t="shared" si="274"/>
        <v>179.61063180000002</v>
      </c>
      <c r="I1026">
        <v>1</v>
      </c>
      <c r="J1026">
        <f t="shared" si="270"/>
        <v>0.19674708298967988</v>
      </c>
      <c r="K1026">
        <f t="shared" si="275"/>
        <v>2.5046071665040137</v>
      </c>
      <c r="O1026">
        <f t="shared" si="276"/>
        <v>-0.15714504820612513</v>
      </c>
      <c r="P1026">
        <f t="shared" si="277"/>
        <v>0.11626670354437191</v>
      </c>
      <c r="Q1026">
        <f t="shared" si="278"/>
        <v>0.98070764627957285</v>
      </c>
      <c r="R1026">
        <f t="shared" si="268"/>
        <v>1</v>
      </c>
      <c r="AG1026" s="8">
        <f t="shared" si="271"/>
        <v>-0.48328869075889036</v>
      </c>
      <c r="AH1026" s="8">
        <f t="shared" si="272"/>
        <v>0.58028954466892113</v>
      </c>
      <c r="AI1026" s="8">
        <f t="shared" si="273"/>
        <v>0.65551207901341835</v>
      </c>
      <c r="AJ1026" s="8"/>
      <c r="AK1026" s="8"/>
      <c r="AL1026" s="8"/>
      <c r="AN1026" s="8">
        <f t="shared" si="279"/>
        <v>1.0000000000000002</v>
      </c>
      <c r="AO1026" s="8">
        <f t="shared" si="280"/>
        <v>2.2652437372443806</v>
      </c>
      <c r="AP1026" s="8">
        <f t="shared" si="281"/>
        <v>0.85593582123026479</v>
      </c>
      <c r="AQ1026" s="8"/>
      <c r="AR1026" s="8">
        <f t="shared" si="282"/>
        <v>129.78890571254462</v>
      </c>
      <c r="AS1026" s="8">
        <f t="shared" si="283"/>
        <v>40.958489909441703</v>
      </c>
    </row>
    <row r="1027" spans="1:45">
      <c r="A1027" s="19">
        <v>33.199833329999997</v>
      </c>
      <c r="B1027" s="19">
        <v>716.48841689999995</v>
      </c>
      <c r="C1027" s="19">
        <v>-360.50659810000002</v>
      </c>
      <c r="E1027" s="9">
        <f t="shared" si="269"/>
        <v>-243.51158310000005</v>
      </c>
      <c r="F1027" s="9">
        <f t="shared" si="274"/>
        <v>179.49340189999998</v>
      </c>
      <c r="I1027">
        <v>1</v>
      </c>
      <c r="J1027">
        <f t="shared" si="270"/>
        <v>0.19708999269232919</v>
      </c>
      <c r="K1027">
        <f t="shared" si="275"/>
        <v>2.5063960952425473</v>
      </c>
      <c r="O1027">
        <f t="shared" si="276"/>
        <v>-0.15762348193367809</v>
      </c>
      <c r="P1027">
        <f t="shared" si="277"/>
        <v>0.1161849248870456</v>
      </c>
      <c r="Q1027">
        <f t="shared" si="278"/>
        <v>0.98064055656091187</v>
      </c>
      <c r="R1027">
        <f t="shared" si="268"/>
        <v>1</v>
      </c>
      <c r="AG1027" s="8">
        <f t="shared" si="271"/>
        <v>-0.48306927224784701</v>
      </c>
      <c r="AH1027" s="8">
        <f t="shared" si="272"/>
        <v>0.58068502710765479</v>
      </c>
      <c r="AI1027" s="8">
        <f t="shared" si="273"/>
        <v>0.65532356702847006</v>
      </c>
      <c r="AJ1027" s="8"/>
      <c r="AK1027" s="8"/>
      <c r="AL1027" s="8"/>
      <c r="AN1027" s="8">
        <f t="shared" si="279"/>
        <v>1</v>
      </c>
      <c r="AO1027" s="8">
        <f t="shared" si="280"/>
        <v>2.2646854568326482</v>
      </c>
      <c r="AP1027" s="8">
        <f t="shared" si="281"/>
        <v>0.85618541787991065</v>
      </c>
      <c r="AQ1027" s="8"/>
      <c r="AR1027" s="8">
        <f t="shared" si="282"/>
        <v>129.75691860116751</v>
      </c>
      <c r="AS1027" s="8">
        <f t="shared" si="283"/>
        <v>40.944189074836387</v>
      </c>
    </row>
    <row r="1028" spans="1:45">
      <c r="A1028" s="19">
        <v>33.233199999999997</v>
      </c>
      <c r="B1028" s="19">
        <v>715.61220739999999</v>
      </c>
      <c r="C1028" s="19">
        <v>-360.56194599999998</v>
      </c>
      <c r="E1028" s="9">
        <f t="shared" si="269"/>
        <v>-244.38779260000001</v>
      </c>
      <c r="F1028" s="9">
        <f t="shared" si="274"/>
        <v>179.43805400000002</v>
      </c>
      <c r="I1028">
        <v>1</v>
      </c>
      <c r="J1028">
        <f t="shared" si="270"/>
        <v>0.19752142395847166</v>
      </c>
      <c r="K1028">
        <f t="shared" si="275"/>
        <v>2.5082577716646157</v>
      </c>
      <c r="O1028">
        <f t="shared" si="276"/>
        <v>-0.15818051902816108</v>
      </c>
      <c r="P1028">
        <f t="shared" si="277"/>
        <v>0.11614166245030033</v>
      </c>
      <c r="Q1028">
        <f t="shared" si="278"/>
        <v>0.98055598394138721</v>
      </c>
      <c r="R1028">
        <f t="shared" si="268"/>
        <v>1</v>
      </c>
      <c r="AG1028" s="8">
        <f t="shared" si="271"/>
        <v>-0.48277820007150996</v>
      </c>
      <c r="AH1028" s="8">
        <f t="shared" si="272"/>
        <v>0.58113345678429362</v>
      </c>
      <c r="AI1028" s="8">
        <f t="shared" si="273"/>
        <v>0.65514053068151001</v>
      </c>
      <c r="AJ1028" s="8"/>
      <c r="AK1028" s="8"/>
      <c r="AL1028" s="8"/>
      <c r="AN1028" s="8">
        <f t="shared" si="279"/>
        <v>1</v>
      </c>
      <c r="AO1028" s="8">
        <f t="shared" si="280"/>
        <v>2.2640096840646979</v>
      </c>
      <c r="AP1028" s="8">
        <f t="shared" si="281"/>
        <v>0.85642771288190733</v>
      </c>
      <c r="AQ1028" s="8"/>
      <c r="AR1028" s="8">
        <f t="shared" si="282"/>
        <v>129.71819967365411</v>
      </c>
      <c r="AS1028" s="8">
        <f t="shared" si="283"/>
        <v>40.930306593824866</v>
      </c>
    </row>
    <row r="1029" spans="1:45">
      <c r="A1029" s="19">
        <v>33.266566670000003</v>
      </c>
      <c r="B1029" s="19">
        <v>715.08348690000003</v>
      </c>
      <c r="C1029" s="19">
        <v>-360.50219199999998</v>
      </c>
      <c r="E1029" s="9">
        <f t="shared" si="269"/>
        <v>-244.91651309999997</v>
      </c>
      <c r="F1029" s="9">
        <f t="shared" si="274"/>
        <v>179.49780800000002</v>
      </c>
      <c r="I1029">
        <v>1</v>
      </c>
      <c r="J1029">
        <f t="shared" si="270"/>
        <v>0.19781733872607221</v>
      </c>
      <c r="K1029">
        <f t="shared" si="275"/>
        <v>2.509129664930601</v>
      </c>
      <c r="O1029">
        <f t="shared" si="276"/>
        <v>-0.15851575140691937</v>
      </c>
      <c r="P1029">
        <f t="shared" si="277"/>
        <v>0.11617522048992036</v>
      </c>
      <c r="Q1029">
        <f t="shared" si="278"/>
        <v>0.98049787082890605</v>
      </c>
      <c r="R1029">
        <f t="shared" si="268"/>
        <v>1</v>
      </c>
      <c r="AG1029" s="8">
        <f t="shared" si="271"/>
        <v>-0.48256231146575823</v>
      </c>
      <c r="AH1029" s="8">
        <f t="shared" si="272"/>
        <v>0.58138962292398444</v>
      </c>
      <c r="AI1029" s="8">
        <f t="shared" si="273"/>
        <v>0.65507230281025608</v>
      </c>
      <c r="AJ1029" s="8"/>
      <c r="AK1029" s="8"/>
      <c r="AL1029" s="8"/>
      <c r="AN1029" s="8">
        <f t="shared" si="279"/>
        <v>1</v>
      </c>
      <c r="AO1029" s="8">
        <f t="shared" si="280"/>
        <v>2.2635732509895816</v>
      </c>
      <c r="AP1029" s="8">
        <f t="shared" si="281"/>
        <v>0.85651801673960037</v>
      </c>
      <c r="AQ1029" s="8"/>
      <c r="AR1029" s="8">
        <f t="shared" si="282"/>
        <v>129.69319390041002</v>
      </c>
      <c r="AS1029" s="8">
        <f t="shared" si="283"/>
        <v>40.925132563905301</v>
      </c>
    </row>
    <row r="1030" spans="1:45">
      <c r="A1030" s="19">
        <v>33.299933330000002</v>
      </c>
      <c r="B1030" s="19">
        <v>714.49800470000002</v>
      </c>
      <c r="C1030" s="19">
        <v>-360.57059880000003</v>
      </c>
      <c r="E1030" s="9">
        <f t="shared" si="269"/>
        <v>-245.50199529999998</v>
      </c>
      <c r="F1030" s="9">
        <f t="shared" si="274"/>
        <v>179.42940119999997</v>
      </c>
      <c r="I1030">
        <v>1</v>
      </c>
      <c r="J1030">
        <f t="shared" si="270"/>
        <v>0.19809425430326036</v>
      </c>
      <c r="K1030">
        <f t="shared" si="275"/>
        <v>2.5104492845997752</v>
      </c>
      <c r="O1030">
        <f t="shared" si="276"/>
        <v>-0.1588881230212022</v>
      </c>
      <c r="P1030">
        <f t="shared" si="277"/>
        <v>0.1161261469042173</v>
      </c>
      <c r="Q1030">
        <f t="shared" si="278"/>
        <v>0.98044341109927369</v>
      </c>
      <c r="R1030">
        <f t="shared" si="268"/>
        <v>1</v>
      </c>
      <c r="AG1030" s="8">
        <f t="shared" si="271"/>
        <v>-0.48238127005422066</v>
      </c>
      <c r="AH1030" s="8">
        <f t="shared" si="272"/>
        <v>0.58169385395701734</v>
      </c>
      <c r="AI1030" s="8">
        <f t="shared" si="273"/>
        <v>0.65493554688191202</v>
      </c>
      <c r="AJ1030" s="8"/>
      <c r="AK1030" s="8"/>
      <c r="AL1030" s="8"/>
      <c r="AN1030" s="8">
        <f t="shared" si="279"/>
        <v>0.99999999999999989</v>
      </c>
      <c r="AO1030" s="8">
        <f t="shared" si="280"/>
        <v>2.2631317810273113</v>
      </c>
      <c r="AP1030" s="8">
        <f t="shared" si="281"/>
        <v>0.85669900048549019</v>
      </c>
      <c r="AQ1030" s="8"/>
      <c r="AR1030" s="8">
        <f t="shared" si="282"/>
        <v>129.66789953479014</v>
      </c>
      <c r="AS1030" s="8">
        <f t="shared" si="283"/>
        <v>40.914762959105346</v>
      </c>
    </row>
    <row r="1031" spans="1:45">
      <c r="A1031" s="19">
        <v>33.333300000000001</v>
      </c>
      <c r="B1031" s="19">
        <v>714.06298140000001</v>
      </c>
      <c r="C1031" s="19">
        <v>-360.46597079999998</v>
      </c>
      <c r="E1031" s="9">
        <f t="shared" si="269"/>
        <v>-245.93701859999999</v>
      </c>
      <c r="F1031" s="9">
        <f t="shared" si="274"/>
        <v>179.53402920000002</v>
      </c>
      <c r="I1031">
        <v>1</v>
      </c>
      <c r="J1031">
        <f t="shared" si="270"/>
        <v>0.1983589301572464</v>
      </c>
      <c r="K1031">
        <f t="shared" si="275"/>
        <v>2.511014881462267</v>
      </c>
      <c r="O1031">
        <f t="shared" si="276"/>
        <v>-0.15916336714504298</v>
      </c>
      <c r="P1031">
        <f t="shared" si="277"/>
        <v>0.1161892616542782</v>
      </c>
      <c r="Q1031">
        <f t="shared" si="278"/>
        <v>0.98039128822898358</v>
      </c>
      <c r="R1031">
        <f t="shared" si="268"/>
        <v>1</v>
      </c>
      <c r="AG1031" s="8">
        <f t="shared" si="271"/>
        <v>-0.4821796504307358</v>
      </c>
      <c r="AH1031" s="8">
        <f t="shared" si="272"/>
        <v>0.58189595357119939</v>
      </c>
      <c r="AI1031" s="8">
        <f t="shared" si="273"/>
        <v>0.6549044845837888</v>
      </c>
      <c r="AJ1031" s="8"/>
      <c r="AK1031" s="8"/>
      <c r="AL1031" s="8"/>
      <c r="AN1031" s="8">
        <f t="shared" si="279"/>
        <v>1</v>
      </c>
      <c r="AO1031" s="8">
        <f t="shared" si="280"/>
        <v>2.2627557040240074</v>
      </c>
      <c r="AP1031" s="8">
        <f t="shared" si="281"/>
        <v>0.85674010459032335</v>
      </c>
      <c r="AQ1031" s="8"/>
      <c r="AR1031" s="8">
        <f t="shared" si="282"/>
        <v>129.64635190972888</v>
      </c>
      <c r="AS1031" s="8">
        <f t="shared" si="283"/>
        <v>40.912407867377745</v>
      </c>
    </row>
    <row r="1032" spans="1:45">
      <c r="A1032" s="19">
        <v>33.366666670000001</v>
      </c>
      <c r="B1032" s="19">
        <v>713.52997849999997</v>
      </c>
      <c r="C1032" s="19">
        <v>-360.48836549999999</v>
      </c>
      <c r="E1032" s="9">
        <f t="shared" si="269"/>
        <v>-246.47002150000003</v>
      </c>
      <c r="F1032" s="9">
        <f t="shared" si="274"/>
        <v>179.51163450000001</v>
      </c>
      <c r="I1032">
        <v>1</v>
      </c>
      <c r="J1032">
        <f t="shared" si="270"/>
        <v>0.1986264473124324</v>
      </c>
      <c r="K1032">
        <f t="shared" si="275"/>
        <v>2.5121048733320803</v>
      </c>
      <c r="O1032">
        <f t="shared" si="276"/>
        <v>-0.15950191391414165</v>
      </c>
      <c r="P1032">
        <f t="shared" si="277"/>
        <v>0.1161701090394309</v>
      </c>
      <c r="Q1032">
        <f t="shared" si="278"/>
        <v>0.98033853602900489</v>
      </c>
      <c r="R1032">
        <f t="shared" si="268"/>
        <v>1</v>
      </c>
      <c r="AG1032" s="8">
        <f t="shared" si="271"/>
        <v>-0.48199755645374254</v>
      </c>
      <c r="AH1032" s="8">
        <f t="shared" si="272"/>
        <v>0.58216661964877825</v>
      </c>
      <c r="AI1032" s="8">
        <f t="shared" si="273"/>
        <v>0.65479797078132129</v>
      </c>
      <c r="AJ1032" s="8"/>
      <c r="AK1032" s="8"/>
      <c r="AL1032" s="8"/>
      <c r="AN1032" s="8">
        <f t="shared" si="279"/>
        <v>1</v>
      </c>
      <c r="AO1032" s="8">
        <f t="shared" si="280"/>
        <v>2.2623416950831823</v>
      </c>
      <c r="AP1032" s="8">
        <f t="shared" si="281"/>
        <v>0.85688104101352303</v>
      </c>
      <c r="AQ1032" s="8"/>
      <c r="AR1032" s="8">
        <f t="shared" si="282"/>
        <v>129.62263094473894</v>
      </c>
      <c r="AS1032" s="8">
        <f t="shared" si="283"/>
        <v>40.904332805148734</v>
      </c>
    </row>
    <row r="1033" spans="1:45">
      <c r="A1033" s="19">
        <v>33.400033329999999</v>
      </c>
      <c r="B1033" s="19">
        <v>712.67811810000001</v>
      </c>
      <c r="C1033" s="19">
        <v>-360.5144196</v>
      </c>
      <c r="E1033" s="9">
        <f t="shared" si="269"/>
        <v>-247.32188189999999</v>
      </c>
      <c r="F1033" s="9">
        <f t="shared" si="274"/>
        <v>179.4855804</v>
      </c>
      <c r="I1033">
        <v>1</v>
      </c>
      <c r="J1033">
        <f t="shared" si="270"/>
        <v>0.199058092994432</v>
      </c>
      <c r="K1033">
        <f t="shared" si="275"/>
        <v>2.5138149514108954</v>
      </c>
      <c r="O1033">
        <f t="shared" si="276"/>
        <v>-0.16004280287153899</v>
      </c>
      <c r="P1033">
        <f t="shared" si="277"/>
        <v>0.11614570915263998</v>
      </c>
      <c r="Q1033">
        <f t="shared" si="278"/>
        <v>0.98025327109602245</v>
      </c>
      <c r="R1033">
        <f t="shared" si="268"/>
        <v>1</v>
      </c>
      <c r="AG1033" s="8">
        <f t="shared" si="271"/>
        <v>-0.48170224348321278</v>
      </c>
      <c r="AH1033" s="8">
        <f t="shared" si="272"/>
        <v>0.58259752083550953</v>
      </c>
      <c r="AI1033" s="8">
        <f t="shared" si="273"/>
        <v>0.65463201673883753</v>
      </c>
      <c r="AJ1033" s="8"/>
      <c r="AK1033" s="8"/>
      <c r="AL1033" s="8"/>
      <c r="AN1033" s="8">
        <f t="shared" si="279"/>
        <v>1</v>
      </c>
      <c r="AO1033" s="8">
        <f t="shared" si="280"/>
        <v>2.2616772759756851</v>
      </c>
      <c r="AP1033" s="8">
        <f t="shared" si="281"/>
        <v>0.85710059300344887</v>
      </c>
      <c r="AQ1033" s="8"/>
      <c r="AR1033" s="8">
        <f t="shared" si="282"/>
        <v>129.58456253405149</v>
      </c>
      <c r="AS1033" s="8">
        <f t="shared" si="283"/>
        <v>40.891753402742282</v>
      </c>
    </row>
    <row r="1034" spans="1:45">
      <c r="A1034" s="19">
        <v>33.433399999999999</v>
      </c>
      <c r="B1034" s="19">
        <v>712.03399999999999</v>
      </c>
      <c r="C1034" s="19">
        <v>-360.48833089999999</v>
      </c>
      <c r="E1034" s="9">
        <f t="shared" si="269"/>
        <v>-247.96600000000001</v>
      </c>
      <c r="F1034" s="9">
        <f t="shared" si="274"/>
        <v>179.51166910000001</v>
      </c>
      <c r="I1034">
        <v>1</v>
      </c>
      <c r="J1034">
        <f t="shared" si="270"/>
        <v>0.19940200772102976</v>
      </c>
      <c r="K1034">
        <f t="shared" si="275"/>
        <v>2.5149818231673509</v>
      </c>
      <c r="O1034">
        <f t="shared" si="276"/>
        <v>-0.16045128821724361</v>
      </c>
      <c r="P1034">
        <f t="shared" si="277"/>
        <v>0.11615656403346653</v>
      </c>
      <c r="Q1034">
        <f t="shared" si="278"/>
        <v>0.98018520532671083</v>
      </c>
      <c r="R1034">
        <f t="shared" si="268"/>
        <v>1</v>
      </c>
      <c r="AG1034" s="8">
        <f t="shared" si="271"/>
        <v>-0.48145913167479731</v>
      </c>
      <c r="AH1034" s="8">
        <f t="shared" si="272"/>
        <v>0.58291614803497838</v>
      </c>
      <c r="AI1034" s="8">
        <f t="shared" si="273"/>
        <v>0.65452721019604188</v>
      </c>
      <c r="AJ1034" s="8"/>
      <c r="AK1034" s="8"/>
      <c r="AL1034" s="8"/>
      <c r="AN1034" s="8">
        <f t="shared" si="279"/>
        <v>1.0000000000000002</v>
      </c>
      <c r="AO1034" s="8">
        <f t="shared" si="280"/>
        <v>2.2611609039589591</v>
      </c>
      <c r="AP1034" s="8">
        <f t="shared" si="281"/>
        <v>0.85723922726680046</v>
      </c>
      <c r="AQ1034" s="8"/>
      <c r="AR1034" s="8">
        <f t="shared" si="282"/>
        <v>129.55497659683442</v>
      </c>
      <c r="AS1034" s="8">
        <f t="shared" si="283"/>
        <v>40.883810244556329</v>
      </c>
    </row>
    <row r="1035" spans="1:45">
      <c r="A1035" s="19">
        <v>33.466766669999998</v>
      </c>
      <c r="B1035" s="19">
        <v>711.55894339999998</v>
      </c>
      <c r="C1035" s="19">
        <v>-360.16203080000003</v>
      </c>
      <c r="E1035" s="9">
        <f t="shared" si="269"/>
        <v>-248.44105660000002</v>
      </c>
      <c r="F1035" s="9">
        <f t="shared" si="274"/>
        <v>179.83796919999997</v>
      </c>
      <c r="I1035">
        <v>1</v>
      </c>
      <c r="J1035">
        <f t="shared" si="270"/>
        <v>0.19977105916591112</v>
      </c>
      <c r="K1035">
        <f t="shared" si="275"/>
        <v>2.5150283347018658</v>
      </c>
      <c r="O1035">
        <f t="shared" si="276"/>
        <v>-0.16074970507780759</v>
      </c>
      <c r="P1035">
        <f t="shared" si="277"/>
        <v>0.11636120416778103</v>
      </c>
      <c r="Q1035">
        <f t="shared" si="278"/>
        <v>0.98011203567858596</v>
      </c>
      <c r="R1035">
        <f t="shared" si="268"/>
        <v>1</v>
      </c>
      <c r="AG1035" s="8">
        <f t="shared" si="271"/>
        <v>-0.48114736574346079</v>
      </c>
      <c r="AH1035" s="8">
        <f t="shared" si="272"/>
        <v>0.58310385961710665</v>
      </c>
      <c r="AI1035" s="8">
        <f t="shared" si="273"/>
        <v>0.65458926155090713</v>
      </c>
      <c r="AJ1035" s="8"/>
      <c r="AK1035" s="8"/>
      <c r="AL1035" s="8"/>
      <c r="AN1035" s="8">
        <f t="shared" si="279"/>
        <v>1</v>
      </c>
      <c r="AO1035" s="8">
        <f t="shared" si="280"/>
        <v>2.2606848175471033</v>
      </c>
      <c r="AP1035" s="8">
        <f t="shared" si="281"/>
        <v>0.85715715001269921</v>
      </c>
      <c r="AQ1035" s="8"/>
      <c r="AR1035" s="8">
        <f t="shared" si="282"/>
        <v>129.52769885475158</v>
      </c>
      <c r="AS1035" s="8">
        <f t="shared" si="283"/>
        <v>40.888512924810357</v>
      </c>
    </row>
    <row r="1036" spans="1:45">
      <c r="A1036" s="19">
        <v>33.500133329999997</v>
      </c>
      <c r="B1036" s="19">
        <v>711.24772399999995</v>
      </c>
      <c r="C1036" s="19">
        <v>-359.76076810000001</v>
      </c>
      <c r="E1036" s="9">
        <f t="shared" si="269"/>
        <v>-248.75227600000005</v>
      </c>
      <c r="F1036" s="9">
        <f t="shared" si="274"/>
        <v>180.23923189999999</v>
      </c>
      <c r="I1036">
        <v>1</v>
      </c>
      <c r="J1036">
        <f t="shared" si="270"/>
        <v>0.20008323902525377</v>
      </c>
      <c r="K1036">
        <f t="shared" si="275"/>
        <v>2.5145642741782543</v>
      </c>
      <c r="O1036">
        <f t="shared" si="276"/>
        <v>-0.16094344904764354</v>
      </c>
      <c r="P1036">
        <f t="shared" si="277"/>
        <v>0.11661530942407963</v>
      </c>
      <c r="Q1036">
        <f t="shared" si="278"/>
        <v>0.98005003740450658</v>
      </c>
      <c r="R1036">
        <f t="shared" si="268"/>
        <v>1</v>
      </c>
      <c r="AG1036" s="8">
        <f t="shared" si="271"/>
        <v>-0.48086223492158614</v>
      </c>
      <c r="AH1036" s="8">
        <f t="shared" si="272"/>
        <v>0.58319793561310185</v>
      </c>
      <c r="AI1036" s="8">
        <f t="shared" si="273"/>
        <v>0.65471496005730145</v>
      </c>
      <c r="AJ1036" s="8"/>
      <c r="AK1036" s="8"/>
      <c r="AL1036" s="8"/>
      <c r="AN1036" s="8">
        <f t="shared" si="279"/>
        <v>1.0000000000000002</v>
      </c>
      <c r="AO1036" s="8">
        <f t="shared" si="280"/>
        <v>2.2603146495796298</v>
      </c>
      <c r="AP1036" s="8">
        <f t="shared" si="281"/>
        <v>0.8569908668151941</v>
      </c>
      <c r="AQ1036" s="8"/>
      <c r="AR1036" s="8">
        <f t="shared" si="282"/>
        <v>129.5064897925044</v>
      </c>
      <c r="AS1036" s="8">
        <f t="shared" si="283"/>
        <v>40.89804025023134</v>
      </c>
    </row>
    <row r="1037" spans="1:45">
      <c r="A1037" s="19">
        <v>33.533499999999997</v>
      </c>
      <c r="B1037" s="19">
        <v>710.51298459999998</v>
      </c>
      <c r="C1037" s="19">
        <v>-359.68622929999998</v>
      </c>
      <c r="E1037" s="9">
        <f t="shared" si="269"/>
        <v>-249.48701540000002</v>
      </c>
      <c r="F1037" s="9">
        <f t="shared" si="274"/>
        <v>180.31377070000002</v>
      </c>
      <c r="I1037">
        <v>1</v>
      </c>
      <c r="J1037">
        <f t="shared" si="270"/>
        <v>0.20049240420168929</v>
      </c>
      <c r="K1037">
        <f t="shared" si="275"/>
        <v>2.5157686631313783</v>
      </c>
      <c r="O1037">
        <f t="shared" si="276"/>
        <v>-0.16140877365694789</v>
      </c>
      <c r="P1037">
        <f t="shared" si="277"/>
        <v>0.11665626988837319</v>
      </c>
      <c r="Q1037">
        <f t="shared" si="278"/>
        <v>0.97996863341756568</v>
      </c>
      <c r="R1037">
        <f t="shared" si="268"/>
        <v>1</v>
      </c>
      <c r="AG1037" s="8">
        <f t="shared" si="271"/>
        <v>-0.48056549834863049</v>
      </c>
      <c r="AH1037" s="8">
        <f t="shared" si="272"/>
        <v>0.58355413092647557</v>
      </c>
      <c r="AI1037" s="8">
        <f t="shared" si="273"/>
        <v>0.65461544289420659</v>
      </c>
      <c r="AJ1037" s="8"/>
      <c r="AK1037" s="8"/>
      <c r="AL1037" s="8"/>
      <c r="AN1037" s="8">
        <f t="shared" si="279"/>
        <v>1</v>
      </c>
      <c r="AO1037" s="8">
        <f t="shared" si="280"/>
        <v>2.2597120438108158</v>
      </c>
      <c r="AP1037" s="8">
        <f t="shared" si="281"/>
        <v>0.85712251738701994</v>
      </c>
      <c r="AQ1037" s="8"/>
      <c r="AR1037" s="8">
        <f t="shared" si="282"/>
        <v>129.47196302524114</v>
      </c>
      <c r="AS1037" s="8">
        <f t="shared" si="283"/>
        <v>40.890497228095235</v>
      </c>
    </row>
    <row r="1038" spans="1:45">
      <c r="A1038" s="19">
        <v>33.566866670000003</v>
      </c>
      <c r="B1038" s="19">
        <v>709.84052180000003</v>
      </c>
      <c r="C1038" s="19">
        <v>-359.78219080000002</v>
      </c>
      <c r="E1038" s="9">
        <f t="shared" si="269"/>
        <v>-250.15947819999997</v>
      </c>
      <c r="F1038" s="9">
        <f t="shared" si="274"/>
        <v>180.21780919999998</v>
      </c>
      <c r="I1038">
        <v>1</v>
      </c>
      <c r="J1038">
        <f t="shared" si="270"/>
        <v>0.20080562211528746</v>
      </c>
      <c r="K1038">
        <f t="shared" si="275"/>
        <v>2.5172985280287481</v>
      </c>
      <c r="O1038">
        <f t="shared" si="276"/>
        <v>-0.16183609185457146</v>
      </c>
      <c r="P1038">
        <f t="shared" si="277"/>
        <v>0.11658861032722143</v>
      </c>
      <c r="Q1038">
        <f t="shared" si="278"/>
        <v>0.97990620740722223</v>
      </c>
      <c r="R1038">
        <f t="shared" si="268"/>
        <v>1</v>
      </c>
      <c r="AG1038" s="8">
        <f t="shared" si="271"/>
        <v>-0.48036465907472681</v>
      </c>
      <c r="AH1038" s="8">
        <f t="shared" si="272"/>
        <v>0.5839052449464065</v>
      </c>
      <c r="AI1038" s="8">
        <f t="shared" si="273"/>
        <v>0.65444973774622184</v>
      </c>
      <c r="AJ1038" s="8"/>
      <c r="AK1038" s="8"/>
      <c r="AL1038" s="8"/>
      <c r="AN1038" s="8">
        <f t="shared" si="279"/>
        <v>1</v>
      </c>
      <c r="AO1038" s="8">
        <f t="shared" si="280"/>
        <v>2.2592117982693933</v>
      </c>
      <c r="AP1038" s="8">
        <f t="shared" si="281"/>
        <v>0.85734169429650298</v>
      </c>
      <c r="AQ1038" s="8"/>
      <c r="AR1038" s="8">
        <f t="shared" si="282"/>
        <v>129.44330106699738</v>
      </c>
      <c r="AS1038" s="8">
        <f t="shared" si="283"/>
        <v>40.877939316215134</v>
      </c>
    </row>
    <row r="1039" spans="1:45">
      <c r="A1039" s="19">
        <v>33.600233330000002</v>
      </c>
      <c r="B1039" s="19">
        <v>709.27999699999998</v>
      </c>
      <c r="C1039" s="19">
        <v>-359.68443070000001</v>
      </c>
      <c r="E1039" s="9">
        <f t="shared" si="269"/>
        <v>-250.72000300000002</v>
      </c>
      <c r="F1039" s="9">
        <f t="shared" si="274"/>
        <v>180.31556929999999</v>
      </c>
      <c r="I1039">
        <v>1</v>
      </c>
      <c r="J1039">
        <f t="shared" si="270"/>
        <v>0.20113344725169585</v>
      </c>
      <c r="K1039">
        <f t="shared" si="275"/>
        <v>2.5181026037041603</v>
      </c>
      <c r="O1039">
        <f t="shared" si="276"/>
        <v>-0.16219057247202015</v>
      </c>
      <c r="P1039">
        <f t="shared" si="277"/>
        <v>0.11664599976247304</v>
      </c>
      <c r="Q1039">
        <f t="shared" si="278"/>
        <v>0.97984076713546242</v>
      </c>
      <c r="R1039">
        <f t="shared" si="268"/>
        <v>1</v>
      </c>
      <c r="AG1039" s="8">
        <f t="shared" si="271"/>
        <v>-0.48012055165714229</v>
      </c>
      <c r="AH1039" s="8">
        <f t="shared" si="272"/>
        <v>0.58417044817403108</v>
      </c>
      <c r="AI1039" s="8">
        <f t="shared" si="273"/>
        <v>0.65439219383836855</v>
      </c>
      <c r="AJ1039" s="8"/>
      <c r="AK1039" s="8"/>
      <c r="AL1039" s="8"/>
      <c r="AN1039" s="8">
        <f t="shared" si="279"/>
        <v>0.99999999999999989</v>
      </c>
      <c r="AO1039" s="8">
        <f t="shared" si="280"/>
        <v>2.2587396726858047</v>
      </c>
      <c r="AP1039" s="8">
        <f t="shared" si="281"/>
        <v>0.8574177974488244</v>
      </c>
      <c r="AQ1039" s="8"/>
      <c r="AR1039" s="8">
        <f t="shared" si="282"/>
        <v>129.41625026365759</v>
      </c>
      <c r="AS1039" s="8">
        <f t="shared" si="283"/>
        <v>40.87357892677948</v>
      </c>
    </row>
    <row r="1040" spans="1:45">
      <c r="A1040" s="19">
        <v>33.633600000000001</v>
      </c>
      <c r="B1040" s="19">
        <v>708.57533079999996</v>
      </c>
      <c r="C1040" s="19">
        <v>-359.67970359999998</v>
      </c>
      <c r="E1040" s="9">
        <f t="shared" si="269"/>
        <v>-251.42466920000004</v>
      </c>
      <c r="F1040" s="9">
        <f t="shared" si="274"/>
        <v>180.32029640000002</v>
      </c>
      <c r="I1040">
        <v>1</v>
      </c>
      <c r="J1040">
        <f t="shared" si="270"/>
        <v>0.20150160577331649</v>
      </c>
      <c r="K1040">
        <f t="shared" si="275"/>
        <v>2.5194199739745033</v>
      </c>
      <c r="O1040">
        <f t="shared" si="276"/>
        <v>-0.16263722641693959</v>
      </c>
      <c r="P1040">
        <f t="shared" si="277"/>
        <v>0.11664246379040864</v>
      </c>
      <c r="Q1040">
        <f t="shared" si="278"/>
        <v>0.97976715000264647</v>
      </c>
      <c r="R1040">
        <f t="shared" si="268"/>
        <v>1</v>
      </c>
      <c r="AG1040" s="8">
        <f t="shared" si="271"/>
        <v>-0.47986457254685133</v>
      </c>
      <c r="AH1040" s="8">
        <f t="shared" si="272"/>
        <v>0.5845218897338349</v>
      </c>
      <c r="AI1040" s="8">
        <f t="shared" si="273"/>
        <v>0.65426611744489283</v>
      </c>
      <c r="AJ1040" s="8"/>
      <c r="AK1040" s="8"/>
      <c r="AL1040" s="8"/>
      <c r="AN1040" s="8">
        <f t="shared" si="279"/>
        <v>1</v>
      </c>
      <c r="AO1040" s="8">
        <f t="shared" si="280"/>
        <v>2.258183114320409</v>
      </c>
      <c r="AP1040" s="8">
        <f t="shared" si="281"/>
        <v>0.85758451888451193</v>
      </c>
      <c r="AQ1040" s="8"/>
      <c r="AR1040" s="8">
        <f t="shared" si="282"/>
        <v>129.38436181826773</v>
      </c>
      <c r="AS1040" s="8">
        <f t="shared" si="283"/>
        <v>40.864026492160221</v>
      </c>
    </row>
    <row r="1041" spans="1:45">
      <c r="A1041" s="19">
        <v>33.666966670000001</v>
      </c>
      <c r="B1041" s="19">
        <v>707.92377620000002</v>
      </c>
      <c r="C1041" s="19">
        <v>-359.35523310000002</v>
      </c>
      <c r="E1041" s="9">
        <f t="shared" si="269"/>
        <v>-252.07622379999998</v>
      </c>
      <c r="F1041" s="9">
        <f t="shared" si="274"/>
        <v>180.64476689999998</v>
      </c>
      <c r="I1041">
        <v>1</v>
      </c>
      <c r="J1041">
        <f t="shared" si="270"/>
        <v>0.20196154393221594</v>
      </c>
      <c r="K1041">
        <f t="shared" si="275"/>
        <v>2.519794208922236</v>
      </c>
      <c r="O1041">
        <f t="shared" si="276"/>
        <v>-0.16304713792824124</v>
      </c>
      <c r="P1041">
        <f t="shared" si="277"/>
        <v>0.11684407113353186</v>
      </c>
      <c r="Q1041">
        <f t="shared" si="278"/>
        <v>0.97967499399257463</v>
      </c>
      <c r="R1041">
        <f t="shared" si="268"/>
        <v>1</v>
      </c>
      <c r="AG1041" s="8">
        <f t="shared" si="271"/>
        <v>-0.47948982044784677</v>
      </c>
      <c r="AH1041" s="8">
        <f t="shared" si="272"/>
        <v>0.58479741100201854</v>
      </c>
      <c r="AI1041" s="8">
        <f t="shared" si="273"/>
        <v>0.65429465852338098</v>
      </c>
      <c r="AJ1041" s="8"/>
      <c r="AK1041" s="8"/>
      <c r="AL1041" s="8"/>
      <c r="AN1041" s="8">
        <f t="shared" si="279"/>
        <v>0.99999999999999978</v>
      </c>
      <c r="AO1041" s="8">
        <f t="shared" si="280"/>
        <v>2.2575689279677276</v>
      </c>
      <c r="AP1041" s="8">
        <f t="shared" si="281"/>
        <v>0.8575467787180886</v>
      </c>
      <c r="AQ1041" s="8"/>
      <c r="AR1041" s="8">
        <f t="shared" si="282"/>
        <v>129.34917153242455</v>
      </c>
      <c r="AS1041" s="8">
        <f t="shared" si="283"/>
        <v>40.866188844414403</v>
      </c>
    </row>
    <row r="1042" spans="1:45">
      <c r="A1042" s="19">
        <v>33.700333329999999</v>
      </c>
      <c r="B1042" s="19">
        <v>707.18865510000001</v>
      </c>
      <c r="C1042" s="19">
        <v>-358.82702069999999</v>
      </c>
      <c r="E1042" s="9">
        <f t="shared" si="269"/>
        <v>-252.81134489999999</v>
      </c>
      <c r="F1042" s="9">
        <f t="shared" si="274"/>
        <v>181.17297930000001</v>
      </c>
      <c r="I1042">
        <v>1</v>
      </c>
      <c r="J1042">
        <f t="shared" si="270"/>
        <v>0.2025408260337774</v>
      </c>
      <c r="K1042">
        <f t="shared" si="275"/>
        <v>2.5197905387661148</v>
      </c>
      <c r="O1042">
        <f t="shared" si="276"/>
        <v>-0.16350796941504328</v>
      </c>
      <c r="P1042">
        <f t="shared" si="277"/>
        <v>0.11717522395972454</v>
      </c>
      <c r="Q1042">
        <f t="shared" si="278"/>
        <v>0.97955863062287274</v>
      </c>
      <c r="R1042">
        <f t="shared" si="268"/>
        <v>1</v>
      </c>
      <c r="AG1042" s="8">
        <f t="shared" si="271"/>
        <v>-0.47899704789275699</v>
      </c>
      <c r="AH1042" s="8">
        <f t="shared" si="272"/>
        <v>0.58508307578230634</v>
      </c>
      <c r="AI1042" s="8">
        <f t="shared" si="273"/>
        <v>0.65440020059833415</v>
      </c>
      <c r="AJ1042" s="8"/>
      <c r="AK1042" s="8"/>
      <c r="AL1042" s="8"/>
      <c r="AN1042" s="8">
        <f t="shared" si="279"/>
        <v>1</v>
      </c>
      <c r="AO1042" s="8">
        <f t="shared" si="280"/>
        <v>2.2568254448901239</v>
      </c>
      <c r="AP1042" s="8">
        <f t="shared" si="281"/>
        <v>0.85740720862332864</v>
      </c>
      <c r="AQ1042" s="8"/>
      <c r="AR1042" s="8">
        <f t="shared" si="282"/>
        <v>129.30657308993847</v>
      </c>
      <c r="AS1042" s="8">
        <f t="shared" si="283"/>
        <v>40.874185621790389</v>
      </c>
    </row>
    <row r="1043" spans="1:45">
      <c r="A1043" s="19">
        <v>33.733699999999999</v>
      </c>
      <c r="B1043" s="19">
        <v>706.58263099999999</v>
      </c>
      <c r="C1043" s="19">
        <v>-358.66353830000003</v>
      </c>
      <c r="E1043" s="9">
        <f t="shared" si="269"/>
        <v>-253.41736900000001</v>
      </c>
      <c r="F1043" s="9">
        <f t="shared" si="274"/>
        <v>181.33646169999997</v>
      </c>
      <c r="I1043">
        <v>1</v>
      </c>
      <c r="J1043">
        <f t="shared" si="270"/>
        <v>0.20291698282031248</v>
      </c>
      <c r="K1043">
        <f t="shared" si="275"/>
        <v>2.5204969454680963</v>
      </c>
      <c r="O1043">
        <f t="shared" si="276"/>
        <v>-0.16389034349530865</v>
      </c>
      <c r="P1043">
        <f t="shared" si="277"/>
        <v>0.11727410442903342</v>
      </c>
      <c r="Q1043">
        <f t="shared" si="278"/>
        <v>0.97948289405142641</v>
      </c>
      <c r="R1043">
        <f t="shared" si="268"/>
        <v>1</v>
      </c>
      <c r="AG1043" s="8">
        <f t="shared" si="271"/>
        <v>-0.47870804010680068</v>
      </c>
      <c r="AH1043" s="8">
        <f t="shared" si="272"/>
        <v>0.58536032693381956</v>
      </c>
      <c r="AI1043" s="8">
        <f t="shared" si="273"/>
        <v>0.65436373676193094</v>
      </c>
      <c r="AJ1043" s="8"/>
      <c r="AK1043" s="8"/>
      <c r="AL1043" s="8"/>
      <c r="AN1043" s="8">
        <f t="shared" si="279"/>
        <v>1.0000000000000002</v>
      </c>
      <c r="AO1043" s="8">
        <f t="shared" si="280"/>
        <v>2.2562974554121524</v>
      </c>
      <c r="AP1043" s="8">
        <f t="shared" si="281"/>
        <v>0.85745543073999808</v>
      </c>
      <c r="AQ1043" s="8"/>
      <c r="AR1043" s="8">
        <f t="shared" si="282"/>
        <v>129.27632152122337</v>
      </c>
      <c r="AS1043" s="8">
        <f t="shared" si="283"/>
        <v>40.871422698026038</v>
      </c>
    </row>
    <row r="1044" spans="1:45">
      <c r="A1044" s="19">
        <v>33.767066669999998</v>
      </c>
      <c r="B1044" s="19">
        <v>706.24781359999997</v>
      </c>
      <c r="C1044" s="19">
        <v>-358.58159899999998</v>
      </c>
      <c r="E1044" s="9">
        <f t="shared" si="269"/>
        <v>-253.75218640000003</v>
      </c>
      <c r="F1044" s="9">
        <f t="shared" si="274"/>
        <v>181.41840100000002</v>
      </c>
      <c r="I1044">
        <v>1</v>
      </c>
      <c r="J1044">
        <f t="shared" si="270"/>
        <v>0.20312170465660442</v>
      </c>
      <c r="K1044">
        <f t="shared" si="275"/>
        <v>2.5209079386041129</v>
      </c>
      <c r="O1044">
        <f t="shared" si="276"/>
        <v>-0.16410164541192018</v>
      </c>
      <c r="P1044">
        <f t="shared" si="277"/>
        <v>0.11732335604458674</v>
      </c>
      <c r="Q1044">
        <f t="shared" si="278"/>
        <v>0.97944161648335915</v>
      </c>
      <c r="R1044">
        <f t="shared" si="268"/>
        <v>1</v>
      </c>
      <c r="AG1044" s="8">
        <f t="shared" si="271"/>
        <v>-0.4785519659292764</v>
      </c>
      <c r="AH1044" s="8">
        <f t="shared" si="272"/>
        <v>0.585514740086017</v>
      </c>
      <c r="AI1044" s="8">
        <f t="shared" si="273"/>
        <v>0.6543397474150785</v>
      </c>
      <c r="AJ1044" s="8"/>
      <c r="AK1044" s="8"/>
      <c r="AL1044" s="8"/>
      <c r="AN1044" s="8">
        <f t="shared" si="279"/>
        <v>1.0000000000000002</v>
      </c>
      <c r="AO1044" s="8">
        <f t="shared" si="280"/>
        <v>2.2560084180336308</v>
      </c>
      <c r="AP1044" s="8">
        <f t="shared" si="281"/>
        <v>0.85748715469397152</v>
      </c>
      <c r="AQ1044" s="8"/>
      <c r="AR1044" s="8">
        <f t="shared" si="282"/>
        <v>129.25976089931257</v>
      </c>
      <c r="AS1044" s="8">
        <f t="shared" si="283"/>
        <v>40.869605049353893</v>
      </c>
    </row>
    <row r="1045" spans="1:45">
      <c r="A1045" s="19">
        <v>33.800433329999997</v>
      </c>
      <c r="B1045" s="19">
        <v>705.64230929999997</v>
      </c>
      <c r="C1045" s="19">
        <v>-358.60627419999997</v>
      </c>
      <c r="E1045" s="9">
        <f t="shared" si="269"/>
        <v>-254.35769070000003</v>
      </c>
      <c r="F1045" s="9">
        <f t="shared" si="274"/>
        <v>181.39372580000003</v>
      </c>
      <c r="I1045">
        <v>1</v>
      </c>
      <c r="J1045">
        <f t="shared" si="270"/>
        <v>0.20342776250997838</v>
      </c>
      <c r="K1045">
        <f t="shared" si="275"/>
        <v>2.5220994069879747</v>
      </c>
      <c r="O1045">
        <f t="shared" si="276"/>
        <v>-0.16448536943075023</v>
      </c>
      <c r="P1045">
        <f t="shared" si="277"/>
        <v>0.1173017962166663</v>
      </c>
      <c r="Q1045">
        <f t="shared" si="278"/>
        <v>0.97937983022296993</v>
      </c>
      <c r="R1045">
        <f t="shared" si="268"/>
        <v>1</v>
      </c>
      <c r="AG1045" s="8">
        <f t="shared" si="271"/>
        <v>-0.47834420536805511</v>
      </c>
      <c r="AH1045" s="8">
        <f t="shared" si="272"/>
        <v>0.58582055443898229</v>
      </c>
      <c r="AI1045" s="8">
        <f t="shared" si="273"/>
        <v>0.65421792942994728</v>
      </c>
      <c r="AJ1045" s="8"/>
      <c r="AK1045" s="8"/>
      <c r="AL1045" s="8"/>
      <c r="AN1045" s="8">
        <f t="shared" si="279"/>
        <v>1.0000000000000002</v>
      </c>
      <c r="AO1045" s="8">
        <f t="shared" si="280"/>
        <v>2.2555398292115969</v>
      </c>
      <c r="AP1045" s="8">
        <f t="shared" si="281"/>
        <v>0.85764823560405101</v>
      </c>
      <c r="AQ1045" s="8"/>
      <c r="AR1045" s="8">
        <f t="shared" si="282"/>
        <v>129.23291273748302</v>
      </c>
      <c r="AS1045" s="8">
        <f t="shared" si="283"/>
        <v>40.860375793046209</v>
      </c>
    </row>
    <row r="1046" spans="1:45">
      <c r="A1046" s="19">
        <v>33.833799999999997</v>
      </c>
      <c r="B1046" s="19">
        <v>705.04564330000005</v>
      </c>
      <c r="C1046" s="19">
        <v>-358.58559200000002</v>
      </c>
      <c r="E1046" s="9">
        <f t="shared" si="269"/>
        <v>-254.95435669999995</v>
      </c>
      <c r="F1046" s="9">
        <f t="shared" si="274"/>
        <v>181.41440799999998</v>
      </c>
      <c r="I1046">
        <v>1</v>
      </c>
      <c r="J1046">
        <f t="shared" si="270"/>
        <v>0.20374628067935163</v>
      </c>
      <c r="K1046">
        <f t="shared" si="275"/>
        <v>2.5231527404100138</v>
      </c>
      <c r="O1046">
        <f t="shared" si="276"/>
        <v>-0.16486299977458671</v>
      </c>
      <c r="P1046">
        <f t="shared" si="277"/>
        <v>0.11730932505853819</v>
      </c>
      <c r="Q1046">
        <f t="shared" si="278"/>
        <v>0.97931543108420116</v>
      </c>
      <c r="R1046">
        <f t="shared" si="268"/>
        <v>1</v>
      </c>
      <c r="AG1046" s="8">
        <f t="shared" si="271"/>
        <v>-0.47812003077651022</v>
      </c>
      <c r="AH1046" s="8">
        <f t="shared" si="272"/>
        <v>0.58611484792068569</v>
      </c>
      <c r="AI1046" s="8">
        <f t="shared" si="273"/>
        <v>0.6541182012581368</v>
      </c>
      <c r="AJ1046" s="8"/>
      <c r="AK1046" s="8"/>
      <c r="AL1046" s="8"/>
      <c r="AN1046" s="8">
        <f t="shared" si="279"/>
        <v>0.99999999999999989</v>
      </c>
      <c r="AO1046" s="8">
        <f t="shared" si="280"/>
        <v>2.2550641838105654</v>
      </c>
      <c r="AP1046" s="8">
        <f t="shared" si="281"/>
        <v>0.85778009026778912</v>
      </c>
      <c r="AQ1046" s="8"/>
      <c r="AR1046" s="8">
        <f t="shared" si="282"/>
        <v>129.20566026345909</v>
      </c>
      <c r="AS1046" s="8">
        <f t="shared" si="283"/>
        <v>40.852821077304903</v>
      </c>
    </row>
    <row r="1047" spans="1:45">
      <c r="A1047" s="19">
        <v>33.867166670000003</v>
      </c>
      <c r="B1047" s="19">
        <v>704.44239870000001</v>
      </c>
      <c r="C1047" s="19">
        <v>-358.59002720000001</v>
      </c>
      <c r="E1047" s="9">
        <f t="shared" si="269"/>
        <v>-255.55760129999999</v>
      </c>
      <c r="F1047" s="9">
        <f t="shared" si="274"/>
        <v>181.40997279999999</v>
      </c>
      <c r="I1047">
        <v>1</v>
      </c>
      <c r="J1047">
        <f t="shared" si="270"/>
        <v>0.20405911532687074</v>
      </c>
      <c r="K1047">
        <f t="shared" si="275"/>
        <v>2.5242802269388642</v>
      </c>
      <c r="O1047">
        <f t="shared" si="276"/>
        <v>-0.16524497196717733</v>
      </c>
      <c r="P1047">
        <f t="shared" si="277"/>
        <v>0.11730070135817332</v>
      </c>
      <c r="Q1047">
        <f t="shared" si="278"/>
        <v>0.97925208434827826</v>
      </c>
      <c r="R1047">
        <f t="shared" si="268"/>
        <v>1</v>
      </c>
      <c r="AG1047" s="8">
        <f t="shared" si="271"/>
        <v>-0.47790426293854693</v>
      </c>
      <c r="AH1047" s="8">
        <f t="shared" si="272"/>
        <v>0.58641617736664331</v>
      </c>
      <c r="AI1047" s="8">
        <f t="shared" si="273"/>
        <v>0.65400579690692184</v>
      </c>
      <c r="AJ1047" s="8"/>
      <c r="AK1047" s="8"/>
      <c r="AL1047" s="8"/>
      <c r="AN1047" s="8">
        <f t="shared" si="279"/>
        <v>1</v>
      </c>
      <c r="AO1047" s="8">
        <f t="shared" si="280"/>
        <v>2.2545913858036459</v>
      </c>
      <c r="AP1047" s="8">
        <f t="shared" si="281"/>
        <v>0.85792868660234989</v>
      </c>
      <c r="AQ1047" s="8"/>
      <c r="AR1047" s="8">
        <f t="shared" si="282"/>
        <v>129.17857093310042</v>
      </c>
      <c r="AS1047" s="8">
        <f t="shared" si="283"/>
        <v>40.844307134483458</v>
      </c>
    </row>
    <row r="1048" spans="1:45">
      <c r="A1048" s="19">
        <v>33.900533330000002</v>
      </c>
      <c r="B1048" s="19">
        <v>703.83396040000002</v>
      </c>
      <c r="C1048" s="19">
        <v>-358.60124209999998</v>
      </c>
      <c r="E1048" s="9">
        <f t="shared" si="269"/>
        <v>-256.16603959999998</v>
      </c>
      <c r="F1048" s="9">
        <f t="shared" si="274"/>
        <v>181.39875790000002</v>
      </c>
      <c r="I1048">
        <v>1</v>
      </c>
      <c r="J1048">
        <f t="shared" si="270"/>
        <v>0.20437237322767229</v>
      </c>
      <c r="K1048">
        <f t="shared" si="275"/>
        <v>2.5254313872978296</v>
      </c>
      <c r="O1048">
        <f t="shared" si="276"/>
        <v>-0.16563023270812449</v>
      </c>
      <c r="P1048">
        <f t="shared" si="277"/>
        <v>0.11728767221001196</v>
      </c>
      <c r="Q1048">
        <f t="shared" si="278"/>
        <v>0.97918855587706366</v>
      </c>
      <c r="R1048">
        <f t="shared" si="268"/>
        <v>1</v>
      </c>
      <c r="AG1048" s="8">
        <f t="shared" si="271"/>
        <v>-0.47768949378594355</v>
      </c>
      <c r="AH1048" s="8">
        <f t="shared" si="272"/>
        <v>0.58672102092862466</v>
      </c>
      <c r="AI1048" s="8">
        <f t="shared" si="273"/>
        <v>0.65388928048026718</v>
      </c>
      <c r="AJ1048" s="8"/>
      <c r="AK1048" s="8"/>
      <c r="AL1048" s="8"/>
      <c r="AN1048" s="8">
        <f t="shared" si="279"/>
        <v>1.0000000000000002</v>
      </c>
      <c r="AO1048" s="8">
        <f t="shared" si="280"/>
        <v>2.2541168004700505</v>
      </c>
      <c r="AP1048" s="8">
        <f t="shared" si="281"/>
        <v>0.85808269887242339</v>
      </c>
      <c r="AQ1048" s="8"/>
      <c r="AR1048" s="8">
        <f t="shared" si="282"/>
        <v>129.15137919646659</v>
      </c>
      <c r="AS1048" s="8">
        <f t="shared" si="283"/>
        <v>40.835482881415018</v>
      </c>
    </row>
    <row r="1049" spans="1:45">
      <c r="A1049" s="19">
        <v>33.933900000000001</v>
      </c>
      <c r="B1049" s="19">
        <v>703.27102539999998</v>
      </c>
      <c r="C1049" s="19">
        <v>-358.51881589999999</v>
      </c>
      <c r="E1049" s="9">
        <f t="shared" si="269"/>
        <v>-256.72897460000002</v>
      </c>
      <c r="F1049" s="9">
        <f t="shared" si="274"/>
        <v>181.48118410000001</v>
      </c>
      <c r="I1049">
        <v>1</v>
      </c>
      <c r="J1049">
        <f t="shared" si="270"/>
        <v>0.20469665268150017</v>
      </c>
      <c r="K1049">
        <f t="shared" si="275"/>
        <v>2.5262521839624683</v>
      </c>
      <c r="O1049">
        <f t="shared" si="276"/>
        <v>-0.16598572579527623</v>
      </c>
      <c r="P1049">
        <f t="shared" si="277"/>
        <v>0.11733496816227559</v>
      </c>
      <c r="Q1049">
        <f t="shared" si="278"/>
        <v>0.9791226910242522</v>
      </c>
      <c r="R1049">
        <f t="shared" si="268"/>
        <v>1</v>
      </c>
      <c r="AG1049" s="8">
        <f t="shared" si="271"/>
        <v>-0.47745075003411525</v>
      </c>
      <c r="AH1049" s="8">
        <f t="shared" si="272"/>
        <v>0.5869886394417223</v>
      </c>
      <c r="AI1049" s="8">
        <f t="shared" si="273"/>
        <v>0.65382346123263024</v>
      </c>
      <c r="AJ1049" s="8"/>
      <c r="AK1049" s="8"/>
      <c r="AL1049" s="8"/>
      <c r="AN1049" s="8">
        <f t="shared" si="279"/>
        <v>1.0000000000000002</v>
      </c>
      <c r="AO1049" s="8">
        <f t="shared" si="280"/>
        <v>2.2536488044582952</v>
      </c>
      <c r="AP1049" s="8">
        <f t="shared" si="281"/>
        <v>0.85816969017772782</v>
      </c>
      <c r="AQ1049" s="8"/>
      <c r="AR1049" s="8">
        <f t="shared" si="282"/>
        <v>129.12456500016407</v>
      </c>
      <c r="AS1049" s="8">
        <f t="shared" si="283"/>
        <v>40.830498646766735</v>
      </c>
    </row>
    <row r="1050" spans="1:45">
      <c r="A1050" s="19">
        <v>33.967266670000001</v>
      </c>
      <c r="B1050" s="19">
        <v>702.42353390000005</v>
      </c>
      <c r="C1050" s="19">
        <v>-358.4708296</v>
      </c>
      <c r="E1050" s="9">
        <f t="shared" si="269"/>
        <v>-257.57646609999995</v>
      </c>
      <c r="F1050" s="9">
        <f t="shared" si="274"/>
        <v>181.5291704</v>
      </c>
      <c r="I1050">
        <v>1</v>
      </c>
      <c r="J1050">
        <f t="shared" si="270"/>
        <v>0.20515700269698589</v>
      </c>
      <c r="K1050">
        <f t="shared" si="275"/>
        <v>2.5276802862202743</v>
      </c>
      <c r="O1050">
        <f t="shared" si="276"/>
        <v>-0.1665215395860111</v>
      </c>
      <c r="P1050">
        <f t="shared" si="277"/>
        <v>0.11735744880917656</v>
      </c>
      <c r="Q1050">
        <f t="shared" si="278"/>
        <v>0.97902901185966196</v>
      </c>
      <c r="R1050">
        <f t="shared" si="268"/>
        <v>1</v>
      </c>
      <c r="AG1050" s="8">
        <f t="shared" si="271"/>
        <v>-0.47712405053240969</v>
      </c>
      <c r="AH1050" s="8">
        <f t="shared" si="272"/>
        <v>0.5874030797903671</v>
      </c>
      <c r="AI1050" s="8">
        <f t="shared" si="273"/>
        <v>0.65368972934897651</v>
      </c>
      <c r="AJ1050" s="8"/>
      <c r="AK1050" s="8"/>
      <c r="AL1050" s="8"/>
      <c r="AN1050" s="8">
        <f t="shared" si="279"/>
        <v>1</v>
      </c>
      <c r="AO1050" s="8">
        <f t="shared" si="280"/>
        <v>2.2529683255650594</v>
      </c>
      <c r="AP1050" s="8">
        <f t="shared" si="281"/>
        <v>0.85834641941951406</v>
      </c>
      <c r="AQ1050" s="8"/>
      <c r="AR1050" s="8">
        <f t="shared" si="282"/>
        <v>129.08557643153392</v>
      </c>
      <c r="AS1050" s="8">
        <f t="shared" si="283"/>
        <v>40.820372807095836</v>
      </c>
    </row>
    <row r="1051" spans="1:45">
      <c r="A1051" s="19">
        <v>34.000633329999999</v>
      </c>
      <c r="B1051" s="19">
        <v>701.93420079999999</v>
      </c>
      <c r="C1051" s="19">
        <v>-358.50458509999999</v>
      </c>
      <c r="E1051" s="9">
        <f t="shared" si="269"/>
        <v>-258.06579920000001</v>
      </c>
      <c r="F1051" s="9">
        <f t="shared" si="274"/>
        <v>181.49541490000001</v>
      </c>
      <c r="I1051">
        <v>1</v>
      </c>
      <c r="J1051">
        <f t="shared" si="270"/>
        <v>0.20540035209210478</v>
      </c>
      <c r="K1051">
        <f t="shared" si="275"/>
        <v>2.5286612196684146</v>
      </c>
      <c r="O1051">
        <f t="shared" si="276"/>
        <v>-0.16683145139005998</v>
      </c>
      <c r="P1051">
        <f t="shared" si="277"/>
        <v>0.11733109765909697</v>
      </c>
      <c r="Q1051">
        <f t="shared" si="278"/>
        <v>0.97897940752050427</v>
      </c>
      <c r="R1051">
        <f t="shared" ref="R1051:R1114" si="284">SQRT(O1051^2+P1051^2+Q1051^2)</f>
        <v>1</v>
      </c>
      <c r="AG1051" s="8">
        <f t="shared" si="271"/>
        <v>-0.47696185856735307</v>
      </c>
      <c r="AH1051" s="8">
        <f t="shared" si="272"/>
        <v>0.58765175187497443</v>
      </c>
      <c r="AI1051" s="8">
        <f t="shared" si="273"/>
        <v>0.65358458059401148</v>
      </c>
      <c r="AJ1051" s="8"/>
      <c r="AK1051" s="8"/>
      <c r="AL1051" s="8"/>
      <c r="AN1051" s="8">
        <f t="shared" si="279"/>
        <v>1</v>
      </c>
      <c r="AO1051" s="8">
        <f t="shared" si="280"/>
        <v>2.2525948356719567</v>
      </c>
      <c r="AP1051" s="8">
        <f t="shared" si="281"/>
        <v>0.85848535656625746</v>
      </c>
      <c r="AQ1051" s="8"/>
      <c r="AR1051" s="8">
        <f t="shared" si="282"/>
        <v>129.06417703696835</v>
      </c>
      <c r="AS1051" s="8">
        <f t="shared" si="283"/>
        <v>40.812412294969853</v>
      </c>
    </row>
    <row r="1052" spans="1:45">
      <c r="A1052" s="19">
        <v>34.033999999999999</v>
      </c>
      <c r="B1052" s="19">
        <v>701.44768580000004</v>
      </c>
      <c r="C1052" s="19">
        <v>-358.53217419999999</v>
      </c>
      <c r="E1052" s="9">
        <f t="shared" si="269"/>
        <v>-258.55231419999996</v>
      </c>
      <c r="F1052" s="9">
        <f t="shared" si="274"/>
        <v>181.46782580000001</v>
      </c>
      <c r="I1052">
        <v>1</v>
      </c>
      <c r="J1052">
        <f t="shared" si="270"/>
        <v>0.20564466316106561</v>
      </c>
      <c r="K1052">
        <f t="shared" si="275"/>
        <v>2.5296186839372621</v>
      </c>
      <c r="O1052">
        <f t="shared" si="276"/>
        <v>-0.16713947913408869</v>
      </c>
      <c r="P1052">
        <f t="shared" si="277"/>
        <v>0.11730870782438953</v>
      </c>
      <c r="Q1052">
        <f t="shared" si="278"/>
        <v>0.97892954883554184</v>
      </c>
      <c r="R1052">
        <f t="shared" si="284"/>
        <v>1</v>
      </c>
      <c r="AG1052" s="8">
        <f t="shared" si="271"/>
        <v>-0.4767979942812921</v>
      </c>
      <c r="AH1052" s="8">
        <f t="shared" si="272"/>
        <v>0.58789799274181309</v>
      </c>
      <c r="AI1052" s="8">
        <f t="shared" si="273"/>
        <v>0.65348268743669413</v>
      </c>
      <c r="AJ1052" s="8"/>
      <c r="AK1052" s="8"/>
      <c r="AL1052" s="8"/>
      <c r="AN1052" s="8">
        <f t="shared" si="279"/>
        <v>1</v>
      </c>
      <c r="AO1052" s="8">
        <f t="shared" si="280"/>
        <v>2.2522217427048616</v>
      </c>
      <c r="AP1052" s="8">
        <f t="shared" si="281"/>
        <v>0.85861997606334139</v>
      </c>
      <c r="AQ1052" s="8"/>
      <c r="AR1052" s="8">
        <f t="shared" si="282"/>
        <v>129.04280038458776</v>
      </c>
      <c r="AS1052" s="8">
        <f t="shared" si="283"/>
        <v>40.804699165946772</v>
      </c>
    </row>
    <row r="1053" spans="1:45">
      <c r="A1053" s="19">
        <v>34.067366669999998</v>
      </c>
      <c r="B1053" s="19">
        <v>700.56647099999998</v>
      </c>
      <c r="C1053" s="19">
        <v>-358.48206709999999</v>
      </c>
      <c r="E1053" s="9">
        <f t="shared" si="269"/>
        <v>-259.43352900000002</v>
      </c>
      <c r="F1053" s="9">
        <f t="shared" si="274"/>
        <v>181.51793290000001</v>
      </c>
      <c r="I1053">
        <v>1</v>
      </c>
      <c r="J1053">
        <f t="shared" si="270"/>
        <v>0.20612424965793982</v>
      </c>
      <c r="K1053">
        <f t="shared" si="275"/>
        <v>2.5310880042476978</v>
      </c>
      <c r="O1053">
        <f t="shared" si="276"/>
        <v>-0.16769631718280525</v>
      </c>
      <c r="P1053">
        <f t="shared" si="277"/>
        <v>0.11733213115242924</v>
      </c>
      <c r="Q1053">
        <f t="shared" si="278"/>
        <v>0.9788315055220449</v>
      </c>
      <c r="R1053">
        <f t="shared" si="284"/>
        <v>1</v>
      </c>
      <c r="AG1053" s="8">
        <f t="shared" si="271"/>
        <v>-0.47645799829069624</v>
      </c>
      <c r="AH1053" s="8">
        <f t="shared" si="272"/>
        <v>0.58832835829709262</v>
      </c>
      <c r="AI1053" s="8">
        <f t="shared" si="273"/>
        <v>0.65334333905556186</v>
      </c>
      <c r="AJ1053" s="8"/>
      <c r="AK1053" s="8"/>
      <c r="AL1053" s="8"/>
      <c r="AN1053" s="8">
        <f t="shared" si="279"/>
        <v>1.0000000000000002</v>
      </c>
      <c r="AO1053" s="8">
        <f t="shared" si="280"/>
        <v>2.2515148594965884</v>
      </c>
      <c r="AP1053" s="8">
        <f t="shared" si="281"/>
        <v>0.85880405543694394</v>
      </c>
      <c r="AQ1053" s="8"/>
      <c r="AR1053" s="8">
        <f t="shared" si="282"/>
        <v>129.00229896014505</v>
      </c>
      <c r="AS1053" s="8">
        <f t="shared" si="283"/>
        <v>40.79415219474393</v>
      </c>
    </row>
    <row r="1054" spans="1:45">
      <c r="A1054" s="19">
        <v>34.100733329999997</v>
      </c>
      <c r="B1054" s="19">
        <v>700.00517739999998</v>
      </c>
      <c r="C1054" s="19">
        <v>-358.44774180000002</v>
      </c>
      <c r="E1054" s="9">
        <f t="shared" si="269"/>
        <v>-259.99482260000002</v>
      </c>
      <c r="F1054" s="9">
        <f t="shared" si="274"/>
        <v>181.55225819999998</v>
      </c>
      <c r="I1054">
        <v>1</v>
      </c>
      <c r="J1054">
        <f t="shared" si="270"/>
        <v>0.20643078838738513</v>
      </c>
      <c r="K1054">
        <f t="shared" si="275"/>
        <v>2.5320140381077851</v>
      </c>
      <c r="O1054">
        <f t="shared" si="276"/>
        <v>-0.1680508985081462</v>
      </c>
      <c r="P1054">
        <f t="shared" si="277"/>
        <v>0.11734856798911097</v>
      </c>
      <c r="Q1054">
        <f t="shared" si="278"/>
        <v>0.97876872094561218</v>
      </c>
      <c r="R1054">
        <f t="shared" si="284"/>
        <v>1</v>
      </c>
      <c r="AG1054" s="8">
        <f t="shared" si="271"/>
        <v>-0.47624034935910659</v>
      </c>
      <c r="AH1054" s="8">
        <f t="shared" si="272"/>
        <v>0.5886019751232735</v>
      </c>
      <c r="AI1054" s="8">
        <f t="shared" si="273"/>
        <v>0.65325557366416509</v>
      </c>
      <c r="AJ1054" s="8"/>
      <c r="AK1054" s="8"/>
      <c r="AL1054" s="8"/>
      <c r="AN1054" s="8">
        <f t="shared" si="279"/>
        <v>1</v>
      </c>
      <c r="AO1054" s="8">
        <f t="shared" si="280"/>
        <v>2.2510640289735107</v>
      </c>
      <c r="AP1054" s="8">
        <f t="shared" si="281"/>
        <v>0.85891997861314251</v>
      </c>
      <c r="AQ1054" s="8"/>
      <c r="AR1054" s="8">
        <f t="shared" si="282"/>
        <v>128.97646827389701</v>
      </c>
      <c r="AS1054" s="8">
        <f t="shared" si="283"/>
        <v>40.787510286</v>
      </c>
    </row>
    <row r="1055" spans="1:45">
      <c r="A1055" s="19">
        <v>34.134099999999997</v>
      </c>
      <c r="B1055" s="19">
        <v>699.4767263</v>
      </c>
      <c r="C1055" s="19">
        <v>-358.34171199999997</v>
      </c>
      <c r="E1055" s="9">
        <f t="shared" si="269"/>
        <v>-260.5232737</v>
      </c>
      <c r="F1055" s="9">
        <f t="shared" si="274"/>
        <v>181.65828800000003</v>
      </c>
      <c r="I1055">
        <v>1</v>
      </c>
      <c r="J1055">
        <f t="shared" si="270"/>
        <v>0.20674645037431721</v>
      </c>
      <c r="K1055">
        <f t="shared" si="275"/>
        <v>2.5326929256854207</v>
      </c>
      <c r="O1055">
        <f t="shared" si="276"/>
        <v>-0.16838395098389664</v>
      </c>
      <c r="P1055">
        <f t="shared" si="277"/>
        <v>0.11741116188196658</v>
      </c>
      <c r="Q1055">
        <f t="shared" si="278"/>
        <v>0.97870397164647249</v>
      </c>
      <c r="R1055">
        <f t="shared" si="284"/>
        <v>1</v>
      </c>
      <c r="AG1055" s="8">
        <f t="shared" si="271"/>
        <v>-0.47600365387360022</v>
      </c>
      <c r="AH1055" s="8">
        <f t="shared" si="272"/>
        <v>0.58884810304852131</v>
      </c>
      <c r="AI1055" s="8">
        <f t="shared" si="273"/>
        <v>0.65320627142973742</v>
      </c>
      <c r="AJ1055" s="8"/>
      <c r="AK1055" s="8"/>
      <c r="AL1055" s="8"/>
      <c r="AN1055" s="8">
        <f t="shared" si="279"/>
        <v>1</v>
      </c>
      <c r="AO1055" s="8">
        <f t="shared" si="280"/>
        <v>2.2506165490345862</v>
      </c>
      <c r="AP1055" s="8">
        <f t="shared" si="281"/>
        <v>0.85898509340567886</v>
      </c>
      <c r="AQ1055" s="8"/>
      <c r="AR1055" s="8">
        <f t="shared" si="282"/>
        <v>128.95082956197987</v>
      </c>
      <c r="AS1055" s="8">
        <f t="shared" si="283"/>
        <v>40.783779483203801</v>
      </c>
    </row>
    <row r="1056" spans="1:45">
      <c r="A1056" s="19">
        <v>34.167466670000003</v>
      </c>
      <c r="B1056" s="19">
        <v>699.02780629999995</v>
      </c>
      <c r="C1056" s="19">
        <v>-358.0293408</v>
      </c>
      <c r="E1056" s="9">
        <f t="shared" ref="E1056:E1119" si="285">(B1056-($B$15/2))</f>
        <v>-260.97219370000005</v>
      </c>
      <c r="F1056" s="9">
        <f t="shared" si="274"/>
        <v>181.9706592</v>
      </c>
      <c r="I1056">
        <v>1</v>
      </c>
      <c r="J1056">
        <f t="shared" ref="J1056:J1119" si="286">ATAN((SQRT(E1056^2+F1056^2)^$B$16)/($F$24))</f>
        <v>0.20709584028966557</v>
      </c>
      <c r="K1056">
        <f t="shared" si="275"/>
        <v>2.5326946087934843</v>
      </c>
      <c r="O1056">
        <f t="shared" si="276"/>
        <v>-0.16866463207374965</v>
      </c>
      <c r="P1056">
        <f t="shared" si="277"/>
        <v>0.11760645395603962</v>
      </c>
      <c r="Q1056">
        <f t="shared" si="278"/>
        <v>0.97863219029179327</v>
      </c>
      <c r="R1056">
        <f t="shared" si="284"/>
        <v>1</v>
      </c>
      <c r="AG1056" s="8">
        <f t="shared" ref="AG1056:AG1119" si="287">$O1056*$Z$27+$P1056*$Z$31+$Q1056*$Z$35</f>
        <v>-0.47570681690188354</v>
      </c>
      <c r="AH1056" s="8">
        <f t="shared" ref="AH1056:AH1119" si="288">$O1056*$AA$27+$P1056*$AA$31+$Q1056*$AA$35</f>
        <v>0.58902277003377113</v>
      </c>
      <c r="AI1056" s="8">
        <f t="shared" ref="AI1056:AI1119" si="289">$AB$27*$O1056+$P1056*$AB$31+$AB$35*$Q1056</f>
        <v>0.65326503100565636</v>
      </c>
      <c r="AJ1056" s="8"/>
      <c r="AK1056" s="8"/>
      <c r="AL1056" s="8"/>
      <c r="AN1056" s="8">
        <f t="shared" si="279"/>
        <v>1.0000000000000002</v>
      </c>
      <c r="AO1056" s="8">
        <f t="shared" si="280"/>
        <v>2.2501666247602006</v>
      </c>
      <c r="AP1056" s="8">
        <f t="shared" si="281"/>
        <v>0.8589074876286511</v>
      </c>
      <c r="AQ1056" s="8"/>
      <c r="AR1056" s="8">
        <f t="shared" si="282"/>
        <v>128.92505079995709</v>
      </c>
      <c r="AS1056" s="8">
        <f t="shared" si="283"/>
        <v>40.788225966693325</v>
      </c>
    </row>
    <row r="1057" spans="1:45">
      <c r="A1057" s="19">
        <v>34.200833330000002</v>
      </c>
      <c r="B1057" s="19">
        <v>698.43560330000003</v>
      </c>
      <c r="C1057" s="19">
        <v>-357.7528001</v>
      </c>
      <c r="E1057" s="9">
        <f t="shared" si="285"/>
        <v>-261.56439669999997</v>
      </c>
      <c r="F1057" s="9">
        <f t="shared" ref="F1057:F1120" si="290">(($C$15/2)+C1057)</f>
        <v>182.2471999</v>
      </c>
      <c r="I1057">
        <v>1</v>
      </c>
      <c r="J1057">
        <f t="shared" si="286"/>
        <v>0.20750717755968612</v>
      </c>
      <c r="K1057">
        <f t="shared" ref="K1057:K1120" si="291">ATAN2(E1057,F1057)</f>
        <v>2.5330455503648914</v>
      </c>
      <c r="O1057">
        <f t="shared" ref="O1057:O1120" si="292">COS(K1057)*SIN(J1057)</f>
        <v>-0.16903616268081131</v>
      </c>
      <c r="P1057">
        <f t="shared" ref="P1057:P1120" si="293">SIN(K1057)*SIN(J1057)</f>
        <v>0.11777737229945695</v>
      </c>
      <c r="Q1057">
        <f t="shared" ref="Q1057:Q1120" si="294">COS(J1057)</f>
        <v>0.97854752888164886</v>
      </c>
      <c r="R1057">
        <f t="shared" si="284"/>
        <v>1</v>
      </c>
      <c r="AG1057" s="8">
        <f t="shared" si="287"/>
        <v>-0.47537358220474435</v>
      </c>
      <c r="AH1057" s="8">
        <f t="shared" si="288"/>
        <v>0.58927399503722633</v>
      </c>
      <c r="AI1057" s="8">
        <f t="shared" si="289"/>
        <v>0.6532810391513717</v>
      </c>
      <c r="AJ1057" s="8"/>
      <c r="AK1057" s="8"/>
      <c r="AL1057" s="8"/>
      <c r="AN1057" s="8">
        <f t="shared" ref="AN1057:AN1120" si="295">AG1057^2+AH1057^2+AI1057^2</f>
        <v>1</v>
      </c>
      <c r="AO1057" s="8">
        <f t="shared" ref="AO1057:AO1120" si="296">IF(ATAN2(AG1057,AH1057)&gt;=0,ATAN2(AG1057,AH1057),ATAN2(AG1057,AH1057)+2*PI())</f>
        <v>2.2496157291417385</v>
      </c>
      <c r="AP1057" s="8">
        <f t="shared" ref="AP1057:AP1120" si="297">ACOS(AI1057/AN1057)</f>
        <v>0.85888634422365595</v>
      </c>
      <c r="AQ1057" s="8"/>
      <c r="AR1057" s="8">
        <f t="shared" ref="AR1057:AR1120" si="298">DEGREES(AO1057)</f>
        <v>128.89348680606696</v>
      </c>
      <c r="AS1057" s="8">
        <f t="shared" ref="AS1057:AS1120" si="299">90-DEGREES(AP1057)</f>
        <v>40.789437394564082</v>
      </c>
    </row>
    <row r="1058" spans="1:45">
      <c r="A1058" s="19">
        <v>34.234200000000001</v>
      </c>
      <c r="B1058" s="19">
        <v>697.70175389999997</v>
      </c>
      <c r="C1058" s="19">
        <v>-357.51483180000002</v>
      </c>
      <c r="E1058" s="9">
        <f t="shared" si="285"/>
        <v>-262.29824610000003</v>
      </c>
      <c r="F1058" s="9">
        <f t="shared" si="290"/>
        <v>182.48516819999998</v>
      </c>
      <c r="I1058">
        <v>1</v>
      </c>
      <c r="J1058">
        <f t="shared" si="286"/>
        <v>0.20797865030692939</v>
      </c>
      <c r="K1058">
        <f t="shared" si="291"/>
        <v>2.5337474376253164</v>
      </c>
      <c r="O1058">
        <f t="shared" si="292"/>
        <v>-0.16949748886176511</v>
      </c>
      <c r="P1058">
        <f t="shared" si="293"/>
        <v>0.11792216770151272</v>
      </c>
      <c r="Q1058">
        <f t="shared" si="294"/>
        <v>0.9784502867464101</v>
      </c>
      <c r="R1058">
        <f t="shared" si="284"/>
        <v>1</v>
      </c>
      <c r="AG1058" s="8">
        <f t="shared" si="287"/>
        <v>-0.47500569881336574</v>
      </c>
      <c r="AH1058" s="8">
        <f t="shared" si="288"/>
        <v>0.58960131165303231</v>
      </c>
      <c r="AI1058" s="8">
        <f t="shared" si="289"/>
        <v>0.65325330415685623</v>
      </c>
      <c r="AJ1058" s="8"/>
      <c r="AK1058" s="8"/>
      <c r="AL1058" s="8"/>
      <c r="AN1058" s="8">
        <f t="shared" si="295"/>
        <v>1.0000000000000002</v>
      </c>
      <c r="AO1058" s="8">
        <f t="shared" si="296"/>
        <v>2.2489661224959714</v>
      </c>
      <c r="AP1058" s="8">
        <f t="shared" si="297"/>
        <v>0.85892297609305912</v>
      </c>
      <c r="AQ1058" s="8"/>
      <c r="AR1058" s="8">
        <f t="shared" si="298"/>
        <v>128.85626708692087</v>
      </c>
      <c r="AS1058" s="8">
        <f t="shared" si="299"/>
        <v>40.787338543051604</v>
      </c>
    </row>
    <row r="1059" spans="1:45">
      <c r="A1059" s="19">
        <v>34.267566670000001</v>
      </c>
      <c r="B1059" s="19">
        <v>697.26793840000005</v>
      </c>
      <c r="C1059" s="19">
        <v>-357.44207699999998</v>
      </c>
      <c r="E1059" s="9">
        <f t="shared" si="285"/>
        <v>-262.73206159999995</v>
      </c>
      <c r="F1059" s="9">
        <f t="shared" si="290"/>
        <v>182.55792300000002</v>
      </c>
      <c r="I1059">
        <v>1</v>
      </c>
      <c r="J1059">
        <f t="shared" si="286"/>
        <v>0.20823261931889814</v>
      </c>
      <c r="K1059">
        <f t="shared" si="291"/>
        <v>2.5343351559718919</v>
      </c>
      <c r="O1059">
        <f t="shared" si="292"/>
        <v>-0.16977082807539559</v>
      </c>
      <c r="P1059">
        <f t="shared" si="293"/>
        <v>0.11796432293299647</v>
      </c>
      <c r="Q1059">
        <f t="shared" si="294"/>
        <v>0.97839781502697265</v>
      </c>
      <c r="R1059">
        <f t="shared" si="284"/>
        <v>1</v>
      </c>
      <c r="AG1059" s="8">
        <f t="shared" si="287"/>
        <v>-0.47481745114433266</v>
      </c>
      <c r="AH1059" s="8">
        <f t="shared" si="288"/>
        <v>0.58980521858076651</v>
      </c>
      <c r="AI1059" s="8">
        <f t="shared" si="289"/>
        <v>0.6532060870993881</v>
      </c>
      <c r="AJ1059" s="8"/>
      <c r="AK1059" s="8"/>
      <c r="AL1059" s="8"/>
      <c r="AN1059" s="8">
        <f t="shared" si="295"/>
        <v>0.99999999999999989</v>
      </c>
      <c r="AO1059" s="8">
        <f t="shared" si="296"/>
        <v>2.2486035700695153</v>
      </c>
      <c r="AP1059" s="8">
        <f t="shared" si="297"/>
        <v>0.85898533684888589</v>
      </c>
      <c r="AQ1059" s="8"/>
      <c r="AR1059" s="8">
        <f t="shared" si="298"/>
        <v>128.83549436303269</v>
      </c>
      <c r="AS1059" s="8">
        <f t="shared" si="299"/>
        <v>40.783765534935483</v>
      </c>
    </row>
    <row r="1060" spans="1:45">
      <c r="A1060" s="19">
        <v>34.300933329999999</v>
      </c>
      <c r="B1060" s="19">
        <v>696.48841519999996</v>
      </c>
      <c r="C1060" s="19">
        <v>-357.36200689999998</v>
      </c>
      <c r="E1060" s="9">
        <f t="shared" si="285"/>
        <v>-263.51158480000004</v>
      </c>
      <c r="F1060" s="9">
        <f t="shared" si="290"/>
        <v>182.63799310000002</v>
      </c>
      <c r="I1060">
        <v>1</v>
      </c>
      <c r="J1060">
        <f t="shared" si="286"/>
        <v>0.20867066555791777</v>
      </c>
      <c r="K1060">
        <f t="shared" si="291"/>
        <v>2.5355174240785061</v>
      </c>
      <c r="O1060">
        <f t="shared" si="292"/>
        <v>-0.17026240704759499</v>
      </c>
      <c r="P1060">
        <f t="shared" si="293"/>
        <v>0.11800765551597883</v>
      </c>
      <c r="Q1060">
        <f t="shared" si="294"/>
        <v>0.97830716341340418</v>
      </c>
      <c r="R1060">
        <f t="shared" si="284"/>
        <v>1</v>
      </c>
      <c r="AG1060" s="8">
        <f t="shared" si="287"/>
        <v>-0.47450095485466498</v>
      </c>
      <c r="AH1060" s="8">
        <f t="shared" si="288"/>
        <v>0.59017929510570988</v>
      </c>
      <c r="AI1060" s="8">
        <f t="shared" si="289"/>
        <v>0.65309818823094179</v>
      </c>
      <c r="AJ1060" s="8"/>
      <c r="AK1060" s="8"/>
      <c r="AL1060" s="8"/>
      <c r="AN1060" s="8">
        <f t="shared" si="295"/>
        <v>1</v>
      </c>
      <c r="AO1060" s="8">
        <f t="shared" si="296"/>
        <v>2.2479682471605562</v>
      </c>
      <c r="AP1060" s="8">
        <f t="shared" si="297"/>
        <v>0.85912782900851625</v>
      </c>
      <c r="AQ1060" s="8"/>
      <c r="AR1060" s="8">
        <f t="shared" si="298"/>
        <v>128.79909304172136</v>
      </c>
      <c r="AS1060" s="8">
        <f t="shared" si="299"/>
        <v>40.775601335574962</v>
      </c>
    </row>
    <row r="1061" spans="1:45">
      <c r="A1061" s="19">
        <v>34.334299999999999</v>
      </c>
      <c r="B1061" s="19">
        <v>695.76159410000002</v>
      </c>
      <c r="C1061" s="19">
        <v>-357.38105100000001</v>
      </c>
      <c r="E1061" s="9">
        <f t="shared" si="285"/>
        <v>-264.23840589999998</v>
      </c>
      <c r="F1061" s="9">
        <f t="shared" si="290"/>
        <v>182.61894899999999</v>
      </c>
      <c r="I1061">
        <v>1</v>
      </c>
      <c r="J1061">
        <f t="shared" si="286"/>
        <v>0.2090452758843116</v>
      </c>
      <c r="K1061">
        <f t="shared" si="291"/>
        <v>2.5368551531509462</v>
      </c>
      <c r="O1061">
        <f t="shared" si="292"/>
        <v>-0.17072159349956517</v>
      </c>
      <c r="P1061">
        <f t="shared" si="293"/>
        <v>0.11798813980241252</v>
      </c>
      <c r="Q1061">
        <f t="shared" si="294"/>
        <v>0.97822949065080611</v>
      </c>
      <c r="R1061">
        <f t="shared" si="284"/>
        <v>1</v>
      </c>
      <c r="AG1061" s="8">
        <f t="shared" si="287"/>
        <v>-0.47424613818816597</v>
      </c>
      <c r="AH1061" s="8">
        <f t="shared" si="288"/>
        <v>0.59054239573935041</v>
      </c>
      <c r="AI1061" s="8">
        <f t="shared" si="289"/>
        <v>0.65295503616102035</v>
      </c>
      <c r="AJ1061" s="8"/>
      <c r="AK1061" s="8"/>
      <c r="AL1061" s="8"/>
      <c r="AN1061" s="8">
        <f t="shared" si="295"/>
        <v>1</v>
      </c>
      <c r="AO1061" s="8">
        <f t="shared" si="296"/>
        <v>2.2474056534381708</v>
      </c>
      <c r="AP1061" s="8">
        <f t="shared" si="297"/>
        <v>0.85931684982216616</v>
      </c>
      <c r="AQ1061" s="8"/>
      <c r="AR1061" s="8">
        <f t="shared" si="298"/>
        <v>128.76685879584812</v>
      </c>
      <c r="AS1061" s="8">
        <f t="shared" si="299"/>
        <v>40.76477124071269</v>
      </c>
    </row>
    <row r="1062" spans="1:45">
      <c r="A1062" s="19">
        <v>34.367666669999998</v>
      </c>
      <c r="B1062" s="19">
        <v>695.28714790000004</v>
      </c>
      <c r="C1062" s="19">
        <v>-357.42245880000002</v>
      </c>
      <c r="E1062" s="9">
        <f t="shared" si="285"/>
        <v>-264.71285209999996</v>
      </c>
      <c r="F1062" s="9">
        <f t="shared" si="290"/>
        <v>182.57754119999998</v>
      </c>
      <c r="I1062">
        <v>1</v>
      </c>
      <c r="J1062">
        <f t="shared" si="286"/>
        <v>0.20927947716419212</v>
      </c>
      <c r="K1062">
        <f t="shared" si="291"/>
        <v>2.5377999194951357</v>
      </c>
      <c r="O1062">
        <f t="shared" si="292"/>
        <v>-0.17102157837130519</v>
      </c>
      <c r="P1062">
        <f t="shared" si="293"/>
        <v>0.11795686920172777</v>
      </c>
      <c r="Q1062">
        <f t="shared" si="294"/>
        <v>0.978180860955434</v>
      </c>
      <c r="R1062">
        <f t="shared" si="284"/>
        <v>1</v>
      </c>
      <c r="AG1062" s="8">
        <f t="shared" si="287"/>
        <v>-0.47409223921687271</v>
      </c>
      <c r="AH1062" s="8">
        <f t="shared" si="288"/>
        <v>0.59078380623654447</v>
      </c>
      <c r="AI1062" s="8">
        <f t="shared" si="289"/>
        <v>0.65284840736804495</v>
      </c>
      <c r="AJ1062" s="8"/>
      <c r="AK1062" s="8"/>
      <c r="AL1062" s="8"/>
      <c r="AN1062" s="8">
        <f t="shared" si="295"/>
        <v>1.0000000000000002</v>
      </c>
      <c r="AO1062" s="8">
        <f t="shared" si="296"/>
        <v>2.2470476876956829</v>
      </c>
      <c r="AP1062" s="8">
        <f t="shared" si="297"/>
        <v>0.859457624566902</v>
      </c>
      <c r="AQ1062" s="8"/>
      <c r="AR1062" s="8">
        <f t="shared" si="298"/>
        <v>128.74634886959331</v>
      </c>
      <c r="AS1062" s="8">
        <f t="shared" si="299"/>
        <v>40.756705441977296</v>
      </c>
    </row>
    <row r="1063" spans="1:45">
      <c r="A1063" s="19">
        <v>34.401033329999997</v>
      </c>
      <c r="B1063" s="19">
        <v>694.54051479999998</v>
      </c>
      <c r="C1063" s="19">
        <v>-357.3682053</v>
      </c>
      <c r="E1063" s="9">
        <f t="shared" si="285"/>
        <v>-265.45948520000002</v>
      </c>
      <c r="F1063" s="9">
        <f t="shared" si="290"/>
        <v>182.6317947</v>
      </c>
      <c r="I1063">
        <v>1</v>
      </c>
      <c r="J1063">
        <f t="shared" si="286"/>
        <v>0.20969155314812205</v>
      </c>
      <c r="K1063">
        <f t="shared" si="291"/>
        <v>2.5389769380620573</v>
      </c>
      <c r="O1063">
        <f t="shared" si="292"/>
        <v>-0.17149236656232808</v>
      </c>
      <c r="P1063">
        <f t="shared" si="293"/>
        <v>0.11798395020253828</v>
      </c>
      <c r="Q1063">
        <f t="shared" si="294"/>
        <v>0.97809516699831267</v>
      </c>
      <c r="R1063">
        <f t="shared" si="284"/>
        <v>1</v>
      </c>
      <c r="AG1063" s="8">
        <f t="shared" si="287"/>
        <v>-0.47379858198952862</v>
      </c>
      <c r="AH1063" s="8">
        <f t="shared" si="288"/>
        <v>0.59114508267697041</v>
      </c>
      <c r="AI1063" s="8">
        <f t="shared" si="289"/>
        <v>0.65273455166058869</v>
      </c>
      <c r="AJ1063" s="8"/>
      <c r="AK1063" s="8"/>
      <c r="AL1063" s="8"/>
      <c r="AN1063" s="8">
        <f t="shared" si="295"/>
        <v>1</v>
      </c>
      <c r="AO1063" s="8">
        <f t="shared" si="296"/>
        <v>2.2464469064187766</v>
      </c>
      <c r="AP1063" s="8">
        <f t="shared" si="297"/>
        <v>0.85960792166234801</v>
      </c>
      <c r="AQ1063" s="8"/>
      <c r="AR1063" s="8">
        <f t="shared" si="298"/>
        <v>128.71192663801611</v>
      </c>
      <c r="AS1063" s="8">
        <f t="shared" si="299"/>
        <v>40.748094052735169</v>
      </c>
    </row>
    <row r="1064" spans="1:45">
      <c r="A1064" s="19">
        <v>34.434399999999997</v>
      </c>
      <c r="B1064" s="19">
        <v>694.01813530000004</v>
      </c>
      <c r="C1064" s="19">
        <v>-357.27484190000001</v>
      </c>
      <c r="E1064" s="9">
        <f t="shared" si="285"/>
        <v>-265.98186469999996</v>
      </c>
      <c r="F1064" s="9">
        <f t="shared" si="290"/>
        <v>182.72515809999999</v>
      </c>
      <c r="I1064">
        <v>1</v>
      </c>
      <c r="J1064">
        <f t="shared" si="286"/>
        <v>0.21000000885450848</v>
      </c>
      <c r="K1064">
        <f t="shared" si="291"/>
        <v>2.5396561041287091</v>
      </c>
      <c r="O1064">
        <f t="shared" si="292"/>
        <v>-0.17182112213079923</v>
      </c>
      <c r="P1064">
        <f t="shared" si="293"/>
        <v>0.11803827957098197</v>
      </c>
      <c r="Q1064">
        <f t="shared" si="294"/>
        <v>0.97803091287833821</v>
      </c>
      <c r="R1064">
        <f t="shared" si="284"/>
        <v>1</v>
      </c>
      <c r="AG1064" s="8">
        <f t="shared" si="287"/>
        <v>-0.47356923922921057</v>
      </c>
      <c r="AH1064" s="8">
        <f t="shared" si="288"/>
        <v>0.59138916104474104</v>
      </c>
      <c r="AI1064" s="8">
        <f t="shared" si="289"/>
        <v>0.65267988773568308</v>
      </c>
      <c r="AJ1064" s="8"/>
      <c r="AK1064" s="8"/>
      <c r="AL1064" s="8"/>
      <c r="AN1064" s="8">
        <f t="shared" si="295"/>
        <v>0.99999999999999978</v>
      </c>
      <c r="AO1064" s="8">
        <f t="shared" si="296"/>
        <v>2.2460092225669368</v>
      </c>
      <c r="AP1064" s="8">
        <f t="shared" si="297"/>
        <v>0.85968007475849217</v>
      </c>
      <c r="AQ1064" s="8"/>
      <c r="AR1064" s="8">
        <f t="shared" si="298"/>
        <v>128.68684920054466</v>
      </c>
      <c r="AS1064" s="8">
        <f t="shared" si="299"/>
        <v>40.743959984847301</v>
      </c>
    </row>
    <row r="1065" spans="1:45">
      <c r="A1065" s="19">
        <v>34.467766670000003</v>
      </c>
      <c r="B1065" s="19">
        <v>693.47202879999998</v>
      </c>
      <c r="C1065" s="19">
        <v>-357.28464739999998</v>
      </c>
      <c r="E1065" s="9">
        <f t="shared" si="285"/>
        <v>-266.52797120000002</v>
      </c>
      <c r="F1065" s="9">
        <f t="shared" si="290"/>
        <v>182.71535260000002</v>
      </c>
      <c r="I1065">
        <v>1</v>
      </c>
      <c r="J1065">
        <f t="shared" si="286"/>
        <v>0.21028378009374277</v>
      </c>
      <c r="K1065">
        <f t="shared" si="291"/>
        <v>2.5406380481220667</v>
      </c>
      <c r="O1065">
        <f t="shared" si="292"/>
        <v>-0.17216585083703626</v>
      </c>
      <c r="P1065">
        <f t="shared" si="293"/>
        <v>0.11802642701903437</v>
      </c>
      <c r="Q1065">
        <f t="shared" si="294"/>
        <v>0.97797171857404952</v>
      </c>
      <c r="R1065">
        <f t="shared" si="284"/>
        <v>1</v>
      </c>
      <c r="AG1065" s="8">
        <f t="shared" si="287"/>
        <v>-0.47337567849970175</v>
      </c>
      <c r="AH1065" s="8">
        <f t="shared" si="288"/>
        <v>0.59166085335513696</v>
      </c>
      <c r="AI1065" s="8">
        <f t="shared" si="289"/>
        <v>0.6525740583351578</v>
      </c>
      <c r="AJ1065" s="8"/>
      <c r="AK1065" s="8"/>
      <c r="AL1065" s="8"/>
      <c r="AN1065" s="8">
        <f t="shared" si="295"/>
        <v>0.99999999999999989</v>
      </c>
      <c r="AO1065" s="8">
        <f t="shared" si="296"/>
        <v>2.2455857002686428</v>
      </c>
      <c r="AP1065" s="8">
        <f t="shared" si="297"/>
        <v>0.85981975046355752</v>
      </c>
      <c r="AQ1065" s="8"/>
      <c r="AR1065" s="8">
        <f t="shared" si="298"/>
        <v>128.66258316032273</v>
      </c>
      <c r="AS1065" s="8">
        <f t="shared" si="299"/>
        <v>40.735957156446545</v>
      </c>
    </row>
    <row r="1066" spans="1:45">
      <c r="A1066" s="19">
        <v>34.501133330000002</v>
      </c>
      <c r="B1066" s="19">
        <v>693.07888820000005</v>
      </c>
      <c r="C1066" s="19">
        <v>-357.24959310000003</v>
      </c>
      <c r="E1066" s="9">
        <f t="shared" si="285"/>
        <v>-266.92111179999995</v>
      </c>
      <c r="F1066" s="9">
        <f t="shared" si="290"/>
        <v>182.75040689999997</v>
      </c>
      <c r="I1066">
        <v>1</v>
      </c>
      <c r="J1066">
        <f t="shared" si="286"/>
        <v>0.21050334771154211</v>
      </c>
      <c r="K1066">
        <f t="shared" si="291"/>
        <v>2.5412358470614489</v>
      </c>
      <c r="O1066">
        <f t="shared" si="292"/>
        <v>-0.17241355379326204</v>
      </c>
      <c r="P1066">
        <f t="shared" si="293"/>
        <v>0.1180447919548704</v>
      </c>
      <c r="Q1066">
        <f t="shared" si="294"/>
        <v>0.97792586301861828</v>
      </c>
      <c r="R1066">
        <f t="shared" si="284"/>
        <v>1</v>
      </c>
      <c r="AG1066" s="8">
        <f t="shared" si="287"/>
        <v>-0.47321818698310264</v>
      </c>
      <c r="AH1066" s="8">
        <f t="shared" si="288"/>
        <v>0.5918498628248785</v>
      </c>
      <c r="AI1066" s="8">
        <f t="shared" si="289"/>
        <v>0.65251688666470375</v>
      </c>
      <c r="AJ1066" s="8"/>
      <c r="AK1066" s="8"/>
      <c r="AL1066" s="8"/>
      <c r="AN1066" s="8">
        <f t="shared" si="295"/>
        <v>1</v>
      </c>
      <c r="AO1066" s="8">
        <f t="shared" si="296"/>
        <v>2.2452675898274594</v>
      </c>
      <c r="AP1066" s="8">
        <f t="shared" si="297"/>
        <v>0.85989519975839857</v>
      </c>
      <c r="AQ1066" s="8"/>
      <c r="AR1066" s="8">
        <f t="shared" si="298"/>
        <v>128.64435677462387</v>
      </c>
      <c r="AS1066" s="8">
        <f t="shared" si="299"/>
        <v>40.731634230284918</v>
      </c>
    </row>
    <row r="1067" spans="1:45">
      <c r="A1067" s="19">
        <v>34.534500000000001</v>
      </c>
      <c r="B1067" s="19">
        <v>692.41875019999998</v>
      </c>
      <c r="C1067" s="19">
        <v>-357.17101480000002</v>
      </c>
      <c r="E1067" s="9">
        <f t="shared" si="285"/>
        <v>-267.58124980000002</v>
      </c>
      <c r="F1067" s="9">
        <f t="shared" si="290"/>
        <v>182.82898519999998</v>
      </c>
      <c r="I1067">
        <v>1</v>
      </c>
      <c r="J1067">
        <f t="shared" si="286"/>
        <v>0.21087925219184633</v>
      </c>
      <c r="K1067">
        <f t="shared" si="291"/>
        <v>2.5421865419863332</v>
      </c>
      <c r="O1067">
        <f t="shared" si="292"/>
        <v>-0.17282921037957338</v>
      </c>
      <c r="P1067">
        <f t="shared" si="293"/>
        <v>0.11808820375206541</v>
      </c>
      <c r="Q1067">
        <f t="shared" si="294"/>
        <v>0.97784724787370747</v>
      </c>
      <c r="R1067">
        <f t="shared" si="284"/>
        <v>1</v>
      </c>
      <c r="AG1067" s="8">
        <f t="shared" si="287"/>
        <v>-0.47294521277039481</v>
      </c>
      <c r="AH1067" s="8">
        <f t="shared" si="288"/>
        <v>0.5921640652664597</v>
      </c>
      <c r="AI1067" s="8">
        <f t="shared" si="289"/>
        <v>0.65242972458699811</v>
      </c>
      <c r="AJ1067" s="8"/>
      <c r="AK1067" s="8"/>
      <c r="AL1067" s="8"/>
      <c r="AN1067" s="8">
        <f t="shared" si="295"/>
        <v>1.0000000000000002</v>
      </c>
      <c r="AO1067" s="8">
        <f t="shared" si="296"/>
        <v>2.2447273536326962</v>
      </c>
      <c r="AP1067" s="8">
        <f t="shared" si="297"/>
        <v>0.86001021787819032</v>
      </c>
      <c r="AQ1067" s="8"/>
      <c r="AR1067" s="8">
        <f t="shared" si="298"/>
        <v>128.61340352072372</v>
      </c>
      <c r="AS1067" s="8">
        <f t="shared" si="299"/>
        <v>40.72504417745332</v>
      </c>
    </row>
    <row r="1068" spans="1:45">
      <c r="A1068" s="19">
        <v>34.567866670000001</v>
      </c>
      <c r="B1068" s="19">
        <v>691.54487730000005</v>
      </c>
      <c r="C1068" s="19">
        <v>-356.93075040000002</v>
      </c>
      <c r="E1068" s="9">
        <f t="shared" si="285"/>
        <v>-268.45512269999995</v>
      </c>
      <c r="F1068" s="9">
        <f t="shared" si="290"/>
        <v>183.06924959999998</v>
      </c>
      <c r="I1068">
        <v>1</v>
      </c>
      <c r="J1068">
        <f t="shared" si="286"/>
        <v>0.21142601158651864</v>
      </c>
      <c r="K1068">
        <f t="shared" si="291"/>
        <v>2.5430932415541192</v>
      </c>
      <c r="O1068">
        <f t="shared" si="292"/>
        <v>-0.17337789983264637</v>
      </c>
      <c r="P1068">
        <f t="shared" si="293"/>
        <v>0.11823265542619707</v>
      </c>
      <c r="Q1068">
        <f t="shared" si="294"/>
        <v>0.97773265417520494</v>
      </c>
      <c r="R1068">
        <f t="shared" si="284"/>
        <v>1</v>
      </c>
      <c r="AG1068" s="8">
        <f t="shared" si="287"/>
        <v>-0.4725251600022386</v>
      </c>
      <c r="AH1068" s="8">
        <f t="shared" si="288"/>
        <v>0.5925586632038089</v>
      </c>
      <c r="AI1068" s="8">
        <f t="shared" si="289"/>
        <v>0.6523758148697526</v>
      </c>
      <c r="AJ1068" s="8"/>
      <c r="AK1068" s="8"/>
      <c r="AL1068" s="8"/>
      <c r="AN1068" s="8">
        <f t="shared" si="295"/>
        <v>1</v>
      </c>
      <c r="AO1068" s="8">
        <f t="shared" si="296"/>
        <v>2.2439693702269197</v>
      </c>
      <c r="AP1068" s="8">
        <f t="shared" si="297"/>
        <v>0.86008135084842552</v>
      </c>
      <c r="AQ1068" s="8"/>
      <c r="AR1068" s="8">
        <f t="shared" si="298"/>
        <v>128.56997427063177</v>
      </c>
      <c r="AS1068" s="8">
        <f t="shared" si="299"/>
        <v>40.72096855847461</v>
      </c>
    </row>
    <row r="1069" spans="1:45">
      <c r="A1069" s="19">
        <v>34.601233329999999</v>
      </c>
      <c r="B1069" s="19">
        <v>691.14941260000001</v>
      </c>
      <c r="C1069" s="19">
        <v>-356.63581499999998</v>
      </c>
      <c r="E1069" s="9">
        <f t="shared" si="285"/>
        <v>-268.85058739999999</v>
      </c>
      <c r="F1069" s="9">
        <f t="shared" si="290"/>
        <v>183.36418500000002</v>
      </c>
      <c r="I1069">
        <v>1</v>
      </c>
      <c r="J1069">
        <f t="shared" si="286"/>
        <v>0.21174034540338274</v>
      </c>
      <c r="K1069">
        <f t="shared" si="291"/>
        <v>2.5430291284228783</v>
      </c>
      <c r="O1069">
        <f t="shared" si="292"/>
        <v>-0.17362421371352887</v>
      </c>
      <c r="P1069">
        <f t="shared" si="293"/>
        <v>0.11841693466892181</v>
      </c>
      <c r="Q1069">
        <f t="shared" si="294"/>
        <v>0.97766664154811744</v>
      </c>
      <c r="R1069">
        <f t="shared" si="284"/>
        <v>1</v>
      </c>
      <c r="AG1069" s="8">
        <f t="shared" si="287"/>
        <v>-0.47225492126877244</v>
      </c>
      <c r="AH1069" s="8">
        <f t="shared" si="288"/>
        <v>0.59270828617853399</v>
      </c>
      <c r="AI1069" s="8">
        <f t="shared" si="289"/>
        <v>0.6524355729363096</v>
      </c>
      <c r="AJ1069" s="8"/>
      <c r="AK1069" s="8"/>
      <c r="AL1069" s="8"/>
      <c r="AN1069" s="8">
        <f t="shared" si="295"/>
        <v>1</v>
      </c>
      <c r="AO1069" s="8">
        <f t="shared" si="296"/>
        <v>2.2435674790911859</v>
      </c>
      <c r="AP1069" s="8">
        <f t="shared" si="297"/>
        <v>0.86000250081718133</v>
      </c>
      <c r="AQ1069" s="8"/>
      <c r="AR1069" s="8">
        <f t="shared" si="298"/>
        <v>128.54694760473052</v>
      </c>
      <c r="AS1069" s="8">
        <f t="shared" si="299"/>
        <v>40.725486332479377</v>
      </c>
    </row>
    <row r="1070" spans="1:45">
      <c r="A1070" s="19">
        <v>34.634599999999999</v>
      </c>
      <c r="B1070" s="19">
        <v>690.51142909999999</v>
      </c>
      <c r="C1070" s="19">
        <v>-356.5199824</v>
      </c>
      <c r="E1070" s="9">
        <f t="shared" si="285"/>
        <v>-269.48857090000001</v>
      </c>
      <c r="F1070" s="9">
        <f t="shared" si="290"/>
        <v>183.4800176</v>
      </c>
      <c r="I1070">
        <v>1</v>
      </c>
      <c r="J1070">
        <f t="shared" si="286"/>
        <v>0.21211811330718472</v>
      </c>
      <c r="K1070">
        <f t="shared" si="291"/>
        <v>2.5438382238200248</v>
      </c>
      <c r="O1070">
        <f t="shared" si="292"/>
        <v>-0.17402524468116506</v>
      </c>
      <c r="P1070">
        <f t="shared" si="293"/>
        <v>0.11848426391630872</v>
      </c>
      <c r="Q1070">
        <f t="shared" si="294"/>
        <v>0.97758717944635054</v>
      </c>
      <c r="R1070">
        <f t="shared" si="284"/>
        <v>1</v>
      </c>
      <c r="AG1070" s="8">
        <f t="shared" si="287"/>
        <v>-0.47197382622667949</v>
      </c>
      <c r="AH1070" s="8">
        <f t="shared" si="288"/>
        <v>0.59300532916985493</v>
      </c>
      <c r="AI1070" s="8">
        <f t="shared" si="289"/>
        <v>0.65236905730813155</v>
      </c>
      <c r="AJ1070" s="8"/>
      <c r="AK1070" s="8"/>
      <c r="AL1070" s="8"/>
      <c r="AN1070" s="8">
        <f t="shared" si="295"/>
        <v>1</v>
      </c>
      <c r="AO1070" s="8">
        <f t="shared" si="296"/>
        <v>2.2430331776134489</v>
      </c>
      <c r="AP1070" s="8">
        <f t="shared" si="297"/>
        <v>0.86009026703076286</v>
      </c>
      <c r="AQ1070" s="8"/>
      <c r="AR1070" s="8">
        <f t="shared" si="298"/>
        <v>128.51633438506857</v>
      </c>
      <c r="AS1070" s="8">
        <f t="shared" si="299"/>
        <v>40.720457698857317</v>
      </c>
    </row>
    <row r="1071" spans="1:45">
      <c r="A1071" s="19">
        <v>34.667966669999998</v>
      </c>
      <c r="B1071" s="19">
        <v>689.73839829999997</v>
      </c>
      <c r="C1071" s="19">
        <v>-356.37872670000002</v>
      </c>
      <c r="E1071" s="9">
        <f t="shared" si="285"/>
        <v>-270.26160170000003</v>
      </c>
      <c r="F1071" s="9">
        <f t="shared" si="290"/>
        <v>183.62127329999998</v>
      </c>
      <c r="I1071">
        <v>1</v>
      </c>
      <c r="J1071">
        <f t="shared" si="286"/>
        <v>0.21257627872057133</v>
      </c>
      <c r="K1071">
        <f t="shared" si="291"/>
        <v>2.5448123668160574</v>
      </c>
      <c r="O1071">
        <f t="shared" si="292"/>
        <v>-0.17451104181405819</v>
      </c>
      <c r="P1071">
        <f t="shared" si="293"/>
        <v>0.11856637976406585</v>
      </c>
      <c r="Q1071">
        <f t="shared" si="294"/>
        <v>0.97749061881667965</v>
      </c>
      <c r="R1071">
        <f t="shared" si="284"/>
        <v>1</v>
      </c>
      <c r="AG1071" s="8">
        <f t="shared" si="287"/>
        <v>-0.47163278593524216</v>
      </c>
      <c r="AH1071" s="8">
        <f t="shared" si="288"/>
        <v>0.59336491914262257</v>
      </c>
      <c r="AI1071" s="8">
        <f t="shared" si="289"/>
        <v>0.65228873051880254</v>
      </c>
      <c r="AJ1071" s="8"/>
      <c r="AK1071" s="8"/>
      <c r="AL1071" s="8"/>
      <c r="AN1071" s="8">
        <f t="shared" si="295"/>
        <v>1</v>
      </c>
      <c r="AO1071" s="8">
        <f t="shared" si="296"/>
        <v>2.2423856978017054</v>
      </c>
      <c r="AP1071" s="8">
        <f t="shared" si="297"/>
        <v>0.86019624799362537</v>
      </c>
      <c r="AQ1071" s="8"/>
      <c r="AR1071" s="8">
        <f t="shared" si="298"/>
        <v>128.47923652453576</v>
      </c>
      <c r="AS1071" s="8">
        <f t="shared" si="299"/>
        <v>40.714385436976556</v>
      </c>
    </row>
    <row r="1072" spans="1:45">
      <c r="A1072" s="19">
        <v>34.701333329999997</v>
      </c>
      <c r="B1072" s="19">
        <v>689.09313039999995</v>
      </c>
      <c r="C1072" s="19">
        <v>-356.19436990000003</v>
      </c>
      <c r="E1072" s="9">
        <f t="shared" si="285"/>
        <v>-270.90686960000005</v>
      </c>
      <c r="F1072" s="9">
        <f t="shared" si="290"/>
        <v>183.80563009999997</v>
      </c>
      <c r="I1072">
        <v>1</v>
      </c>
      <c r="J1072">
        <f t="shared" si="286"/>
        <v>0.2129825859276688</v>
      </c>
      <c r="K1072">
        <f t="shared" si="291"/>
        <v>2.5454542541105996</v>
      </c>
      <c r="O1072">
        <f t="shared" si="292"/>
        <v>-0.17491575274183496</v>
      </c>
      <c r="P1072">
        <f t="shared" si="293"/>
        <v>0.11867731591524319</v>
      </c>
      <c r="Q1072">
        <f t="shared" si="294"/>
        <v>0.97740481589253014</v>
      </c>
      <c r="R1072">
        <f t="shared" si="284"/>
        <v>1</v>
      </c>
      <c r="AG1072" s="8">
        <f t="shared" si="287"/>
        <v>-0.47131947922184825</v>
      </c>
      <c r="AH1072" s="8">
        <f t="shared" si="288"/>
        <v>0.59365460923120283</v>
      </c>
      <c r="AI1072" s="8">
        <f t="shared" si="289"/>
        <v>0.65225160286855066</v>
      </c>
      <c r="AJ1072" s="8"/>
      <c r="AK1072" s="8"/>
      <c r="AL1072" s="8"/>
      <c r="AN1072" s="8">
        <f t="shared" si="295"/>
        <v>0.99999999999999989</v>
      </c>
      <c r="AO1072" s="8">
        <f t="shared" si="296"/>
        <v>2.2418243260329218</v>
      </c>
      <c r="AP1072" s="8">
        <f t="shared" si="297"/>
        <v>0.86024522993087549</v>
      </c>
      <c r="AQ1072" s="8"/>
      <c r="AR1072" s="8">
        <f t="shared" si="298"/>
        <v>128.44707229144666</v>
      </c>
      <c r="AS1072" s="8">
        <f t="shared" si="299"/>
        <v>40.711578978699755</v>
      </c>
    </row>
    <row r="1073" spans="1:45">
      <c r="A1073" s="19">
        <v>34.734699999999997</v>
      </c>
      <c r="B1073" s="19">
        <v>688.44314840000004</v>
      </c>
      <c r="C1073" s="19">
        <v>-356.14414629999999</v>
      </c>
      <c r="E1073" s="9">
        <f t="shared" si="285"/>
        <v>-271.55685159999996</v>
      </c>
      <c r="F1073" s="9">
        <f t="shared" si="290"/>
        <v>183.85585370000001</v>
      </c>
      <c r="I1073">
        <v>1</v>
      </c>
      <c r="J1073">
        <f t="shared" si="286"/>
        <v>0.21334346600800896</v>
      </c>
      <c r="K1073">
        <f t="shared" si="291"/>
        <v>2.5464403201115018</v>
      </c>
      <c r="O1073">
        <f t="shared" si="292"/>
        <v>-0.17532475927516639</v>
      </c>
      <c r="P1073">
        <f t="shared" si="293"/>
        <v>0.11870252251548313</v>
      </c>
      <c r="Q1073">
        <f t="shared" si="294"/>
        <v>0.97732847084977836</v>
      </c>
      <c r="R1073">
        <f t="shared" si="284"/>
        <v>1</v>
      </c>
      <c r="AG1073" s="8">
        <f t="shared" si="287"/>
        <v>-0.47106212697649436</v>
      </c>
      <c r="AH1073" s="8">
        <f t="shared" si="288"/>
        <v>0.59396728674116028</v>
      </c>
      <c r="AI1073" s="8">
        <f t="shared" si="289"/>
        <v>0.65215284620227276</v>
      </c>
      <c r="AJ1073" s="8"/>
      <c r="AK1073" s="8"/>
      <c r="AL1073" s="8"/>
      <c r="AN1073" s="8">
        <f t="shared" si="295"/>
        <v>0.99999999999999978</v>
      </c>
      <c r="AO1073" s="8">
        <f t="shared" si="296"/>
        <v>2.2413019930794995</v>
      </c>
      <c r="AP1073" s="8">
        <f t="shared" si="297"/>
        <v>0.86037550803228735</v>
      </c>
      <c r="AQ1073" s="8"/>
      <c r="AR1073" s="8">
        <f t="shared" si="298"/>
        <v>128.41714481771496</v>
      </c>
      <c r="AS1073" s="8">
        <f t="shared" si="299"/>
        <v>40.704114593325876</v>
      </c>
    </row>
    <row r="1074" spans="1:45">
      <c r="A1074" s="19">
        <v>34.768066670000003</v>
      </c>
      <c r="B1074" s="19">
        <v>687.74302460000001</v>
      </c>
      <c r="C1074" s="19">
        <v>-356.06486640000003</v>
      </c>
      <c r="E1074" s="9">
        <f t="shared" si="285"/>
        <v>-272.25697539999999</v>
      </c>
      <c r="F1074" s="9">
        <f t="shared" si="290"/>
        <v>183.93513359999997</v>
      </c>
      <c r="I1074">
        <v>1</v>
      </c>
      <c r="J1074">
        <f t="shared" si="286"/>
        <v>0.21374133822949715</v>
      </c>
      <c r="K1074">
        <f t="shared" si="291"/>
        <v>2.5474351417318934</v>
      </c>
      <c r="O1074">
        <f t="shared" si="292"/>
        <v>-0.1757649570254424</v>
      </c>
      <c r="P1074">
        <f t="shared" si="293"/>
        <v>0.11874572104231573</v>
      </c>
      <c r="Q1074">
        <f t="shared" si="294"/>
        <v>0.97724415251051</v>
      </c>
      <c r="R1074">
        <f t="shared" si="284"/>
        <v>1</v>
      </c>
      <c r="AG1074" s="8">
        <f t="shared" si="287"/>
        <v>-0.47077403780032562</v>
      </c>
      <c r="AH1074" s="8">
        <f t="shared" si="288"/>
        <v>0.59430001651827591</v>
      </c>
      <c r="AI1074" s="8">
        <f t="shared" si="289"/>
        <v>0.65205773954424828</v>
      </c>
      <c r="AJ1074" s="8"/>
      <c r="AK1074" s="8"/>
      <c r="AL1074" s="8"/>
      <c r="AN1074" s="8">
        <f t="shared" si="295"/>
        <v>1</v>
      </c>
      <c r="AO1074" s="8">
        <f t="shared" si="296"/>
        <v>2.2407315763616418</v>
      </c>
      <c r="AP1074" s="8">
        <f t="shared" si="297"/>
        <v>0.8605009573056448</v>
      </c>
      <c r="AQ1074" s="8"/>
      <c r="AR1074" s="8">
        <f t="shared" si="298"/>
        <v>128.384462347218</v>
      </c>
      <c r="AS1074" s="8">
        <f t="shared" si="299"/>
        <v>40.696926879419507</v>
      </c>
    </row>
    <row r="1075" spans="1:45">
      <c r="A1075" s="19">
        <v>34.801433330000002</v>
      </c>
      <c r="B1075" s="19">
        <v>687.29784589999997</v>
      </c>
      <c r="C1075" s="19">
        <v>-356.07114130000002</v>
      </c>
      <c r="E1075" s="9">
        <f t="shared" si="285"/>
        <v>-272.70215410000003</v>
      </c>
      <c r="F1075" s="9">
        <f t="shared" si="290"/>
        <v>183.92885869999998</v>
      </c>
      <c r="I1075">
        <v>1</v>
      </c>
      <c r="J1075">
        <f t="shared" si="286"/>
        <v>0.21397420615684326</v>
      </c>
      <c r="K1075">
        <f t="shared" si="291"/>
        <v>2.548208600586189</v>
      </c>
      <c r="O1075">
        <f t="shared" si="292"/>
        <v>-0.17604541125288911</v>
      </c>
      <c r="P1075">
        <f t="shared" si="293"/>
        <v>0.11873698496434444</v>
      </c>
      <c r="Q1075">
        <f t="shared" si="294"/>
        <v>0.97719473063375561</v>
      </c>
      <c r="R1075">
        <f t="shared" si="284"/>
        <v>1</v>
      </c>
      <c r="AG1075" s="8">
        <f t="shared" si="287"/>
        <v>-0.47061520770025989</v>
      </c>
      <c r="AH1075" s="8">
        <f t="shared" si="288"/>
        <v>0.59452029644594884</v>
      </c>
      <c r="AI1075" s="8">
        <f t="shared" si="289"/>
        <v>0.65197158173885339</v>
      </c>
      <c r="AJ1075" s="8"/>
      <c r="AK1075" s="8"/>
      <c r="AL1075" s="8"/>
      <c r="AN1075" s="8">
        <f t="shared" si="295"/>
        <v>1</v>
      </c>
      <c r="AO1075" s="8">
        <f t="shared" si="296"/>
        <v>2.2403869898707054</v>
      </c>
      <c r="AP1075" s="8">
        <f t="shared" si="297"/>
        <v>0.86061459102100513</v>
      </c>
      <c r="AQ1075" s="8"/>
      <c r="AR1075" s="8">
        <f t="shared" si="298"/>
        <v>128.36471899561013</v>
      </c>
      <c r="AS1075" s="8">
        <f t="shared" si="299"/>
        <v>40.690416147118974</v>
      </c>
    </row>
    <row r="1076" spans="1:45">
      <c r="A1076" s="19">
        <v>34.834800000000001</v>
      </c>
      <c r="B1076" s="19">
        <v>686.68326100000002</v>
      </c>
      <c r="C1076" s="19">
        <v>-355.99297919999998</v>
      </c>
      <c r="E1076" s="9">
        <f t="shared" si="285"/>
        <v>-273.31673899999998</v>
      </c>
      <c r="F1076" s="9">
        <f t="shared" si="290"/>
        <v>184.00702080000002</v>
      </c>
      <c r="I1076">
        <v>1</v>
      </c>
      <c r="J1076">
        <f t="shared" si="286"/>
        <v>0.21432674494206791</v>
      </c>
      <c r="K1076">
        <f t="shared" si="291"/>
        <v>2.5490549409890026</v>
      </c>
      <c r="O1076">
        <f t="shared" si="292"/>
        <v>-0.17643160010159031</v>
      </c>
      <c r="P1076">
        <f t="shared" si="293"/>
        <v>0.11878033240280472</v>
      </c>
      <c r="Q1076">
        <f t="shared" si="294"/>
        <v>0.97711981001301562</v>
      </c>
      <c r="R1076">
        <f t="shared" si="284"/>
        <v>1</v>
      </c>
      <c r="AG1076" s="8">
        <f t="shared" si="287"/>
        <v>-0.47035855761768042</v>
      </c>
      <c r="AH1076" s="8">
        <f t="shared" si="288"/>
        <v>0.59481081340290842</v>
      </c>
      <c r="AI1076" s="8">
        <f t="shared" si="289"/>
        <v>0.65189180354932041</v>
      </c>
      <c r="AJ1076" s="8"/>
      <c r="AK1076" s="8"/>
      <c r="AL1076" s="8"/>
      <c r="AN1076" s="8">
        <f t="shared" si="295"/>
        <v>1</v>
      </c>
      <c r="AO1076" s="8">
        <f t="shared" si="296"/>
        <v>2.2398838369864889</v>
      </c>
      <c r="AP1076" s="8">
        <f t="shared" si="297"/>
        <v>0.86071980074800014</v>
      </c>
      <c r="AQ1076" s="8"/>
      <c r="AR1076" s="8">
        <f t="shared" si="298"/>
        <v>128.33589045889468</v>
      </c>
      <c r="AS1076" s="8">
        <f t="shared" si="299"/>
        <v>40.684388073798438</v>
      </c>
    </row>
    <row r="1077" spans="1:45">
      <c r="A1077" s="19">
        <v>34.868166670000001</v>
      </c>
      <c r="B1077" s="19">
        <v>686.20880839999995</v>
      </c>
      <c r="C1077" s="19">
        <v>-355.9800401</v>
      </c>
      <c r="E1077" s="9">
        <f t="shared" si="285"/>
        <v>-273.79119160000005</v>
      </c>
      <c r="F1077" s="9">
        <f t="shared" si="290"/>
        <v>184.0199599</v>
      </c>
      <c r="I1077">
        <v>1</v>
      </c>
      <c r="J1077">
        <f t="shared" si="286"/>
        <v>0.21458212578346678</v>
      </c>
      <c r="K1077">
        <f t="shared" si="291"/>
        <v>2.5498256103666224</v>
      </c>
      <c r="O1077">
        <f t="shared" si="292"/>
        <v>-0.17673018766570661</v>
      </c>
      <c r="P1077">
        <f t="shared" si="293"/>
        <v>0.11878352206040371</v>
      </c>
      <c r="Q1077">
        <f t="shared" si="294"/>
        <v>0.97706546129446703</v>
      </c>
      <c r="R1077">
        <f t="shared" si="284"/>
        <v>1</v>
      </c>
      <c r="AG1077" s="8">
        <f t="shared" si="287"/>
        <v>-0.47018078370482363</v>
      </c>
      <c r="AH1077" s="8">
        <f t="shared" si="288"/>
        <v>0.59504235980011233</v>
      </c>
      <c r="AI1077" s="8">
        <f t="shared" si="289"/>
        <v>0.65180873013348906</v>
      </c>
      <c r="AJ1077" s="8"/>
      <c r="AK1077" s="8"/>
      <c r="AL1077" s="8"/>
      <c r="AN1077" s="8">
        <f t="shared" si="295"/>
        <v>1</v>
      </c>
      <c r="AO1077" s="8">
        <f t="shared" si="296"/>
        <v>2.2395105889335838</v>
      </c>
      <c r="AP1077" s="8">
        <f t="shared" si="297"/>
        <v>0.86082934603479699</v>
      </c>
      <c r="AQ1077" s="8"/>
      <c r="AR1077" s="8">
        <f t="shared" si="298"/>
        <v>128.31450492075174</v>
      </c>
      <c r="AS1077" s="8">
        <f t="shared" si="299"/>
        <v>40.678111591199425</v>
      </c>
    </row>
    <row r="1078" spans="1:45">
      <c r="A1078" s="19">
        <v>34.901533329999999</v>
      </c>
      <c r="B1078" s="19">
        <v>685.5247597</v>
      </c>
      <c r="C1078" s="19">
        <v>-355.9004577</v>
      </c>
      <c r="E1078" s="9">
        <f t="shared" si="285"/>
        <v>-274.4752403</v>
      </c>
      <c r="F1078" s="9">
        <f t="shared" si="290"/>
        <v>184.0995423</v>
      </c>
      <c r="I1078">
        <v>1</v>
      </c>
      <c r="J1078">
        <f t="shared" si="286"/>
        <v>0.21497211224916057</v>
      </c>
      <c r="K1078">
        <f t="shared" si="291"/>
        <v>2.5507803254763752</v>
      </c>
      <c r="O1078">
        <f t="shared" si="292"/>
        <v>-0.17715994930952375</v>
      </c>
      <c r="P1078">
        <f t="shared" si="293"/>
        <v>0.11882698616504143</v>
      </c>
      <c r="Q1078">
        <f t="shared" si="294"/>
        <v>0.97698234360687397</v>
      </c>
      <c r="R1078">
        <f t="shared" si="284"/>
        <v>1</v>
      </c>
      <c r="AG1078" s="8">
        <f t="shared" si="287"/>
        <v>-0.46989823209860299</v>
      </c>
      <c r="AH1078" s="8">
        <f t="shared" si="288"/>
        <v>0.5953666004398489</v>
      </c>
      <c r="AI1078" s="8">
        <f t="shared" si="289"/>
        <v>0.65171639733192588</v>
      </c>
      <c r="AJ1078" s="8"/>
      <c r="AK1078" s="8"/>
      <c r="AL1078" s="8"/>
      <c r="AN1078" s="8">
        <f t="shared" si="295"/>
        <v>1</v>
      </c>
      <c r="AO1078" s="8">
        <f t="shared" si="296"/>
        <v>2.2389532544184547</v>
      </c>
      <c r="AP1078" s="8">
        <f t="shared" si="297"/>
        <v>0.86095108916841767</v>
      </c>
      <c r="AQ1078" s="8"/>
      <c r="AR1078" s="8">
        <f t="shared" si="298"/>
        <v>128.28257200525789</v>
      </c>
      <c r="AS1078" s="8">
        <f t="shared" si="299"/>
        <v>40.671136223458262</v>
      </c>
    </row>
    <row r="1079" spans="1:45">
      <c r="A1079" s="19">
        <v>34.934899999999999</v>
      </c>
      <c r="B1079" s="19">
        <v>684.79657429999997</v>
      </c>
      <c r="C1079" s="19">
        <v>-355.72691800000001</v>
      </c>
      <c r="E1079" s="9">
        <f t="shared" si="285"/>
        <v>-275.20342570000003</v>
      </c>
      <c r="F1079" s="9">
        <f t="shared" si="290"/>
        <v>184.27308199999999</v>
      </c>
      <c r="I1079">
        <v>1</v>
      </c>
      <c r="J1079">
        <f t="shared" si="286"/>
        <v>0.21541887105799654</v>
      </c>
      <c r="K1079">
        <f t="shared" si="291"/>
        <v>2.5515698864897289</v>
      </c>
      <c r="O1079">
        <f t="shared" si="292"/>
        <v>-0.17761637722569551</v>
      </c>
      <c r="P1079">
        <f t="shared" si="293"/>
        <v>0.11892990489417997</v>
      </c>
      <c r="Q1079">
        <f t="shared" si="294"/>
        <v>0.97688694343976201</v>
      </c>
      <c r="R1079">
        <f t="shared" si="284"/>
        <v>1</v>
      </c>
      <c r="AG1079" s="8">
        <f t="shared" si="287"/>
        <v>-0.46955920723792949</v>
      </c>
      <c r="AH1079" s="8">
        <f t="shared" si="288"/>
        <v>0.59569778771733417</v>
      </c>
      <c r="AI1079" s="8">
        <f t="shared" si="289"/>
        <v>0.65165811328238765</v>
      </c>
      <c r="AJ1079" s="8"/>
      <c r="AK1079" s="8"/>
      <c r="AL1079" s="8"/>
      <c r="AN1079" s="8">
        <f t="shared" si="295"/>
        <v>1</v>
      </c>
      <c r="AO1079" s="8">
        <f t="shared" si="296"/>
        <v>2.2383318984180667</v>
      </c>
      <c r="AP1079" s="8">
        <f t="shared" si="297"/>
        <v>0.86102793160500302</v>
      </c>
      <c r="AQ1079" s="8"/>
      <c r="AR1079" s="8">
        <f t="shared" si="298"/>
        <v>128.24697092886052</v>
      </c>
      <c r="AS1079" s="8">
        <f t="shared" si="299"/>
        <v>40.66673347615442</v>
      </c>
    </row>
    <row r="1080" spans="1:45">
      <c r="A1080" s="19">
        <v>34.968266669999998</v>
      </c>
      <c r="B1080" s="19">
        <v>684.21938</v>
      </c>
      <c r="C1080" s="19">
        <v>-355.66103609999999</v>
      </c>
      <c r="E1080" s="9">
        <f t="shared" si="285"/>
        <v>-275.78062</v>
      </c>
      <c r="F1080" s="9">
        <f t="shared" si="290"/>
        <v>184.33896390000001</v>
      </c>
      <c r="I1080">
        <v>1</v>
      </c>
      <c r="J1080">
        <f t="shared" si="286"/>
        <v>0.21574766767751555</v>
      </c>
      <c r="K1080">
        <f t="shared" si="291"/>
        <v>2.5523729706961271</v>
      </c>
      <c r="O1080">
        <f t="shared" si="292"/>
        <v>-0.17797885617611509</v>
      </c>
      <c r="P1080">
        <f t="shared" si="293"/>
        <v>0.11896571246961513</v>
      </c>
      <c r="Q1080">
        <f t="shared" si="294"/>
        <v>0.97681660817721494</v>
      </c>
      <c r="R1080">
        <f t="shared" si="284"/>
        <v>1</v>
      </c>
      <c r="AG1080" s="8">
        <f t="shared" si="287"/>
        <v>-0.46932125990453888</v>
      </c>
      <c r="AH1080" s="8">
        <f t="shared" si="288"/>
        <v>0.59597130374215956</v>
      </c>
      <c r="AI1080" s="8">
        <f t="shared" si="289"/>
        <v>0.65157943500197024</v>
      </c>
      <c r="AJ1080" s="8"/>
      <c r="AK1080" s="8"/>
      <c r="AL1080" s="8"/>
      <c r="AN1080" s="8">
        <f t="shared" si="295"/>
        <v>0.99999999999999989</v>
      </c>
      <c r="AO1080" s="8">
        <f t="shared" si="296"/>
        <v>2.2378623468381971</v>
      </c>
      <c r="AP1080" s="8">
        <f t="shared" si="297"/>
        <v>0.86113165401119485</v>
      </c>
      <c r="AQ1080" s="8"/>
      <c r="AR1080" s="8">
        <f t="shared" si="298"/>
        <v>128.22006760507031</v>
      </c>
      <c r="AS1080" s="8">
        <f t="shared" si="299"/>
        <v>40.660790620038689</v>
      </c>
    </row>
    <row r="1081" spans="1:45">
      <c r="A1081" s="19">
        <v>35.001633329999997</v>
      </c>
      <c r="B1081" s="19">
        <v>683.46806949999996</v>
      </c>
      <c r="C1081" s="19">
        <v>-355.50585869999998</v>
      </c>
      <c r="E1081" s="9">
        <f t="shared" si="285"/>
        <v>-276.53193050000004</v>
      </c>
      <c r="F1081" s="9">
        <f t="shared" si="290"/>
        <v>184.49414130000002</v>
      </c>
      <c r="I1081">
        <v>1</v>
      </c>
      <c r="J1081">
        <f t="shared" si="286"/>
        <v>0.21620031273206025</v>
      </c>
      <c r="K1081">
        <f t="shared" si="291"/>
        <v>2.5532408355882463</v>
      </c>
      <c r="O1081">
        <f t="shared" si="292"/>
        <v>-0.17844982341711213</v>
      </c>
      <c r="P1081">
        <f t="shared" si="293"/>
        <v>0.11905658372596768</v>
      </c>
      <c r="Q1081">
        <f t="shared" si="294"/>
        <v>0.97671960684420744</v>
      </c>
      <c r="R1081">
        <f t="shared" si="284"/>
        <v>1</v>
      </c>
      <c r="AG1081" s="8">
        <f t="shared" si="287"/>
        <v>-0.46898163928233394</v>
      </c>
      <c r="AH1081" s="8">
        <f t="shared" si="288"/>
        <v>0.59631636729753923</v>
      </c>
      <c r="AI1081" s="8">
        <f t="shared" si="289"/>
        <v>0.6515082594327728</v>
      </c>
      <c r="AJ1081" s="8"/>
      <c r="AK1081" s="8"/>
      <c r="AL1081" s="8"/>
      <c r="AN1081" s="8">
        <f t="shared" si="295"/>
        <v>1</v>
      </c>
      <c r="AO1081" s="8">
        <f t="shared" si="296"/>
        <v>2.2372292351517813</v>
      </c>
      <c r="AP1081" s="8">
        <f t="shared" si="297"/>
        <v>0.86122547755368817</v>
      </c>
      <c r="AQ1081" s="8"/>
      <c r="AR1081" s="8">
        <f t="shared" si="298"/>
        <v>128.18379297747828</v>
      </c>
      <c r="AS1081" s="8">
        <f t="shared" si="299"/>
        <v>40.655414927034855</v>
      </c>
    </row>
    <row r="1082" spans="1:45">
      <c r="A1082" s="19">
        <v>35.034999999999997</v>
      </c>
      <c r="B1082" s="19">
        <v>682.86910799999998</v>
      </c>
      <c r="C1082" s="19">
        <v>-355.44469930000002</v>
      </c>
      <c r="E1082" s="9">
        <f t="shared" si="285"/>
        <v>-277.13089200000002</v>
      </c>
      <c r="F1082" s="9">
        <f t="shared" si="290"/>
        <v>184.55530069999998</v>
      </c>
      <c r="I1082">
        <v>1</v>
      </c>
      <c r="J1082">
        <f t="shared" si="286"/>
        <v>0.21653915648678335</v>
      </c>
      <c r="K1082">
        <f t="shared" si="291"/>
        <v>2.5540864100791212</v>
      </c>
      <c r="O1082">
        <f t="shared" si="292"/>
        <v>-0.17882588313988307</v>
      </c>
      <c r="P1082">
        <f t="shared" si="293"/>
        <v>0.11908908601868962</v>
      </c>
      <c r="Q1082">
        <f t="shared" si="294"/>
        <v>0.97664686202868334</v>
      </c>
      <c r="R1082">
        <f t="shared" si="284"/>
        <v>1</v>
      </c>
      <c r="AG1082" s="8">
        <f t="shared" si="287"/>
        <v>-0.46873773608750857</v>
      </c>
      <c r="AH1082" s="8">
        <f t="shared" si="288"/>
        <v>0.59660103993408653</v>
      </c>
      <c r="AI1082" s="8">
        <f t="shared" si="289"/>
        <v>0.65142316040890325</v>
      </c>
      <c r="AJ1082" s="8"/>
      <c r="AK1082" s="8"/>
      <c r="AL1082" s="8"/>
      <c r="AN1082" s="8">
        <f t="shared" si="295"/>
        <v>1</v>
      </c>
      <c r="AO1082" s="8">
        <f t="shared" si="296"/>
        <v>2.2367446045242887</v>
      </c>
      <c r="AP1082" s="8">
        <f t="shared" si="297"/>
        <v>0.86133764505434041</v>
      </c>
      <c r="AQ1082" s="8"/>
      <c r="AR1082" s="8">
        <f t="shared" si="298"/>
        <v>128.15602568790015</v>
      </c>
      <c r="AS1082" s="8">
        <f t="shared" si="299"/>
        <v>40.648988202648951</v>
      </c>
    </row>
    <row r="1083" spans="1:45">
      <c r="A1083" s="19">
        <v>35.068366670000003</v>
      </c>
      <c r="B1083" s="19">
        <v>682.35159020000003</v>
      </c>
      <c r="C1083" s="19">
        <v>-355.41201560000002</v>
      </c>
      <c r="E1083" s="9">
        <f t="shared" si="285"/>
        <v>-277.64840979999997</v>
      </c>
      <c r="F1083" s="9">
        <f t="shared" si="290"/>
        <v>184.58798439999998</v>
      </c>
      <c r="I1083">
        <v>1</v>
      </c>
      <c r="J1083">
        <f t="shared" si="286"/>
        <v>0.21682490774355428</v>
      </c>
      <c r="K1083">
        <f t="shared" si="291"/>
        <v>2.5548651840066698</v>
      </c>
      <c r="O1083">
        <f t="shared" si="292"/>
        <v>-0.17915096926662846</v>
      </c>
      <c r="P1083">
        <f t="shared" si="293"/>
        <v>0.1191042885642823</v>
      </c>
      <c r="Q1083">
        <f t="shared" si="294"/>
        <v>0.97658542824292838</v>
      </c>
      <c r="R1083">
        <f t="shared" si="284"/>
        <v>1</v>
      </c>
      <c r="AG1083" s="8">
        <f t="shared" si="287"/>
        <v>-0.46853563222063072</v>
      </c>
      <c r="AH1083" s="8">
        <f t="shared" si="288"/>
        <v>0.59685003904353273</v>
      </c>
      <c r="AI1083" s="8">
        <f t="shared" si="289"/>
        <v>0.65134045800437379</v>
      </c>
      <c r="AJ1083" s="8"/>
      <c r="AK1083" s="8"/>
      <c r="AL1083" s="8"/>
      <c r="AN1083" s="8">
        <f t="shared" si="295"/>
        <v>1</v>
      </c>
      <c r="AO1083" s="8">
        <f t="shared" si="296"/>
        <v>2.236332428134082</v>
      </c>
      <c r="AP1083" s="8">
        <f t="shared" si="297"/>
        <v>0.8614466432645671</v>
      </c>
      <c r="AQ1083" s="8"/>
      <c r="AR1083" s="8">
        <f t="shared" si="298"/>
        <v>128.13240972032636</v>
      </c>
      <c r="AS1083" s="8">
        <f t="shared" si="299"/>
        <v>40.64274306522848</v>
      </c>
    </row>
    <row r="1084" spans="1:45">
      <c r="A1084" s="19">
        <v>35.101733330000002</v>
      </c>
      <c r="B1084" s="19">
        <v>681.59429160000002</v>
      </c>
      <c r="C1084" s="19">
        <v>-355.33014059999999</v>
      </c>
      <c r="E1084" s="9">
        <f t="shared" si="285"/>
        <v>-278.40570839999998</v>
      </c>
      <c r="F1084" s="9">
        <f t="shared" si="290"/>
        <v>184.66985940000001</v>
      </c>
      <c r="I1084">
        <v>1</v>
      </c>
      <c r="J1084">
        <f t="shared" si="286"/>
        <v>0.21725520425521827</v>
      </c>
      <c r="K1084">
        <f t="shared" si="291"/>
        <v>2.5559160785405268</v>
      </c>
      <c r="O1084">
        <f t="shared" si="292"/>
        <v>-0.17962620625884038</v>
      </c>
      <c r="P1084">
        <f t="shared" si="293"/>
        <v>0.11914822596495099</v>
      </c>
      <c r="Q1084">
        <f t="shared" si="294"/>
        <v>0.97649276816290942</v>
      </c>
      <c r="R1084">
        <f t="shared" si="284"/>
        <v>1</v>
      </c>
      <c r="AG1084" s="8">
        <f t="shared" si="287"/>
        <v>-0.46822520296637027</v>
      </c>
      <c r="AH1084" s="8">
        <f t="shared" si="288"/>
        <v>0.59720894736568764</v>
      </c>
      <c r="AI1084" s="8">
        <f t="shared" si="289"/>
        <v>0.65123469847165616</v>
      </c>
      <c r="AJ1084" s="8"/>
      <c r="AK1084" s="8"/>
      <c r="AL1084" s="8"/>
      <c r="AN1084" s="8">
        <f t="shared" si="295"/>
        <v>1.0000000000000002</v>
      </c>
      <c r="AO1084" s="8">
        <f t="shared" si="296"/>
        <v>2.2357186281264996</v>
      </c>
      <c r="AP1084" s="8">
        <f t="shared" si="297"/>
        <v>0.86158601491996467</v>
      </c>
      <c r="AQ1084" s="8"/>
      <c r="AR1084" s="8">
        <f t="shared" si="298"/>
        <v>128.0972415704268</v>
      </c>
      <c r="AS1084" s="8">
        <f t="shared" si="299"/>
        <v>40.634757657590448</v>
      </c>
    </row>
    <row r="1085" spans="1:45">
      <c r="A1085" s="19">
        <v>35.135100000000001</v>
      </c>
      <c r="B1085" s="19">
        <v>681.14416689999996</v>
      </c>
      <c r="C1085" s="19">
        <v>-355.2816555</v>
      </c>
      <c r="E1085" s="9">
        <f t="shared" si="285"/>
        <v>-278.85583310000004</v>
      </c>
      <c r="F1085" s="9">
        <f t="shared" si="290"/>
        <v>184.7183445</v>
      </c>
      <c r="I1085">
        <v>1</v>
      </c>
      <c r="J1085">
        <f t="shared" si="286"/>
        <v>0.21751097784519965</v>
      </c>
      <c r="K1085">
        <f t="shared" si="291"/>
        <v>2.5565391462589888</v>
      </c>
      <c r="O1085">
        <f t="shared" si="292"/>
        <v>-0.17990862435556076</v>
      </c>
      <c r="P1085">
        <f t="shared" si="293"/>
        <v>0.11917420870415914</v>
      </c>
      <c r="Q1085">
        <f t="shared" si="294"/>
        <v>0.97643760418279024</v>
      </c>
      <c r="R1085">
        <f t="shared" si="284"/>
        <v>1</v>
      </c>
      <c r="AG1085" s="8">
        <f t="shared" si="287"/>
        <v>-0.46804073882770042</v>
      </c>
      <c r="AH1085" s="8">
        <f t="shared" si="288"/>
        <v>0.59742221019502484</v>
      </c>
      <c r="AI1085" s="8">
        <f t="shared" si="289"/>
        <v>0.65117168977414241</v>
      </c>
      <c r="AJ1085" s="8"/>
      <c r="AK1085" s="8"/>
      <c r="AL1085" s="8"/>
      <c r="AN1085" s="8">
        <f t="shared" si="295"/>
        <v>1</v>
      </c>
      <c r="AO1085" s="8">
        <f t="shared" si="296"/>
        <v>2.2353539708474832</v>
      </c>
      <c r="AP1085" s="8">
        <f t="shared" si="297"/>
        <v>0.86166904089660634</v>
      </c>
      <c r="AQ1085" s="8"/>
      <c r="AR1085" s="8">
        <f t="shared" si="298"/>
        <v>128.07634824737045</v>
      </c>
      <c r="AS1085" s="8">
        <f t="shared" si="299"/>
        <v>40.630000619538926</v>
      </c>
    </row>
    <row r="1086" spans="1:45">
      <c r="A1086" s="19">
        <v>35.168466670000001</v>
      </c>
      <c r="B1086" s="19">
        <v>680.4585525</v>
      </c>
      <c r="C1086" s="19">
        <v>-355.20997240000003</v>
      </c>
      <c r="E1086" s="9">
        <f t="shared" si="285"/>
        <v>-279.5414475</v>
      </c>
      <c r="F1086" s="9">
        <f t="shared" si="290"/>
        <v>184.79002759999997</v>
      </c>
      <c r="I1086">
        <v>1</v>
      </c>
      <c r="J1086">
        <f t="shared" si="286"/>
        <v>0.21789991146379817</v>
      </c>
      <c r="K1086">
        <f t="shared" si="291"/>
        <v>2.5574907048544122</v>
      </c>
      <c r="O1086">
        <f t="shared" si="292"/>
        <v>-0.18033873705563933</v>
      </c>
      <c r="P1086">
        <f t="shared" si="293"/>
        <v>0.1192123761821071</v>
      </c>
      <c r="Q1086">
        <f t="shared" si="294"/>
        <v>0.97635359848888392</v>
      </c>
      <c r="R1086">
        <f t="shared" si="284"/>
        <v>1</v>
      </c>
      <c r="AG1086" s="8">
        <f t="shared" si="287"/>
        <v>-0.46776066105665687</v>
      </c>
      <c r="AH1086" s="8">
        <f t="shared" si="288"/>
        <v>0.59774724745187879</v>
      </c>
      <c r="AI1086" s="8">
        <f t="shared" si="289"/>
        <v>0.65107464405515103</v>
      </c>
      <c r="AJ1086" s="8"/>
      <c r="AK1086" s="8"/>
      <c r="AL1086" s="8"/>
      <c r="AN1086" s="8">
        <f t="shared" si="295"/>
        <v>1</v>
      </c>
      <c r="AO1086" s="8">
        <f t="shared" si="296"/>
        <v>2.2347993980002414</v>
      </c>
      <c r="AP1086" s="8">
        <f t="shared" si="297"/>
        <v>0.86179690557237476</v>
      </c>
      <c r="AQ1086" s="8"/>
      <c r="AR1086" s="8">
        <f t="shared" si="298"/>
        <v>128.04457356379095</v>
      </c>
      <c r="AS1086" s="8">
        <f t="shared" si="299"/>
        <v>40.622674513268592</v>
      </c>
    </row>
    <row r="1087" spans="1:45">
      <c r="A1087" s="19">
        <v>35.201833329999999</v>
      </c>
      <c r="B1087" s="19">
        <v>679.75609480000003</v>
      </c>
      <c r="C1087" s="19">
        <v>-355.26689599999997</v>
      </c>
      <c r="E1087" s="9">
        <f t="shared" si="285"/>
        <v>-280.24390519999997</v>
      </c>
      <c r="F1087" s="9">
        <f t="shared" si="290"/>
        <v>184.73310400000003</v>
      </c>
      <c r="I1087">
        <v>1</v>
      </c>
      <c r="J1087">
        <f t="shared" si="286"/>
        <v>0.21825288755910294</v>
      </c>
      <c r="K1087">
        <f t="shared" si="291"/>
        <v>2.5587862594221469</v>
      </c>
      <c r="O1087">
        <f t="shared" si="292"/>
        <v>-0.18078075907922062</v>
      </c>
      <c r="P1087">
        <f t="shared" si="293"/>
        <v>0.1191683035688036</v>
      </c>
      <c r="Q1087">
        <f t="shared" si="294"/>
        <v>0.97627723141087042</v>
      </c>
      <c r="R1087">
        <f t="shared" si="284"/>
        <v>1</v>
      </c>
      <c r="AG1087" s="8">
        <f t="shared" si="287"/>
        <v>-0.46752966280353953</v>
      </c>
      <c r="AH1087" s="8">
        <f t="shared" si="288"/>
        <v>0.59810038276598032</v>
      </c>
      <c r="AI1087" s="8">
        <f t="shared" si="289"/>
        <v>0.65091623618864869</v>
      </c>
      <c r="AJ1087" s="8"/>
      <c r="AK1087" s="8"/>
      <c r="AL1087" s="8"/>
      <c r="AN1087" s="8">
        <f t="shared" si="295"/>
        <v>1.0000000000000002</v>
      </c>
      <c r="AO1087" s="8">
        <f t="shared" si="296"/>
        <v>2.2342730897709111</v>
      </c>
      <c r="AP1087" s="8">
        <f t="shared" si="297"/>
        <v>0.86200558914338077</v>
      </c>
      <c r="AQ1087" s="8"/>
      <c r="AR1087" s="8">
        <f t="shared" si="298"/>
        <v>128.01441832352731</v>
      </c>
      <c r="AS1087" s="8">
        <f t="shared" si="299"/>
        <v>40.610717825396229</v>
      </c>
    </row>
    <row r="1088" spans="1:45">
      <c r="A1088" s="19">
        <v>35.235199999999999</v>
      </c>
      <c r="B1088" s="19">
        <v>679.26993549999997</v>
      </c>
      <c r="C1088" s="19">
        <v>-355.35062599999998</v>
      </c>
      <c r="E1088" s="9">
        <f t="shared" si="285"/>
        <v>-280.73006450000003</v>
      </c>
      <c r="F1088" s="9">
        <f t="shared" si="290"/>
        <v>184.64937400000002</v>
      </c>
      <c r="I1088">
        <v>1</v>
      </c>
      <c r="J1088">
        <f t="shared" si="286"/>
        <v>0.2184818601523624</v>
      </c>
      <c r="K1088">
        <f t="shared" si="291"/>
        <v>2.5597906107499382</v>
      </c>
      <c r="O1088">
        <f t="shared" si="292"/>
        <v>-0.18108711238744818</v>
      </c>
      <c r="P1088">
        <f t="shared" si="293"/>
        <v>0.1191095154035771</v>
      </c>
      <c r="Q1088">
        <f t="shared" si="294"/>
        <v>0.97622762769115523</v>
      </c>
      <c r="R1088">
        <f t="shared" si="284"/>
        <v>1</v>
      </c>
      <c r="AG1088" s="8">
        <f t="shared" si="287"/>
        <v>-0.46738879975208919</v>
      </c>
      <c r="AH1088" s="8">
        <f t="shared" si="288"/>
        <v>0.59835158078157558</v>
      </c>
      <c r="AI1088" s="8">
        <f t="shared" si="289"/>
        <v>0.65078652079041344</v>
      </c>
      <c r="AJ1088" s="8"/>
      <c r="AK1088" s="8"/>
      <c r="AL1088" s="8"/>
      <c r="AN1088" s="8">
        <f t="shared" si="295"/>
        <v>1</v>
      </c>
      <c r="AO1088" s="8">
        <f t="shared" si="296"/>
        <v>2.2339231671362878</v>
      </c>
      <c r="AP1088" s="8">
        <f t="shared" si="297"/>
        <v>0.86217644598769416</v>
      </c>
      <c r="AQ1088" s="8"/>
      <c r="AR1088" s="8">
        <f t="shared" si="298"/>
        <v>127.9943692334073</v>
      </c>
      <c r="AS1088" s="8">
        <f t="shared" si="299"/>
        <v>40.600928449316143</v>
      </c>
    </row>
    <row r="1089" spans="1:45">
      <c r="A1089" s="19">
        <v>35.268566669999998</v>
      </c>
      <c r="B1089" s="19">
        <v>678.50707720000003</v>
      </c>
      <c r="C1089" s="19">
        <v>-355.29072359999998</v>
      </c>
      <c r="E1089" s="9">
        <f t="shared" si="285"/>
        <v>-281.49292279999997</v>
      </c>
      <c r="F1089" s="9">
        <f t="shared" si="290"/>
        <v>184.70927640000002</v>
      </c>
      <c r="I1089">
        <v>1</v>
      </c>
      <c r="J1089">
        <f t="shared" si="286"/>
        <v>0.21890825578608192</v>
      </c>
      <c r="K1089">
        <f t="shared" si="291"/>
        <v>2.5608870915830186</v>
      </c>
      <c r="O1089">
        <f t="shared" si="292"/>
        <v>-0.18156561255203998</v>
      </c>
      <c r="P1089">
        <f t="shared" si="293"/>
        <v>0.11913924009179425</v>
      </c>
      <c r="Q1089">
        <f t="shared" si="294"/>
        <v>0.9761351186229047</v>
      </c>
      <c r="R1089">
        <f t="shared" si="284"/>
        <v>1</v>
      </c>
      <c r="AG1089" s="8">
        <f t="shared" si="287"/>
        <v>-0.46708553463927038</v>
      </c>
      <c r="AH1089" s="8">
        <f t="shared" si="288"/>
        <v>0.59871583168415221</v>
      </c>
      <c r="AI1089" s="8">
        <f t="shared" si="289"/>
        <v>0.6506692371869911</v>
      </c>
      <c r="AJ1089" s="8"/>
      <c r="AK1089" s="8"/>
      <c r="AL1089" s="8"/>
      <c r="AN1089" s="8">
        <f t="shared" si="295"/>
        <v>1</v>
      </c>
      <c r="AO1089" s="8">
        <f t="shared" si="296"/>
        <v>2.2333131523761107</v>
      </c>
      <c r="AP1089" s="8">
        <f t="shared" si="297"/>
        <v>0.86233090654530631</v>
      </c>
      <c r="AQ1089" s="8"/>
      <c r="AR1089" s="8">
        <f t="shared" si="298"/>
        <v>127.95941796220846</v>
      </c>
      <c r="AS1089" s="8">
        <f t="shared" si="299"/>
        <v>40.592078511263729</v>
      </c>
    </row>
    <row r="1090" spans="1:45">
      <c r="A1090" s="19">
        <v>35.301933329999997</v>
      </c>
      <c r="B1090" s="19">
        <v>677.94046230000004</v>
      </c>
      <c r="C1090" s="19">
        <v>-355.20678379999998</v>
      </c>
      <c r="E1090" s="9">
        <f t="shared" si="285"/>
        <v>-282.05953769999996</v>
      </c>
      <c r="F1090" s="9">
        <f t="shared" si="290"/>
        <v>184.79321620000002</v>
      </c>
      <c r="I1090">
        <v>1</v>
      </c>
      <c r="J1090">
        <f t="shared" si="286"/>
        <v>0.21923882553195381</v>
      </c>
      <c r="K1090">
        <f t="shared" si="291"/>
        <v>2.561600823588253</v>
      </c>
      <c r="O1090">
        <f t="shared" si="292"/>
        <v>-0.1819205016876205</v>
      </c>
      <c r="P1090">
        <f t="shared" si="293"/>
        <v>0.11918644862606591</v>
      </c>
      <c r="Q1090">
        <f t="shared" si="294"/>
        <v>0.97606327742090093</v>
      </c>
      <c r="R1090">
        <f t="shared" si="284"/>
        <v>1</v>
      </c>
      <c r="AG1090" s="8">
        <f t="shared" si="287"/>
        <v>-0.4668433024913603</v>
      </c>
      <c r="AH1090" s="8">
        <f t="shared" si="288"/>
        <v>0.59898011218034686</v>
      </c>
      <c r="AI1090" s="8">
        <f t="shared" si="289"/>
        <v>0.65059984332259058</v>
      </c>
      <c r="AJ1090" s="8"/>
      <c r="AK1090" s="8"/>
      <c r="AL1090" s="8"/>
      <c r="AN1090" s="8">
        <f t="shared" si="295"/>
        <v>1</v>
      </c>
      <c r="AO1090" s="8">
        <f t="shared" si="296"/>
        <v>2.2328476042392627</v>
      </c>
      <c r="AP1090" s="8">
        <f t="shared" si="297"/>
        <v>0.86242228748638727</v>
      </c>
      <c r="AQ1090" s="8"/>
      <c r="AR1090" s="8">
        <f t="shared" si="298"/>
        <v>127.93274401880689</v>
      </c>
      <c r="AS1090" s="8">
        <f t="shared" si="299"/>
        <v>40.586842769011859</v>
      </c>
    </row>
    <row r="1091" spans="1:45">
      <c r="A1091" s="19">
        <v>35.335299999999997</v>
      </c>
      <c r="B1091" s="19">
        <v>677.38448310000001</v>
      </c>
      <c r="C1091" s="19">
        <v>-354.85399849999999</v>
      </c>
      <c r="E1091" s="9">
        <f t="shared" si="285"/>
        <v>-282.61551689999999</v>
      </c>
      <c r="F1091" s="9">
        <f t="shared" si="290"/>
        <v>185.14600150000001</v>
      </c>
      <c r="I1091">
        <v>1</v>
      </c>
      <c r="J1091">
        <f t="shared" si="286"/>
        <v>0.21965741440981751</v>
      </c>
      <c r="K1091">
        <f t="shared" si="291"/>
        <v>2.5616292162772551</v>
      </c>
      <c r="O1091">
        <f t="shared" si="292"/>
        <v>-0.18226563077889041</v>
      </c>
      <c r="P1091">
        <f t="shared" si="293"/>
        <v>0.1194051661414168</v>
      </c>
      <c r="Q1091">
        <f t="shared" si="294"/>
        <v>0.97597215438531537</v>
      </c>
      <c r="R1091">
        <f t="shared" si="284"/>
        <v>1</v>
      </c>
      <c r="AG1091" s="8">
        <f t="shared" si="287"/>
        <v>-0.46648944891816974</v>
      </c>
      <c r="AH1091" s="8">
        <f t="shared" si="288"/>
        <v>0.5991972264297567</v>
      </c>
      <c r="AI1091" s="8">
        <f t="shared" si="289"/>
        <v>0.65065373117112701</v>
      </c>
      <c r="AJ1091" s="8"/>
      <c r="AK1091" s="8"/>
      <c r="AL1091" s="8"/>
      <c r="AN1091" s="8">
        <f t="shared" si="295"/>
        <v>1</v>
      </c>
      <c r="AO1091" s="8">
        <f t="shared" si="296"/>
        <v>2.2323043098583275</v>
      </c>
      <c r="AP1091" s="8">
        <f t="shared" si="297"/>
        <v>0.86235132618053545</v>
      </c>
      <c r="AQ1091" s="8"/>
      <c r="AR1091" s="8">
        <f t="shared" si="298"/>
        <v>127.90161554374613</v>
      </c>
      <c r="AS1091" s="8">
        <f t="shared" si="299"/>
        <v>40.590908552345908</v>
      </c>
    </row>
    <row r="1092" spans="1:45">
      <c r="A1092" s="19">
        <v>35.368666670000003</v>
      </c>
      <c r="B1092" s="19">
        <v>676.63040509999996</v>
      </c>
      <c r="C1092" s="19">
        <v>-354.5140432</v>
      </c>
      <c r="E1092" s="9">
        <f t="shared" si="285"/>
        <v>-283.36959490000004</v>
      </c>
      <c r="F1092" s="9">
        <f t="shared" si="290"/>
        <v>185.4859568</v>
      </c>
      <c r="I1092">
        <v>1</v>
      </c>
      <c r="J1092">
        <f t="shared" si="286"/>
        <v>0.22017680350467675</v>
      </c>
      <c r="K1092">
        <f t="shared" si="291"/>
        <v>2.5620097036029179</v>
      </c>
      <c r="O1092">
        <f t="shared" si="292"/>
        <v>-0.18273515163731585</v>
      </c>
      <c r="P1092">
        <f t="shared" si="293"/>
        <v>0.1196134131977073</v>
      </c>
      <c r="Q1092">
        <f t="shared" si="294"/>
        <v>0.97585885031559849</v>
      </c>
      <c r="R1092">
        <f t="shared" si="284"/>
        <v>1</v>
      </c>
      <c r="AG1092" s="8">
        <f t="shared" si="287"/>
        <v>-0.46606897659293672</v>
      </c>
      <c r="AH1092" s="8">
        <f t="shared" si="288"/>
        <v>0.59951305786265585</v>
      </c>
      <c r="AI1092" s="8">
        <f t="shared" si="289"/>
        <v>0.65066412419141451</v>
      </c>
      <c r="AJ1092" s="8"/>
      <c r="AK1092" s="8"/>
      <c r="AL1092" s="8"/>
      <c r="AN1092" s="8">
        <f t="shared" si="295"/>
        <v>1</v>
      </c>
      <c r="AO1092" s="8">
        <f t="shared" si="296"/>
        <v>2.2316118919465158</v>
      </c>
      <c r="AP1092" s="8">
        <f t="shared" si="297"/>
        <v>0.8623376398104925</v>
      </c>
      <c r="AQ1092" s="8"/>
      <c r="AR1092" s="8">
        <f t="shared" si="298"/>
        <v>127.86194291974006</v>
      </c>
      <c r="AS1092" s="8">
        <f t="shared" si="299"/>
        <v>40.59169272358622</v>
      </c>
    </row>
    <row r="1093" spans="1:45">
      <c r="A1093" s="19">
        <v>35.402033330000002</v>
      </c>
      <c r="B1093" s="19">
        <v>676.23538900000005</v>
      </c>
      <c r="C1093" s="19">
        <v>-354.44787000000002</v>
      </c>
      <c r="E1093" s="9">
        <f t="shared" si="285"/>
        <v>-283.76461099999995</v>
      </c>
      <c r="F1093" s="9">
        <f t="shared" si="290"/>
        <v>185.55212999999998</v>
      </c>
      <c r="I1093">
        <v>1</v>
      </c>
      <c r="J1093">
        <f t="shared" si="286"/>
        <v>0.22040991826378348</v>
      </c>
      <c r="K1093">
        <f t="shared" si="291"/>
        <v>2.5624844890473097</v>
      </c>
      <c r="O1093">
        <f t="shared" si="292"/>
        <v>-0.18298231234928267</v>
      </c>
      <c r="P1093">
        <f t="shared" si="293"/>
        <v>0.11965113510484474</v>
      </c>
      <c r="Q1093">
        <f t="shared" si="294"/>
        <v>0.97580791103343267</v>
      </c>
      <c r="R1093">
        <f t="shared" si="284"/>
        <v>1</v>
      </c>
      <c r="AG1093" s="8">
        <f t="shared" si="287"/>
        <v>-0.46589676130548052</v>
      </c>
      <c r="AH1093" s="8">
        <f t="shared" si="288"/>
        <v>0.59969584943977694</v>
      </c>
      <c r="AI1093" s="8">
        <f t="shared" si="289"/>
        <v>0.65061900984352472</v>
      </c>
      <c r="AJ1093" s="8"/>
      <c r="AK1093" s="8"/>
      <c r="AL1093" s="8"/>
      <c r="AN1093" s="8">
        <f t="shared" si="295"/>
        <v>1</v>
      </c>
      <c r="AO1093" s="8">
        <f t="shared" si="296"/>
        <v>2.231285118827814</v>
      </c>
      <c r="AP1093" s="8">
        <f t="shared" si="297"/>
        <v>0.86239704887041002</v>
      </c>
      <c r="AQ1093" s="8"/>
      <c r="AR1093" s="8">
        <f t="shared" si="298"/>
        <v>127.84322019918012</v>
      </c>
      <c r="AS1093" s="8">
        <f t="shared" si="299"/>
        <v>40.588288835188109</v>
      </c>
    </row>
    <row r="1094" spans="1:45">
      <c r="A1094" s="19">
        <v>35.435400000000001</v>
      </c>
      <c r="B1094" s="19">
        <v>675.48638689999996</v>
      </c>
      <c r="C1094" s="19">
        <v>-354.3766736</v>
      </c>
      <c r="E1094" s="9">
        <f t="shared" si="285"/>
        <v>-284.51361310000004</v>
      </c>
      <c r="F1094" s="9">
        <f t="shared" si="290"/>
        <v>185.6233264</v>
      </c>
      <c r="I1094">
        <v>1</v>
      </c>
      <c r="J1094">
        <f t="shared" si="286"/>
        <v>0.22083316033356337</v>
      </c>
      <c r="K1094">
        <f t="shared" si="291"/>
        <v>2.5635157292603874</v>
      </c>
      <c r="O1094">
        <f t="shared" si="292"/>
        <v>-0.18345148385366242</v>
      </c>
      <c r="P1094">
        <f t="shared" si="293"/>
        <v>0.11968803283224239</v>
      </c>
      <c r="Q1094">
        <f t="shared" si="294"/>
        <v>0.97571529037349691</v>
      </c>
      <c r="R1094">
        <f t="shared" si="284"/>
        <v>1</v>
      </c>
      <c r="AG1094" s="8">
        <f t="shared" si="287"/>
        <v>-0.46559348646164206</v>
      </c>
      <c r="AH1094" s="8">
        <f t="shared" si="288"/>
        <v>0.60005075359229287</v>
      </c>
      <c r="AI1094" s="8">
        <f t="shared" si="289"/>
        <v>0.65050887655574241</v>
      </c>
      <c r="AJ1094" s="8"/>
      <c r="AK1094" s="8"/>
      <c r="AL1094" s="8"/>
      <c r="AN1094" s="8">
        <f t="shared" si="295"/>
        <v>0.99999999999999989</v>
      </c>
      <c r="AO1094" s="8">
        <f t="shared" si="296"/>
        <v>2.2306831050974725</v>
      </c>
      <c r="AP1094" s="8">
        <f t="shared" si="297"/>
        <v>0.86254206575494086</v>
      </c>
      <c r="AQ1094" s="8"/>
      <c r="AR1094" s="8">
        <f t="shared" si="298"/>
        <v>127.80872735322262</v>
      </c>
      <c r="AS1094" s="8">
        <f t="shared" si="299"/>
        <v>40.579979979746355</v>
      </c>
    </row>
    <row r="1095" spans="1:45">
      <c r="A1095" s="19">
        <v>35.468766670000001</v>
      </c>
      <c r="B1095" s="19">
        <v>675.13561730000004</v>
      </c>
      <c r="C1095" s="19">
        <v>-354.38139130000002</v>
      </c>
      <c r="E1095" s="9">
        <f t="shared" si="285"/>
        <v>-284.86438269999996</v>
      </c>
      <c r="F1095" s="9">
        <f t="shared" si="290"/>
        <v>185.61860869999998</v>
      </c>
      <c r="I1095">
        <v>1</v>
      </c>
      <c r="J1095">
        <f t="shared" si="286"/>
        <v>0.22101822233761181</v>
      </c>
      <c r="K1095">
        <f t="shared" si="291"/>
        <v>2.5640910675456219</v>
      </c>
      <c r="O1095">
        <f t="shared" si="292"/>
        <v>-0.18367159645466311</v>
      </c>
      <c r="P1095">
        <f t="shared" si="293"/>
        <v>0.11968104214533105</v>
      </c>
      <c r="Q1095">
        <f t="shared" si="294"/>
        <v>0.9756747371982134</v>
      </c>
      <c r="R1095">
        <f t="shared" si="284"/>
        <v>1</v>
      </c>
      <c r="AG1095" s="8">
        <f t="shared" si="287"/>
        <v>-0.46546778107924591</v>
      </c>
      <c r="AH1095" s="8">
        <f t="shared" si="288"/>
        <v>0.60022282584230147</v>
      </c>
      <c r="AI1095" s="8">
        <f t="shared" si="289"/>
        <v>0.65044008495406047</v>
      </c>
      <c r="AJ1095" s="8"/>
      <c r="AK1095" s="8"/>
      <c r="AL1095" s="8"/>
      <c r="AN1095" s="8">
        <f t="shared" si="295"/>
        <v>1</v>
      </c>
      <c r="AO1095" s="8">
        <f t="shared" si="296"/>
        <v>2.2304134744367907</v>
      </c>
      <c r="AP1095" s="8">
        <f t="shared" si="297"/>
        <v>0.86263263725697104</v>
      </c>
      <c r="AQ1095" s="8"/>
      <c r="AR1095" s="8">
        <f t="shared" si="298"/>
        <v>127.79327865433824</v>
      </c>
      <c r="AS1095" s="8">
        <f t="shared" si="299"/>
        <v>40.574790614935864</v>
      </c>
    </row>
    <row r="1096" spans="1:45">
      <c r="A1096" s="19">
        <v>35.502133329999999</v>
      </c>
      <c r="B1096" s="19">
        <v>674.49667639999996</v>
      </c>
      <c r="C1096" s="19">
        <v>-354.41097969999998</v>
      </c>
      <c r="E1096" s="9">
        <f t="shared" si="285"/>
        <v>-285.50332360000004</v>
      </c>
      <c r="F1096" s="9">
        <f t="shared" si="290"/>
        <v>185.58902030000002</v>
      </c>
      <c r="I1096">
        <v>1</v>
      </c>
      <c r="J1096">
        <f t="shared" si="286"/>
        <v>0.2213481984221462</v>
      </c>
      <c r="K1096">
        <f t="shared" si="291"/>
        <v>2.5651882310698424</v>
      </c>
      <c r="O1096">
        <f t="shared" si="292"/>
        <v>-0.18407271677812159</v>
      </c>
      <c r="P1096">
        <f t="shared" si="293"/>
        <v>0.11965491238439281</v>
      </c>
      <c r="Q1096">
        <f t="shared" si="294"/>
        <v>0.97560234567174176</v>
      </c>
      <c r="R1096">
        <f t="shared" si="284"/>
        <v>1</v>
      </c>
      <c r="AG1096" s="8">
        <f t="shared" si="287"/>
        <v>-0.46524778066451961</v>
      </c>
      <c r="AH1096" s="8">
        <f t="shared" si="288"/>
        <v>0.60053942692868267</v>
      </c>
      <c r="AI1096" s="8">
        <f t="shared" si="289"/>
        <v>0.65030523547862396</v>
      </c>
      <c r="AJ1096" s="8"/>
      <c r="AK1096" s="8"/>
      <c r="AL1096" s="8"/>
      <c r="AN1096" s="8">
        <f t="shared" si="295"/>
        <v>1</v>
      </c>
      <c r="AO1096" s="8">
        <f t="shared" si="296"/>
        <v>2.2299292293182877</v>
      </c>
      <c r="AP1096" s="8">
        <f t="shared" si="297"/>
        <v>0.86281016063773697</v>
      </c>
      <c r="AQ1096" s="8"/>
      <c r="AR1096" s="8">
        <f t="shared" si="298"/>
        <v>127.76553345279821</v>
      </c>
      <c r="AS1096" s="8">
        <f t="shared" si="299"/>
        <v>40.564619274453079</v>
      </c>
    </row>
    <row r="1097" spans="1:45">
      <c r="A1097" s="19">
        <v>35.535499999999999</v>
      </c>
      <c r="B1097" s="19">
        <v>673.93163440000001</v>
      </c>
      <c r="C1097" s="19">
        <v>-354.31874599999998</v>
      </c>
      <c r="E1097" s="9">
        <f t="shared" si="285"/>
        <v>-286.06836559999999</v>
      </c>
      <c r="F1097" s="9">
        <f t="shared" si="290"/>
        <v>185.68125400000002</v>
      </c>
      <c r="I1097">
        <v>1</v>
      </c>
      <c r="J1097">
        <f t="shared" si="286"/>
        <v>0.22168112765726247</v>
      </c>
      <c r="K1097">
        <f t="shared" si="291"/>
        <v>2.5658644554180565</v>
      </c>
      <c r="O1097">
        <f t="shared" si="292"/>
        <v>-0.18442602448821416</v>
      </c>
      <c r="P1097">
        <f t="shared" si="293"/>
        <v>0.11970724349538613</v>
      </c>
      <c r="Q1097">
        <f t="shared" si="294"/>
        <v>0.9755291986128396</v>
      </c>
      <c r="R1097">
        <f t="shared" si="284"/>
        <v>1</v>
      </c>
      <c r="AG1097" s="8">
        <f t="shared" si="287"/>
        <v>-0.46500235656889044</v>
      </c>
      <c r="AH1097" s="8">
        <f t="shared" si="288"/>
        <v>0.60080083891654312</v>
      </c>
      <c r="AI1097" s="8">
        <f t="shared" si="289"/>
        <v>0.65023931005634894</v>
      </c>
      <c r="AJ1097" s="8"/>
      <c r="AK1097" s="8"/>
      <c r="AL1097" s="8"/>
      <c r="AN1097" s="8">
        <f t="shared" si="295"/>
        <v>1.0000000000000002</v>
      </c>
      <c r="AO1097" s="8">
        <f t="shared" si="296"/>
        <v>2.2294631285096278</v>
      </c>
      <c r="AP1097" s="8">
        <f t="shared" si="297"/>
        <v>0.86289693872763518</v>
      </c>
      <c r="AQ1097" s="8"/>
      <c r="AR1097" s="8">
        <f t="shared" si="298"/>
        <v>127.73882784363435</v>
      </c>
      <c r="AS1097" s="8">
        <f t="shared" si="299"/>
        <v>40.559647256147706</v>
      </c>
    </row>
    <row r="1098" spans="1:45">
      <c r="A1098" s="19">
        <v>35.568866669999998</v>
      </c>
      <c r="B1098" s="19">
        <v>678.31973570000002</v>
      </c>
      <c r="C1098" s="19">
        <v>-355.08082339999999</v>
      </c>
      <c r="E1098" s="9">
        <f t="shared" si="285"/>
        <v>-281.68026429999998</v>
      </c>
      <c r="F1098" s="9">
        <f t="shared" si="290"/>
        <v>184.91917660000001</v>
      </c>
      <c r="I1098">
        <v>1</v>
      </c>
      <c r="J1098">
        <f t="shared" si="286"/>
        <v>0.21908108688691885</v>
      </c>
      <c r="K1098">
        <f t="shared" si="291"/>
        <v>2.5606712934982956</v>
      </c>
      <c r="O1098">
        <f t="shared" si="292"/>
        <v>-0.18168092704029137</v>
      </c>
      <c r="P1098">
        <f t="shared" si="293"/>
        <v>0.11927100223263799</v>
      </c>
      <c r="Q1098">
        <f t="shared" si="294"/>
        <v>0.97609757134018238</v>
      </c>
      <c r="R1098">
        <f t="shared" si="284"/>
        <v>1</v>
      </c>
      <c r="AG1098" s="8">
        <f t="shared" si="287"/>
        <v>-0.46692721223966893</v>
      </c>
      <c r="AH1098" s="8">
        <f t="shared" si="288"/>
        <v>0.59877488048313232</v>
      </c>
      <c r="AI1098" s="8">
        <f t="shared" si="289"/>
        <v>0.65072853093475314</v>
      </c>
      <c r="AJ1098" s="8"/>
      <c r="AK1098" s="8"/>
      <c r="AL1098" s="8"/>
      <c r="AN1098" s="8">
        <f t="shared" si="295"/>
        <v>1.0000000000000002</v>
      </c>
      <c r="AO1098" s="8">
        <f t="shared" si="296"/>
        <v>2.2331009205230692</v>
      </c>
      <c r="AP1098" s="8">
        <f t="shared" si="297"/>
        <v>0.86225282021985572</v>
      </c>
      <c r="AQ1098" s="8"/>
      <c r="AR1098" s="8">
        <f t="shared" si="298"/>
        <v>127.94725797275095</v>
      </c>
      <c r="AS1098" s="8">
        <f t="shared" si="299"/>
        <v>40.596552528149736</v>
      </c>
    </row>
    <row r="1099" spans="1:45">
      <c r="A1099" s="19">
        <v>35.602233329999997</v>
      </c>
      <c r="B1099" s="19">
        <v>677.69707489999996</v>
      </c>
      <c r="C1099" s="19">
        <v>-354.82287559999997</v>
      </c>
      <c r="E1099" s="9">
        <f t="shared" si="285"/>
        <v>-282.30292510000004</v>
      </c>
      <c r="F1099" s="9">
        <f t="shared" si="290"/>
        <v>185.17712440000003</v>
      </c>
      <c r="I1099">
        <v>1</v>
      </c>
      <c r="J1099">
        <f t="shared" si="286"/>
        <v>0.21950206137281819</v>
      </c>
      <c r="K1099">
        <f t="shared" si="291"/>
        <v>2.5610447321637095</v>
      </c>
      <c r="O1099">
        <f t="shared" si="292"/>
        <v>-0.18206902790956112</v>
      </c>
      <c r="P1099">
        <f t="shared" si="293"/>
        <v>0.11942851466612689</v>
      </c>
      <c r="Q1099">
        <f t="shared" si="294"/>
        <v>0.97600599330163451</v>
      </c>
      <c r="R1099">
        <f t="shared" si="284"/>
        <v>1</v>
      </c>
      <c r="AG1099" s="8">
        <f t="shared" si="287"/>
        <v>-0.46658984179210627</v>
      </c>
      <c r="AH1099" s="8">
        <f t="shared" si="288"/>
        <v>0.59903945162222738</v>
      </c>
      <c r="AI1099" s="8">
        <f t="shared" si="289"/>
        <v>0.65072702029081164</v>
      </c>
      <c r="AJ1099" s="8"/>
      <c r="AK1099" s="8"/>
      <c r="AL1099" s="8"/>
      <c r="AN1099" s="8">
        <f t="shared" si="295"/>
        <v>1</v>
      </c>
      <c r="AO1099" s="8">
        <f t="shared" si="296"/>
        <v>2.2325362816664365</v>
      </c>
      <c r="AP1099" s="8">
        <f t="shared" si="297"/>
        <v>0.86225480971259605</v>
      </c>
      <c r="AQ1099" s="8"/>
      <c r="AR1099" s="8">
        <f t="shared" si="298"/>
        <v>127.9149065493168</v>
      </c>
      <c r="AS1099" s="8">
        <f t="shared" si="299"/>
        <v>40.59643853861234</v>
      </c>
    </row>
    <row r="1100" spans="1:45">
      <c r="A1100" s="19">
        <v>35.635599999999997</v>
      </c>
      <c r="B1100" s="19">
        <v>676.96300780000001</v>
      </c>
      <c r="C1100" s="19">
        <v>-354.54734000000002</v>
      </c>
      <c r="E1100" s="9">
        <f t="shared" si="285"/>
        <v>-283.03699219999999</v>
      </c>
      <c r="F1100" s="9">
        <f t="shared" si="290"/>
        <v>185.45265999999998</v>
      </c>
      <c r="I1100">
        <v>1</v>
      </c>
      <c r="J1100">
        <f t="shared" si="286"/>
        <v>0.21998835253381502</v>
      </c>
      <c r="K1100">
        <f t="shared" si="291"/>
        <v>2.5615537133392583</v>
      </c>
      <c r="O1100">
        <f t="shared" si="292"/>
        <v>-0.18252676399530315</v>
      </c>
      <c r="P1100">
        <f t="shared" si="293"/>
        <v>0.11959593564434864</v>
      </c>
      <c r="Q1100">
        <f t="shared" si="294"/>
        <v>0.975899991086564</v>
      </c>
      <c r="R1100">
        <f t="shared" si="284"/>
        <v>1</v>
      </c>
      <c r="AG1100" s="8">
        <f t="shared" si="287"/>
        <v>-0.46620434053196425</v>
      </c>
      <c r="AH1100" s="8">
        <f t="shared" si="288"/>
        <v>0.59935561236333212</v>
      </c>
      <c r="AI1100" s="8">
        <f t="shared" si="289"/>
        <v>0.65071219659518564</v>
      </c>
      <c r="AJ1100" s="8"/>
      <c r="AK1100" s="8"/>
      <c r="AL1100" s="8"/>
      <c r="AN1100" s="8">
        <f t="shared" si="295"/>
        <v>1</v>
      </c>
      <c r="AO1100" s="8">
        <f t="shared" si="296"/>
        <v>2.2318798967955522</v>
      </c>
      <c r="AP1100" s="8">
        <f t="shared" si="297"/>
        <v>0.86227433209122006</v>
      </c>
      <c r="AQ1100" s="8"/>
      <c r="AR1100" s="8">
        <f t="shared" si="298"/>
        <v>127.87729846647889</v>
      </c>
      <c r="AS1100" s="8">
        <f t="shared" si="299"/>
        <v>40.595319988711132</v>
      </c>
    </row>
    <row r="1101" spans="1:45">
      <c r="A1101" s="19">
        <v>35.668966670000003</v>
      </c>
      <c r="B1101" s="19">
        <v>676.43802640000001</v>
      </c>
      <c r="C1101" s="19">
        <v>-354.4671002</v>
      </c>
      <c r="E1101" s="9">
        <f t="shared" si="285"/>
        <v>-283.56197359999999</v>
      </c>
      <c r="F1101" s="9">
        <f t="shared" si="290"/>
        <v>185.5328998</v>
      </c>
      <c r="I1101">
        <v>1</v>
      </c>
      <c r="J1101">
        <f t="shared" si="286"/>
        <v>0.22029545108296048</v>
      </c>
      <c r="K1101">
        <f t="shared" si="291"/>
        <v>2.5622047196633444</v>
      </c>
      <c r="O1101">
        <f t="shared" si="292"/>
        <v>-0.18285536062806035</v>
      </c>
      <c r="P1101">
        <f t="shared" si="293"/>
        <v>0.11964116651676035</v>
      </c>
      <c r="Q1101">
        <f t="shared" si="294"/>
        <v>0.97583293055937137</v>
      </c>
      <c r="R1101">
        <f t="shared" si="284"/>
        <v>1</v>
      </c>
      <c r="AG1101" s="8">
        <f t="shared" si="287"/>
        <v>-0.46597878701658135</v>
      </c>
      <c r="AH1101" s="8">
        <f t="shared" si="288"/>
        <v>0.59959979421351461</v>
      </c>
      <c r="AI1101" s="8">
        <f t="shared" si="289"/>
        <v>0.65064879684025134</v>
      </c>
      <c r="AJ1101" s="8"/>
      <c r="AK1101" s="8"/>
      <c r="AL1101" s="8"/>
      <c r="AN1101" s="8">
        <f t="shared" si="295"/>
        <v>1.0000000000000002</v>
      </c>
      <c r="AO1101" s="8">
        <f t="shared" si="296"/>
        <v>2.2314480220445114</v>
      </c>
      <c r="AP1101" s="8">
        <f t="shared" si="297"/>
        <v>0.86235782405049421</v>
      </c>
      <c r="AQ1101" s="8"/>
      <c r="AR1101" s="8">
        <f t="shared" si="298"/>
        <v>127.85255386596599</v>
      </c>
      <c r="AS1101" s="8">
        <f t="shared" si="299"/>
        <v>40.59053625182144</v>
      </c>
    </row>
    <row r="1102" spans="1:45">
      <c r="A1102" s="19">
        <v>35.702333330000002</v>
      </c>
      <c r="B1102" s="19">
        <v>675.91394449999996</v>
      </c>
      <c r="C1102" s="19">
        <v>-354.38237509999999</v>
      </c>
      <c r="E1102" s="9">
        <f t="shared" si="285"/>
        <v>-284.08605550000004</v>
      </c>
      <c r="F1102" s="9">
        <f t="shared" si="290"/>
        <v>185.61762490000001</v>
      </c>
      <c r="I1102">
        <v>1</v>
      </c>
      <c r="J1102">
        <f t="shared" si="286"/>
        <v>0.2206036833078443</v>
      </c>
      <c r="K1102">
        <f t="shared" si="291"/>
        <v>2.5628413571780566</v>
      </c>
      <c r="O1102">
        <f t="shared" si="292"/>
        <v>-0.18318328243832832</v>
      </c>
      <c r="P1102">
        <f t="shared" si="293"/>
        <v>0.11968924609039244</v>
      </c>
      <c r="Q1102">
        <f t="shared" si="294"/>
        <v>0.97576552993300247</v>
      </c>
      <c r="R1102">
        <f t="shared" si="284"/>
        <v>1</v>
      </c>
      <c r="AG1102" s="8">
        <f t="shared" si="287"/>
        <v>-0.46575160899762696</v>
      </c>
      <c r="AH1102" s="8">
        <f t="shared" si="288"/>
        <v>0.59984274049673325</v>
      </c>
      <c r="AI1102" s="8">
        <f t="shared" si="289"/>
        <v>0.6505875232353372</v>
      </c>
      <c r="AJ1102" s="8"/>
      <c r="AK1102" s="8"/>
      <c r="AL1102" s="8"/>
      <c r="AN1102" s="8">
        <f t="shared" si="295"/>
        <v>1</v>
      </c>
      <c r="AO1102" s="8">
        <f t="shared" si="296"/>
        <v>2.2310155173760093</v>
      </c>
      <c r="AP1102" s="8">
        <f t="shared" si="297"/>
        <v>0.8624385103799268</v>
      </c>
      <c r="AQ1102" s="8"/>
      <c r="AR1102" s="8">
        <f t="shared" si="298"/>
        <v>127.82777317384111</v>
      </c>
      <c r="AS1102" s="8">
        <f t="shared" si="299"/>
        <v>40.585913265680553</v>
      </c>
    </row>
    <row r="1103" spans="1:45">
      <c r="A1103" s="19">
        <v>35.735700000000001</v>
      </c>
      <c r="B1103" s="19">
        <v>675.12181889999999</v>
      </c>
      <c r="C1103" s="19">
        <v>-354.37997899999999</v>
      </c>
      <c r="E1103" s="9">
        <f t="shared" si="285"/>
        <v>-284.87818110000001</v>
      </c>
      <c r="F1103" s="9">
        <f t="shared" si="290"/>
        <v>185.62002100000001</v>
      </c>
      <c r="I1103">
        <v>1</v>
      </c>
      <c r="J1103">
        <f t="shared" si="286"/>
        <v>0.22102605763440064</v>
      </c>
      <c r="K1103">
        <f t="shared" si="291"/>
        <v>2.5641097423767918</v>
      </c>
      <c r="O1103">
        <f t="shared" si="292"/>
        <v>-0.18368023647224602</v>
      </c>
      <c r="P1103">
        <f t="shared" si="293"/>
        <v>0.11968178545514901</v>
      </c>
      <c r="Q1103">
        <f t="shared" si="294"/>
        <v>0.97567301948950469</v>
      </c>
      <c r="R1103">
        <f t="shared" si="284"/>
        <v>1</v>
      </c>
      <c r="AG1103" s="8">
        <f t="shared" si="287"/>
        <v>-0.46546214975215416</v>
      </c>
      <c r="AH1103" s="8">
        <f t="shared" si="288"/>
        <v>0.60022934484502888</v>
      </c>
      <c r="AI1103" s="8">
        <f t="shared" si="289"/>
        <v>0.65043809908015904</v>
      </c>
      <c r="AJ1103" s="8"/>
      <c r="AK1103" s="8"/>
      <c r="AL1103" s="8"/>
      <c r="AN1103" s="8">
        <f t="shared" si="295"/>
        <v>1.0000000000000002</v>
      </c>
      <c r="AO1103" s="8">
        <f t="shared" si="296"/>
        <v>2.2304023561935877</v>
      </c>
      <c r="AP1103" s="8">
        <f t="shared" si="297"/>
        <v>0.86263525176805977</v>
      </c>
      <c r="AQ1103" s="8"/>
      <c r="AR1103" s="8">
        <f t="shared" si="298"/>
        <v>127.7926416259271</v>
      </c>
      <c r="AS1103" s="8">
        <f t="shared" si="299"/>
        <v>40.574640814484987</v>
      </c>
    </row>
    <row r="1104" spans="1:45">
      <c r="A1104" s="19">
        <v>35.769066670000001</v>
      </c>
      <c r="B1104" s="19">
        <v>674.75184049999996</v>
      </c>
      <c r="C1104" s="19">
        <v>-354.35875019999997</v>
      </c>
      <c r="E1104" s="9">
        <f t="shared" si="285"/>
        <v>-285.24815950000004</v>
      </c>
      <c r="F1104" s="9">
        <f t="shared" si="290"/>
        <v>185.64124980000003</v>
      </c>
      <c r="I1104">
        <v>1</v>
      </c>
      <c r="J1104">
        <f t="shared" si="286"/>
        <v>0.22123039889874432</v>
      </c>
      <c r="K1104">
        <f t="shared" si="291"/>
        <v>2.5646509446541579</v>
      </c>
      <c r="O1104">
        <f t="shared" si="292"/>
        <v>-0.18391207692875711</v>
      </c>
      <c r="P1104">
        <f t="shared" si="293"/>
        <v>0.11969110641840346</v>
      </c>
      <c r="Q1104">
        <f t="shared" si="294"/>
        <v>0.97562820121401239</v>
      </c>
      <c r="R1104">
        <f t="shared" si="284"/>
        <v>1</v>
      </c>
      <c r="AG1104" s="8">
        <f t="shared" si="287"/>
        <v>-0.46531829338243286</v>
      </c>
      <c r="AH1104" s="8">
        <f t="shared" si="288"/>
        <v>0.60040670859861445</v>
      </c>
      <c r="AI1104" s="8">
        <f t="shared" si="289"/>
        <v>0.65037732902787959</v>
      </c>
      <c r="AJ1104" s="8"/>
      <c r="AK1104" s="8"/>
      <c r="AL1104" s="8"/>
      <c r="AN1104" s="8">
        <f t="shared" si="295"/>
        <v>1.0000000000000002</v>
      </c>
      <c r="AO1104" s="8">
        <f t="shared" si="296"/>
        <v>2.2301096148229806</v>
      </c>
      <c r="AP1104" s="8">
        <f t="shared" si="297"/>
        <v>0.86271525601974153</v>
      </c>
      <c r="AQ1104" s="8"/>
      <c r="AR1104" s="8">
        <f t="shared" si="298"/>
        <v>127.77586878090244</v>
      </c>
      <c r="AS1104" s="8">
        <f t="shared" si="299"/>
        <v>40.57005690852052</v>
      </c>
    </row>
    <row r="1105" spans="1:45">
      <c r="A1105" s="19">
        <v>35.80243333</v>
      </c>
      <c r="B1105" s="19">
        <v>673.93163440000001</v>
      </c>
      <c r="C1105" s="19">
        <v>-354.31874599999998</v>
      </c>
      <c r="E1105" s="9">
        <f t="shared" si="285"/>
        <v>-286.06836559999999</v>
      </c>
      <c r="F1105" s="9">
        <f t="shared" si="290"/>
        <v>185.68125400000002</v>
      </c>
      <c r="I1105">
        <v>1</v>
      </c>
      <c r="J1105">
        <f t="shared" si="286"/>
        <v>0.22168112765726247</v>
      </c>
      <c r="K1105">
        <f t="shared" si="291"/>
        <v>2.5658644554180565</v>
      </c>
      <c r="O1105">
        <f t="shared" si="292"/>
        <v>-0.18442602448821416</v>
      </c>
      <c r="P1105">
        <f t="shared" si="293"/>
        <v>0.11970724349538613</v>
      </c>
      <c r="Q1105">
        <f t="shared" si="294"/>
        <v>0.9755291986128396</v>
      </c>
      <c r="R1105">
        <f t="shared" si="284"/>
        <v>1</v>
      </c>
      <c r="AG1105" s="8">
        <f t="shared" si="287"/>
        <v>-0.46500235656889044</v>
      </c>
      <c r="AH1105" s="8">
        <f t="shared" si="288"/>
        <v>0.60080083891654312</v>
      </c>
      <c r="AI1105" s="8">
        <f t="shared" si="289"/>
        <v>0.65023931005634894</v>
      </c>
      <c r="AJ1105" s="8"/>
      <c r="AK1105" s="8"/>
      <c r="AL1105" s="8"/>
      <c r="AN1105" s="8">
        <f t="shared" si="295"/>
        <v>1.0000000000000002</v>
      </c>
      <c r="AO1105" s="8">
        <f t="shared" si="296"/>
        <v>2.2294631285096278</v>
      </c>
      <c r="AP1105" s="8">
        <f t="shared" si="297"/>
        <v>0.86289693872763518</v>
      </c>
      <c r="AQ1105" s="8"/>
      <c r="AR1105" s="8">
        <f t="shared" si="298"/>
        <v>127.73882784363435</v>
      </c>
      <c r="AS1105" s="8">
        <f t="shared" si="299"/>
        <v>40.559647256147706</v>
      </c>
    </row>
    <row r="1106" spans="1:45">
      <c r="A1106" s="19">
        <v>35.835799999999999</v>
      </c>
      <c r="B1106" s="19">
        <v>673.10253020000005</v>
      </c>
      <c r="C1106" s="19">
        <v>-354.2534331</v>
      </c>
      <c r="E1106" s="9">
        <f t="shared" si="285"/>
        <v>-286.89746979999995</v>
      </c>
      <c r="F1106" s="9">
        <f t="shared" si="290"/>
        <v>185.7465669</v>
      </c>
      <c r="I1106">
        <v>1</v>
      </c>
      <c r="J1106">
        <f t="shared" si="286"/>
        <v>0.22214557063319407</v>
      </c>
      <c r="K1106">
        <f t="shared" si="291"/>
        <v>2.5670249121298041</v>
      </c>
      <c r="O1106">
        <f t="shared" si="292"/>
        <v>-0.18494512120962264</v>
      </c>
      <c r="P1106">
        <f t="shared" si="293"/>
        <v>0.11973936665785052</v>
      </c>
      <c r="Q1106">
        <f t="shared" si="294"/>
        <v>0.97542697636119069</v>
      </c>
      <c r="R1106">
        <f t="shared" si="284"/>
        <v>1</v>
      </c>
      <c r="AG1106" s="8">
        <f t="shared" si="287"/>
        <v>-0.46467224291621201</v>
      </c>
      <c r="AH1106" s="8">
        <f t="shared" si="288"/>
        <v>0.6011951311889413</v>
      </c>
      <c r="AI1106" s="8">
        <f t="shared" si="289"/>
        <v>0.65011085277660807</v>
      </c>
      <c r="AJ1106" s="8"/>
      <c r="AK1106" s="8"/>
      <c r="AL1106" s="8"/>
      <c r="AN1106" s="8">
        <f t="shared" si="295"/>
        <v>1</v>
      </c>
      <c r="AO1106" s="8">
        <f t="shared" si="296"/>
        <v>2.2288019511279105</v>
      </c>
      <c r="AP1106" s="8">
        <f t="shared" si="297"/>
        <v>0.86306600942321776</v>
      </c>
      <c r="AQ1106" s="8"/>
      <c r="AR1106" s="8">
        <f t="shared" si="298"/>
        <v>127.70094517015244</v>
      </c>
      <c r="AS1106" s="8">
        <f t="shared" si="299"/>
        <v>40.549960218851481</v>
      </c>
    </row>
    <row r="1107" spans="1:45">
      <c r="A1107" s="19">
        <v>35.869166669999998</v>
      </c>
      <c r="B1107" s="19">
        <v>672.79589810000004</v>
      </c>
      <c r="C1107" s="19">
        <v>-353.80141780000002</v>
      </c>
      <c r="E1107" s="9">
        <f t="shared" si="285"/>
        <v>-287.20410189999996</v>
      </c>
      <c r="F1107" s="9">
        <f t="shared" si="290"/>
        <v>186.19858219999998</v>
      </c>
      <c r="I1107">
        <v>1</v>
      </c>
      <c r="J1107">
        <f t="shared" si="286"/>
        <v>0.22246507366686299</v>
      </c>
      <c r="K1107">
        <f t="shared" si="291"/>
        <v>2.5664032352102621</v>
      </c>
      <c r="O1107">
        <f t="shared" si="292"/>
        <v>-0.18513214058280114</v>
      </c>
      <c r="P1107">
        <f t="shared" si="293"/>
        <v>0.12002385017527037</v>
      </c>
      <c r="Q1107">
        <f t="shared" si="294"/>
        <v>0.97535653271628531</v>
      </c>
      <c r="R1107">
        <f t="shared" si="284"/>
        <v>1</v>
      </c>
      <c r="AG1107" s="8">
        <f t="shared" si="287"/>
        <v>-0.46436648044263296</v>
      </c>
      <c r="AH1107" s="8">
        <f t="shared" si="288"/>
        <v>0.60127415549460239</v>
      </c>
      <c r="AI1107" s="8">
        <f t="shared" si="289"/>
        <v>0.65025622778684289</v>
      </c>
      <c r="AJ1107" s="8"/>
      <c r="AK1107" s="8"/>
      <c r="AL1107" s="8"/>
      <c r="AN1107" s="8">
        <f t="shared" si="295"/>
        <v>1</v>
      </c>
      <c r="AO1107" s="8">
        <f t="shared" si="296"/>
        <v>2.2284199000573088</v>
      </c>
      <c r="AP1107" s="8">
        <f t="shared" si="297"/>
        <v>0.86287467041662136</v>
      </c>
      <c r="AQ1107" s="8"/>
      <c r="AR1107" s="8">
        <f t="shared" si="298"/>
        <v>127.67905525624852</v>
      </c>
      <c r="AS1107" s="8">
        <f t="shared" si="299"/>
        <v>40.560923136385682</v>
      </c>
    </row>
    <row r="1108" spans="1:45">
      <c r="A1108" s="19">
        <v>35.902533329999997</v>
      </c>
      <c r="B1108" s="19">
        <v>672.09707479999997</v>
      </c>
      <c r="C1108" s="19">
        <v>-353.36932810000002</v>
      </c>
      <c r="E1108" s="9">
        <f t="shared" si="285"/>
        <v>-287.90292520000003</v>
      </c>
      <c r="F1108" s="9">
        <f t="shared" si="290"/>
        <v>186.63067189999998</v>
      </c>
      <c r="I1108">
        <v>1</v>
      </c>
      <c r="J1108">
        <f t="shared" si="286"/>
        <v>0.22298662885741716</v>
      </c>
      <c r="K1108">
        <f t="shared" si="291"/>
        <v>2.5664545134250827</v>
      </c>
      <c r="O1108">
        <f t="shared" si="292"/>
        <v>-0.18556513055035911</v>
      </c>
      <c r="P1108">
        <f t="shared" si="293"/>
        <v>0.12029104939370286</v>
      </c>
      <c r="Q1108">
        <f t="shared" si="294"/>
        <v>0.97524132693379539</v>
      </c>
      <c r="R1108">
        <f t="shared" si="284"/>
        <v>1</v>
      </c>
      <c r="AG1108" s="8">
        <f t="shared" si="287"/>
        <v>-0.46392633816832757</v>
      </c>
      <c r="AH1108" s="8">
        <f t="shared" si="288"/>
        <v>0.60154736435713019</v>
      </c>
      <c r="AI1108" s="8">
        <f t="shared" si="289"/>
        <v>0.65031770788493581</v>
      </c>
      <c r="AJ1108" s="8"/>
      <c r="AK1108" s="8"/>
      <c r="AL1108" s="8"/>
      <c r="AN1108" s="8">
        <f t="shared" si="295"/>
        <v>1</v>
      </c>
      <c r="AO1108" s="8">
        <f t="shared" si="296"/>
        <v>2.227741513256575</v>
      </c>
      <c r="AP1108" s="8">
        <f t="shared" si="297"/>
        <v>0.86279374239779028</v>
      </c>
      <c r="AQ1108" s="8"/>
      <c r="AR1108" s="8">
        <f t="shared" si="298"/>
        <v>127.64018655568908</v>
      </c>
      <c r="AS1108" s="8">
        <f t="shared" si="299"/>
        <v>40.56555997030906</v>
      </c>
    </row>
    <row r="1109" spans="1:45">
      <c r="A1109" s="19">
        <v>35.935899999999997</v>
      </c>
      <c r="B1109" s="19">
        <v>671.7463808</v>
      </c>
      <c r="C1109" s="19">
        <v>-353.36597399999999</v>
      </c>
      <c r="E1109" s="9">
        <f t="shared" si="285"/>
        <v>-288.2536192</v>
      </c>
      <c r="F1109" s="9">
        <f t="shared" si="290"/>
        <v>186.63402600000001</v>
      </c>
      <c r="I1109">
        <v>1</v>
      </c>
      <c r="J1109">
        <f t="shared" si="286"/>
        <v>0.22317463747699262</v>
      </c>
      <c r="K1109">
        <f t="shared" si="291"/>
        <v>2.5670018247089494</v>
      </c>
      <c r="O1109">
        <f t="shared" si="292"/>
        <v>-0.18578484598549466</v>
      </c>
      <c r="P1109">
        <f t="shared" si="293"/>
        <v>0.1202891185626537</v>
      </c>
      <c r="Q1109">
        <f t="shared" si="294"/>
        <v>0.97519973285351436</v>
      </c>
      <c r="R1109">
        <f t="shared" si="284"/>
        <v>1</v>
      </c>
      <c r="AG1109" s="8">
        <f t="shared" si="287"/>
        <v>-0.46379708907286371</v>
      </c>
      <c r="AH1109" s="8">
        <f t="shared" si="288"/>
        <v>0.60171772713133265</v>
      </c>
      <c r="AI1109" s="8">
        <f t="shared" si="289"/>
        <v>0.65025228721123396</v>
      </c>
      <c r="AJ1109" s="8"/>
      <c r="AK1109" s="8"/>
      <c r="AL1109" s="8"/>
      <c r="AN1109" s="8">
        <f t="shared" si="295"/>
        <v>0.99999999999999989</v>
      </c>
      <c r="AO1109" s="8">
        <f t="shared" si="296"/>
        <v>2.2274698493500127</v>
      </c>
      <c r="AP1109" s="8">
        <f t="shared" si="297"/>
        <v>0.86287985731829941</v>
      </c>
      <c r="AQ1109" s="8"/>
      <c r="AR1109" s="8">
        <f t="shared" si="298"/>
        <v>127.62462136039703</v>
      </c>
      <c r="AS1109" s="8">
        <f t="shared" si="299"/>
        <v>40.560625948810781</v>
      </c>
    </row>
    <row r="1110" spans="1:45">
      <c r="A1110" s="19">
        <v>35.969266670000003</v>
      </c>
      <c r="B1110" s="19">
        <v>670.95121689999996</v>
      </c>
      <c r="C1110" s="19">
        <v>-353.3584616</v>
      </c>
      <c r="E1110" s="9">
        <f t="shared" si="285"/>
        <v>-289.04878310000004</v>
      </c>
      <c r="F1110" s="9">
        <f t="shared" si="290"/>
        <v>186.6415384</v>
      </c>
      <c r="I1110">
        <v>1</v>
      </c>
      <c r="J1110">
        <f t="shared" si="286"/>
        <v>0.22360108420693639</v>
      </c>
      <c r="K1110">
        <f t="shared" si="291"/>
        <v>2.5682395339891411</v>
      </c>
      <c r="O1110">
        <f t="shared" si="292"/>
        <v>-0.18628293719907277</v>
      </c>
      <c r="P1110">
        <f t="shared" si="293"/>
        <v>0.12028465784779685</v>
      </c>
      <c r="Q1110">
        <f t="shared" si="294"/>
        <v>0.97510526016165289</v>
      </c>
      <c r="R1110">
        <f t="shared" si="284"/>
        <v>1</v>
      </c>
      <c r="AG1110" s="8">
        <f t="shared" si="287"/>
        <v>-0.46350401914408068</v>
      </c>
      <c r="AH1110" s="8">
        <f t="shared" si="288"/>
        <v>0.60210386601262678</v>
      </c>
      <c r="AI1110" s="8">
        <f t="shared" si="289"/>
        <v>0.65010380614939689</v>
      </c>
      <c r="AJ1110" s="8"/>
      <c r="AK1110" s="8"/>
      <c r="AL1110" s="8"/>
      <c r="AN1110" s="8">
        <f t="shared" si="295"/>
        <v>1</v>
      </c>
      <c r="AO1110" s="8">
        <f t="shared" si="296"/>
        <v>2.226854129824881</v>
      </c>
      <c r="AP1110" s="8">
        <f t="shared" si="297"/>
        <v>0.86307528322432248</v>
      </c>
      <c r="AQ1110" s="8"/>
      <c r="AR1110" s="8">
        <f t="shared" si="298"/>
        <v>127.58934323024317</v>
      </c>
      <c r="AS1110" s="8">
        <f t="shared" si="299"/>
        <v>40.549428869188141</v>
      </c>
    </row>
    <row r="1111" spans="1:45">
      <c r="A1111" s="19">
        <v>36.002633330000002</v>
      </c>
      <c r="B1111" s="19">
        <v>670.29335270000001</v>
      </c>
      <c r="C1111" s="19">
        <v>-353.32541620000001</v>
      </c>
      <c r="E1111" s="9">
        <f t="shared" si="285"/>
        <v>-289.70664729999999</v>
      </c>
      <c r="F1111" s="9">
        <f t="shared" si="290"/>
        <v>186.67458379999999</v>
      </c>
      <c r="I1111">
        <v>1</v>
      </c>
      <c r="J1111">
        <f t="shared" si="286"/>
        <v>0.22396331490943935</v>
      </c>
      <c r="K1111">
        <f t="shared" si="291"/>
        <v>2.569194437516813</v>
      </c>
      <c r="O1111">
        <f t="shared" si="292"/>
        <v>-0.18669461271594032</v>
      </c>
      <c r="P1111">
        <f t="shared" si="293"/>
        <v>0.1202980306156419</v>
      </c>
      <c r="Q1111">
        <f t="shared" si="294"/>
        <v>0.97502487425339213</v>
      </c>
      <c r="R1111">
        <f t="shared" si="284"/>
        <v>1</v>
      </c>
      <c r="AG1111" s="8">
        <f t="shared" si="287"/>
        <v>-0.46324998674772527</v>
      </c>
      <c r="AH1111" s="8">
        <f t="shared" si="288"/>
        <v>0.60241897630845997</v>
      </c>
      <c r="AI1111" s="8">
        <f t="shared" si="289"/>
        <v>0.64999294362454396</v>
      </c>
      <c r="AJ1111" s="8"/>
      <c r="AK1111" s="8"/>
      <c r="AL1111" s="8"/>
      <c r="AN1111" s="8">
        <f t="shared" si="295"/>
        <v>1</v>
      </c>
      <c r="AO1111" s="8">
        <f t="shared" si="296"/>
        <v>2.2263363092891453</v>
      </c>
      <c r="AP1111" s="8">
        <f t="shared" si="297"/>
        <v>0.86322117554105071</v>
      </c>
      <c r="AQ1111" s="8"/>
      <c r="AR1111" s="8">
        <f t="shared" si="298"/>
        <v>127.55967429900032</v>
      </c>
      <c r="AS1111" s="8">
        <f t="shared" si="299"/>
        <v>40.541069855176225</v>
      </c>
    </row>
    <row r="1112" spans="1:45">
      <c r="A1112" s="19">
        <v>36.036000000000001</v>
      </c>
      <c r="B1112" s="19">
        <v>669.73579199999995</v>
      </c>
      <c r="C1112" s="19">
        <v>-353.25575609999999</v>
      </c>
      <c r="E1112" s="9">
        <f t="shared" si="285"/>
        <v>-290.26420800000005</v>
      </c>
      <c r="F1112" s="9">
        <f t="shared" si="290"/>
        <v>186.74424390000001</v>
      </c>
      <c r="I1112">
        <v>1</v>
      </c>
      <c r="J1112">
        <f t="shared" si="286"/>
        <v>0.2242847295667659</v>
      </c>
      <c r="K1112">
        <f t="shared" si="291"/>
        <v>2.5698997765794074</v>
      </c>
      <c r="O1112">
        <f t="shared" si="292"/>
        <v>-0.18704296191081207</v>
      </c>
      <c r="P1112">
        <f t="shared" si="293"/>
        <v>0.1203358717201919</v>
      </c>
      <c r="Q1112">
        <f t="shared" si="294"/>
        <v>0.97495343908156562</v>
      </c>
      <c r="R1112">
        <f t="shared" si="284"/>
        <v>1</v>
      </c>
      <c r="AG1112" s="8">
        <f t="shared" si="287"/>
        <v>-0.4630167778229235</v>
      </c>
      <c r="AH1112" s="8">
        <f t="shared" si="288"/>
        <v>0.60267941838468575</v>
      </c>
      <c r="AI1112" s="8">
        <f t="shared" si="289"/>
        <v>0.64991767333253414</v>
      </c>
      <c r="AJ1112" s="8"/>
      <c r="AK1112" s="8"/>
      <c r="AL1112" s="8"/>
      <c r="AN1112" s="8">
        <f t="shared" si="295"/>
        <v>1</v>
      </c>
      <c r="AO1112" s="8">
        <f t="shared" si="296"/>
        <v>2.2258841655447408</v>
      </c>
      <c r="AP1112" s="8">
        <f t="shared" si="297"/>
        <v>0.86332021899179445</v>
      </c>
      <c r="AQ1112" s="8"/>
      <c r="AR1112" s="8">
        <f t="shared" si="298"/>
        <v>127.53376837071271</v>
      </c>
      <c r="AS1112" s="8">
        <f t="shared" si="299"/>
        <v>40.535395083460202</v>
      </c>
    </row>
    <row r="1113" spans="1:45">
      <c r="A1113" s="19">
        <v>36.069366670000001</v>
      </c>
      <c r="B1113" s="19">
        <v>668.99313870000003</v>
      </c>
      <c r="C1113" s="19">
        <v>-353.19574169999999</v>
      </c>
      <c r="E1113" s="9">
        <f t="shared" si="285"/>
        <v>-291.00686129999997</v>
      </c>
      <c r="F1113" s="9">
        <f t="shared" si="290"/>
        <v>186.80425830000001</v>
      </c>
      <c r="I1113">
        <v>1</v>
      </c>
      <c r="J1113">
        <f t="shared" si="286"/>
        <v>0.22470171479297013</v>
      </c>
      <c r="K1113">
        <f t="shared" si="291"/>
        <v>2.5709158017395159</v>
      </c>
      <c r="O1113">
        <f t="shared" si="292"/>
        <v>-0.18750723218670937</v>
      </c>
      <c r="P1113">
        <f t="shared" si="293"/>
        <v>0.12036537309824642</v>
      </c>
      <c r="Q1113">
        <f t="shared" si="294"/>
        <v>0.97486061302967786</v>
      </c>
      <c r="R1113">
        <f t="shared" si="284"/>
        <v>1</v>
      </c>
      <c r="AG1113" s="8">
        <f t="shared" si="287"/>
        <v>-0.46272016672502192</v>
      </c>
      <c r="AH1113" s="8">
        <f t="shared" si="288"/>
        <v>0.60303126934195417</v>
      </c>
      <c r="AI1113" s="8">
        <f t="shared" si="289"/>
        <v>0.64980253577667679</v>
      </c>
      <c r="AJ1113" s="8"/>
      <c r="AK1113" s="8"/>
      <c r="AL1113" s="8"/>
      <c r="AN1113" s="8">
        <f t="shared" si="295"/>
        <v>0.99999999999999978</v>
      </c>
      <c r="AO1113" s="8">
        <f t="shared" si="296"/>
        <v>2.2252927079310503</v>
      </c>
      <c r="AP1113" s="8">
        <f t="shared" si="297"/>
        <v>0.86347170504405824</v>
      </c>
      <c r="AQ1113" s="8"/>
      <c r="AR1113" s="8">
        <f t="shared" si="298"/>
        <v>127.49988034568736</v>
      </c>
      <c r="AS1113" s="8">
        <f t="shared" si="299"/>
        <v>40.526715572010389</v>
      </c>
    </row>
    <row r="1114" spans="1:45">
      <c r="A1114" s="19">
        <v>36.10273333</v>
      </c>
      <c r="B1114" s="19">
        <v>668.33906239999999</v>
      </c>
      <c r="C1114" s="19">
        <v>-353.07806119999998</v>
      </c>
      <c r="E1114" s="9">
        <f t="shared" si="285"/>
        <v>-291.66093760000001</v>
      </c>
      <c r="F1114" s="9">
        <f t="shared" si="290"/>
        <v>186.92193880000002</v>
      </c>
      <c r="I1114">
        <v>1</v>
      </c>
      <c r="J1114">
        <f t="shared" si="286"/>
        <v>0.22509127806077345</v>
      </c>
      <c r="K1114">
        <f t="shared" si="291"/>
        <v>2.5716498870416569</v>
      </c>
      <c r="O1114">
        <f t="shared" si="292"/>
        <v>-0.1879152662312826</v>
      </c>
      <c r="P1114">
        <f t="shared" si="293"/>
        <v>0.12043260295021938</v>
      </c>
      <c r="Q1114">
        <f t="shared" si="294"/>
        <v>0.97477373829205149</v>
      </c>
      <c r="R1114">
        <f t="shared" si="284"/>
        <v>1</v>
      </c>
      <c r="AG1114" s="8">
        <f t="shared" si="287"/>
        <v>-0.46243107759133506</v>
      </c>
      <c r="AH1114" s="8">
        <f t="shared" si="288"/>
        <v>0.60333086497331578</v>
      </c>
      <c r="AI1114" s="8">
        <f t="shared" si="289"/>
        <v>0.64973022543842562</v>
      </c>
      <c r="AJ1114" s="8"/>
      <c r="AK1114" s="8"/>
      <c r="AL1114" s="8"/>
      <c r="AN1114" s="8">
        <f t="shared" si="295"/>
        <v>1.0000000000000002</v>
      </c>
      <c r="AO1114" s="8">
        <f t="shared" si="296"/>
        <v>2.2247510728194753</v>
      </c>
      <c r="AP1114" s="8">
        <f t="shared" si="297"/>
        <v>0.86356683345733742</v>
      </c>
      <c r="AQ1114" s="8"/>
      <c r="AR1114" s="8">
        <f t="shared" si="298"/>
        <v>127.46884693975801</v>
      </c>
      <c r="AS1114" s="8">
        <f t="shared" si="299"/>
        <v>40.521265115417712</v>
      </c>
    </row>
    <row r="1115" spans="1:45">
      <c r="A1115" s="19">
        <v>36.136099999999999</v>
      </c>
      <c r="B1115" s="19">
        <v>667.81710339999995</v>
      </c>
      <c r="C1115" s="19">
        <v>-352.90205270000001</v>
      </c>
      <c r="E1115" s="9">
        <f t="shared" si="285"/>
        <v>-292.18289660000005</v>
      </c>
      <c r="F1115" s="9">
        <f t="shared" si="290"/>
        <v>187.09794729999999</v>
      </c>
      <c r="I1115">
        <v>1</v>
      </c>
      <c r="J1115">
        <f t="shared" si="286"/>
        <v>0.22543026771408128</v>
      </c>
      <c r="K1115">
        <f t="shared" si="291"/>
        <v>2.572034531175861</v>
      </c>
      <c r="O1115">
        <f t="shared" si="292"/>
        <v>-0.1882398402370955</v>
      </c>
      <c r="P1115">
        <f t="shared" si="293"/>
        <v>0.12053849872210666</v>
      </c>
      <c r="Q1115">
        <f t="shared" si="294"/>
        <v>0.97469802137550965</v>
      </c>
      <c r="R1115">
        <f t="shared" ref="R1115:R1178" si="300">SQRT(O1115^2+P1115^2+Q1115^2)</f>
        <v>1</v>
      </c>
      <c r="AG1115" s="8">
        <f t="shared" si="287"/>
        <v>-0.46216513590343211</v>
      </c>
      <c r="AH1115" s="8">
        <f t="shared" si="288"/>
        <v>0.60355700101115128</v>
      </c>
      <c r="AI1115" s="8">
        <f t="shared" si="289"/>
        <v>0.64970942250038777</v>
      </c>
      <c r="AJ1115" s="8"/>
      <c r="AK1115" s="8"/>
      <c r="AL1115" s="8"/>
      <c r="AN1115" s="8">
        <f t="shared" si="295"/>
        <v>1</v>
      </c>
      <c r="AO1115" s="8">
        <f t="shared" si="296"/>
        <v>2.2242924474323322</v>
      </c>
      <c r="AP1115" s="8">
        <f t="shared" si="297"/>
        <v>0.86359419948737604</v>
      </c>
      <c r="AQ1115" s="8"/>
      <c r="AR1115" s="8">
        <f t="shared" si="298"/>
        <v>127.44256964069716</v>
      </c>
      <c r="AS1115" s="8">
        <f t="shared" si="299"/>
        <v>40.519697157394468</v>
      </c>
    </row>
    <row r="1116" spans="1:45">
      <c r="A1116" s="19">
        <v>36.169466669999998</v>
      </c>
      <c r="B1116" s="19">
        <v>667.1047006</v>
      </c>
      <c r="C1116" s="19">
        <v>-352.65966279999998</v>
      </c>
      <c r="E1116" s="9">
        <f t="shared" si="285"/>
        <v>-292.8952994</v>
      </c>
      <c r="F1116" s="9">
        <f t="shared" si="290"/>
        <v>187.34033720000002</v>
      </c>
      <c r="I1116">
        <v>1</v>
      </c>
      <c r="J1116">
        <f t="shared" si="286"/>
        <v>0.22589365683571136</v>
      </c>
      <c r="K1116">
        <f t="shared" si="291"/>
        <v>2.5725523701735202</v>
      </c>
      <c r="O1116">
        <f t="shared" si="292"/>
        <v>-0.18868270478847385</v>
      </c>
      <c r="P1116">
        <f t="shared" si="293"/>
        <v>0.12068435926179553</v>
      </c>
      <c r="Q1116">
        <f t="shared" si="294"/>
        <v>0.97459433732362488</v>
      </c>
      <c r="R1116">
        <f t="shared" si="300"/>
        <v>1</v>
      </c>
      <c r="AG1116" s="8">
        <f t="shared" si="287"/>
        <v>-0.46180120325434393</v>
      </c>
      <c r="AH1116" s="8">
        <f t="shared" si="288"/>
        <v>0.60386513899487249</v>
      </c>
      <c r="AI1116" s="8">
        <f t="shared" si="289"/>
        <v>0.64968187798301991</v>
      </c>
      <c r="AJ1116" s="8"/>
      <c r="AK1116" s="8"/>
      <c r="AL1116" s="8"/>
      <c r="AN1116" s="8">
        <f t="shared" si="295"/>
        <v>1</v>
      </c>
      <c r="AO1116" s="8">
        <f t="shared" si="296"/>
        <v>2.2236659246155313</v>
      </c>
      <c r="AP1116" s="8">
        <f t="shared" si="297"/>
        <v>0.86363043300410347</v>
      </c>
      <c r="AQ1116" s="8"/>
      <c r="AR1116" s="8">
        <f t="shared" si="298"/>
        <v>127.40667252752581</v>
      </c>
      <c r="AS1116" s="8">
        <f t="shared" si="299"/>
        <v>40.517621129809072</v>
      </c>
    </row>
    <row r="1117" spans="1:45">
      <c r="A1117" s="19">
        <v>36.202833329999997</v>
      </c>
      <c r="B1117" s="19">
        <v>666.27126499999997</v>
      </c>
      <c r="C1117" s="19">
        <v>-352.55917169999998</v>
      </c>
      <c r="E1117" s="9">
        <f t="shared" si="285"/>
        <v>-293.72873500000003</v>
      </c>
      <c r="F1117" s="9">
        <f t="shared" si="290"/>
        <v>187.44082830000002</v>
      </c>
      <c r="I1117">
        <v>1</v>
      </c>
      <c r="J1117">
        <f t="shared" si="286"/>
        <v>0.2263732751325484</v>
      </c>
      <c r="K1117">
        <f t="shared" si="291"/>
        <v>2.5735982293020787</v>
      </c>
      <c r="O1117">
        <f t="shared" si="292"/>
        <v>-0.18920283631001311</v>
      </c>
      <c r="P1117">
        <f t="shared" si="293"/>
        <v>0.1207383961077495</v>
      </c>
      <c r="Q1117">
        <f t="shared" si="294"/>
        <v>0.97448680157176815</v>
      </c>
      <c r="R1117">
        <f t="shared" si="300"/>
        <v>1</v>
      </c>
      <c r="AG1117" s="8">
        <f t="shared" si="287"/>
        <v>-0.46145392512525618</v>
      </c>
      <c r="AH1117" s="8">
        <f t="shared" si="288"/>
        <v>0.60425402508916837</v>
      </c>
      <c r="AI1117" s="8">
        <f t="shared" si="289"/>
        <v>0.64956704669343657</v>
      </c>
      <c r="AJ1117" s="8"/>
      <c r="AK1117" s="8"/>
      <c r="AL1117" s="8"/>
      <c r="AN1117" s="8">
        <f t="shared" si="295"/>
        <v>1</v>
      </c>
      <c r="AO1117" s="8">
        <f t="shared" si="296"/>
        <v>2.2229923860336855</v>
      </c>
      <c r="AP1117" s="8">
        <f t="shared" si="297"/>
        <v>0.8637814760763638</v>
      </c>
      <c r="AQ1117" s="8"/>
      <c r="AR1117" s="8">
        <f t="shared" si="298"/>
        <v>127.36808160944683</v>
      </c>
      <c r="AS1117" s="8">
        <f t="shared" si="299"/>
        <v>40.508966999243867</v>
      </c>
    </row>
    <row r="1118" spans="1:45">
      <c r="A1118" s="19">
        <v>36.236199999999997</v>
      </c>
      <c r="B1118" s="19">
        <v>665.76979470000003</v>
      </c>
      <c r="C1118" s="19">
        <v>-352.48143549999998</v>
      </c>
      <c r="E1118" s="9">
        <f t="shared" si="285"/>
        <v>-294.23020529999997</v>
      </c>
      <c r="F1118" s="9">
        <f t="shared" si="290"/>
        <v>187.51856450000002</v>
      </c>
      <c r="I1118">
        <v>1</v>
      </c>
      <c r="J1118">
        <f t="shared" si="286"/>
        <v>0.22666781104951753</v>
      </c>
      <c r="K1118">
        <f t="shared" si="291"/>
        <v>2.5741835807916518</v>
      </c>
      <c r="O1118">
        <f t="shared" si="292"/>
        <v>-0.18951551413134973</v>
      </c>
      <c r="P1118">
        <f t="shared" si="293"/>
        <v>0.12078187935924388</v>
      </c>
      <c r="Q1118">
        <f t="shared" si="294"/>
        <v>0.97442065224520935</v>
      </c>
      <c r="R1118">
        <f t="shared" si="300"/>
        <v>1</v>
      </c>
      <c r="AG1118" s="8">
        <f t="shared" si="287"/>
        <v>-0.46123753311474386</v>
      </c>
      <c r="AH1118" s="8">
        <f t="shared" si="288"/>
        <v>0.60448519351603969</v>
      </c>
      <c r="AI1118" s="8">
        <f t="shared" si="289"/>
        <v>0.64950564960291279</v>
      </c>
      <c r="AJ1118" s="8"/>
      <c r="AK1118" s="8"/>
      <c r="AL1118" s="8"/>
      <c r="AN1118" s="8">
        <f t="shared" si="295"/>
        <v>1.0000000000000002</v>
      </c>
      <c r="AO1118" s="8">
        <f t="shared" si="296"/>
        <v>2.2225816815036064</v>
      </c>
      <c r="AP1118" s="8">
        <f t="shared" si="297"/>
        <v>0.86386222660159051</v>
      </c>
      <c r="AQ1118" s="8"/>
      <c r="AR1118" s="8">
        <f t="shared" si="298"/>
        <v>127.34454997324639</v>
      </c>
      <c r="AS1118" s="8">
        <f t="shared" si="299"/>
        <v>40.504340334954911</v>
      </c>
    </row>
    <row r="1119" spans="1:45">
      <c r="A1119" s="19">
        <v>36.269566670000003</v>
      </c>
      <c r="B1119" s="19">
        <v>665.09227610000005</v>
      </c>
      <c r="C1119" s="19">
        <v>-352.3976778</v>
      </c>
      <c r="E1119" s="9">
        <f t="shared" si="285"/>
        <v>-294.90772389999995</v>
      </c>
      <c r="F1119" s="9">
        <f t="shared" si="290"/>
        <v>187.6023222</v>
      </c>
      <c r="I1119">
        <v>1</v>
      </c>
      <c r="J1119">
        <f t="shared" si="286"/>
        <v>0.22705857492841211</v>
      </c>
      <c r="K1119">
        <f t="shared" si="291"/>
        <v>2.5750232980207839</v>
      </c>
      <c r="O1119">
        <f t="shared" si="292"/>
        <v>-0.18993812774860941</v>
      </c>
      <c r="P1119">
        <f t="shared" si="293"/>
        <v>0.12082706200005157</v>
      </c>
      <c r="Q1119">
        <f t="shared" si="294"/>
        <v>0.97433276077312958</v>
      </c>
      <c r="R1119">
        <f t="shared" si="300"/>
        <v>1</v>
      </c>
      <c r="AG1119" s="8">
        <f t="shared" si="287"/>
        <v>-0.46095426041397708</v>
      </c>
      <c r="AH1119" s="8">
        <f t="shared" si="288"/>
        <v>0.60480070302690647</v>
      </c>
      <c r="AI1119" s="8">
        <f t="shared" si="289"/>
        <v>0.64941302683605229</v>
      </c>
      <c r="AJ1119" s="8"/>
      <c r="AK1119" s="8"/>
      <c r="AL1119" s="8"/>
      <c r="AN1119" s="8">
        <f t="shared" si="295"/>
        <v>1.0000000000000002</v>
      </c>
      <c r="AO1119" s="8">
        <f t="shared" si="296"/>
        <v>2.2220338475470109</v>
      </c>
      <c r="AP1119" s="8">
        <f t="shared" si="297"/>
        <v>0.86398403514306299</v>
      </c>
      <c r="AQ1119" s="8"/>
      <c r="AR1119" s="8">
        <f t="shared" si="298"/>
        <v>127.31316139965952</v>
      </c>
      <c r="AS1119" s="8">
        <f t="shared" si="299"/>
        <v>40.497361219619897</v>
      </c>
    </row>
    <row r="1120" spans="1:45">
      <c r="A1120" s="19">
        <v>36.302933330000002</v>
      </c>
      <c r="B1120" s="19">
        <v>664.7599553</v>
      </c>
      <c r="C1120" s="19">
        <v>-352.31155749999999</v>
      </c>
      <c r="E1120" s="9">
        <f t="shared" ref="E1120:E1183" si="301">(B1120-($B$15/2))</f>
        <v>-295.2400447</v>
      </c>
      <c r="F1120" s="9">
        <f t="shared" si="290"/>
        <v>187.68844250000001</v>
      </c>
      <c r="I1120">
        <v>1</v>
      </c>
      <c r="J1120">
        <f t="shared" ref="J1120:J1183" si="302">ATAN((SQRT(E1120^2+F1120^2)^$B$16)/($F$24))</f>
        <v>0.22726558842862896</v>
      </c>
      <c r="K1120">
        <f t="shared" si="291"/>
        <v>2.5753254472293454</v>
      </c>
      <c r="O1120">
        <f t="shared" si="292"/>
        <v>-0.19014483937100313</v>
      </c>
      <c r="P1120">
        <f t="shared" si="293"/>
        <v>0.12087787341727185</v>
      </c>
      <c r="Q1120">
        <f t="shared" si="294"/>
        <v>0.97428613855411772</v>
      </c>
      <c r="R1120">
        <f t="shared" si="300"/>
        <v>1</v>
      </c>
      <c r="AG1120" s="8">
        <f t="shared" ref="AG1120:AG1183" si="303">$O1120*$Z$27+$P1120*$Z$31+$Q1120*$Z$35</f>
        <v>-0.4607959875804935</v>
      </c>
      <c r="AH1120" s="8">
        <f t="shared" ref="AH1120:AH1183" si="304">$O1120*$AA$27+$P1120*$AA$31+$Q1120*$AA$35</f>
        <v>0.60494835071915964</v>
      </c>
      <c r="AI1120" s="8">
        <f t="shared" ref="AI1120:AI1183" si="305">$AB$27*$O1120+$P1120*$AB$31+$AB$35*$Q1120</f>
        <v>0.6493878277207592</v>
      </c>
      <c r="AJ1120" s="8"/>
      <c r="AK1120" s="8"/>
      <c r="AL1120" s="8"/>
      <c r="AN1120" s="8">
        <f t="shared" si="295"/>
        <v>1.0000000000000002</v>
      </c>
      <c r="AO1120" s="8">
        <f t="shared" si="296"/>
        <v>2.2217506238228966</v>
      </c>
      <c r="AP1120" s="8">
        <f t="shared" si="297"/>
        <v>0.86401717239968168</v>
      </c>
      <c r="AQ1120" s="8"/>
      <c r="AR1120" s="8">
        <f t="shared" si="298"/>
        <v>127.29693387560978</v>
      </c>
      <c r="AS1120" s="8">
        <f t="shared" si="299"/>
        <v>40.495462594671004</v>
      </c>
    </row>
    <row r="1121" spans="1:45">
      <c r="A1121" s="19">
        <v>36.336300000000001</v>
      </c>
      <c r="B1121" s="19">
        <v>664.01250589999995</v>
      </c>
      <c r="C1121" s="19">
        <v>-352.32208379999997</v>
      </c>
      <c r="E1121" s="9">
        <f t="shared" si="301"/>
        <v>-295.98749410000005</v>
      </c>
      <c r="F1121" s="9">
        <f t="shared" ref="F1121:F1184" si="306">(($C$15/2)+C1121)</f>
        <v>187.67791620000003</v>
      </c>
      <c r="I1121">
        <v>1</v>
      </c>
      <c r="J1121">
        <f t="shared" si="302"/>
        <v>0.22766188445150298</v>
      </c>
      <c r="K1121">
        <f t="shared" ref="K1121:K1184" si="307">ATAN2(E1121,F1121)</f>
        <v>2.5764949489076896</v>
      </c>
      <c r="O1121">
        <f t="shared" ref="O1121:O1184" si="308">COS(K1121)*SIN(J1121)</f>
        <v>-0.19061214152150083</v>
      </c>
      <c r="P1121">
        <f t="shared" ref="P1121:P1184" si="309">SIN(K1121)*SIN(J1121)</f>
        <v>0.12086216558557901</v>
      </c>
      <c r="Q1121">
        <f t="shared" ref="Q1121:Q1184" si="310">COS(J1121)</f>
        <v>0.97419677090131618</v>
      </c>
      <c r="R1121">
        <f t="shared" si="300"/>
        <v>1</v>
      </c>
      <c r="AG1121" s="8">
        <f t="shared" si="303"/>
        <v>-0.46052754264866302</v>
      </c>
      <c r="AH1121" s="8">
        <f t="shared" si="304"/>
        <v>0.60531226150440287</v>
      </c>
      <c r="AI1121" s="8">
        <f t="shared" si="305"/>
        <v>0.64923913047074522</v>
      </c>
      <c r="AJ1121" s="8"/>
      <c r="AK1121" s="8"/>
      <c r="AL1121" s="8"/>
      <c r="AN1121" s="8">
        <f t="shared" ref="AN1121:AN1184" si="311">AG1121^2+AH1121^2+AI1121^2</f>
        <v>1</v>
      </c>
      <c r="AO1121" s="8">
        <f t="shared" ref="AO1121:AO1184" si="312">IF(ATAN2(AG1121,AH1121)&gt;=0,ATAN2(AG1121,AH1121),ATAN2(AG1121,AH1121)+2*PI())</f>
        <v>2.2211799313327321</v>
      </c>
      <c r="AP1121" s="8">
        <f t="shared" ref="AP1121:AP1184" si="313">ACOS(AI1121/AN1121)</f>
        <v>0.86421269267410317</v>
      </c>
      <c r="AQ1121" s="8"/>
      <c r="AR1121" s="8">
        <f t="shared" ref="AR1121:AR1184" si="314">DEGREES(AO1121)</f>
        <v>127.26423560452355</v>
      </c>
      <c r="AS1121" s="8">
        <f t="shared" ref="AS1121:AS1184" si="315">90-DEGREES(AP1121)</f>
        <v>40.484260108137413</v>
      </c>
    </row>
    <row r="1122" spans="1:45">
      <c r="A1122" s="19">
        <v>36.369666670000001</v>
      </c>
      <c r="B1122" s="19">
        <v>663.54587030000005</v>
      </c>
      <c r="C1122" s="19">
        <v>-352.2985276</v>
      </c>
      <c r="E1122" s="9">
        <f t="shared" si="301"/>
        <v>-296.45412969999995</v>
      </c>
      <c r="F1122" s="9">
        <f t="shared" si="306"/>
        <v>187.7014724</v>
      </c>
      <c r="I1122">
        <v>1</v>
      </c>
      <c r="J1122">
        <f t="shared" si="302"/>
        <v>0.22791962445341668</v>
      </c>
      <c r="K1122">
        <f t="shared" si="307"/>
        <v>2.5771504106770431</v>
      </c>
      <c r="O1122">
        <f t="shared" si="308"/>
        <v>-0.19090345702303874</v>
      </c>
      <c r="P1122">
        <f t="shared" si="309"/>
        <v>0.12087151562279115</v>
      </c>
      <c r="Q1122">
        <f t="shared" si="310"/>
        <v>0.97413856653337683</v>
      </c>
      <c r="R1122">
        <f t="shared" si="300"/>
        <v>1</v>
      </c>
      <c r="AG1122" s="8">
        <f t="shared" si="303"/>
        <v>-0.46034700361628117</v>
      </c>
      <c r="AH1122" s="8">
        <f t="shared" si="304"/>
        <v>0.60553463800987295</v>
      </c>
      <c r="AI1122" s="8">
        <f t="shared" si="305"/>
        <v>0.64915979422000869</v>
      </c>
      <c r="AJ1122" s="8"/>
      <c r="AK1122" s="8"/>
      <c r="AL1122" s="8"/>
      <c r="AN1122" s="8">
        <f t="shared" si="311"/>
        <v>1.0000000000000002</v>
      </c>
      <c r="AO1122" s="8">
        <f t="shared" si="312"/>
        <v>2.2208140223541468</v>
      </c>
      <c r="AP1122" s="8">
        <f t="shared" si="313"/>
        <v>0.86431699763292991</v>
      </c>
      <c r="AQ1122" s="8"/>
      <c r="AR1122" s="8">
        <f t="shared" si="314"/>
        <v>127.24327056436468</v>
      </c>
      <c r="AS1122" s="8">
        <f t="shared" si="315"/>
        <v>40.478283874214355</v>
      </c>
    </row>
    <row r="1123" spans="1:45">
      <c r="A1123" s="19">
        <v>36.40303333</v>
      </c>
      <c r="B1123" s="19">
        <v>662.89746739999998</v>
      </c>
      <c r="C1123" s="19">
        <v>-352.17127290000002</v>
      </c>
      <c r="E1123" s="9">
        <f t="shared" si="301"/>
        <v>-297.10253260000002</v>
      </c>
      <c r="F1123" s="9">
        <f t="shared" si="306"/>
        <v>187.82872709999998</v>
      </c>
      <c r="I1123">
        <v>1</v>
      </c>
      <c r="J1123">
        <f t="shared" si="302"/>
        <v>0.22830986426297914</v>
      </c>
      <c r="K1123">
        <f t="shared" si="307"/>
        <v>2.5778313394129668</v>
      </c>
      <c r="O1123">
        <f t="shared" si="308"/>
        <v>-0.19130702333966954</v>
      </c>
      <c r="P1123">
        <f t="shared" si="309"/>
        <v>0.12094462596708309</v>
      </c>
      <c r="Q1123">
        <f t="shared" si="310"/>
        <v>0.97405031711436629</v>
      </c>
      <c r="R1123">
        <f t="shared" si="300"/>
        <v>1</v>
      </c>
      <c r="AG1123" s="8">
        <f t="shared" si="303"/>
        <v>-0.46005558277676101</v>
      </c>
      <c r="AH1123" s="8">
        <f t="shared" si="304"/>
        <v>0.60582870922543486</v>
      </c>
      <c r="AI1123" s="8">
        <f t="shared" si="305"/>
        <v>0.64909200875852602</v>
      </c>
      <c r="AJ1123" s="8"/>
      <c r="AK1123" s="8"/>
      <c r="AL1123" s="8"/>
      <c r="AN1123" s="8">
        <f t="shared" si="311"/>
        <v>1.0000000000000002</v>
      </c>
      <c r="AO1123" s="8">
        <f t="shared" si="312"/>
        <v>2.2202750989773108</v>
      </c>
      <c r="AP1123" s="8">
        <f t="shared" si="313"/>
        <v>0.86440610918259486</v>
      </c>
      <c r="AQ1123" s="8"/>
      <c r="AR1123" s="8">
        <f t="shared" si="314"/>
        <v>127.21239252939102</v>
      </c>
      <c r="AS1123" s="8">
        <f t="shared" si="315"/>
        <v>40.473178158512681</v>
      </c>
    </row>
    <row r="1124" spans="1:45">
      <c r="A1124" s="19">
        <v>36.436399999999999</v>
      </c>
      <c r="B1124" s="19">
        <v>662.16582800000003</v>
      </c>
      <c r="C1124" s="19">
        <v>-351.84056470000002</v>
      </c>
      <c r="E1124" s="9">
        <f t="shared" si="301"/>
        <v>-297.83417199999997</v>
      </c>
      <c r="F1124" s="9">
        <f t="shared" si="306"/>
        <v>188.15943529999998</v>
      </c>
      <c r="I1124">
        <v>1</v>
      </c>
      <c r="J1124">
        <f t="shared" si="302"/>
        <v>0.22881352052292822</v>
      </c>
      <c r="K1124">
        <f t="shared" si="307"/>
        <v>2.5781476517578881</v>
      </c>
      <c r="O1124">
        <f t="shared" si="308"/>
        <v>-0.19175999750582678</v>
      </c>
      <c r="P1124">
        <f t="shared" si="309"/>
        <v>0.12114611497241416</v>
      </c>
      <c r="Q1124">
        <f t="shared" si="310"/>
        <v>0.97393620026347516</v>
      </c>
      <c r="R1124">
        <f t="shared" si="300"/>
        <v>1</v>
      </c>
      <c r="AG1124" s="8">
        <f t="shared" si="303"/>
        <v>-0.4596464995826407</v>
      </c>
      <c r="AH1124" s="8">
        <f t="shared" si="304"/>
        <v>0.6061310330077273</v>
      </c>
      <c r="AI1124" s="8">
        <f t="shared" si="305"/>
        <v>0.64909958114792454</v>
      </c>
      <c r="AJ1124" s="8"/>
      <c r="AK1124" s="8"/>
      <c r="AL1124" s="8"/>
      <c r="AN1124" s="8">
        <f t="shared" si="311"/>
        <v>1.0000000000000002</v>
      </c>
      <c r="AO1124" s="8">
        <f t="shared" si="312"/>
        <v>2.2196064674468832</v>
      </c>
      <c r="AP1124" s="8">
        <f t="shared" si="313"/>
        <v>0.86439615476833243</v>
      </c>
      <c r="AQ1124" s="8"/>
      <c r="AR1124" s="8">
        <f t="shared" si="314"/>
        <v>127.17408276464815</v>
      </c>
      <c r="AS1124" s="8">
        <f t="shared" si="315"/>
        <v>40.473748504437445</v>
      </c>
    </row>
    <row r="1125" spans="1:45">
      <c r="A1125" s="19">
        <v>36.469766669999998</v>
      </c>
      <c r="B1125" s="19">
        <v>661.9236889</v>
      </c>
      <c r="C1125" s="19">
        <v>-351.63518090000002</v>
      </c>
      <c r="E1125" s="9">
        <f t="shared" si="301"/>
        <v>-298.0763111</v>
      </c>
      <c r="F1125" s="9">
        <f t="shared" si="306"/>
        <v>188.36481909999998</v>
      </c>
      <c r="I1125">
        <v>1</v>
      </c>
      <c r="J1125">
        <f t="shared" si="302"/>
        <v>0.22901263857970922</v>
      </c>
      <c r="K1125">
        <f t="shared" si="307"/>
        <v>2.5780219911034283</v>
      </c>
      <c r="O1125">
        <f t="shared" si="308"/>
        <v>-0.19190870675118607</v>
      </c>
      <c r="P1125">
        <f t="shared" si="309"/>
        <v>0.12127380635348346</v>
      </c>
      <c r="Q1125">
        <f t="shared" si="310"/>
        <v>0.97389101657507093</v>
      </c>
      <c r="R1125">
        <f t="shared" si="300"/>
        <v>1</v>
      </c>
      <c r="AG1125" s="8">
        <f t="shared" si="303"/>
        <v>-0.45946997879681617</v>
      </c>
      <c r="AH1125" s="8">
        <f t="shared" si="304"/>
        <v>0.60621600456899527</v>
      </c>
      <c r="AI1125" s="8">
        <f t="shared" si="305"/>
        <v>0.64914520285438237</v>
      </c>
      <c r="AJ1125" s="8"/>
      <c r="AK1125" s="8"/>
      <c r="AL1125" s="8"/>
      <c r="AN1125" s="8">
        <f t="shared" si="311"/>
        <v>1</v>
      </c>
      <c r="AO1125" s="8">
        <f t="shared" si="312"/>
        <v>2.2193540625345136</v>
      </c>
      <c r="AP1125" s="8">
        <f t="shared" si="313"/>
        <v>0.86433618018286751</v>
      </c>
      <c r="AQ1125" s="8"/>
      <c r="AR1125" s="8">
        <f t="shared" si="314"/>
        <v>127.15962102844101</v>
      </c>
      <c r="AS1125" s="8">
        <f t="shared" si="315"/>
        <v>40.477184795062627</v>
      </c>
    </row>
    <row r="1126" spans="1:45">
      <c r="A1126" s="19">
        <v>36.503133329999997</v>
      </c>
      <c r="B1126" s="19">
        <v>661.34908310000003</v>
      </c>
      <c r="C1126" s="19">
        <v>-351.49732849999998</v>
      </c>
      <c r="E1126" s="9">
        <f t="shared" si="301"/>
        <v>-298.65091689999997</v>
      </c>
      <c r="F1126" s="9">
        <f t="shared" si="306"/>
        <v>188.50267150000002</v>
      </c>
      <c r="I1126">
        <v>1</v>
      </c>
      <c r="J1126">
        <f t="shared" si="302"/>
        <v>0.22936689557739584</v>
      </c>
      <c r="K1126">
        <f t="shared" si="307"/>
        <v>2.5785611867638245</v>
      </c>
      <c r="O1126">
        <f t="shared" si="308"/>
        <v>-0.19226580975345686</v>
      </c>
      <c r="P1126">
        <f t="shared" si="309"/>
        <v>0.12135445339607934</v>
      </c>
      <c r="Q1126">
        <f t="shared" si="310"/>
        <v>0.9738105334410726</v>
      </c>
      <c r="R1126">
        <f t="shared" si="300"/>
        <v>1</v>
      </c>
      <c r="AG1126" s="8">
        <f t="shared" si="303"/>
        <v>-0.45920091327421447</v>
      </c>
      <c r="AH1126" s="8">
        <f t="shared" si="304"/>
        <v>0.60647233091182029</v>
      </c>
      <c r="AI1126" s="8">
        <f t="shared" si="305"/>
        <v>0.64909616628548272</v>
      </c>
      <c r="AJ1126" s="8"/>
      <c r="AK1126" s="8"/>
      <c r="AL1126" s="8"/>
      <c r="AN1126" s="8">
        <f t="shared" si="311"/>
        <v>1</v>
      </c>
      <c r="AO1126" s="8">
        <f t="shared" si="312"/>
        <v>2.2188686398835333</v>
      </c>
      <c r="AP1126" s="8">
        <f t="shared" si="313"/>
        <v>0.8644006438447478</v>
      </c>
      <c r="AQ1126" s="8"/>
      <c r="AR1126" s="8">
        <f t="shared" si="314"/>
        <v>127.13180835925979</v>
      </c>
      <c r="AS1126" s="8">
        <f t="shared" si="315"/>
        <v>40.473491299304932</v>
      </c>
    </row>
    <row r="1127" spans="1:45">
      <c r="A1127" s="19">
        <v>36.536499999999997</v>
      </c>
      <c r="B1127" s="19">
        <v>660.70114569999998</v>
      </c>
      <c r="C1127" s="19">
        <v>-351.36851999999999</v>
      </c>
      <c r="E1127" s="9">
        <f t="shared" si="301"/>
        <v>-299.29885430000002</v>
      </c>
      <c r="F1127" s="9">
        <f t="shared" si="306"/>
        <v>188.63148000000001</v>
      </c>
      <c r="I1127">
        <v>1</v>
      </c>
      <c r="J1127">
        <f t="shared" si="302"/>
        <v>0.22975738553762992</v>
      </c>
      <c r="K1127">
        <f t="shared" si="307"/>
        <v>2.5792308430367279</v>
      </c>
      <c r="O1127">
        <f t="shared" si="308"/>
        <v>-0.19266871974461436</v>
      </c>
      <c r="P1127">
        <f t="shared" si="309"/>
        <v>0.12142841588930142</v>
      </c>
      <c r="Q1127">
        <f t="shared" si="310"/>
        <v>0.97372167699327006</v>
      </c>
      <c r="R1127">
        <f t="shared" si="300"/>
        <v>1</v>
      </c>
      <c r="AG1127" s="8">
        <f t="shared" si="303"/>
        <v>-0.4589088976225546</v>
      </c>
      <c r="AH1127" s="8">
        <f t="shared" si="304"/>
        <v>0.60676540066692297</v>
      </c>
      <c r="AI1127" s="8">
        <f t="shared" si="305"/>
        <v>0.64902879153113091</v>
      </c>
      <c r="AJ1127" s="8"/>
      <c r="AK1127" s="8"/>
      <c r="AL1127" s="8"/>
      <c r="AN1127" s="8">
        <f t="shared" si="311"/>
        <v>1</v>
      </c>
      <c r="AO1127" s="8">
        <f t="shared" si="312"/>
        <v>2.2183300746697885</v>
      </c>
      <c r="AP1127" s="8">
        <f t="shared" si="313"/>
        <v>0.86448920917329208</v>
      </c>
      <c r="AQ1127" s="8"/>
      <c r="AR1127" s="8">
        <f t="shared" si="314"/>
        <v>127.10095084551965</v>
      </c>
      <c r="AS1127" s="8">
        <f t="shared" si="315"/>
        <v>40.468416879768149</v>
      </c>
    </row>
    <row r="1128" spans="1:45">
      <c r="A1128" s="19">
        <v>36.569866670000003</v>
      </c>
      <c r="B1128" s="19">
        <v>659.96713569999997</v>
      </c>
      <c r="C1128" s="19">
        <v>-351.30704229999998</v>
      </c>
      <c r="E1128" s="9">
        <f t="shared" si="301"/>
        <v>-300.03286430000003</v>
      </c>
      <c r="F1128" s="9">
        <f t="shared" si="306"/>
        <v>188.69295770000002</v>
      </c>
      <c r="I1128">
        <v>1</v>
      </c>
      <c r="J1128">
        <f t="shared" si="302"/>
        <v>0.23017133185816593</v>
      </c>
      <c r="K1128">
        <f t="shared" si="307"/>
        <v>2.5801882906067188</v>
      </c>
      <c r="O1128">
        <f t="shared" si="308"/>
        <v>-0.19312607706587817</v>
      </c>
      <c r="P1128">
        <f t="shared" si="309"/>
        <v>0.12145846347725807</v>
      </c>
      <c r="Q1128">
        <f t="shared" si="310"/>
        <v>0.97362732090204207</v>
      </c>
      <c r="R1128">
        <f t="shared" si="300"/>
        <v>1</v>
      </c>
      <c r="AG1128" s="8">
        <f t="shared" si="303"/>
        <v>-0.45861424144353885</v>
      </c>
      <c r="AH1128" s="8">
        <f t="shared" si="304"/>
        <v>0.60711046270288993</v>
      </c>
      <c r="AI1128" s="8">
        <f t="shared" si="305"/>
        <v>0.64891437310468814</v>
      </c>
      <c r="AJ1128" s="8"/>
      <c r="AK1128" s="8"/>
      <c r="AL1128" s="8"/>
      <c r="AN1128" s="8">
        <f t="shared" si="311"/>
        <v>1</v>
      </c>
      <c r="AO1128" s="8">
        <f t="shared" si="312"/>
        <v>2.2177476311044617</v>
      </c>
      <c r="AP1128" s="8">
        <f t="shared" si="313"/>
        <v>0.86463959892704823</v>
      </c>
      <c r="AQ1128" s="8"/>
      <c r="AR1128" s="8">
        <f t="shared" si="314"/>
        <v>127.06757928742186</v>
      </c>
      <c r="AS1128" s="8">
        <f t="shared" si="315"/>
        <v>40.459800181595917</v>
      </c>
    </row>
    <row r="1129" spans="1:45">
      <c r="A1129" s="19">
        <v>36.603233330000002</v>
      </c>
      <c r="B1129" s="19">
        <v>659.3357962</v>
      </c>
      <c r="C1129" s="19">
        <v>-351.31506739999998</v>
      </c>
      <c r="E1129" s="9">
        <f t="shared" si="301"/>
        <v>-300.6642038</v>
      </c>
      <c r="F1129" s="9">
        <f t="shared" si="306"/>
        <v>188.68493260000002</v>
      </c>
      <c r="I1129">
        <v>1</v>
      </c>
      <c r="J1129">
        <f t="shared" si="302"/>
        <v>0.23050699166499397</v>
      </c>
      <c r="K1129">
        <f t="shared" si="307"/>
        <v>2.581154306850602</v>
      </c>
      <c r="O1129">
        <f t="shared" si="308"/>
        <v>-0.19352012014611142</v>
      </c>
      <c r="P1129">
        <f t="shared" si="309"/>
        <v>0.12144555409330354</v>
      </c>
      <c r="Q1129">
        <f t="shared" si="310"/>
        <v>0.97355068717021875</v>
      </c>
      <c r="R1129">
        <f t="shared" si="300"/>
        <v>1</v>
      </c>
      <c r="AG1129" s="8">
        <f t="shared" si="303"/>
        <v>-0.45838686002280182</v>
      </c>
      <c r="AH1129" s="8">
        <f t="shared" si="304"/>
        <v>0.6074166604382808</v>
      </c>
      <c r="AI1129" s="8">
        <f t="shared" si="305"/>
        <v>0.64878847645472459</v>
      </c>
      <c r="AJ1129" s="8"/>
      <c r="AK1129" s="8"/>
      <c r="AL1129" s="8"/>
      <c r="AN1129" s="8">
        <f t="shared" si="311"/>
        <v>1.0000000000000002</v>
      </c>
      <c r="AO1129" s="8">
        <f t="shared" si="312"/>
        <v>2.2172666704356261</v>
      </c>
      <c r="AP1129" s="8">
        <f t="shared" si="313"/>
        <v>0.86480505318884926</v>
      </c>
      <c r="AQ1129" s="8"/>
      <c r="AR1129" s="8">
        <f t="shared" si="314"/>
        <v>127.0400222709858</v>
      </c>
      <c r="AS1129" s="8">
        <f t="shared" si="315"/>
        <v>40.450320350692259</v>
      </c>
    </row>
    <row r="1130" spans="1:45">
      <c r="A1130" s="19">
        <v>36.636600000000001</v>
      </c>
      <c r="B1130" s="19">
        <v>658.79318509999996</v>
      </c>
      <c r="C1130" s="19">
        <v>-351.28275559999997</v>
      </c>
      <c r="E1130" s="9">
        <f t="shared" si="301"/>
        <v>-301.20681490000004</v>
      </c>
      <c r="F1130" s="9">
        <f t="shared" si="306"/>
        <v>188.71724440000003</v>
      </c>
      <c r="I1130">
        <v>1</v>
      </c>
      <c r="J1130">
        <f t="shared" si="302"/>
        <v>0.23080877907822708</v>
      </c>
      <c r="K1130">
        <f t="shared" si="307"/>
        <v>2.5818887712080927</v>
      </c>
      <c r="O1130">
        <f t="shared" si="308"/>
        <v>-0.19385823083431966</v>
      </c>
      <c r="P1130">
        <f t="shared" si="309"/>
        <v>0.12145937381748109</v>
      </c>
      <c r="Q1130">
        <f t="shared" si="310"/>
        <v>0.97348169312507005</v>
      </c>
      <c r="R1130">
        <f t="shared" si="300"/>
        <v>1</v>
      </c>
      <c r="AG1130" s="8">
        <f t="shared" si="303"/>
        <v>-0.45817460058798976</v>
      </c>
      <c r="AH1130" s="8">
        <f t="shared" si="304"/>
        <v>0.60767356365078973</v>
      </c>
      <c r="AI1130" s="8">
        <f t="shared" si="305"/>
        <v>0.64869783059293928</v>
      </c>
      <c r="AJ1130" s="8"/>
      <c r="AK1130" s="8"/>
      <c r="AL1130" s="8"/>
      <c r="AN1130" s="8">
        <f t="shared" si="311"/>
        <v>1</v>
      </c>
      <c r="AO1130" s="8">
        <f t="shared" si="312"/>
        <v>2.2168407039082583</v>
      </c>
      <c r="AP1130" s="8">
        <f t="shared" si="313"/>
        <v>0.86492416616649481</v>
      </c>
      <c r="AQ1130" s="8"/>
      <c r="AR1130" s="8">
        <f t="shared" si="314"/>
        <v>127.01561618675377</v>
      </c>
      <c r="AS1130" s="8">
        <f t="shared" si="315"/>
        <v>40.443495679787937</v>
      </c>
    </row>
    <row r="1131" spans="1:45">
      <c r="A1131" s="19">
        <v>36.669966670000001</v>
      </c>
      <c r="B1131" s="19">
        <v>657.99075649999997</v>
      </c>
      <c r="C1131" s="19">
        <v>-351.2107221</v>
      </c>
      <c r="E1131" s="9">
        <f t="shared" si="301"/>
        <v>-302.00924350000003</v>
      </c>
      <c r="F1131" s="9">
        <f t="shared" si="306"/>
        <v>188.7892779</v>
      </c>
      <c r="I1131">
        <v>1</v>
      </c>
      <c r="J1131">
        <f t="shared" si="302"/>
        <v>0.23126335353851499</v>
      </c>
      <c r="K1131">
        <f t="shared" si="307"/>
        <v>2.5829135751280017</v>
      </c>
      <c r="O1131">
        <f t="shared" si="308"/>
        <v>-0.19435781843191946</v>
      </c>
      <c r="P1131">
        <f t="shared" si="309"/>
        <v>0.12149519587794141</v>
      </c>
      <c r="Q1131">
        <f t="shared" si="310"/>
        <v>0.97337760185498701</v>
      </c>
      <c r="R1131">
        <f t="shared" si="300"/>
        <v>1</v>
      </c>
      <c r="AG1131" s="8">
        <f t="shared" si="303"/>
        <v>-0.45785026517728622</v>
      </c>
      <c r="AH1131" s="8">
        <f t="shared" si="304"/>
        <v>0.60804948474926279</v>
      </c>
      <c r="AI1131" s="8">
        <f t="shared" si="305"/>
        <v>0.64857455914740025</v>
      </c>
      <c r="AJ1131" s="8"/>
      <c r="AK1131" s="8"/>
      <c r="AL1131" s="8"/>
      <c r="AN1131" s="8">
        <f t="shared" si="311"/>
        <v>0.99999999999999989</v>
      </c>
      <c r="AO1131" s="8">
        <f t="shared" si="312"/>
        <v>2.21620313094212</v>
      </c>
      <c r="AP1131" s="8">
        <f t="shared" si="313"/>
        <v>0.86508613131153533</v>
      </c>
      <c r="AQ1131" s="8"/>
      <c r="AR1131" s="8">
        <f t="shared" si="314"/>
        <v>126.97908594666242</v>
      </c>
      <c r="AS1131" s="8">
        <f t="shared" si="315"/>
        <v>40.434215760548888</v>
      </c>
    </row>
    <row r="1132" spans="1:45">
      <c r="A1132" s="19">
        <v>36.70333333</v>
      </c>
      <c r="B1132" s="19">
        <v>657.36825899999997</v>
      </c>
      <c r="C1132" s="19">
        <v>-351.06882719999999</v>
      </c>
      <c r="E1132" s="9">
        <f t="shared" si="301"/>
        <v>-302.63174100000003</v>
      </c>
      <c r="F1132" s="9">
        <f t="shared" si="306"/>
        <v>188.93117280000001</v>
      </c>
      <c r="I1132">
        <v>1</v>
      </c>
      <c r="J1132">
        <f t="shared" si="302"/>
        <v>0.23164490847389907</v>
      </c>
      <c r="K1132">
        <f t="shared" si="307"/>
        <v>2.5835012021319121</v>
      </c>
      <c r="O1132">
        <f t="shared" si="308"/>
        <v>-0.19474420854595656</v>
      </c>
      <c r="P1132">
        <f t="shared" si="309"/>
        <v>0.12157763622222081</v>
      </c>
      <c r="Q1132">
        <f t="shared" si="310"/>
        <v>0.97329007577824722</v>
      </c>
      <c r="R1132">
        <f t="shared" si="300"/>
        <v>1</v>
      </c>
      <c r="AG1132" s="8">
        <f t="shared" si="303"/>
        <v>-0.45756176961928818</v>
      </c>
      <c r="AH1132" s="8">
        <f t="shared" si="304"/>
        <v>0.60832745572121716</v>
      </c>
      <c r="AI1132" s="8">
        <f t="shared" si="305"/>
        <v>0.64851748904606721</v>
      </c>
      <c r="AJ1132" s="8"/>
      <c r="AK1132" s="8"/>
      <c r="AL1132" s="8"/>
      <c r="AN1132" s="8">
        <f t="shared" si="311"/>
        <v>0.99999999999999978</v>
      </c>
      <c r="AO1132" s="8">
        <f t="shared" si="312"/>
        <v>2.2156807027163259</v>
      </c>
      <c r="AP1132" s="8">
        <f t="shared" si="313"/>
        <v>0.86516110758923848</v>
      </c>
      <c r="AQ1132" s="8"/>
      <c r="AR1132" s="8">
        <f t="shared" si="314"/>
        <v>126.94915301422591</v>
      </c>
      <c r="AS1132" s="8">
        <f t="shared" si="315"/>
        <v>40.429919936272896</v>
      </c>
    </row>
    <row r="1133" spans="1:45">
      <c r="A1133" s="19">
        <v>36.736699999999999</v>
      </c>
      <c r="B1133" s="19">
        <v>656.85560669999995</v>
      </c>
      <c r="C1133" s="19">
        <v>-350.87994680000003</v>
      </c>
      <c r="E1133" s="9">
        <f t="shared" si="301"/>
        <v>-303.14439330000005</v>
      </c>
      <c r="F1133" s="9">
        <f t="shared" si="306"/>
        <v>189.12005319999997</v>
      </c>
      <c r="I1133">
        <v>1</v>
      </c>
      <c r="J1133">
        <f t="shared" si="302"/>
        <v>0.23198325513351645</v>
      </c>
      <c r="K1133">
        <f t="shared" si="307"/>
        <v>2.5838126027564936</v>
      </c>
      <c r="O1133">
        <f t="shared" si="308"/>
        <v>-0.19506144404766759</v>
      </c>
      <c r="P1133">
        <f t="shared" si="309"/>
        <v>0.12169128471743282</v>
      </c>
      <c r="Q1133">
        <f t="shared" si="310"/>
        <v>0.97321234284705793</v>
      </c>
      <c r="R1133">
        <f t="shared" si="300"/>
        <v>1</v>
      </c>
      <c r="AG1133" s="8">
        <f t="shared" si="303"/>
        <v>-0.45729330760007014</v>
      </c>
      <c r="AH1133" s="8">
        <f t="shared" si="304"/>
        <v>0.60854496126254554</v>
      </c>
      <c r="AI1133" s="8">
        <f t="shared" si="305"/>
        <v>0.64850278406970219</v>
      </c>
      <c r="AJ1133" s="8"/>
      <c r="AK1133" s="8"/>
      <c r="AL1133" s="8"/>
      <c r="AN1133" s="8">
        <f t="shared" si="311"/>
        <v>1.0000000000000002</v>
      </c>
      <c r="AO1133" s="8">
        <f t="shared" si="312"/>
        <v>2.2152270966573973</v>
      </c>
      <c r="AP1133" s="8">
        <f t="shared" si="313"/>
        <v>0.8651804255872656</v>
      </c>
      <c r="AQ1133" s="8"/>
      <c r="AR1133" s="8">
        <f t="shared" si="314"/>
        <v>126.92316330148773</v>
      </c>
      <c r="AS1133" s="8">
        <f t="shared" si="315"/>
        <v>40.428813096517302</v>
      </c>
    </row>
    <row r="1134" spans="1:45">
      <c r="A1134" s="19">
        <v>36.770066669999999</v>
      </c>
      <c r="B1134" s="19">
        <v>656.1368453</v>
      </c>
      <c r="C1134" s="19">
        <v>-350.64101390000002</v>
      </c>
      <c r="E1134" s="9">
        <f t="shared" si="301"/>
        <v>-303.8631547</v>
      </c>
      <c r="F1134" s="9">
        <f t="shared" si="306"/>
        <v>189.35898609999998</v>
      </c>
      <c r="I1134">
        <v>1</v>
      </c>
      <c r="J1134">
        <f t="shared" si="302"/>
        <v>0.23244892867489395</v>
      </c>
      <c r="K1134">
        <f t="shared" si="307"/>
        <v>2.5843089914761803</v>
      </c>
      <c r="O1134">
        <f t="shared" si="308"/>
        <v>-0.19550643289045111</v>
      </c>
      <c r="P1134">
        <f t="shared" si="309"/>
        <v>0.12183411952236775</v>
      </c>
      <c r="Q1134">
        <f t="shared" si="310"/>
        <v>0.97310517520906281</v>
      </c>
      <c r="R1134">
        <f t="shared" si="300"/>
        <v>1</v>
      </c>
      <c r="AG1134" s="8">
        <f t="shared" si="303"/>
        <v>-0.45692797371611449</v>
      </c>
      <c r="AH1134" s="8">
        <f t="shared" si="304"/>
        <v>0.60885380542668532</v>
      </c>
      <c r="AI1134" s="8">
        <f t="shared" si="305"/>
        <v>0.64847040830953095</v>
      </c>
      <c r="AJ1134" s="8"/>
      <c r="AK1134" s="8"/>
      <c r="AL1134" s="8"/>
      <c r="AN1134" s="8">
        <f t="shared" si="311"/>
        <v>1</v>
      </c>
      <c r="AO1134" s="8">
        <f t="shared" si="312"/>
        <v>2.2145997000010991</v>
      </c>
      <c r="AP1134" s="8">
        <f t="shared" si="313"/>
        <v>0.86522295665828042</v>
      </c>
      <c r="AQ1134" s="8"/>
      <c r="AR1134" s="8">
        <f t="shared" si="314"/>
        <v>126.88721612100123</v>
      </c>
      <c r="AS1134" s="8">
        <f t="shared" si="315"/>
        <v>40.426376245649983</v>
      </c>
    </row>
    <row r="1135" spans="1:45">
      <c r="A1135" s="19">
        <v>36.803433329999997</v>
      </c>
      <c r="B1135" s="19">
        <v>655.63729679999994</v>
      </c>
      <c r="C1135" s="19">
        <v>-350.60422449999999</v>
      </c>
      <c r="E1135" s="9">
        <f t="shared" si="301"/>
        <v>-304.36270320000006</v>
      </c>
      <c r="F1135" s="9">
        <f t="shared" si="306"/>
        <v>189.39577550000001</v>
      </c>
      <c r="I1135">
        <v>1</v>
      </c>
      <c r="J1135">
        <f t="shared" si="302"/>
        <v>0.23272936155228063</v>
      </c>
      <c r="K1135">
        <f t="shared" si="307"/>
        <v>2.5849589025035726</v>
      </c>
      <c r="O1135">
        <f t="shared" si="308"/>
        <v>-0.19581725991281634</v>
      </c>
      <c r="P1135">
        <f t="shared" si="309"/>
        <v>0.12185120386811216</v>
      </c>
      <c r="Q1135">
        <f t="shared" si="310"/>
        <v>0.97304053607037788</v>
      </c>
      <c r="R1135">
        <f t="shared" si="300"/>
        <v>1</v>
      </c>
      <c r="AG1135" s="8">
        <f t="shared" si="303"/>
        <v>-0.45672941315518001</v>
      </c>
      <c r="AH1135" s="8">
        <f t="shared" si="304"/>
        <v>0.60908864752898928</v>
      </c>
      <c r="AI1135" s="8">
        <f t="shared" si="305"/>
        <v>0.64838974591693821</v>
      </c>
      <c r="AJ1135" s="8"/>
      <c r="AK1135" s="8"/>
      <c r="AL1135" s="8"/>
      <c r="AN1135" s="8">
        <f t="shared" si="311"/>
        <v>1</v>
      </c>
      <c r="AO1135" s="8">
        <f t="shared" si="312"/>
        <v>2.2142059378746732</v>
      </c>
      <c r="AP1135" s="8">
        <f t="shared" si="313"/>
        <v>0.86532891373760645</v>
      </c>
      <c r="AQ1135" s="8"/>
      <c r="AR1135" s="8">
        <f t="shared" si="314"/>
        <v>126.86465521302493</v>
      </c>
      <c r="AS1135" s="8">
        <f t="shared" si="315"/>
        <v>40.420305352195065</v>
      </c>
    </row>
    <row r="1136" spans="1:45">
      <c r="A1136" s="19">
        <v>36.836799999999997</v>
      </c>
      <c r="B1136" s="19">
        <v>654.94990210000003</v>
      </c>
      <c r="C1136" s="19">
        <v>-350.60946480000001</v>
      </c>
      <c r="E1136" s="9">
        <f t="shared" si="301"/>
        <v>-305.05009789999997</v>
      </c>
      <c r="F1136" s="9">
        <f t="shared" si="306"/>
        <v>189.39053519999999</v>
      </c>
      <c r="I1136">
        <v>1</v>
      </c>
      <c r="J1136">
        <f t="shared" si="302"/>
        <v>0.23309671710502236</v>
      </c>
      <c r="K1136">
        <f t="shared" si="307"/>
        <v>2.5859827451261101</v>
      </c>
      <c r="O1136">
        <f t="shared" si="308"/>
        <v>-0.19624558402867751</v>
      </c>
      <c r="P1136">
        <f t="shared" si="309"/>
        <v>0.12183918787664752</v>
      </c>
      <c r="Q1136">
        <f t="shared" si="310"/>
        <v>0.97295574567747034</v>
      </c>
      <c r="R1136">
        <f t="shared" si="300"/>
        <v>1</v>
      </c>
      <c r="AG1136" s="8">
        <f t="shared" si="303"/>
        <v>-0.45648007471867119</v>
      </c>
      <c r="AH1136" s="8">
        <f t="shared" si="304"/>
        <v>0.60942043007582958</v>
      </c>
      <c r="AI1136" s="8">
        <f t="shared" si="305"/>
        <v>0.64825356211210083</v>
      </c>
      <c r="AJ1136" s="8"/>
      <c r="AK1136" s="8"/>
      <c r="AL1136" s="8"/>
      <c r="AN1136" s="8">
        <f t="shared" si="311"/>
        <v>1</v>
      </c>
      <c r="AO1136" s="8">
        <f t="shared" si="312"/>
        <v>2.2136825377488383</v>
      </c>
      <c r="AP1136" s="8">
        <f t="shared" si="313"/>
        <v>0.86550778133337958</v>
      </c>
      <c r="AQ1136" s="8"/>
      <c r="AR1136" s="8">
        <f t="shared" si="314"/>
        <v>126.83466659481797</v>
      </c>
      <c r="AS1136" s="8">
        <f t="shared" si="315"/>
        <v>40.410056993865616</v>
      </c>
    </row>
    <row r="1137" spans="1:45">
      <c r="A1137" s="19">
        <v>36.870166670000003</v>
      </c>
      <c r="B1137" s="19">
        <v>654.24602159999995</v>
      </c>
      <c r="C1137" s="19">
        <v>-350.48786059999998</v>
      </c>
      <c r="E1137" s="9">
        <f t="shared" si="301"/>
        <v>-305.75397840000005</v>
      </c>
      <c r="F1137" s="9">
        <f t="shared" si="306"/>
        <v>189.51213940000002</v>
      </c>
      <c r="I1137">
        <v>1</v>
      </c>
      <c r="J1137">
        <f t="shared" si="302"/>
        <v>0.23351533868236513</v>
      </c>
      <c r="K1137">
        <f t="shared" si="307"/>
        <v>2.5867276457100949</v>
      </c>
      <c r="O1137">
        <f t="shared" si="308"/>
        <v>-0.19668246409023679</v>
      </c>
      <c r="P1137">
        <f t="shared" si="309"/>
        <v>0.12190753738432616</v>
      </c>
      <c r="Q1137">
        <f t="shared" si="310"/>
        <v>0.97285896236211022</v>
      </c>
      <c r="R1137">
        <f t="shared" si="300"/>
        <v>1</v>
      </c>
      <c r="AG1137" s="8">
        <f t="shared" si="303"/>
        <v>-0.45617033709088101</v>
      </c>
      <c r="AH1137" s="8">
        <f t="shared" si="304"/>
        <v>0.60974004797590764</v>
      </c>
      <c r="AI1137" s="8">
        <f t="shared" si="305"/>
        <v>0.64817104027619887</v>
      </c>
      <c r="AJ1137" s="8"/>
      <c r="AK1137" s="8"/>
      <c r="AL1137" s="8"/>
      <c r="AN1137" s="8">
        <f t="shared" si="311"/>
        <v>1</v>
      </c>
      <c r="AO1137" s="8">
        <f t="shared" si="312"/>
        <v>2.2131053600156934</v>
      </c>
      <c r="AP1137" s="8">
        <f t="shared" si="313"/>
        <v>0.86561615455451313</v>
      </c>
      <c r="AQ1137" s="8"/>
      <c r="AR1137" s="8">
        <f t="shared" si="314"/>
        <v>126.80159674667985</v>
      </c>
      <c r="AS1137" s="8">
        <f t="shared" si="315"/>
        <v>40.403847665682427</v>
      </c>
    </row>
    <row r="1138" spans="1:45">
      <c r="A1138" s="19">
        <v>36.903533330000002</v>
      </c>
      <c r="B1138" s="19">
        <v>653.76789129999997</v>
      </c>
      <c r="C1138" s="19">
        <v>-350.39042000000001</v>
      </c>
      <c r="E1138" s="9">
        <f t="shared" si="301"/>
        <v>-306.23210870000003</v>
      </c>
      <c r="F1138" s="9">
        <f t="shared" si="306"/>
        <v>189.60957999999999</v>
      </c>
      <c r="I1138">
        <v>1</v>
      </c>
      <c r="J1138">
        <f t="shared" si="302"/>
        <v>0.23380466386506135</v>
      </c>
      <c r="K1138">
        <f t="shared" si="307"/>
        <v>2.5871970521024106</v>
      </c>
      <c r="O1138">
        <f t="shared" si="308"/>
        <v>-0.19697897164381276</v>
      </c>
      <c r="P1138">
        <f t="shared" si="309"/>
        <v>0.12196337033620556</v>
      </c>
      <c r="Q1138">
        <f t="shared" si="310"/>
        <v>0.97279197212270396</v>
      </c>
      <c r="R1138">
        <f t="shared" si="300"/>
        <v>1</v>
      </c>
      <c r="AG1138" s="8">
        <f t="shared" si="303"/>
        <v>-0.45595356452661528</v>
      </c>
      <c r="AH1138" s="8">
        <f t="shared" si="304"/>
        <v>0.60995472250779215</v>
      </c>
      <c r="AI1138" s="8">
        <f t="shared" si="305"/>
        <v>0.64812158079014459</v>
      </c>
      <c r="AJ1138" s="8"/>
      <c r="AK1138" s="8"/>
      <c r="AL1138" s="8"/>
      <c r="AN1138" s="8">
        <f t="shared" si="311"/>
        <v>1</v>
      </c>
      <c r="AO1138" s="8">
        <f t="shared" si="312"/>
        <v>2.2127085665163331</v>
      </c>
      <c r="AP1138" s="8">
        <f t="shared" si="313"/>
        <v>0.86568110328453185</v>
      </c>
      <c r="AQ1138" s="8"/>
      <c r="AR1138" s="8">
        <f t="shared" si="314"/>
        <v>126.77886215382827</v>
      </c>
      <c r="AS1138" s="8">
        <f t="shared" si="315"/>
        <v>40.400126377567616</v>
      </c>
    </row>
    <row r="1139" spans="1:45">
      <c r="A1139" s="19">
        <v>36.936900000000001</v>
      </c>
      <c r="B1139" s="19">
        <v>653.0295241</v>
      </c>
      <c r="C1139" s="19">
        <v>-350.30510989999999</v>
      </c>
      <c r="E1139" s="9">
        <f t="shared" si="301"/>
        <v>-306.9704759</v>
      </c>
      <c r="F1139" s="9">
        <f t="shared" si="306"/>
        <v>189.69489010000001</v>
      </c>
      <c r="I1139">
        <v>1</v>
      </c>
      <c r="J1139">
        <f t="shared" si="302"/>
        <v>0.23422984175185987</v>
      </c>
      <c r="K1139">
        <f t="shared" si="307"/>
        <v>2.5880732147528014</v>
      </c>
      <c r="O1139">
        <f t="shared" si="308"/>
        <v>-0.19743758726065552</v>
      </c>
      <c r="P1139">
        <f t="shared" si="309"/>
        <v>0.12200815504231108</v>
      </c>
      <c r="Q1139">
        <f t="shared" si="310"/>
        <v>0.97269337884035301</v>
      </c>
      <c r="R1139">
        <f t="shared" si="300"/>
        <v>1</v>
      </c>
      <c r="AG1139" s="8">
        <f t="shared" si="303"/>
        <v>-0.45564667441320461</v>
      </c>
      <c r="AH1139" s="8">
        <f t="shared" si="304"/>
        <v>0.610296319983612</v>
      </c>
      <c r="AI1139" s="8">
        <f t="shared" si="305"/>
        <v>0.64801582535509727</v>
      </c>
      <c r="AJ1139" s="8"/>
      <c r="AK1139" s="8"/>
      <c r="AL1139" s="8"/>
      <c r="AN1139" s="8">
        <f t="shared" si="311"/>
        <v>1.0000000000000002</v>
      </c>
      <c r="AO1139" s="8">
        <f t="shared" si="312"/>
        <v>2.2121172948408412</v>
      </c>
      <c r="AP1139" s="8">
        <f t="shared" si="313"/>
        <v>0.86581996614149426</v>
      </c>
      <c r="AQ1139" s="8"/>
      <c r="AR1139" s="8">
        <f t="shared" si="314"/>
        <v>126.74498478227696</v>
      </c>
      <c r="AS1139" s="8">
        <f t="shared" si="315"/>
        <v>40.392170121932544</v>
      </c>
    </row>
    <row r="1140" spans="1:45">
      <c r="A1140" s="19">
        <v>36.970266670000001</v>
      </c>
      <c r="B1140" s="19">
        <v>652.42832810000004</v>
      </c>
      <c r="C1140" s="19">
        <v>-350.18374440000002</v>
      </c>
      <c r="E1140" s="9">
        <f t="shared" si="301"/>
        <v>-307.57167189999996</v>
      </c>
      <c r="F1140" s="9">
        <f t="shared" si="306"/>
        <v>189.81625559999998</v>
      </c>
      <c r="I1140">
        <v>1</v>
      </c>
      <c r="J1140">
        <f t="shared" si="302"/>
        <v>0.23459332257970059</v>
      </c>
      <c r="K1140">
        <f t="shared" si="307"/>
        <v>2.5886619791018921</v>
      </c>
      <c r="O1140">
        <f t="shared" si="308"/>
        <v>-0.19781024579910605</v>
      </c>
      <c r="P1140">
        <f t="shared" si="309"/>
        <v>0.12207756307645176</v>
      </c>
      <c r="Q1140">
        <f t="shared" si="310"/>
        <v>0.97260895289433369</v>
      </c>
      <c r="R1140">
        <f t="shared" si="300"/>
        <v>1</v>
      </c>
      <c r="AG1140" s="8">
        <f t="shared" si="303"/>
        <v>-0.45537454405920474</v>
      </c>
      <c r="AH1140" s="8">
        <f t="shared" si="304"/>
        <v>0.61056615116119339</v>
      </c>
      <c r="AI1140" s="8">
        <f t="shared" si="305"/>
        <v>0.6479529301415945</v>
      </c>
      <c r="AJ1140" s="8"/>
      <c r="AK1140" s="8"/>
      <c r="AL1140" s="8"/>
      <c r="AN1140" s="8">
        <f t="shared" si="311"/>
        <v>0.99999999999999989</v>
      </c>
      <c r="AO1140" s="8">
        <f t="shared" si="312"/>
        <v>2.2116190708256038</v>
      </c>
      <c r="AP1140" s="8">
        <f t="shared" si="313"/>
        <v>0.86590254332802852</v>
      </c>
      <c r="AQ1140" s="8"/>
      <c r="AR1140" s="8">
        <f t="shared" si="314"/>
        <v>126.71643864895179</v>
      </c>
      <c r="AS1140" s="8">
        <f t="shared" si="315"/>
        <v>40.387438797660067</v>
      </c>
    </row>
    <row r="1141" spans="1:45">
      <c r="A1141" s="19">
        <v>37.00363333</v>
      </c>
      <c r="B1141" s="19">
        <v>651.87173840000003</v>
      </c>
      <c r="C1141" s="19">
        <v>-349.91460160000003</v>
      </c>
      <c r="E1141" s="9">
        <f t="shared" si="301"/>
        <v>-308.12826159999997</v>
      </c>
      <c r="F1141" s="9">
        <f t="shared" si="306"/>
        <v>190.08539839999997</v>
      </c>
      <c r="I1141">
        <v>1</v>
      </c>
      <c r="J1141">
        <f t="shared" si="302"/>
        <v>0.23498183527201294</v>
      </c>
      <c r="K1141">
        <f t="shared" si="307"/>
        <v>2.5888367485184061</v>
      </c>
      <c r="O1141">
        <f t="shared" si="308"/>
        <v>-0.19815316195493696</v>
      </c>
      <c r="P1141">
        <f t="shared" si="309"/>
        <v>0.122241376168605</v>
      </c>
      <c r="Q1141">
        <f t="shared" si="310"/>
        <v>0.97251857070169423</v>
      </c>
      <c r="R1141">
        <f t="shared" si="300"/>
        <v>1</v>
      </c>
      <c r="AG1141" s="8">
        <f t="shared" si="303"/>
        <v>-0.4550554666232321</v>
      </c>
      <c r="AH1141" s="8">
        <f t="shared" si="304"/>
        <v>0.61079118187450065</v>
      </c>
      <c r="AI1141" s="8">
        <f t="shared" si="305"/>
        <v>0.64796501019782182</v>
      </c>
      <c r="AJ1141" s="8"/>
      <c r="AK1141" s="8"/>
      <c r="AL1141" s="8"/>
      <c r="AN1141" s="8">
        <f t="shared" si="311"/>
        <v>1.0000000000000002</v>
      </c>
      <c r="AO1141" s="8">
        <f t="shared" si="312"/>
        <v>2.2111066316679171</v>
      </c>
      <c r="AP1141" s="8">
        <f t="shared" si="313"/>
        <v>0.86588668347651321</v>
      </c>
      <c r="AQ1141" s="8"/>
      <c r="AR1141" s="8">
        <f t="shared" si="314"/>
        <v>126.6870780479591</v>
      </c>
      <c r="AS1141" s="8">
        <f t="shared" si="315"/>
        <v>40.388347500215595</v>
      </c>
    </row>
    <row r="1142" spans="1:45">
      <c r="A1142" s="19">
        <v>37.036999999999999</v>
      </c>
      <c r="B1142" s="19">
        <v>651.10299889999999</v>
      </c>
      <c r="C1142" s="19">
        <v>-349.51173440000002</v>
      </c>
      <c r="E1142" s="9">
        <f t="shared" si="301"/>
        <v>-308.89700110000001</v>
      </c>
      <c r="F1142" s="9">
        <f t="shared" si="306"/>
        <v>190.48826559999998</v>
      </c>
      <c r="I1142">
        <v>1</v>
      </c>
      <c r="J1142">
        <f t="shared" si="302"/>
        <v>0.23552865791025673</v>
      </c>
      <c r="K1142">
        <f t="shared" si="307"/>
        <v>2.5890041247447519</v>
      </c>
      <c r="O1142">
        <f t="shared" si="308"/>
        <v>-0.19862623721995107</v>
      </c>
      <c r="P1142">
        <f t="shared" si="309"/>
        <v>0.12248732521179094</v>
      </c>
      <c r="Q1142">
        <f t="shared" si="310"/>
        <v>0.97239111115348265</v>
      </c>
      <c r="R1142">
        <f t="shared" si="300"/>
        <v>1</v>
      </c>
      <c r="AG1142" s="8">
        <f t="shared" si="303"/>
        <v>-0.45460141494055922</v>
      </c>
      <c r="AH1142" s="8">
        <f t="shared" si="304"/>
        <v>0.61109686862676649</v>
      </c>
      <c r="AI1142" s="8">
        <f t="shared" si="305"/>
        <v>0.64799550205892786</v>
      </c>
      <c r="AJ1142" s="8"/>
      <c r="AK1142" s="8"/>
      <c r="AL1142" s="8"/>
      <c r="AN1142" s="8">
        <f t="shared" si="311"/>
        <v>1</v>
      </c>
      <c r="AO1142" s="8">
        <f t="shared" si="312"/>
        <v>2.2103887903797972</v>
      </c>
      <c r="AP1142" s="8">
        <f t="shared" si="313"/>
        <v>0.86584664989735172</v>
      </c>
      <c r="AQ1142" s="8"/>
      <c r="AR1142" s="8">
        <f t="shared" si="314"/>
        <v>126.64594877178961</v>
      </c>
      <c r="AS1142" s="8">
        <f t="shared" si="315"/>
        <v>40.390641255340356</v>
      </c>
    </row>
    <row r="1143" spans="1:45">
      <c r="A1143" s="19">
        <v>37.070366669999999</v>
      </c>
      <c r="B1143" s="19">
        <v>650.79747659999998</v>
      </c>
      <c r="C1143" s="19">
        <v>-349.40002370000002</v>
      </c>
      <c r="E1143" s="9">
        <f t="shared" si="301"/>
        <v>-309.20252340000002</v>
      </c>
      <c r="F1143" s="9">
        <f t="shared" si="306"/>
        <v>190.59997629999998</v>
      </c>
      <c r="I1143">
        <v>1</v>
      </c>
      <c r="J1143">
        <f t="shared" si="302"/>
        <v>0.2357299091998957</v>
      </c>
      <c r="K1143">
        <f t="shared" si="307"/>
        <v>2.589183851112685</v>
      </c>
      <c r="O1143">
        <f t="shared" si="308"/>
        <v>-0.19881483207304004</v>
      </c>
      <c r="P1143">
        <f t="shared" si="309"/>
        <v>0.12255431121494498</v>
      </c>
      <c r="Q1143">
        <f t="shared" si="310"/>
        <v>0.97234412804850079</v>
      </c>
      <c r="R1143">
        <f t="shared" si="300"/>
        <v>1</v>
      </c>
      <c r="AG1143" s="8">
        <f t="shared" si="303"/>
        <v>-0.45444167158115717</v>
      </c>
      <c r="AH1143" s="8">
        <f t="shared" si="304"/>
        <v>0.61122590877365424</v>
      </c>
      <c r="AI1143" s="8">
        <f t="shared" si="305"/>
        <v>0.64798584519597668</v>
      </c>
      <c r="AJ1143" s="8"/>
      <c r="AK1143" s="8"/>
      <c r="AL1143" s="8"/>
      <c r="AN1143" s="8">
        <f t="shared" si="311"/>
        <v>1</v>
      </c>
      <c r="AO1143" s="8">
        <f t="shared" si="312"/>
        <v>2.2101193914427526</v>
      </c>
      <c r="AP1143" s="8">
        <f t="shared" si="313"/>
        <v>0.86585932879827521</v>
      </c>
      <c r="AQ1143" s="8"/>
      <c r="AR1143" s="8">
        <f t="shared" si="314"/>
        <v>126.63051334969164</v>
      </c>
      <c r="AS1143" s="8">
        <f t="shared" si="315"/>
        <v>40.389914807828575</v>
      </c>
    </row>
    <row r="1144" spans="1:45">
      <c r="A1144" s="19">
        <v>37.103733329999997</v>
      </c>
      <c r="B1144" s="19">
        <v>650.07939199999998</v>
      </c>
      <c r="C1144" s="19">
        <v>-349.34101129999999</v>
      </c>
      <c r="E1144" s="9">
        <f t="shared" si="301"/>
        <v>-309.92060800000002</v>
      </c>
      <c r="F1144" s="9">
        <f t="shared" si="306"/>
        <v>190.65898870000001</v>
      </c>
      <c r="I1144">
        <v>1</v>
      </c>
      <c r="J1144">
        <f t="shared" si="302"/>
        <v>0.23613551898452798</v>
      </c>
      <c r="K1144">
        <f t="shared" si="307"/>
        <v>2.5900813470495523</v>
      </c>
      <c r="O1144">
        <f t="shared" si="308"/>
        <v>-0.1992606447795755</v>
      </c>
      <c r="P1144">
        <f t="shared" si="309"/>
        <v>0.12258246802801777</v>
      </c>
      <c r="Q1144">
        <f t="shared" si="310"/>
        <v>0.97224931677743431</v>
      </c>
      <c r="R1144">
        <f t="shared" si="300"/>
        <v>1</v>
      </c>
      <c r="AG1144" s="8">
        <f t="shared" si="303"/>
        <v>-0.45415332250772134</v>
      </c>
      <c r="AH1144" s="8">
        <f t="shared" si="304"/>
        <v>0.61156111207456054</v>
      </c>
      <c r="AI1144" s="8">
        <f t="shared" si="305"/>
        <v>0.64787172021421369</v>
      </c>
      <c r="AJ1144" s="8"/>
      <c r="AK1144" s="8"/>
      <c r="AL1144" s="8"/>
      <c r="AN1144" s="8">
        <f t="shared" si="311"/>
        <v>1</v>
      </c>
      <c r="AO1144" s="8">
        <f t="shared" si="312"/>
        <v>2.20955306358137</v>
      </c>
      <c r="AP1144" s="8">
        <f t="shared" si="313"/>
        <v>0.86600915792281108</v>
      </c>
      <c r="AQ1144" s="8"/>
      <c r="AR1144" s="8">
        <f t="shared" si="314"/>
        <v>126.59806515341374</v>
      </c>
      <c r="AS1144" s="8">
        <f t="shared" si="315"/>
        <v>40.381330231344528</v>
      </c>
    </row>
    <row r="1145" spans="1:45">
      <c r="A1145" s="19">
        <v>37.137099999999997</v>
      </c>
      <c r="B1145" s="19">
        <v>649.67855910000003</v>
      </c>
      <c r="C1145" s="19">
        <v>-349.27666920000001</v>
      </c>
      <c r="E1145" s="9">
        <f t="shared" si="301"/>
        <v>-310.32144089999997</v>
      </c>
      <c r="F1145" s="9">
        <f t="shared" si="306"/>
        <v>190.72333079999999</v>
      </c>
      <c r="I1145">
        <v>1</v>
      </c>
      <c r="J1145">
        <f t="shared" si="302"/>
        <v>0.2363723573431929</v>
      </c>
      <c r="K1145">
        <f t="shared" si="307"/>
        <v>2.5905074995118991</v>
      </c>
      <c r="O1145">
        <f t="shared" si="308"/>
        <v>-0.19950903654577742</v>
      </c>
      <c r="P1145">
        <f t="shared" si="309"/>
        <v>0.12261810806353995</v>
      </c>
      <c r="Q1145">
        <f t="shared" si="310"/>
        <v>0.97219388185253131</v>
      </c>
      <c r="R1145">
        <f t="shared" si="300"/>
        <v>1</v>
      </c>
      <c r="AG1145" s="8">
        <f t="shared" si="303"/>
        <v>-0.45397890819185166</v>
      </c>
      <c r="AH1145" s="8">
        <f t="shared" si="304"/>
        <v>0.61174319605556238</v>
      </c>
      <c r="AI1145" s="8">
        <f t="shared" si="305"/>
        <v>0.64782205349668376</v>
      </c>
      <c r="AJ1145" s="8"/>
      <c r="AK1145" s="8"/>
      <c r="AL1145" s="8"/>
      <c r="AN1145" s="8">
        <f t="shared" si="311"/>
        <v>1</v>
      </c>
      <c r="AO1145" s="8">
        <f t="shared" si="312"/>
        <v>2.2092267480799226</v>
      </c>
      <c r="AP1145" s="8">
        <f t="shared" si="313"/>
        <v>0.86607435697235602</v>
      </c>
      <c r="AQ1145" s="8"/>
      <c r="AR1145" s="8">
        <f t="shared" si="314"/>
        <v>126.57936865239111</v>
      </c>
      <c r="AS1145" s="8">
        <f t="shared" si="315"/>
        <v>40.377594600977339</v>
      </c>
    </row>
    <row r="1146" spans="1:45">
      <c r="A1146" s="19">
        <v>37.170466670000003</v>
      </c>
      <c r="B1146" s="19">
        <v>648.93309450000004</v>
      </c>
      <c r="C1146" s="19">
        <v>-349.19846840000002</v>
      </c>
      <c r="E1146" s="9">
        <f t="shared" si="301"/>
        <v>-311.06690549999996</v>
      </c>
      <c r="F1146" s="9">
        <f t="shared" si="306"/>
        <v>190.80153159999998</v>
      </c>
      <c r="I1146">
        <v>1</v>
      </c>
      <c r="J1146">
        <f t="shared" si="302"/>
        <v>0.23679918817057685</v>
      </c>
      <c r="K1146">
        <f t="shared" si="307"/>
        <v>2.5913945681129333</v>
      </c>
      <c r="O1146">
        <f t="shared" si="308"/>
        <v>-0.19997143309668397</v>
      </c>
      <c r="P1146">
        <f t="shared" si="309"/>
        <v>0.12265803605743666</v>
      </c>
      <c r="Q1146">
        <f t="shared" si="310"/>
        <v>0.97209383916152403</v>
      </c>
      <c r="R1146">
        <f t="shared" si="300"/>
        <v>1</v>
      </c>
      <c r="AG1146" s="8">
        <f t="shared" si="303"/>
        <v>-0.45367224582916288</v>
      </c>
      <c r="AH1146" s="8">
        <f t="shared" si="304"/>
        <v>0.61208821012153813</v>
      </c>
      <c r="AI1146" s="8">
        <f t="shared" si="305"/>
        <v>0.64771098214754363</v>
      </c>
      <c r="AJ1146" s="8"/>
      <c r="AK1146" s="8"/>
      <c r="AL1146" s="8"/>
      <c r="AN1146" s="8">
        <f t="shared" si="311"/>
        <v>1.0000000000000002</v>
      </c>
      <c r="AO1146" s="8">
        <f t="shared" si="312"/>
        <v>2.2086336594955611</v>
      </c>
      <c r="AP1146" s="8">
        <f t="shared" si="313"/>
        <v>0.86622015071784852</v>
      </c>
      <c r="AQ1146" s="8"/>
      <c r="AR1146" s="8">
        <f t="shared" si="314"/>
        <v>126.54538717962981</v>
      </c>
      <c r="AS1146" s="8">
        <f t="shared" si="315"/>
        <v>40.369241234681212</v>
      </c>
    </row>
    <row r="1147" spans="1:45">
      <c r="A1147" s="19">
        <v>37.203833330000002</v>
      </c>
      <c r="B1147" s="19">
        <v>648.25252969999997</v>
      </c>
      <c r="C1147" s="19">
        <v>-349.232328</v>
      </c>
      <c r="E1147" s="9">
        <f t="shared" si="301"/>
        <v>-311.74747030000003</v>
      </c>
      <c r="F1147" s="9">
        <f t="shared" si="306"/>
        <v>190.767672</v>
      </c>
      <c r="I1147">
        <v>1</v>
      </c>
      <c r="J1147">
        <f t="shared" si="302"/>
        <v>0.23715427125789565</v>
      </c>
      <c r="K1147">
        <f t="shared" si="307"/>
        <v>2.5924471444664503</v>
      </c>
      <c r="O1147">
        <f t="shared" si="308"/>
        <v>-0.20039484005146346</v>
      </c>
      <c r="P1147">
        <f t="shared" si="309"/>
        <v>0.12262764179174175</v>
      </c>
      <c r="Q1147">
        <f t="shared" si="310"/>
        <v>0.97201047810676644</v>
      </c>
      <c r="R1147">
        <f t="shared" si="300"/>
        <v>1</v>
      </c>
      <c r="AG1147" s="8">
        <f t="shared" si="303"/>
        <v>-0.45343727729849581</v>
      </c>
      <c r="AH1147" s="8">
        <f t="shared" si="304"/>
        <v>0.61241959570957172</v>
      </c>
      <c r="AI1147" s="8">
        <f t="shared" si="305"/>
        <v>0.64756225519022625</v>
      </c>
      <c r="AJ1147" s="8"/>
      <c r="AK1147" s="8"/>
      <c r="AL1147" s="8"/>
      <c r="AN1147" s="8">
        <f t="shared" si="311"/>
        <v>0.99999999999999989</v>
      </c>
      <c r="AO1147" s="8">
        <f t="shared" si="312"/>
        <v>2.2081269789109683</v>
      </c>
      <c r="AP1147" s="8">
        <f t="shared" si="313"/>
        <v>0.8664153434275691</v>
      </c>
      <c r="AQ1147" s="8"/>
      <c r="AR1147" s="8">
        <f t="shared" si="314"/>
        <v>126.51635652057142</v>
      </c>
      <c r="AS1147" s="8">
        <f t="shared" si="315"/>
        <v>40.358057516222502</v>
      </c>
    </row>
    <row r="1148" spans="1:45">
      <c r="A1148" s="19">
        <v>37.237200000000001</v>
      </c>
      <c r="B1148" s="19">
        <v>647.79233739999995</v>
      </c>
      <c r="C1148" s="19">
        <v>-349.25555700000001</v>
      </c>
      <c r="E1148" s="9">
        <f t="shared" si="301"/>
        <v>-312.20766260000005</v>
      </c>
      <c r="F1148" s="9">
        <f t="shared" si="306"/>
        <v>190.74444299999999</v>
      </c>
      <c r="I1148">
        <v>1</v>
      </c>
      <c r="J1148">
        <f t="shared" si="302"/>
        <v>0.23739437881877096</v>
      </c>
      <c r="K1148">
        <f t="shared" si="307"/>
        <v>2.5931578304322631</v>
      </c>
      <c r="O1148">
        <f t="shared" si="308"/>
        <v>-0.20068109228580333</v>
      </c>
      <c r="P1148">
        <f t="shared" si="309"/>
        <v>0.12260686637191825</v>
      </c>
      <c r="Q1148">
        <f t="shared" si="310"/>
        <v>0.97195403981743678</v>
      </c>
      <c r="R1148">
        <f t="shared" si="300"/>
        <v>1</v>
      </c>
      <c r="AG1148" s="8">
        <f t="shared" si="303"/>
        <v>-0.45327850825240074</v>
      </c>
      <c r="AH1148" s="8">
        <f t="shared" si="304"/>
        <v>0.61264363618345574</v>
      </c>
      <c r="AI1148" s="8">
        <f t="shared" si="305"/>
        <v>0.64746148070784248</v>
      </c>
      <c r="AJ1148" s="8"/>
      <c r="AK1148" s="8"/>
      <c r="AL1148" s="8"/>
      <c r="AN1148" s="8">
        <f t="shared" si="311"/>
        <v>1</v>
      </c>
      <c r="AO1148" s="8">
        <f t="shared" si="312"/>
        <v>2.2077846130303556</v>
      </c>
      <c r="AP1148" s="8">
        <f t="shared" si="313"/>
        <v>0.86654758379632857</v>
      </c>
      <c r="AQ1148" s="8"/>
      <c r="AR1148" s="8">
        <f t="shared" si="314"/>
        <v>126.49674040056303</v>
      </c>
      <c r="AS1148" s="8">
        <f t="shared" si="315"/>
        <v>40.350480701211332</v>
      </c>
    </row>
    <row r="1149" spans="1:45">
      <c r="A1149" s="19">
        <v>37.270566670000001</v>
      </c>
      <c r="B1149" s="19">
        <v>646.90873050000005</v>
      </c>
      <c r="C1149" s="19">
        <v>-348.65376240000001</v>
      </c>
      <c r="E1149" s="9">
        <f t="shared" si="301"/>
        <v>-313.09126949999995</v>
      </c>
      <c r="F1149" s="9">
        <f t="shared" si="306"/>
        <v>191.34623759999999</v>
      </c>
      <c r="I1149">
        <v>1</v>
      </c>
      <c r="J1149">
        <f t="shared" si="302"/>
        <v>0.23806804212371999</v>
      </c>
      <c r="K1149">
        <f t="shared" si="307"/>
        <v>2.59301375514656</v>
      </c>
      <c r="O1149">
        <f t="shared" si="308"/>
        <v>-0.20122207308823575</v>
      </c>
      <c r="P1149">
        <f t="shared" si="309"/>
        <v>0.12297719661424843</v>
      </c>
      <c r="Q1149">
        <f t="shared" si="310"/>
        <v>0.97179539328758557</v>
      </c>
      <c r="R1149">
        <f t="shared" si="300"/>
        <v>1</v>
      </c>
      <c r="AG1149" s="8">
        <f t="shared" si="303"/>
        <v>-0.45269707177416263</v>
      </c>
      <c r="AH1149" s="8">
        <f t="shared" si="304"/>
        <v>0.61297171887530222</v>
      </c>
      <c r="AI1149" s="8">
        <f t="shared" si="305"/>
        <v>0.64755774496654439</v>
      </c>
      <c r="AJ1149" s="8"/>
      <c r="AK1149" s="8"/>
      <c r="AL1149" s="8"/>
      <c r="AN1149" s="8">
        <f t="shared" si="311"/>
        <v>1</v>
      </c>
      <c r="AO1149" s="8">
        <f t="shared" si="312"/>
        <v>2.2069151467921722</v>
      </c>
      <c r="AP1149" s="8">
        <f t="shared" si="313"/>
        <v>0.86642126224392169</v>
      </c>
      <c r="AQ1149" s="8"/>
      <c r="AR1149" s="8">
        <f t="shared" si="314"/>
        <v>126.446923654686</v>
      </c>
      <c r="AS1149" s="8">
        <f t="shared" si="315"/>
        <v>40.357718393025785</v>
      </c>
    </row>
    <row r="1150" spans="1:45">
      <c r="A1150" s="19">
        <v>37.30393333</v>
      </c>
      <c r="B1150" s="19">
        <v>646.69027589999996</v>
      </c>
      <c r="C1150" s="19">
        <v>-348.65785410000001</v>
      </c>
      <c r="E1150" s="9">
        <f t="shared" si="301"/>
        <v>-313.30972410000004</v>
      </c>
      <c r="F1150" s="9">
        <f t="shared" si="306"/>
        <v>191.34214589999999</v>
      </c>
      <c r="I1150">
        <v>1</v>
      </c>
      <c r="J1150">
        <f t="shared" si="302"/>
        <v>0.23818428859567423</v>
      </c>
      <c r="K1150">
        <f t="shared" si="307"/>
        <v>2.5933335714547532</v>
      </c>
      <c r="O1150">
        <f t="shared" si="308"/>
        <v>-0.20135780200714354</v>
      </c>
      <c r="P1150">
        <f t="shared" si="309"/>
        <v>0.12297171446059869</v>
      </c>
      <c r="Q1150">
        <f t="shared" si="310"/>
        <v>0.97176797282760508</v>
      </c>
      <c r="R1150">
        <f t="shared" si="300"/>
        <v>1</v>
      </c>
      <c r="AG1150" s="8">
        <f t="shared" si="303"/>
        <v>-0.45261872145912491</v>
      </c>
      <c r="AH1150" s="8">
        <f t="shared" si="304"/>
        <v>0.61307688293638918</v>
      </c>
      <c r="AI1150" s="8">
        <f t="shared" si="305"/>
        <v>0.64751295631339156</v>
      </c>
      <c r="AJ1150" s="8"/>
      <c r="AK1150" s="8"/>
      <c r="AL1150" s="8"/>
      <c r="AN1150" s="8">
        <f t="shared" si="311"/>
        <v>1</v>
      </c>
      <c r="AO1150" s="8">
        <f t="shared" si="312"/>
        <v>2.2067504587866651</v>
      </c>
      <c r="AP1150" s="8">
        <f t="shared" si="313"/>
        <v>0.86648003727254574</v>
      </c>
      <c r="AQ1150" s="8"/>
      <c r="AR1150" s="8">
        <f t="shared" si="314"/>
        <v>126.43748772703402</v>
      </c>
      <c r="AS1150" s="8">
        <f t="shared" si="315"/>
        <v>40.354350831944863</v>
      </c>
    </row>
    <row r="1151" spans="1:45">
      <c r="A1151" s="19">
        <v>37.337299999999999</v>
      </c>
      <c r="B1151" s="19">
        <v>645.90326709999999</v>
      </c>
      <c r="C1151" s="19">
        <v>-348.50109200000003</v>
      </c>
      <c r="E1151" s="9">
        <f t="shared" si="301"/>
        <v>-314.09673290000001</v>
      </c>
      <c r="F1151" s="9">
        <f t="shared" si="306"/>
        <v>191.49890799999997</v>
      </c>
      <c r="I1151">
        <v>1</v>
      </c>
      <c r="J1151">
        <f t="shared" si="302"/>
        <v>0.23865951184649734</v>
      </c>
      <c r="K1151">
        <f t="shared" si="307"/>
        <v>2.5940849362220617</v>
      </c>
      <c r="O1151">
        <f t="shared" si="308"/>
        <v>-0.20184442094274502</v>
      </c>
      <c r="P1151">
        <f t="shared" si="309"/>
        <v>0.12306077124569804</v>
      </c>
      <c r="Q1151">
        <f t="shared" si="310"/>
        <v>0.97165573960878859</v>
      </c>
      <c r="R1151">
        <f t="shared" si="300"/>
        <v>1</v>
      </c>
      <c r="AG1151" s="8">
        <f t="shared" si="303"/>
        <v>-0.45226305364557795</v>
      </c>
      <c r="AH1151" s="8">
        <f t="shared" si="304"/>
        <v>0.6134285590016495</v>
      </c>
      <c r="AI1151" s="8">
        <f t="shared" si="305"/>
        <v>0.64742840014038383</v>
      </c>
      <c r="AJ1151" s="8"/>
      <c r="AK1151" s="8"/>
      <c r="AL1151" s="8"/>
      <c r="AN1151" s="8">
        <f t="shared" si="311"/>
        <v>1</v>
      </c>
      <c r="AO1151" s="8">
        <f t="shared" si="312"/>
        <v>2.2061009429679972</v>
      </c>
      <c r="AP1151" s="8">
        <f t="shared" si="313"/>
        <v>0.86659099022155239</v>
      </c>
      <c r="AQ1151" s="8"/>
      <c r="AR1151" s="8">
        <f t="shared" si="314"/>
        <v>126.40027321189737</v>
      </c>
      <c r="AS1151" s="8">
        <f t="shared" si="315"/>
        <v>40.347993696242256</v>
      </c>
    </row>
    <row r="1152" spans="1:45">
      <c r="A1152" s="19">
        <v>37.370666669999999</v>
      </c>
      <c r="B1152" s="19">
        <v>645.05415010000002</v>
      </c>
      <c r="C1152" s="19">
        <v>-348.41576090000001</v>
      </c>
      <c r="E1152" s="9">
        <f t="shared" si="301"/>
        <v>-314.94584989999998</v>
      </c>
      <c r="F1152" s="9">
        <f t="shared" si="306"/>
        <v>191.58423909999999</v>
      </c>
      <c r="I1152">
        <v>1</v>
      </c>
      <c r="J1152">
        <f t="shared" si="302"/>
        <v>0.23914480753761144</v>
      </c>
      <c r="K1152">
        <f t="shared" si="307"/>
        <v>2.5950863452314912</v>
      </c>
      <c r="O1152">
        <f t="shared" si="308"/>
        <v>-0.20237038841627525</v>
      </c>
      <c r="P1152">
        <f t="shared" si="309"/>
        <v>0.12310362842823276</v>
      </c>
      <c r="Q1152">
        <f t="shared" si="310"/>
        <v>0.97154090112565483</v>
      </c>
      <c r="R1152">
        <f t="shared" si="300"/>
        <v>1</v>
      </c>
      <c r="AG1152" s="8">
        <f t="shared" si="303"/>
        <v>-0.45191511459716022</v>
      </c>
      <c r="AH1152" s="8">
        <f t="shared" si="304"/>
        <v>0.61382095437407935</v>
      </c>
      <c r="AI1152" s="8">
        <f t="shared" si="305"/>
        <v>0.64729944011247986</v>
      </c>
      <c r="AJ1152" s="8"/>
      <c r="AK1152" s="8"/>
      <c r="AL1152" s="8"/>
      <c r="AN1152" s="8">
        <f t="shared" si="311"/>
        <v>1</v>
      </c>
      <c r="AO1152" s="8">
        <f t="shared" si="312"/>
        <v>2.2054280418023766</v>
      </c>
      <c r="AP1152" s="8">
        <f t="shared" si="313"/>
        <v>0.86676018890233231</v>
      </c>
      <c r="AQ1152" s="8"/>
      <c r="AR1152" s="8">
        <f t="shared" si="314"/>
        <v>126.36171881507788</v>
      </c>
      <c r="AS1152" s="8">
        <f t="shared" si="315"/>
        <v>40.338299325934386</v>
      </c>
    </row>
    <row r="1153" spans="1:45">
      <c r="A1153" s="19">
        <v>37.404033329999997</v>
      </c>
      <c r="B1153" s="19">
        <v>644.58098529999995</v>
      </c>
      <c r="C1153" s="19">
        <v>-348.41592980000001</v>
      </c>
      <c r="E1153" s="9">
        <f t="shared" si="301"/>
        <v>-315.41901470000005</v>
      </c>
      <c r="F1153" s="9">
        <f t="shared" si="306"/>
        <v>191.58407019999999</v>
      </c>
      <c r="I1153">
        <v>1</v>
      </c>
      <c r="J1153">
        <f t="shared" si="302"/>
        <v>0.23939967163778361</v>
      </c>
      <c r="K1153">
        <f t="shared" si="307"/>
        <v>2.5957530694806552</v>
      </c>
      <c r="O1153">
        <f t="shared" si="308"/>
        <v>-0.20266404401529536</v>
      </c>
      <c r="P1153">
        <f t="shared" si="309"/>
        <v>0.12309721553271412</v>
      </c>
      <c r="Q1153">
        <f t="shared" si="310"/>
        <v>0.97148049943962278</v>
      </c>
      <c r="R1153">
        <f t="shared" si="300"/>
        <v>1</v>
      </c>
      <c r="AG1153" s="8">
        <f t="shared" si="303"/>
        <v>-0.45174161110165334</v>
      </c>
      <c r="AH1153" s="8">
        <f t="shared" si="304"/>
        <v>0.6140470312748314</v>
      </c>
      <c r="AI1153" s="8">
        <f t="shared" si="305"/>
        <v>0.64720611877658318</v>
      </c>
      <c r="AJ1153" s="8"/>
      <c r="AK1153" s="8"/>
      <c r="AL1153" s="8"/>
      <c r="AN1153" s="8">
        <f t="shared" si="311"/>
        <v>0.99999999999999989</v>
      </c>
      <c r="AO1153" s="8">
        <f t="shared" si="312"/>
        <v>2.2050689286689833</v>
      </c>
      <c r="AP1153" s="8">
        <f t="shared" si="313"/>
        <v>0.86688261359521901</v>
      </c>
      <c r="AQ1153" s="8"/>
      <c r="AR1153" s="8">
        <f t="shared" si="314"/>
        <v>126.34114314816672</v>
      </c>
      <c r="AS1153" s="8">
        <f t="shared" si="315"/>
        <v>40.331284907723791</v>
      </c>
    </row>
    <row r="1154" spans="1:45">
      <c r="A1154" s="19">
        <v>37.437399999999997</v>
      </c>
      <c r="B1154" s="19">
        <v>643.90273760000002</v>
      </c>
      <c r="C1154" s="19">
        <v>-348.41446400000001</v>
      </c>
      <c r="E1154" s="9">
        <f t="shared" si="301"/>
        <v>-316.09726239999998</v>
      </c>
      <c r="F1154" s="9">
        <f t="shared" si="306"/>
        <v>191.58553599999999</v>
      </c>
      <c r="I1154">
        <v>1</v>
      </c>
      <c r="J1154">
        <f t="shared" si="302"/>
        <v>0.23976568842570592</v>
      </c>
      <c r="K1154">
        <f t="shared" si="307"/>
        <v>2.5967022751145574</v>
      </c>
      <c r="O1154">
        <f t="shared" si="308"/>
        <v>-0.20308486848352555</v>
      </c>
      <c r="P1154">
        <f t="shared" si="309"/>
        <v>0.12308908684147388</v>
      </c>
      <c r="Q1154">
        <f t="shared" si="310"/>
        <v>0.97139364466397515</v>
      </c>
      <c r="R1154">
        <f t="shared" si="300"/>
        <v>1</v>
      </c>
      <c r="AG1154" s="8">
        <f t="shared" si="303"/>
        <v>-0.45149213882953887</v>
      </c>
      <c r="AH1154" s="8">
        <f t="shared" si="304"/>
        <v>0.61437068842048626</v>
      </c>
      <c r="AI1154" s="8">
        <f t="shared" si="305"/>
        <v>0.64707302971524494</v>
      </c>
      <c r="AJ1154" s="8"/>
      <c r="AK1154" s="8"/>
      <c r="AL1154" s="8"/>
      <c r="AN1154" s="8">
        <f t="shared" si="311"/>
        <v>1</v>
      </c>
      <c r="AO1154" s="8">
        <f t="shared" si="312"/>
        <v>2.2045538017166457</v>
      </c>
      <c r="AP1154" s="8">
        <f t="shared" si="313"/>
        <v>0.86705718603680704</v>
      </c>
      <c r="AQ1154" s="8"/>
      <c r="AR1154" s="8">
        <f t="shared" si="314"/>
        <v>126.31162854788434</v>
      </c>
      <c r="AS1154" s="8">
        <f t="shared" si="315"/>
        <v>40.321282643601506</v>
      </c>
    </row>
    <row r="1155" spans="1:45">
      <c r="A1155" s="19">
        <v>37.470766670000003</v>
      </c>
      <c r="B1155" s="19">
        <v>643.26537640000004</v>
      </c>
      <c r="C1155" s="19">
        <v>-348.43342710000002</v>
      </c>
      <c r="E1155" s="9">
        <f t="shared" si="301"/>
        <v>-316.73462359999996</v>
      </c>
      <c r="F1155" s="9">
        <f t="shared" si="306"/>
        <v>191.56657289999998</v>
      </c>
      <c r="I1155">
        <v>1</v>
      </c>
      <c r="J1155">
        <f t="shared" si="302"/>
        <v>0.24010314242041292</v>
      </c>
      <c r="K1155">
        <f t="shared" si="307"/>
        <v>2.5976385638359831</v>
      </c>
      <c r="O1155">
        <f t="shared" si="308"/>
        <v>-0.20348050368118925</v>
      </c>
      <c r="P1155">
        <f t="shared" si="309"/>
        <v>0.12306852436631208</v>
      </c>
      <c r="Q1155">
        <f t="shared" si="310"/>
        <v>0.97131345246112388</v>
      </c>
      <c r="R1155">
        <f t="shared" si="300"/>
        <v>1</v>
      </c>
      <c r="AG1155" s="8">
        <f t="shared" si="303"/>
        <v>-0.45126636246807988</v>
      </c>
      <c r="AH1155" s="8">
        <f t="shared" si="304"/>
        <v>0.61467789597155154</v>
      </c>
      <c r="AI1155" s="8">
        <f t="shared" si="305"/>
        <v>0.64693875622721364</v>
      </c>
      <c r="AJ1155" s="8"/>
      <c r="AK1155" s="8"/>
      <c r="AL1155" s="8"/>
      <c r="AN1155" s="8">
        <f t="shared" si="311"/>
        <v>1.0000000000000002</v>
      </c>
      <c r="AO1155" s="8">
        <f t="shared" si="312"/>
        <v>2.2040766429245737</v>
      </c>
      <c r="AP1155" s="8">
        <f t="shared" si="313"/>
        <v>0.86723328587964721</v>
      </c>
      <c r="AQ1155" s="8"/>
      <c r="AR1155" s="8">
        <f t="shared" si="314"/>
        <v>126.28428936294105</v>
      </c>
      <c r="AS1155" s="8">
        <f t="shared" si="315"/>
        <v>40.311192865833846</v>
      </c>
    </row>
    <row r="1156" spans="1:45">
      <c r="A1156" s="19">
        <v>37.504133330000002</v>
      </c>
      <c r="B1156" s="19">
        <v>642.82780730000002</v>
      </c>
      <c r="C1156" s="19">
        <v>-348.41060770000001</v>
      </c>
      <c r="E1156" s="9">
        <f t="shared" si="301"/>
        <v>-317.17219269999998</v>
      </c>
      <c r="F1156" s="9">
        <f t="shared" si="306"/>
        <v>191.58939229999999</v>
      </c>
      <c r="I1156">
        <v>1</v>
      </c>
      <c r="J1156">
        <f t="shared" si="302"/>
        <v>0.24034658050872304</v>
      </c>
      <c r="K1156">
        <f t="shared" si="307"/>
        <v>2.5981969996174632</v>
      </c>
      <c r="O1156">
        <f t="shared" si="308"/>
        <v>-0.20375158704680024</v>
      </c>
      <c r="P1156">
        <f t="shared" si="309"/>
        <v>0.12307712857848213</v>
      </c>
      <c r="Q1156">
        <f t="shared" si="310"/>
        <v>0.97125553341887627</v>
      </c>
      <c r="R1156">
        <f t="shared" si="300"/>
        <v>1</v>
      </c>
      <c r="AG1156" s="8">
        <f t="shared" si="303"/>
        <v>-0.45109601485989964</v>
      </c>
      <c r="AH1156" s="8">
        <f t="shared" si="304"/>
        <v>0.61488306481227917</v>
      </c>
      <c r="AI1156" s="8">
        <f t="shared" si="305"/>
        <v>0.64686258354041137</v>
      </c>
      <c r="AJ1156" s="8"/>
      <c r="AK1156" s="8"/>
      <c r="AL1156" s="8"/>
      <c r="AN1156" s="8">
        <f t="shared" si="311"/>
        <v>1</v>
      </c>
      <c r="AO1156" s="8">
        <f t="shared" si="312"/>
        <v>2.203737368484239</v>
      </c>
      <c r="AP1156" s="8">
        <f t="shared" si="313"/>
        <v>0.86733317475539795</v>
      </c>
      <c r="AQ1156" s="8"/>
      <c r="AR1156" s="8">
        <f t="shared" si="314"/>
        <v>126.26485036941321</v>
      </c>
      <c r="AS1156" s="8">
        <f t="shared" si="315"/>
        <v>40.305469654833018</v>
      </c>
    </row>
    <row r="1157" spans="1:45">
      <c r="A1157" s="19">
        <v>37.537500000000001</v>
      </c>
      <c r="B1157" s="19">
        <v>642.05606479999994</v>
      </c>
      <c r="C1157" s="19">
        <v>-348.20340720000002</v>
      </c>
      <c r="E1157" s="9">
        <f t="shared" si="301"/>
        <v>-317.94393520000006</v>
      </c>
      <c r="F1157" s="9">
        <f t="shared" si="306"/>
        <v>191.79659279999998</v>
      </c>
      <c r="I1157">
        <v>1</v>
      </c>
      <c r="J1157">
        <f t="shared" si="302"/>
        <v>0.24083036176689968</v>
      </c>
      <c r="K1157">
        <f t="shared" si="307"/>
        <v>2.598793990145591</v>
      </c>
      <c r="O1157">
        <f t="shared" si="308"/>
        <v>-0.20422734112726174</v>
      </c>
      <c r="P1157">
        <f t="shared" si="309"/>
        <v>0.12319816121094583</v>
      </c>
      <c r="Q1157">
        <f t="shared" si="310"/>
        <v>0.97114026083276506</v>
      </c>
      <c r="R1157">
        <f t="shared" si="300"/>
        <v>1</v>
      </c>
      <c r="AG1157" s="8">
        <f t="shared" si="303"/>
        <v>-0.45072416487187639</v>
      </c>
      <c r="AH1157" s="8">
        <f t="shared" si="304"/>
        <v>0.61521839943381751</v>
      </c>
      <c r="AI1157" s="8">
        <f t="shared" si="305"/>
        <v>0.64680294386980142</v>
      </c>
      <c r="AJ1157" s="8"/>
      <c r="AK1157" s="8"/>
      <c r="AL1157" s="8"/>
      <c r="AN1157" s="8">
        <f t="shared" si="311"/>
        <v>1</v>
      </c>
      <c r="AO1157" s="8">
        <f t="shared" si="312"/>
        <v>2.2030841573731879</v>
      </c>
      <c r="AP1157" s="8">
        <f t="shared" si="313"/>
        <v>0.86741137719180628</v>
      </c>
      <c r="AQ1157" s="8"/>
      <c r="AR1157" s="8">
        <f t="shared" si="314"/>
        <v>126.22742412961892</v>
      </c>
      <c r="AS1157" s="8">
        <f t="shared" si="315"/>
        <v>40.300988985279183</v>
      </c>
    </row>
    <row r="1158" spans="1:45">
      <c r="A1158" s="19">
        <v>37.570866670000001</v>
      </c>
      <c r="B1158" s="19">
        <v>641.63266539999995</v>
      </c>
      <c r="C1158" s="19">
        <v>-347.67525879999999</v>
      </c>
      <c r="E1158" s="9">
        <f t="shared" si="301"/>
        <v>-318.36733460000005</v>
      </c>
      <c r="F1158" s="9">
        <f t="shared" si="306"/>
        <v>192.32474120000001</v>
      </c>
      <c r="I1158">
        <v>1</v>
      </c>
      <c r="J1158">
        <f t="shared" si="302"/>
        <v>0.24123066627218837</v>
      </c>
      <c r="K1158">
        <f t="shared" si="307"/>
        <v>2.5981661218840184</v>
      </c>
      <c r="O1158">
        <f t="shared" si="308"/>
        <v>-0.20448268128705446</v>
      </c>
      <c r="P1158">
        <f t="shared" si="309"/>
        <v>0.12352736755429317</v>
      </c>
      <c r="Q1158">
        <f t="shared" si="310"/>
        <v>0.97104470675595744</v>
      </c>
      <c r="R1158">
        <f t="shared" si="300"/>
        <v>1</v>
      </c>
      <c r="AG1158" s="8">
        <f t="shared" si="303"/>
        <v>-0.45034296255922612</v>
      </c>
      <c r="AH1158" s="8">
        <f t="shared" si="304"/>
        <v>0.61533680626152787</v>
      </c>
      <c r="AI1158" s="8">
        <f t="shared" si="305"/>
        <v>0.64695581837807314</v>
      </c>
      <c r="AJ1158" s="8"/>
      <c r="AK1158" s="8"/>
      <c r="AL1158" s="8"/>
      <c r="AN1158" s="8">
        <f t="shared" si="311"/>
        <v>1</v>
      </c>
      <c r="AO1158" s="8">
        <f t="shared" si="312"/>
        <v>2.2025891131528792</v>
      </c>
      <c r="AP1158" s="8">
        <f t="shared" si="313"/>
        <v>0.86721091030737196</v>
      </c>
      <c r="AQ1158" s="8"/>
      <c r="AR1158" s="8">
        <f t="shared" si="314"/>
        <v>126.1990601851229</v>
      </c>
      <c r="AS1158" s="8">
        <f t="shared" si="315"/>
        <v>40.312474891689405</v>
      </c>
    </row>
    <row r="1159" spans="1:45">
      <c r="A1159" s="19">
        <v>37.60423333</v>
      </c>
      <c r="B1159" s="19">
        <v>640.97620870000003</v>
      </c>
      <c r="C1159" s="19">
        <v>-347.53923420000001</v>
      </c>
      <c r="E1159" s="9">
        <f t="shared" si="301"/>
        <v>-319.02379129999997</v>
      </c>
      <c r="F1159" s="9">
        <f t="shared" si="306"/>
        <v>192.46076579999999</v>
      </c>
      <c r="I1159">
        <v>1</v>
      </c>
      <c r="J1159">
        <f t="shared" si="302"/>
        <v>0.24162892573208389</v>
      </c>
      <c r="K1159">
        <f t="shared" si="307"/>
        <v>2.5987646644987326</v>
      </c>
      <c r="O1159">
        <f t="shared" si="308"/>
        <v>-0.20488770094049552</v>
      </c>
      <c r="P1159">
        <f t="shared" si="309"/>
        <v>0.12360471194114722</v>
      </c>
      <c r="Q1159">
        <f t="shared" si="310"/>
        <v>0.97094948642515078</v>
      </c>
      <c r="R1159">
        <f t="shared" si="300"/>
        <v>1</v>
      </c>
      <c r="AG1159" s="8">
        <f t="shared" si="303"/>
        <v>-0.45004382714015134</v>
      </c>
      <c r="AH1159" s="8">
        <f t="shared" si="304"/>
        <v>0.61562809894573911</v>
      </c>
      <c r="AI1159" s="8">
        <f t="shared" si="305"/>
        <v>0.64688685057087136</v>
      </c>
      <c r="AJ1159" s="8"/>
      <c r="AK1159" s="8"/>
      <c r="AL1159" s="8"/>
      <c r="AN1159" s="8">
        <f t="shared" si="311"/>
        <v>1</v>
      </c>
      <c r="AO1159" s="8">
        <f t="shared" si="312"/>
        <v>2.2020469728755532</v>
      </c>
      <c r="AP1159" s="8">
        <f t="shared" si="313"/>
        <v>0.86730135316013957</v>
      </c>
      <c r="AQ1159" s="8"/>
      <c r="AR1159" s="8">
        <f t="shared" si="314"/>
        <v>126.16799783532807</v>
      </c>
      <c r="AS1159" s="8">
        <f t="shared" si="315"/>
        <v>40.307292897938702</v>
      </c>
    </row>
    <row r="1160" spans="1:45">
      <c r="A1160" s="19">
        <v>37.637599999999999</v>
      </c>
      <c r="B1160" s="19">
        <v>640.16535680000004</v>
      </c>
      <c r="C1160" s="19">
        <v>-347.46210819999999</v>
      </c>
      <c r="E1160" s="9">
        <f t="shared" si="301"/>
        <v>-319.83464319999996</v>
      </c>
      <c r="F1160" s="9">
        <f t="shared" si="306"/>
        <v>192.53789180000001</v>
      </c>
      <c r="I1160">
        <v>1</v>
      </c>
      <c r="J1160">
        <f t="shared" si="302"/>
        <v>0.24209134830729501</v>
      </c>
      <c r="K1160">
        <f t="shared" si="307"/>
        <v>2.5997097454226523</v>
      </c>
      <c r="O1160">
        <f t="shared" si="308"/>
        <v>-0.20538907034059153</v>
      </c>
      <c r="P1160">
        <f t="shared" si="309"/>
        <v>0.12364257419547542</v>
      </c>
      <c r="Q1160">
        <f t="shared" si="310"/>
        <v>0.97083873204098314</v>
      </c>
      <c r="R1160">
        <f t="shared" si="300"/>
        <v>1</v>
      </c>
      <c r="AG1160" s="8">
        <f t="shared" si="303"/>
        <v>-0.44971314792379019</v>
      </c>
      <c r="AH1160" s="8">
        <f t="shared" si="304"/>
        <v>0.61600204965023098</v>
      </c>
      <c r="AI1160" s="8">
        <f t="shared" si="305"/>
        <v>0.6467608208690363</v>
      </c>
      <c r="AJ1160" s="8"/>
      <c r="AK1160" s="8"/>
      <c r="AL1160" s="8"/>
      <c r="AN1160" s="8">
        <f t="shared" si="311"/>
        <v>1</v>
      </c>
      <c r="AO1160" s="8">
        <f t="shared" si="312"/>
        <v>2.2014076029397827</v>
      </c>
      <c r="AP1160" s="8">
        <f t="shared" si="313"/>
        <v>0.86746660779369689</v>
      </c>
      <c r="AQ1160" s="8"/>
      <c r="AR1160" s="8">
        <f t="shared" si="314"/>
        <v>126.13136463646086</v>
      </c>
      <c r="AS1160" s="8">
        <f t="shared" si="315"/>
        <v>40.297824504890883</v>
      </c>
    </row>
    <row r="1161" spans="1:45">
      <c r="A1161" s="19">
        <v>37.670966669999999</v>
      </c>
      <c r="B1161" s="19">
        <v>639.7051821</v>
      </c>
      <c r="C1161" s="19">
        <v>-347.45848569999998</v>
      </c>
      <c r="E1161" s="9">
        <f t="shared" si="301"/>
        <v>-320.2948179</v>
      </c>
      <c r="F1161" s="9">
        <f t="shared" si="306"/>
        <v>192.54151430000002</v>
      </c>
      <c r="I1161">
        <v>1</v>
      </c>
      <c r="J1161">
        <f t="shared" si="302"/>
        <v>0.24234080826219256</v>
      </c>
      <c r="K1161">
        <f t="shared" si="307"/>
        <v>2.6003365150195372</v>
      </c>
      <c r="O1161">
        <f t="shared" si="308"/>
        <v>-0.20567408693896247</v>
      </c>
      <c r="P1161">
        <f t="shared" si="309"/>
        <v>0.12363859150497267</v>
      </c>
      <c r="Q1161">
        <f t="shared" si="310"/>
        <v>0.97077889792294647</v>
      </c>
      <c r="R1161">
        <f t="shared" si="300"/>
        <v>1</v>
      </c>
      <c r="AG1161" s="8">
        <f t="shared" si="303"/>
        <v>-0.44954261659718259</v>
      </c>
      <c r="AH1161" s="8">
        <f t="shared" si="304"/>
        <v>0.61622051575091763</v>
      </c>
      <c r="AI1161" s="8">
        <f t="shared" si="305"/>
        <v>0.64667125483558607</v>
      </c>
      <c r="AJ1161" s="8"/>
      <c r="AK1161" s="8"/>
      <c r="AL1161" s="8"/>
      <c r="AN1161" s="8">
        <f t="shared" si="311"/>
        <v>0.99999999999999989</v>
      </c>
      <c r="AO1161" s="8">
        <f t="shared" si="312"/>
        <v>2.2010581541958243</v>
      </c>
      <c r="AP1161" s="8">
        <f t="shared" si="313"/>
        <v>0.86758403589079824</v>
      </c>
      <c r="AQ1161" s="8"/>
      <c r="AR1161" s="8">
        <f t="shared" si="314"/>
        <v>126.11134269827591</v>
      </c>
      <c r="AS1161" s="8">
        <f t="shared" si="315"/>
        <v>40.291096370530724</v>
      </c>
    </row>
    <row r="1162" spans="1:45">
      <c r="A1162" s="19">
        <v>37.704333329999997</v>
      </c>
      <c r="B1162" s="19">
        <v>638.97077839999997</v>
      </c>
      <c r="C1162" s="19">
        <v>-347.45235760000003</v>
      </c>
      <c r="E1162" s="9">
        <f t="shared" si="301"/>
        <v>-321.02922160000003</v>
      </c>
      <c r="F1162" s="9">
        <f t="shared" si="306"/>
        <v>192.54764239999997</v>
      </c>
      <c r="I1162">
        <v>1</v>
      </c>
      <c r="J1162">
        <f t="shared" si="302"/>
        <v>0.24273917227226782</v>
      </c>
      <c r="K1162">
        <f t="shared" si="307"/>
        <v>2.6013332479464859</v>
      </c>
      <c r="O1162">
        <f t="shared" si="308"/>
        <v>-0.20612884747679333</v>
      </c>
      <c r="P1162">
        <f t="shared" si="309"/>
        <v>0.12363243263175187</v>
      </c>
      <c r="Q1162">
        <f t="shared" si="310"/>
        <v>0.97068322321931788</v>
      </c>
      <c r="R1162">
        <f t="shared" si="300"/>
        <v>1</v>
      </c>
      <c r="AG1162" s="8">
        <f t="shared" si="303"/>
        <v>-0.44927027356467553</v>
      </c>
      <c r="AH1162" s="8">
        <f t="shared" si="304"/>
        <v>0.61656895976862136</v>
      </c>
      <c r="AI1162" s="8">
        <f t="shared" si="305"/>
        <v>0.64652837458301993</v>
      </c>
      <c r="AJ1162" s="8"/>
      <c r="AK1162" s="8"/>
      <c r="AL1162" s="8"/>
      <c r="AN1162" s="8">
        <f t="shared" si="311"/>
        <v>1</v>
      </c>
      <c r="AO1162" s="8">
        <f t="shared" si="312"/>
        <v>2.2005005687283425</v>
      </c>
      <c r="AP1162" s="8">
        <f t="shared" si="313"/>
        <v>0.86777133891678293</v>
      </c>
      <c r="AQ1162" s="8"/>
      <c r="AR1162" s="8">
        <f t="shared" si="314"/>
        <v>126.07939540427137</v>
      </c>
      <c r="AS1162" s="8">
        <f t="shared" si="315"/>
        <v>40.28036469765177</v>
      </c>
    </row>
    <row r="1163" spans="1:45">
      <c r="A1163" s="19">
        <v>37.737699999999997</v>
      </c>
      <c r="B1163" s="19">
        <v>638.5465524</v>
      </c>
      <c r="C1163" s="19">
        <v>-347.37967220000002</v>
      </c>
      <c r="E1163" s="9">
        <f t="shared" si="301"/>
        <v>-321.4534476</v>
      </c>
      <c r="F1163" s="9">
        <f t="shared" si="306"/>
        <v>192.62032779999998</v>
      </c>
      <c r="I1163">
        <v>1</v>
      </c>
      <c r="J1163">
        <f t="shared" si="302"/>
        <v>0.24299172711866934</v>
      </c>
      <c r="K1163">
        <f t="shared" si="307"/>
        <v>2.6017491852648198</v>
      </c>
      <c r="O1163">
        <f t="shared" si="308"/>
        <v>-0.20639053406485972</v>
      </c>
      <c r="P1163">
        <f t="shared" si="309"/>
        <v>0.12367268922826867</v>
      </c>
      <c r="Q1163">
        <f t="shared" si="310"/>
        <v>0.97062248757561254</v>
      </c>
      <c r="R1163">
        <f t="shared" si="300"/>
        <v>1</v>
      </c>
      <c r="AG1163" s="8">
        <f t="shared" si="303"/>
        <v>-0.44908338887471533</v>
      </c>
      <c r="AH1163" s="8">
        <f t="shared" si="304"/>
        <v>0.61675921630715513</v>
      </c>
      <c r="AI1163" s="8">
        <f t="shared" si="305"/>
        <v>0.64647674276572797</v>
      </c>
      <c r="AJ1163" s="8"/>
      <c r="AK1163" s="8"/>
      <c r="AL1163" s="8"/>
      <c r="AN1163" s="8">
        <f t="shared" si="311"/>
        <v>1</v>
      </c>
      <c r="AO1163" s="8">
        <f t="shared" si="312"/>
        <v>2.2001557370548488</v>
      </c>
      <c r="AP1163" s="8">
        <f t="shared" si="313"/>
        <v>0.86783901622381021</v>
      </c>
      <c r="AQ1163" s="8"/>
      <c r="AR1163" s="8">
        <f t="shared" si="314"/>
        <v>126.05963800473775</v>
      </c>
      <c r="AS1163" s="8">
        <f t="shared" si="315"/>
        <v>40.276487073590296</v>
      </c>
    </row>
    <row r="1164" spans="1:45">
      <c r="A1164" s="19">
        <v>37.771066670000003</v>
      </c>
      <c r="B1164" s="19">
        <v>637.96562889999996</v>
      </c>
      <c r="C1164" s="19">
        <v>-347.30410910000001</v>
      </c>
      <c r="E1164" s="9">
        <f t="shared" si="301"/>
        <v>-322.03437110000004</v>
      </c>
      <c r="F1164" s="9">
        <f t="shared" si="306"/>
        <v>192.69589089999999</v>
      </c>
      <c r="I1164">
        <v>1</v>
      </c>
      <c r="J1164">
        <f t="shared" si="302"/>
        <v>0.24332984185299777</v>
      </c>
      <c r="K1164">
        <f t="shared" si="307"/>
        <v>2.6023721233266484</v>
      </c>
      <c r="O1164">
        <f t="shared" si="308"/>
        <v>-0.20674913841582546</v>
      </c>
      <c r="P1164">
        <f t="shared" si="309"/>
        <v>0.12371260025369661</v>
      </c>
      <c r="Q1164">
        <f t="shared" si="310"/>
        <v>0.97054107914234256</v>
      </c>
      <c r="R1164">
        <f t="shared" si="300"/>
        <v>1</v>
      </c>
      <c r="AG1164" s="8">
        <f t="shared" si="303"/>
        <v>-0.44883769613960967</v>
      </c>
      <c r="AH1164" s="8">
        <f t="shared" si="304"/>
        <v>0.61702343174406049</v>
      </c>
      <c r="AI1164" s="8">
        <f t="shared" si="305"/>
        <v>0.64639524070252108</v>
      </c>
      <c r="AJ1164" s="8"/>
      <c r="AK1164" s="8"/>
      <c r="AL1164" s="8"/>
      <c r="AN1164" s="8">
        <f t="shared" si="311"/>
        <v>1</v>
      </c>
      <c r="AO1164" s="8">
        <f t="shared" si="312"/>
        <v>2.1996915925518707</v>
      </c>
      <c r="AP1164" s="8">
        <f t="shared" si="313"/>
        <v>0.86794583858013186</v>
      </c>
      <c r="AQ1164" s="8"/>
      <c r="AR1164" s="8">
        <f t="shared" si="314"/>
        <v>126.03304448363291</v>
      </c>
      <c r="AS1164" s="8">
        <f t="shared" si="315"/>
        <v>40.270366603415425</v>
      </c>
    </row>
    <row r="1165" spans="1:45">
      <c r="A1165" s="19">
        <v>37.804433330000002</v>
      </c>
      <c r="B1165" s="19">
        <v>637.20975829999998</v>
      </c>
      <c r="C1165" s="19">
        <v>-347.18306139999999</v>
      </c>
      <c r="E1165" s="9">
        <f t="shared" si="301"/>
        <v>-322.79024170000002</v>
      </c>
      <c r="F1165" s="9">
        <f t="shared" si="306"/>
        <v>192.81693860000001</v>
      </c>
      <c r="I1165">
        <v>1</v>
      </c>
      <c r="J1165">
        <f t="shared" si="302"/>
        <v>0.24377717338930036</v>
      </c>
      <c r="K1165">
        <f t="shared" si="307"/>
        <v>2.6031280988959584</v>
      </c>
      <c r="O1165">
        <f t="shared" si="308"/>
        <v>-0.2072153019572589</v>
      </c>
      <c r="P1165">
        <f t="shared" si="309"/>
        <v>0.12377889723075004</v>
      </c>
      <c r="Q1165">
        <f t="shared" si="310"/>
        <v>0.97043320390179433</v>
      </c>
      <c r="R1165">
        <f t="shared" si="300"/>
        <v>1</v>
      </c>
      <c r="AG1165" s="8">
        <f t="shared" si="303"/>
        <v>-0.44850826712501535</v>
      </c>
      <c r="AH1165" s="8">
        <f t="shared" si="304"/>
        <v>0.61736343653967163</v>
      </c>
      <c r="AI1165" s="8">
        <f t="shared" si="305"/>
        <v>0.64629925076890105</v>
      </c>
      <c r="AJ1165" s="8"/>
      <c r="AK1165" s="8"/>
      <c r="AL1165" s="8"/>
      <c r="AN1165" s="8">
        <f t="shared" si="311"/>
        <v>1.0000000000000002</v>
      </c>
      <c r="AO1165" s="8">
        <f t="shared" si="312"/>
        <v>2.1990803749672199</v>
      </c>
      <c r="AP1165" s="8">
        <f t="shared" si="313"/>
        <v>0.868071637365875</v>
      </c>
      <c r="AQ1165" s="8"/>
      <c r="AR1165" s="8">
        <f t="shared" si="314"/>
        <v>125.99802429566823</v>
      </c>
      <c r="AS1165" s="8">
        <f t="shared" si="315"/>
        <v>40.263158863924474</v>
      </c>
    </row>
    <row r="1166" spans="1:45">
      <c r="A1166" s="19">
        <v>37.837800000000001</v>
      </c>
      <c r="B1166" s="19">
        <v>636.74488970000004</v>
      </c>
      <c r="C1166" s="19">
        <v>-347.01130690000002</v>
      </c>
      <c r="E1166" s="9">
        <f t="shared" si="301"/>
        <v>-323.25511029999996</v>
      </c>
      <c r="F1166" s="9">
        <f t="shared" si="306"/>
        <v>192.98869309999998</v>
      </c>
      <c r="I1166">
        <v>1</v>
      </c>
      <c r="J1166">
        <f t="shared" si="302"/>
        <v>0.24408368433061556</v>
      </c>
      <c r="K1166">
        <f t="shared" si="307"/>
        <v>2.6033696576027334</v>
      </c>
      <c r="O1166">
        <f t="shared" si="308"/>
        <v>-0.20750058146535644</v>
      </c>
      <c r="P1166">
        <f t="shared" si="309"/>
        <v>0.12388130847281839</v>
      </c>
      <c r="Q1166">
        <f t="shared" si="310"/>
        <v>0.97035917582233511</v>
      </c>
      <c r="R1166">
        <f t="shared" si="300"/>
        <v>1</v>
      </c>
      <c r="AG1166" s="8">
        <f t="shared" si="303"/>
        <v>-0.44826407881208474</v>
      </c>
      <c r="AH1166" s="8">
        <f t="shared" si="304"/>
        <v>0.6175570411722533</v>
      </c>
      <c r="AI1166" s="8">
        <f t="shared" si="305"/>
        <v>0.64628369664205909</v>
      </c>
      <c r="AJ1166" s="8"/>
      <c r="AK1166" s="8"/>
      <c r="AL1166" s="8"/>
      <c r="AN1166" s="8">
        <f t="shared" si="311"/>
        <v>1.0000000000000002</v>
      </c>
      <c r="AO1166" s="8">
        <f t="shared" si="312"/>
        <v>2.1986723666728061</v>
      </c>
      <c r="AP1166" s="8">
        <f t="shared" si="313"/>
        <v>0.86809202043171962</v>
      </c>
      <c r="AQ1166" s="8"/>
      <c r="AR1166" s="8">
        <f t="shared" si="314"/>
        <v>125.97464714239199</v>
      </c>
      <c r="AS1166" s="8">
        <f t="shared" si="315"/>
        <v>40.261991000278037</v>
      </c>
    </row>
    <row r="1167" spans="1:45">
      <c r="A1167" s="19">
        <v>37.871166670000001</v>
      </c>
      <c r="B1167" s="19">
        <v>635.85659169999997</v>
      </c>
      <c r="C1167" s="19">
        <v>-346.94171139999997</v>
      </c>
      <c r="E1167" s="9">
        <f t="shared" si="301"/>
        <v>-324.14340830000003</v>
      </c>
      <c r="F1167" s="9">
        <f t="shared" si="306"/>
        <v>193.05828860000003</v>
      </c>
      <c r="I1167">
        <v>1</v>
      </c>
      <c r="J1167">
        <f t="shared" si="302"/>
        <v>0.2445860316983825</v>
      </c>
      <c r="K1167">
        <f t="shared" si="307"/>
        <v>2.6044182022320008</v>
      </c>
      <c r="O1167">
        <f t="shared" si="308"/>
        <v>-0.20804913913076434</v>
      </c>
      <c r="P1167">
        <f t="shared" si="309"/>
        <v>0.12391308820975534</v>
      </c>
      <c r="Q1167">
        <f t="shared" si="310"/>
        <v>0.97023765247349025</v>
      </c>
      <c r="R1167">
        <f t="shared" si="300"/>
        <v>1</v>
      </c>
      <c r="AG1167" s="8">
        <f t="shared" si="303"/>
        <v>-0.44790789841272283</v>
      </c>
      <c r="AH1167" s="8">
        <f t="shared" si="304"/>
        <v>0.61796768914284694</v>
      </c>
      <c r="AI1167" s="8">
        <f t="shared" si="305"/>
        <v>0.64613810421220919</v>
      </c>
      <c r="AJ1167" s="8"/>
      <c r="AK1167" s="8"/>
      <c r="AL1167" s="8"/>
      <c r="AN1167" s="8">
        <f t="shared" si="311"/>
        <v>1</v>
      </c>
      <c r="AO1167" s="8">
        <f t="shared" si="312"/>
        <v>2.1979786294981936</v>
      </c>
      <c r="AP1167" s="8">
        <f t="shared" si="313"/>
        <v>0.86828279647436968</v>
      </c>
      <c r="AQ1167" s="8"/>
      <c r="AR1167" s="8">
        <f t="shared" si="314"/>
        <v>125.93489893019536</v>
      </c>
      <c r="AS1167" s="8">
        <f t="shared" si="315"/>
        <v>40.251060338201981</v>
      </c>
    </row>
    <row r="1168" spans="1:45">
      <c r="A1168" s="19">
        <v>37.90453333</v>
      </c>
      <c r="B1168" s="19">
        <v>635.06348079999998</v>
      </c>
      <c r="C1168" s="19">
        <v>-346.80100449999998</v>
      </c>
      <c r="E1168" s="9">
        <f t="shared" si="301"/>
        <v>-324.93651920000002</v>
      </c>
      <c r="F1168" s="9">
        <f t="shared" si="306"/>
        <v>193.19899550000002</v>
      </c>
      <c r="I1168">
        <v>1</v>
      </c>
      <c r="J1168">
        <f t="shared" si="302"/>
        <v>0.24505991752350276</v>
      </c>
      <c r="K1168">
        <f t="shared" si="307"/>
        <v>2.605171980503564</v>
      </c>
      <c r="O1168">
        <f t="shared" si="308"/>
        <v>-0.20853766211711433</v>
      </c>
      <c r="P1168">
        <f t="shared" si="309"/>
        <v>0.12399119355416821</v>
      </c>
      <c r="Q1168">
        <f t="shared" si="310"/>
        <v>0.97012278985690314</v>
      </c>
      <c r="R1168">
        <f t="shared" si="300"/>
        <v>1</v>
      </c>
      <c r="AG1168" s="8">
        <f t="shared" si="303"/>
        <v>-0.44755628105525164</v>
      </c>
      <c r="AH1168" s="8">
        <f t="shared" si="304"/>
        <v>0.61832165387700844</v>
      </c>
      <c r="AI1168" s="8">
        <f t="shared" si="305"/>
        <v>0.64604311592554997</v>
      </c>
      <c r="AJ1168" s="8"/>
      <c r="AK1168" s="8"/>
      <c r="AL1168" s="8"/>
      <c r="AN1168" s="8">
        <f t="shared" si="311"/>
        <v>1</v>
      </c>
      <c r="AO1168" s="8">
        <f t="shared" si="312"/>
        <v>2.1973334988180135</v>
      </c>
      <c r="AP1168" s="8">
        <f t="shared" si="313"/>
        <v>0.86840724711701012</v>
      </c>
      <c r="AQ1168" s="8"/>
      <c r="AR1168" s="8">
        <f t="shared" si="314"/>
        <v>125.89793566498665</v>
      </c>
      <c r="AS1168" s="8">
        <f t="shared" si="315"/>
        <v>40.243929841620997</v>
      </c>
    </row>
    <row r="1169" spans="1:45">
      <c r="A1169" s="19">
        <v>37.937899999999999</v>
      </c>
      <c r="B1169" s="19">
        <v>634.68166670000005</v>
      </c>
      <c r="C1169" s="19">
        <v>-346.60552439999998</v>
      </c>
      <c r="E1169" s="9">
        <f t="shared" si="301"/>
        <v>-325.31833329999995</v>
      </c>
      <c r="F1169" s="9">
        <f t="shared" si="306"/>
        <v>193.39447560000002</v>
      </c>
      <c r="I1169">
        <v>1</v>
      </c>
      <c r="J1169">
        <f t="shared" si="302"/>
        <v>0.24532909685105064</v>
      </c>
      <c r="K1169">
        <f t="shared" si="307"/>
        <v>2.6052436054089814</v>
      </c>
      <c r="O1169">
        <f t="shared" si="308"/>
        <v>-0.20877100303640952</v>
      </c>
      <c r="P1169">
        <f t="shared" si="309"/>
        <v>0.12410969355200636</v>
      </c>
      <c r="Q1169">
        <f t="shared" si="310"/>
        <v>0.97005744791615234</v>
      </c>
      <c r="R1169">
        <f t="shared" si="300"/>
        <v>1</v>
      </c>
      <c r="AG1169" s="8">
        <f t="shared" si="303"/>
        <v>-0.44733244325730431</v>
      </c>
      <c r="AH1169" s="8">
        <f t="shared" si="304"/>
        <v>0.61847174517612946</v>
      </c>
      <c r="AI1169" s="8">
        <f t="shared" si="305"/>
        <v>0.64605447574352715</v>
      </c>
      <c r="AJ1169" s="8"/>
      <c r="AK1169" s="8"/>
      <c r="AL1169" s="8"/>
      <c r="AN1169" s="8">
        <f t="shared" si="311"/>
        <v>1.0000000000000004</v>
      </c>
      <c r="AO1169" s="8">
        <f t="shared" si="312"/>
        <v>2.1969806483683794</v>
      </c>
      <c r="AP1169" s="8">
        <f t="shared" si="313"/>
        <v>0.86839236453368474</v>
      </c>
      <c r="AQ1169" s="8"/>
      <c r="AR1169" s="8">
        <f t="shared" si="314"/>
        <v>125.87771882342331</v>
      </c>
      <c r="AS1169" s="8">
        <f t="shared" si="315"/>
        <v>40.24478255083379</v>
      </c>
    </row>
    <row r="1170" spans="1:45">
      <c r="A1170" s="19">
        <v>37.971266669999999</v>
      </c>
      <c r="B1170" s="19">
        <v>634.04735040000003</v>
      </c>
      <c r="C1170" s="19">
        <v>-346.48117359999998</v>
      </c>
      <c r="E1170" s="9">
        <f t="shared" si="301"/>
        <v>-325.95264959999997</v>
      </c>
      <c r="F1170" s="9">
        <f t="shared" si="306"/>
        <v>193.51882640000002</v>
      </c>
      <c r="I1170">
        <v>1</v>
      </c>
      <c r="J1170">
        <f t="shared" si="302"/>
        <v>0.24571188064322291</v>
      </c>
      <c r="K1170">
        <f t="shared" si="307"/>
        <v>2.6058167091369611</v>
      </c>
      <c r="O1170">
        <f t="shared" si="308"/>
        <v>-0.20916137107208888</v>
      </c>
      <c r="P1170">
        <f t="shared" si="309"/>
        <v>0.12417957978791525</v>
      </c>
      <c r="Q1170">
        <f t="shared" si="310"/>
        <v>0.969964408014511</v>
      </c>
      <c r="R1170">
        <f t="shared" si="300"/>
        <v>1</v>
      </c>
      <c r="AG1170" s="8">
        <f t="shared" si="303"/>
        <v>-0.44704614240271878</v>
      </c>
      <c r="AH1170" s="8">
        <f t="shared" si="304"/>
        <v>0.61875270571449803</v>
      </c>
      <c r="AI1170" s="8">
        <f t="shared" si="305"/>
        <v>0.64598361878134025</v>
      </c>
      <c r="AJ1170" s="8"/>
      <c r="AK1170" s="8"/>
      <c r="AL1170" s="8"/>
      <c r="AN1170" s="8">
        <f t="shared" si="311"/>
        <v>1</v>
      </c>
      <c r="AO1170" s="8">
        <f t="shared" si="312"/>
        <v>2.1964610450231392</v>
      </c>
      <c r="AP1170" s="8">
        <f t="shared" si="313"/>
        <v>0.86848519171310112</v>
      </c>
      <c r="AQ1170" s="8"/>
      <c r="AR1170" s="8">
        <f t="shared" si="314"/>
        <v>125.84794774472017</v>
      </c>
      <c r="AS1170" s="8">
        <f t="shared" si="315"/>
        <v>40.239463945229126</v>
      </c>
    </row>
    <row r="1171" spans="1:45">
      <c r="A1171" s="19">
        <v>38.004633329999997</v>
      </c>
      <c r="B1171" s="19">
        <v>633.53524949999996</v>
      </c>
      <c r="C1171" s="19">
        <v>-346.4784014</v>
      </c>
      <c r="E1171" s="9">
        <f t="shared" si="301"/>
        <v>-326.46475050000004</v>
      </c>
      <c r="F1171" s="9">
        <f t="shared" si="306"/>
        <v>193.5215986</v>
      </c>
      <c r="I1171">
        <v>1</v>
      </c>
      <c r="J1171">
        <f t="shared" si="302"/>
        <v>0.24598962586897408</v>
      </c>
      <c r="K1171">
        <f t="shared" si="307"/>
        <v>2.6064992900824153</v>
      </c>
      <c r="O1171">
        <f t="shared" si="308"/>
        <v>-0.20947782299131701</v>
      </c>
      <c r="P1171">
        <f t="shared" si="309"/>
        <v>0.12417415085224491</v>
      </c>
      <c r="Q1171">
        <f t="shared" si="310"/>
        <v>0.96989680994162586</v>
      </c>
      <c r="R1171">
        <f t="shared" si="300"/>
        <v>1</v>
      </c>
      <c r="AG1171" s="8">
        <f t="shared" si="303"/>
        <v>-0.44685666688245007</v>
      </c>
      <c r="AH1171" s="8">
        <f t="shared" si="304"/>
        <v>0.61899488907413969</v>
      </c>
      <c r="AI1171" s="8">
        <f t="shared" si="305"/>
        <v>0.64588268792622128</v>
      </c>
      <c r="AJ1171" s="8"/>
      <c r="AK1171" s="8"/>
      <c r="AL1171" s="8"/>
      <c r="AN1171" s="8">
        <f t="shared" si="311"/>
        <v>1</v>
      </c>
      <c r="AO1171" s="8">
        <f t="shared" si="312"/>
        <v>2.1960740904858529</v>
      </c>
      <c r="AP1171" s="8">
        <f t="shared" si="313"/>
        <v>0.86861740503757967</v>
      </c>
      <c r="AQ1171" s="8"/>
      <c r="AR1171" s="8">
        <f t="shared" si="314"/>
        <v>125.82577688287023</v>
      </c>
      <c r="AS1171" s="8">
        <f t="shared" si="315"/>
        <v>40.231888679741111</v>
      </c>
    </row>
    <row r="1172" spans="1:45">
      <c r="A1172" s="19">
        <v>38.037999999999997</v>
      </c>
      <c r="B1172" s="19">
        <v>632.89040269999998</v>
      </c>
      <c r="C1172" s="19">
        <v>-346.46861239999998</v>
      </c>
      <c r="E1172" s="9">
        <f t="shared" si="301"/>
        <v>-327.10959730000002</v>
      </c>
      <c r="F1172" s="9">
        <f t="shared" si="306"/>
        <v>193.53138760000002</v>
      </c>
      <c r="I1172">
        <v>1</v>
      </c>
      <c r="J1172">
        <f t="shared" si="302"/>
        <v>0.24634149034058775</v>
      </c>
      <c r="K1172">
        <f t="shared" si="307"/>
        <v>2.6073422884812731</v>
      </c>
      <c r="O1172">
        <f t="shared" si="308"/>
        <v>-0.20987613031901164</v>
      </c>
      <c r="P1172">
        <f t="shared" si="309"/>
        <v>0.12417128405897974</v>
      </c>
      <c r="Q1172">
        <f t="shared" si="310"/>
        <v>0.9698110651758215</v>
      </c>
      <c r="R1172">
        <f t="shared" si="300"/>
        <v>1</v>
      </c>
      <c r="AG1172" s="8">
        <f t="shared" si="303"/>
        <v>-0.4466153544638054</v>
      </c>
      <c r="AH1172" s="8">
        <f t="shared" si="304"/>
        <v>0.61929871912934664</v>
      </c>
      <c r="AI1172" s="8">
        <f t="shared" si="305"/>
        <v>0.64575833067945798</v>
      </c>
      <c r="AJ1172" s="8"/>
      <c r="AK1172" s="8"/>
      <c r="AL1172" s="8"/>
      <c r="AN1172" s="8">
        <f t="shared" si="311"/>
        <v>1</v>
      </c>
      <c r="AO1172" s="8">
        <f t="shared" si="312"/>
        <v>2.1955849295788696</v>
      </c>
      <c r="AP1172" s="8">
        <f t="shared" si="313"/>
        <v>0.86878028518746164</v>
      </c>
      <c r="AQ1172" s="8"/>
      <c r="AR1172" s="8">
        <f t="shared" si="314"/>
        <v>125.7977500273973</v>
      </c>
      <c r="AS1172" s="8">
        <f t="shared" si="315"/>
        <v>40.222556334586415</v>
      </c>
    </row>
    <row r="1173" spans="1:45">
      <c r="A1173" s="19">
        <v>38.071366670000003</v>
      </c>
      <c r="B1173" s="19">
        <v>632.12755649999997</v>
      </c>
      <c r="C1173" s="19">
        <v>-346.38339120000001</v>
      </c>
      <c r="E1173" s="9">
        <f t="shared" si="301"/>
        <v>-327.87244350000003</v>
      </c>
      <c r="F1173" s="9">
        <f t="shared" si="306"/>
        <v>193.61660879999999</v>
      </c>
      <c r="I1173">
        <v>1</v>
      </c>
      <c r="J1173">
        <f t="shared" si="302"/>
        <v>0.24678141150105498</v>
      </c>
      <c r="K1173">
        <f t="shared" si="307"/>
        <v>2.6081697972021258</v>
      </c>
      <c r="O1173">
        <f t="shared" si="308"/>
        <v>-0.2103461589005014</v>
      </c>
      <c r="P1173">
        <f t="shared" si="309"/>
        <v>0.1242144948982912</v>
      </c>
      <c r="Q1173">
        <f t="shared" si="310"/>
        <v>0.96970369324498673</v>
      </c>
      <c r="R1173">
        <f t="shared" si="300"/>
        <v>1</v>
      </c>
      <c r="AG1173" s="8">
        <f t="shared" si="303"/>
        <v>-0.44629840563547785</v>
      </c>
      <c r="AH1173" s="8">
        <f t="shared" si="304"/>
        <v>0.61964628471302186</v>
      </c>
      <c r="AI1173" s="8">
        <f t="shared" si="305"/>
        <v>0.64564403115693636</v>
      </c>
      <c r="AJ1173" s="8"/>
      <c r="AK1173" s="8"/>
      <c r="AL1173" s="8"/>
      <c r="AN1173" s="8">
        <f t="shared" si="311"/>
        <v>0.99999999999999978</v>
      </c>
      <c r="AO1173" s="8">
        <f t="shared" si="312"/>
        <v>2.1949820617158178</v>
      </c>
      <c r="AP1173" s="8">
        <f t="shared" si="313"/>
        <v>0.86892997218409629</v>
      </c>
      <c r="AQ1173" s="8"/>
      <c r="AR1173" s="8">
        <f t="shared" si="314"/>
        <v>125.76320824324036</v>
      </c>
      <c r="AS1173" s="8">
        <f t="shared" si="315"/>
        <v>40.213979901431266</v>
      </c>
    </row>
    <row r="1174" spans="1:45">
      <c r="A1174" s="19">
        <v>38.104733330000002</v>
      </c>
      <c r="B1174" s="19">
        <v>631.69603989999996</v>
      </c>
      <c r="C1174" s="19">
        <v>-346.3133813</v>
      </c>
      <c r="E1174" s="9">
        <f t="shared" si="301"/>
        <v>-328.30396010000004</v>
      </c>
      <c r="F1174" s="9">
        <f t="shared" si="306"/>
        <v>193.6866187</v>
      </c>
      <c r="I1174">
        <v>1</v>
      </c>
      <c r="J1174">
        <f t="shared" si="302"/>
        <v>0.24703725295903531</v>
      </c>
      <c r="K1174">
        <f t="shared" si="307"/>
        <v>2.6085872789761795</v>
      </c>
      <c r="O1174">
        <f t="shared" si="308"/>
        <v>-0.21061166723074631</v>
      </c>
      <c r="P1174">
        <f t="shared" si="309"/>
        <v>0.12425272504257208</v>
      </c>
      <c r="Q1174">
        <f t="shared" si="310"/>
        <v>0.96964116349595042</v>
      </c>
      <c r="R1174">
        <f t="shared" si="300"/>
        <v>1</v>
      </c>
      <c r="AG1174" s="8">
        <f t="shared" si="303"/>
        <v>-0.44610979437948017</v>
      </c>
      <c r="AH1174" s="8">
        <f t="shared" si="304"/>
        <v>0.61983934126640627</v>
      </c>
      <c r="AI1174" s="8">
        <f t="shared" si="305"/>
        <v>0.64558906618461687</v>
      </c>
      <c r="AJ1174" s="8"/>
      <c r="AK1174" s="8"/>
      <c r="AL1174" s="8"/>
      <c r="AN1174" s="8">
        <f t="shared" si="311"/>
        <v>1.0000000000000002</v>
      </c>
      <c r="AO1174" s="8">
        <f t="shared" si="312"/>
        <v>2.1946339130238686</v>
      </c>
      <c r="AP1174" s="8">
        <f t="shared" si="313"/>
        <v>0.86900194773110262</v>
      </c>
      <c r="AQ1174" s="8"/>
      <c r="AR1174" s="8">
        <f t="shared" si="314"/>
        <v>125.74326079254867</v>
      </c>
      <c r="AS1174" s="8">
        <f t="shared" si="315"/>
        <v>40.209856006359658</v>
      </c>
    </row>
    <row r="1175" spans="1:45">
      <c r="A1175" s="19">
        <v>38.138100000000001</v>
      </c>
      <c r="B1175" s="19">
        <v>631.05386569999996</v>
      </c>
      <c r="C1175" s="19">
        <v>-346.18260609999999</v>
      </c>
      <c r="E1175" s="9">
        <f t="shared" si="301"/>
        <v>-328.94613430000004</v>
      </c>
      <c r="F1175" s="9">
        <f t="shared" si="306"/>
        <v>193.81739390000001</v>
      </c>
      <c r="I1175">
        <v>1</v>
      </c>
      <c r="J1175">
        <f t="shared" si="302"/>
        <v>0.24742648974212794</v>
      </c>
      <c r="K1175">
        <f t="shared" si="307"/>
        <v>2.6091469175387227</v>
      </c>
      <c r="O1175">
        <f t="shared" si="308"/>
        <v>-0.21100632792920462</v>
      </c>
      <c r="P1175">
        <f t="shared" si="309"/>
        <v>0.12432642402889374</v>
      </c>
      <c r="Q1175">
        <f t="shared" si="310"/>
        <v>0.96954590910488647</v>
      </c>
      <c r="R1175">
        <f t="shared" si="300"/>
        <v>1</v>
      </c>
      <c r="AG1175" s="8">
        <f t="shared" si="303"/>
        <v>-0.44581773844585404</v>
      </c>
      <c r="AH1175" s="8">
        <f t="shared" si="304"/>
        <v>0.62012230146962644</v>
      </c>
      <c r="AI1175" s="8">
        <f t="shared" si="305"/>
        <v>0.64551907431697009</v>
      </c>
      <c r="AJ1175" s="8"/>
      <c r="AK1175" s="8"/>
      <c r="AL1175" s="8"/>
      <c r="AN1175" s="8">
        <f t="shared" si="311"/>
        <v>1</v>
      </c>
      <c r="AO1175" s="8">
        <f t="shared" si="312"/>
        <v>2.1941071168751201</v>
      </c>
      <c r="AP1175" s="8">
        <f t="shared" si="313"/>
        <v>0.86909359436270539</v>
      </c>
      <c r="AQ1175" s="8"/>
      <c r="AR1175" s="8">
        <f t="shared" si="314"/>
        <v>125.71307759656163</v>
      </c>
      <c r="AS1175" s="8">
        <f t="shared" si="315"/>
        <v>40.204605041162225</v>
      </c>
    </row>
    <row r="1176" spans="1:45">
      <c r="A1176" s="19">
        <v>38.171466670000001</v>
      </c>
      <c r="B1176" s="19">
        <v>630.30704060000005</v>
      </c>
      <c r="C1176" s="19">
        <v>-345.79255269999999</v>
      </c>
      <c r="E1176" s="9">
        <f t="shared" si="301"/>
        <v>-329.69295939999995</v>
      </c>
      <c r="F1176" s="9">
        <f t="shared" si="306"/>
        <v>194.20744730000001</v>
      </c>
      <c r="I1176">
        <v>1</v>
      </c>
      <c r="J1176">
        <f t="shared" si="302"/>
        <v>0.2479549785906241</v>
      </c>
      <c r="K1176">
        <f t="shared" si="307"/>
        <v>2.6092594571422394</v>
      </c>
      <c r="O1176">
        <f t="shared" si="308"/>
        <v>-0.21146178051324982</v>
      </c>
      <c r="P1176">
        <f t="shared" si="309"/>
        <v>0.12456272244857398</v>
      </c>
      <c r="Q1176">
        <f t="shared" si="310"/>
        <v>0.96941634170173019</v>
      </c>
      <c r="R1176">
        <f t="shared" si="300"/>
        <v>1</v>
      </c>
      <c r="AG1176" s="8">
        <f t="shared" si="303"/>
        <v>-0.44537650700035691</v>
      </c>
      <c r="AH1176" s="8">
        <f t="shared" si="304"/>
        <v>0.62041343705180696</v>
      </c>
      <c r="AI1176" s="8">
        <f t="shared" si="305"/>
        <v>0.64554390566229081</v>
      </c>
      <c r="AJ1176" s="8"/>
      <c r="AK1176" s="8"/>
      <c r="AL1176" s="8"/>
      <c r="AN1176" s="8">
        <f t="shared" si="311"/>
        <v>1</v>
      </c>
      <c r="AO1176" s="8">
        <f t="shared" si="312"/>
        <v>2.1934155028849558</v>
      </c>
      <c r="AP1176" s="8">
        <f t="shared" si="313"/>
        <v>0.8690610812671139</v>
      </c>
      <c r="AQ1176" s="8"/>
      <c r="AR1176" s="8">
        <f t="shared" si="314"/>
        <v>125.67345103387301</v>
      </c>
      <c r="AS1176" s="8">
        <f t="shared" si="315"/>
        <v>40.206467904318522</v>
      </c>
    </row>
    <row r="1177" spans="1:45">
      <c r="A1177" s="19">
        <v>38.20483333</v>
      </c>
      <c r="B1177" s="19">
        <v>629.80418029999998</v>
      </c>
      <c r="C1177" s="19">
        <v>-345.58084680000002</v>
      </c>
      <c r="E1177" s="9">
        <f t="shared" si="301"/>
        <v>-330.19581970000002</v>
      </c>
      <c r="F1177" s="9">
        <f t="shared" si="306"/>
        <v>194.41915319999998</v>
      </c>
      <c r="I1177">
        <v>1</v>
      </c>
      <c r="J1177">
        <f t="shared" si="302"/>
        <v>0.24829452846153161</v>
      </c>
      <c r="K1177">
        <f t="shared" si="307"/>
        <v>2.609449479663871</v>
      </c>
      <c r="O1177">
        <f t="shared" si="308"/>
        <v>-0.21176908299280336</v>
      </c>
      <c r="P1177">
        <f t="shared" si="309"/>
        <v>0.12468954278951266</v>
      </c>
      <c r="Q1177">
        <f t="shared" si="310"/>
        <v>0.96933295281205079</v>
      </c>
      <c r="R1177">
        <f t="shared" si="300"/>
        <v>1</v>
      </c>
      <c r="AG1177" s="8">
        <f t="shared" si="303"/>
        <v>-0.44510113712365007</v>
      </c>
      <c r="AH1177" s="8">
        <f t="shared" si="304"/>
        <v>0.6206174116660681</v>
      </c>
      <c r="AI1177" s="8">
        <f t="shared" si="305"/>
        <v>0.64553776502087301</v>
      </c>
      <c r="AJ1177" s="8"/>
      <c r="AK1177" s="8"/>
      <c r="AL1177" s="8"/>
      <c r="AN1177" s="8">
        <f t="shared" si="311"/>
        <v>1</v>
      </c>
      <c r="AO1177" s="8">
        <f t="shared" si="312"/>
        <v>2.1929668504123629</v>
      </c>
      <c r="AP1177" s="8">
        <f t="shared" si="313"/>
        <v>0.86906912164204175</v>
      </c>
      <c r="AQ1177" s="8"/>
      <c r="AR1177" s="8">
        <f t="shared" si="314"/>
        <v>125.64774514072533</v>
      </c>
      <c r="AS1177" s="8">
        <f t="shared" si="315"/>
        <v>40.206007224769458</v>
      </c>
    </row>
    <row r="1178" spans="1:45">
      <c r="A1178" s="19">
        <v>38.238199999999999</v>
      </c>
      <c r="B1178" s="19">
        <v>629.11573580000004</v>
      </c>
      <c r="C1178" s="19">
        <v>-345.46870430000001</v>
      </c>
      <c r="E1178" s="9">
        <f t="shared" si="301"/>
        <v>-330.88426419999996</v>
      </c>
      <c r="F1178" s="9">
        <f t="shared" si="306"/>
        <v>194.53129569999999</v>
      </c>
      <c r="I1178">
        <v>1</v>
      </c>
      <c r="J1178">
        <f t="shared" si="302"/>
        <v>0.24870276403454433</v>
      </c>
      <c r="K1178">
        <f t="shared" si="307"/>
        <v>2.6101077583843391</v>
      </c>
      <c r="O1178">
        <f t="shared" si="308"/>
        <v>-0.21219222921728087</v>
      </c>
      <c r="P1178">
        <f t="shared" si="309"/>
        <v>0.12475065681019798</v>
      </c>
      <c r="Q1178">
        <f t="shared" si="310"/>
        <v>0.96923254768152778</v>
      </c>
      <c r="R1178">
        <f t="shared" si="300"/>
        <v>1</v>
      </c>
      <c r="AG1178" s="8">
        <f t="shared" si="303"/>
        <v>-0.44479995050686438</v>
      </c>
      <c r="AH1178" s="8">
        <f t="shared" si="304"/>
        <v>0.6209247024741904</v>
      </c>
      <c r="AI1178" s="8">
        <f t="shared" si="305"/>
        <v>0.64544985698846424</v>
      </c>
      <c r="AJ1178" s="8"/>
      <c r="AK1178" s="8"/>
      <c r="AL1178" s="8"/>
      <c r="AN1178" s="8">
        <f t="shared" si="311"/>
        <v>0.99999999999999989</v>
      </c>
      <c r="AO1178" s="8">
        <f t="shared" si="312"/>
        <v>2.1924119451770157</v>
      </c>
      <c r="AP1178" s="8">
        <f t="shared" si="313"/>
        <v>0.86918421983970651</v>
      </c>
      <c r="AQ1178" s="8"/>
      <c r="AR1178" s="8">
        <f t="shared" si="314"/>
        <v>125.61595141271022</v>
      </c>
      <c r="AS1178" s="8">
        <f t="shared" si="315"/>
        <v>40.199412583813704</v>
      </c>
    </row>
    <row r="1179" spans="1:45">
      <c r="A1179" s="19">
        <v>38.271566669999999</v>
      </c>
      <c r="B1179" s="19">
        <v>628.79801689999999</v>
      </c>
      <c r="C1179" s="19">
        <v>-345.39925790000001</v>
      </c>
      <c r="E1179" s="9">
        <f t="shared" si="301"/>
        <v>-331.20198310000001</v>
      </c>
      <c r="F1179" s="9">
        <f t="shared" si="306"/>
        <v>194.60074209999999</v>
      </c>
      <c r="I1179">
        <v>1</v>
      </c>
      <c r="J1179">
        <f t="shared" si="302"/>
        <v>0.24889680057635766</v>
      </c>
      <c r="K1179">
        <f t="shared" si="307"/>
        <v>2.6103710933672541</v>
      </c>
      <c r="O1179">
        <f t="shared" si="308"/>
        <v>-0.21238721794933829</v>
      </c>
      <c r="P1179">
        <f t="shared" si="309"/>
        <v>0.12479004454818335</v>
      </c>
      <c r="Q1179">
        <f t="shared" si="310"/>
        <v>0.9691847679536667</v>
      </c>
      <c r="R1179">
        <f t="shared" ref="R1179:R1242" si="316">SQRT(O1179^2+P1179^2+Q1179^2)</f>
        <v>1</v>
      </c>
      <c r="AG1179" s="8">
        <f t="shared" si="303"/>
        <v>-0.44465339352022132</v>
      </c>
      <c r="AH1179" s="8">
        <f t="shared" si="304"/>
        <v>0.6210636500911072</v>
      </c>
      <c r="AI1179" s="8">
        <f t="shared" si="305"/>
        <v>0.64541715360413376</v>
      </c>
      <c r="AJ1179" s="8"/>
      <c r="AK1179" s="8"/>
      <c r="AL1179" s="8"/>
      <c r="AN1179" s="8">
        <f t="shared" si="311"/>
        <v>1</v>
      </c>
      <c r="AO1179" s="8">
        <f t="shared" si="312"/>
        <v>2.1921500311127917</v>
      </c>
      <c r="AP1179" s="8">
        <f t="shared" si="313"/>
        <v>0.86922703560225156</v>
      </c>
      <c r="AQ1179" s="8"/>
      <c r="AR1179" s="8">
        <f t="shared" si="314"/>
        <v>125.60094484223507</v>
      </c>
      <c r="AS1179" s="8">
        <f t="shared" si="315"/>
        <v>40.196959421323236</v>
      </c>
    </row>
    <row r="1180" spans="1:45">
      <c r="A1180" s="19">
        <v>38.304933329999997</v>
      </c>
      <c r="B1180" s="19">
        <v>628.16063069999996</v>
      </c>
      <c r="C1180" s="19">
        <v>-345.3686376</v>
      </c>
      <c r="E1180" s="9">
        <f t="shared" si="301"/>
        <v>-331.83936930000004</v>
      </c>
      <c r="F1180" s="9">
        <f t="shared" si="306"/>
        <v>194.6313624</v>
      </c>
      <c r="I1180">
        <v>1</v>
      </c>
      <c r="J1180">
        <f t="shared" si="302"/>
        <v>0.24925153973106384</v>
      </c>
      <c r="K1180">
        <f t="shared" si="307"/>
        <v>2.6111417884962353</v>
      </c>
      <c r="O1180">
        <f t="shared" si="308"/>
        <v>-0.21277987796246711</v>
      </c>
      <c r="P1180">
        <f t="shared" si="309"/>
        <v>0.12480025388940709</v>
      </c>
      <c r="Q1180">
        <f t="shared" si="310"/>
        <v>0.96909732233837953</v>
      </c>
      <c r="R1180">
        <f t="shared" si="316"/>
        <v>1</v>
      </c>
      <c r="AG1180" s="8">
        <f t="shared" si="303"/>
        <v>-0.44440573923587967</v>
      </c>
      <c r="AH1180" s="8">
        <f t="shared" si="304"/>
        <v>0.6213595405942105</v>
      </c>
      <c r="AI1180" s="8">
        <f t="shared" si="305"/>
        <v>0.64530292130654654</v>
      </c>
      <c r="AJ1180" s="8"/>
      <c r="AK1180" s="8"/>
      <c r="AL1180" s="8"/>
      <c r="AN1180" s="8">
        <f t="shared" si="311"/>
        <v>1</v>
      </c>
      <c r="AO1180" s="8">
        <f t="shared" si="312"/>
        <v>2.1916609604902764</v>
      </c>
      <c r="AP1180" s="8">
        <f t="shared" si="313"/>
        <v>0.86937657809116542</v>
      </c>
      <c r="AQ1180" s="8"/>
      <c r="AR1180" s="8">
        <f t="shared" si="314"/>
        <v>125.5729231596811</v>
      </c>
      <c r="AS1180" s="8">
        <f t="shared" si="315"/>
        <v>40.188391267850591</v>
      </c>
    </row>
    <row r="1181" spans="1:45">
      <c r="A1181" s="19">
        <v>38.338299999999997</v>
      </c>
      <c r="B1181" s="19">
        <v>627.76180890000001</v>
      </c>
      <c r="C1181" s="19">
        <v>-345.3492847</v>
      </c>
      <c r="E1181" s="9">
        <f t="shared" si="301"/>
        <v>-332.23819109999999</v>
      </c>
      <c r="F1181" s="9">
        <f t="shared" si="306"/>
        <v>194.6507153</v>
      </c>
      <c r="I1181">
        <v>1</v>
      </c>
      <c r="J1181">
        <f t="shared" si="302"/>
        <v>0.24947360933935053</v>
      </c>
      <c r="K1181">
        <f t="shared" si="307"/>
        <v>2.6116224395566778</v>
      </c>
      <c r="O1181">
        <f t="shared" si="308"/>
        <v>-0.21302551892197499</v>
      </c>
      <c r="P1181">
        <f t="shared" si="309"/>
        <v>0.12480675234243446</v>
      </c>
      <c r="Q1181">
        <f t="shared" si="310"/>
        <v>0.96904251860161306</v>
      </c>
      <c r="R1181">
        <f t="shared" si="316"/>
        <v>1</v>
      </c>
      <c r="AG1181" s="8">
        <f t="shared" si="303"/>
        <v>-0.44425067996455492</v>
      </c>
      <c r="AH1181" s="8">
        <f t="shared" si="304"/>
        <v>0.62154457796213813</v>
      </c>
      <c r="AI1181" s="8">
        <f t="shared" si="305"/>
        <v>0.64523148633408955</v>
      </c>
      <c r="AJ1181" s="8"/>
      <c r="AK1181" s="8"/>
      <c r="AL1181" s="8"/>
      <c r="AN1181" s="8">
        <f t="shared" si="311"/>
        <v>1</v>
      </c>
      <c r="AO1181" s="8">
        <f t="shared" si="312"/>
        <v>2.1913549804044385</v>
      </c>
      <c r="AP1181" s="8">
        <f t="shared" si="313"/>
        <v>0.86947008463190489</v>
      </c>
      <c r="AQ1181" s="8"/>
      <c r="AR1181" s="8">
        <f t="shared" si="314"/>
        <v>125.55539179214755</v>
      </c>
      <c r="AS1181" s="8">
        <f t="shared" si="315"/>
        <v>40.183033737709351</v>
      </c>
    </row>
    <row r="1182" spans="1:45">
      <c r="A1182" s="19">
        <v>38.371666670000003</v>
      </c>
      <c r="B1182" s="19">
        <v>626.98035789999994</v>
      </c>
      <c r="C1182" s="19">
        <v>-345.3304005</v>
      </c>
      <c r="E1182" s="9">
        <f t="shared" si="301"/>
        <v>-333.01964210000006</v>
      </c>
      <c r="F1182" s="9">
        <f t="shared" si="306"/>
        <v>194.6695995</v>
      </c>
      <c r="I1182">
        <v>1</v>
      </c>
      <c r="J1182">
        <f t="shared" si="302"/>
        <v>0.2499027991046445</v>
      </c>
      <c r="K1182">
        <f t="shared" si="307"/>
        <v>2.6126042718924758</v>
      </c>
      <c r="O1182">
        <f t="shared" si="308"/>
        <v>-0.21350699256157907</v>
      </c>
      <c r="P1182">
        <f t="shared" si="309"/>
        <v>0.12480741517322082</v>
      </c>
      <c r="Q1182">
        <f t="shared" si="310"/>
        <v>0.9689364650198119</v>
      </c>
      <c r="R1182">
        <f t="shared" si="316"/>
        <v>1</v>
      </c>
      <c r="AG1182" s="8">
        <f t="shared" si="303"/>
        <v>-0.44395494100377514</v>
      </c>
      <c r="AH1182" s="8">
        <f t="shared" si="304"/>
        <v>0.62190999536357994</v>
      </c>
      <c r="AI1182" s="8">
        <f t="shared" si="305"/>
        <v>0.64508291562031506</v>
      </c>
      <c r="AJ1182" s="8"/>
      <c r="AK1182" s="8"/>
      <c r="AL1182" s="8"/>
      <c r="AN1182" s="8">
        <f t="shared" si="311"/>
        <v>1</v>
      </c>
      <c r="AO1182" s="8">
        <f t="shared" si="312"/>
        <v>2.1907620232318736</v>
      </c>
      <c r="AP1182" s="8">
        <f t="shared" si="313"/>
        <v>0.86966453622807727</v>
      </c>
      <c r="AQ1182" s="8"/>
      <c r="AR1182" s="8">
        <f t="shared" si="314"/>
        <v>125.52141784872757</v>
      </c>
      <c r="AS1182" s="8">
        <f t="shared" si="315"/>
        <v>40.171892481929092</v>
      </c>
    </row>
    <row r="1183" spans="1:45">
      <c r="A1183" s="19">
        <v>38.405033330000002</v>
      </c>
      <c r="B1183" s="19">
        <v>626.22611940000002</v>
      </c>
      <c r="C1183" s="19">
        <v>-345.24390679999999</v>
      </c>
      <c r="E1183" s="9">
        <f t="shared" si="301"/>
        <v>-333.77388059999998</v>
      </c>
      <c r="F1183" s="9">
        <f t="shared" si="306"/>
        <v>194.75609320000001</v>
      </c>
      <c r="I1183">
        <v>1</v>
      </c>
      <c r="J1183">
        <f t="shared" si="302"/>
        <v>0.25033876098242658</v>
      </c>
      <c r="K1183">
        <f t="shared" si="307"/>
        <v>2.6133960212168241</v>
      </c>
      <c r="O1183">
        <f t="shared" si="308"/>
        <v>-0.21397057242903597</v>
      </c>
      <c r="P1183">
        <f t="shared" si="309"/>
        <v>0.12485120966067195</v>
      </c>
      <c r="Q1183">
        <f t="shared" si="310"/>
        <v>0.96882855530824319</v>
      </c>
      <c r="R1183">
        <f t="shared" si="316"/>
        <v>1</v>
      </c>
      <c r="AG1183" s="8">
        <f t="shared" si="303"/>
        <v>-0.44364034046518264</v>
      </c>
      <c r="AH1183" s="8">
        <f t="shared" si="304"/>
        <v>0.62225163658814886</v>
      </c>
      <c r="AI1183" s="8">
        <f t="shared" si="305"/>
        <v>0.64496988230095464</v>
      </c>
      <c r="AJ1183" s="8"/>
      <c r="AK1183" s="8"/>
      <c r="AL1183" s="8"/>
      <c r="AN1183" s="8">
        <f t="shared" si="311"/>
        <v>1</v>
      </c>
      <c r="AO1183" s="8">
        <f t="shared" si="312"/>
        <v>2.1901672258341778</v>
      </c>
      <c r="AP1183" s="8">
        <f t="shared" si="313"/>
        <v>0.86981245456610989</v>
      </c>
      <c r="AQ1183" s="8"/>
      <c r="AR1183" s="8">
        <f t="shared" si="314"/>
        <v>125.48733846817423</v>
      </c>
      <c r="AS1183" s="8">
        <f t="shared" si="315"/>
        <v>40.163417385447232</v>
      </c>
    </row>
    <row r="1184" spans="1:45">
      <c r="A1184" s="19">
        <v>38.438400000000001</v>
      </c>
      <c r="B1184" s="19">
        <v>625.66718130000004</v>
      </c>
      <c r="C1184" s="19">
        <v>-345.0910351</v>
      </c>
      <c r="E1184" s="9">
        <f t="shared" ref="E1184:E1247" si="317">(B1184-($B$15/2))</f>
        <v>-334.33281869999996</v>
      </c>
      <c r="F1184" s="9">
        <f t="shared" si="306"/>
        <v>194.9089649</v>
      </c>
      <c r="I1184">
        <v>1</v>
      </c>
      <c r="J1184">
        <f t="shared" ref="J1184:J1247" si="318">ATAN((SQRT(E1184^2+F1184^2)^$B$16)/($F$24))</f>
        <v>0.25068991358938658</v>
      </c>
      <c r="K1184">
        <f t="shared" si="307"/>
        <v>2.6137827248332157</v>
      </c>
      <c r="O1184">
        <f t="shared" si="308"/>
        <v>-0.21431273232214573</v>
      </c>
      <c r="P1184">
        <f t="shared" si="309"/>
        <v>0.12493979198399352</v>
      </c>
      <c r="Q1184">
        <f t="shared" si="310"/>
        <v>0.96874150377880097</v>
      </c>
      <c r="R1184">
        <f t="shared" si="316"/>
        <v>1</v>
      </c>
      <c r="AG1184" s="8">
        <f t="shared" ref="AG1184:AG1247" si="319">$O1184*$Z$27+$P1184*$Z$31+$Q1184*$Z$35</f>
        <v>-0.4433693213190194</v>
      </c>
      <c r="AH1184" s="8">
        <f t="shared" ref="AH1184:AH1247" si="320">$O1184*$AA$27+$P1184*$AA$31+$Q1184*$AA$35</f>
        <v>0.62249057703278421</v>
      </c>
      <c r="AI1184" s="8">
        <f t="shared" ref="AI1184:AI1247" si="321">$AB$27*$O1184+$P1184*$AB$31+$AB$35*$Q1184</f>
        <v>0.64492567511187171</v>
      </c>
      <c r="AJ1184" s="8"/>
      <c r="AK1184" s="8"/>
      <c r="AL1184" s="8"/>
      <c r="AN1184" s="8">
        <f t="shared" si="311"/>
        <v>1</v>
      </c>
      <c r="AO1184" s="8">
        <f t="shared" si="312"/>
        <v>2.1896969761474154</v>
      </c>
      <c r="AP1184" s="8">
        <f t="shared" si="313"/>
        <v>0.86987030021893308</v>
      </c>
      <c r="AQ1184" s="8"/>
      <c r="AR1184" s="8">
        <f t="shared" si="314"/>
        <v>125.46039514580539</v>
      </c>
      <c r="AS1184" s="8">
        <f t="shared" si="315"/>
        <v>40.160103073677284</v>
      </c>
    </row>
    <row r="1185" spans="1:45">
      <c r="A1185" s="19">
        <v>38.471766670000001</v>
      </c>
      <c r="B1185" s="19">
        <v>624.90767080000001</v>
      </c>
      <c r="C1185" s="19">
        <v>-344.9346903</v>
      </c>
      <c r="E1185" s="9">
        <f t="shared" si="317"/>
        <v>-335.09232919999999</v>
      </c>
      <c r="F1185" s="9">
        <f t="shared" ref="F1185:F1248" si="322">(($C$15/2)+C1185)</f>
        <v>195.0653097</v>
      </c>
      <c r="I1185">
        <v>1</v>
      </c>
      <c r="J1185">
        <f t="shared" si="318"/>
        <v>0.25115082917735926</v>
      </c>
      <c r="K1185">
        <f t="shared" ref="K1185:K1248" si="323">ATAN2(E1185,F1185)</f>
        <v>2.6144209301045316</v>
      </c>
      <c r="O1185">
        <f t="shared" ref="O1185:O1248" si="324">COS(K1185)*SIN(J1185)</f>
        <v>-0.21477829029963766</v>
      </c>
      <c r="P1185">
        <f t="shared" ref="P1185:P1248" si="325">SIN(K1185)*SIN(J1185)</f>
        <v>0.12502761198430723</v>
      </c>
      <c r="Q1185">
        <f t="shared" ref="Q1185:Q1248" si="326">COS(J1185)</f>
        <v>0.96862706046107661</v>
      </c>
      <c r="R1185">
        <f t="shared" si="316"/>
        <v>1</v>
      </c>
      <c r="AG1185" s="8">
        <f t="shared" si="319"/>
        <v>-0.44302293600857118</v>
      </c>
      <c r="AH1185" s="8">
        <f t="shared" si="320"/>
        <v>0.62282323212067836</v>
      </c>
      <c r="AI1185" s="8">
        <f t="shared" si="321"/>
        <v>0.64484253868762198</v>
      </c>
      <c r="AJ1185" s="8"/>
      <c r="AK1185" s="8"/>
      <c r="AL1185" s="8"/>
      <c r="AN1185" s="8">
        <f t="shared" ref="AN1185:AN1248" si="327">AG1185^2+AH1185^2+AI1185^2</f>
        <v>1.0000000000000002</v>
      </c>
      <c r="AO1185" s="8">
        <f t="shared" ref="AO1185:AO1248" si="328">IF(ATAN2(AG1185,AH1185)&gt;=0,ATAN2(AG1185,AH1185),ATAN2(AG1185,AH1185)+2*PI())</f>
        <v>2.1890753437978678</v>
      </c>
      <c r="AP1185" s="8">
        <f t="shared" ref="AP1185:AP1248" si="329">ACOS(AI1185/AN1185)</f>
        <v>0.86997907760915161</v>
      </c>
      <c r="AQ1185" s="8"/>
      <c r="AR1185" s="8">
        <f t="shared" ref="AR1185:AR1248" si="330">DEGREES(AO1185)</f>
        <v>125.42477823576752</v>
      </c>
      <c r="AS1185" s="8">
        <f t="shared" ref="AS1185:AS1248" si="331">90-DEGREES(AP1185)</f>
        <v>40.153870588311314</v>
      </c>
    </row>
    <row r="1186" spans="1:45">
      <c r="A1186" s="19">
        <v>38.50513333</v>
      </c>
      <c r="B1186" s="19">
        <v>624.12185929999998</v>
      </c>
      <c r="C1186" s="19">
        <v>-344.70843100000002</v>
      </c>
      <c r="E1186" s="9">
        <f t="shared" si="317"/>
        <v>-335.87814070000002</v>
      </c>
      <c r="F1186" s="9">
        <f t="shared" si="322"/>
        <v>195.29156899999998</v>
      </c>
      <c r="I1186">
        <v>1</v>
      </c>
      <c r="J1186">
        <f t="shared" si="318"/>
        <v>0.25164802647953677</v>
      </c>
      <c r="K1186">
        <f t="shared" si="323"/>
        <v>2.614935164923915</v>
      </c>
      <c r="O1186">
        <f t="shared" si="324"/>
        <v>-0.21525886715392015</v>
      </c>
      <c r="P1186">
        <f t="shared" si="325"/>
        <v>0.12515920750317416</v>
      </c>
      <c r="Q1186">
        <f t="shared" si="326"/>
        <v>0.96850337784067042</v>
      </c>
      <c r="R1186">
        <f t="shared" si="316"/>
        <v>1</v>
      </c>
      <c r="AG1186" s="8">
        <f t="shared" si="319"/>
        <v>-0.44263702488988621</v>
      </c>
      <c r="AH1186" s="8">
        <f t="shared" si="320"/>
        <v>0.62315692370774234</v>
      </c>
      <c r="AI1186" s="8">
        <f t="shared" si="321"/>
        <v>0.64478516781307349</v>
      </c>
      <c r="AJ1186" s="8"/>
      <c r="AK1186" s="8"/>
      <c r="AL1186" s="8"/>
      <c r="AN1186" s="8">
        <f t="shared" si="327"/>
        <v>1</v>
      </c>
      <c r="AO1186" s="8">
        <f t="shared" si="328"/>
        <v>2.1884108839605352</v>
      </c>
      <c r="AP1186" s="8">
        <f t="shared" si="329"/>
        <v>0.87005413700830825</v>
      </c>
      <c r="AQ1186" s="8"/>
      <c r="AR1186" s="8">
        <f t="shared" si="330"/>
        <v>125.3867074914324</v>
      </c>
      <c r="AS1186" s="8">
        <f t="shared" si="331"/>
        <v>40.149570001526854</v>
      </c>
    </row>
    <row r="1187" spans="1:45">
      <c r="A1187" s="19">
        <v>38.538499999999999</v>
      </c>
      <c r="B1187" s="19">
        <v>623.77122359999998</v>
      </c>
      <c r="C1187" s="19">
        <v>-344.67285650000002</v>
      </c>
      <c r="E1187" s="9">
        <f t="shared" si="317"/>
        <v>-336.22877640000002</v>
      </c>
      <c r="F1187" s="9">
        <f t="shared" si="322"/>
        <v>195.32714349999998</v>
      </c>
      <c r="I1187">
        <v>1</v>
      </c>
      <c r="J1187">
        <f t="shared" si="318"/>
        <v>0.25184927248490979</v>
      </c>
      <c r="K1187">
        <f t="shared" si="323"/>
        <v>2.615309326819915</v>
      </c>
      <c r="O1187">
        <f t="shared" si="324"/>
        <v>-0.21547421009385614</v>
      </c>
      <c r="P1187">
        <f t="shared" si="325"/>
        <v>0.12517656104925765</v>
      </c>
      <c r="Q1187">
        <f t="shared" si="326"/>
        <v>0.96845324788980403</v>
      </c>
      <c r="R1187">
        <f t="shared" si="316"/>
        <v>1</v>
      </c>
      <c r="AG1187" s="8">
        <f t="shared" si="319"/>
        <v>-0.4424926948813287</v>
      </c>
      <c r="AH1187" s="8">
        <f t="shared" si="320"/>
        <v>0.62331613787790663</v>
      </c>
      <c r="AI1187" s="8">
        <f t="shared" si="321"/>
        <v>0.64473033683675052</v>
      </c>
      <c r="AJ1187" s="8"/>
      <c r="AK1187" s="8"/>
      <c r="AL1187" s="8"/>
      <c r="AN1187" s="8">
        <f t="shared" si="327"/>
        <v>1</v>
      </c>
      <c r="AO1187" s="8">
        <f t="shared" si="328"/>
        <v>2.1881363370131899</v>
      </c>
      <c r="AP1187" s="8">
        <f t="shared" si="329"/>
        <v>0.87012586896930322</v>
      </c>
      <c r="AQ1187" s="8"/>
      <c r="AR1187" s="8">
        <f t="shared" si="330"/>
        <v>125.37097711007132</v>
      </c>
      <c r="AS1187" s="8">
        <f t="shared" si="331"/>
        <v>40.145460062905642</v>
      </c>
    </row>
    <row r="1188" spans="1:45">
      <c r="A1188" s="19">
        <v>38.571866669999999</v>
      </c>
      <c r="B1188" s="19">
        <v>623.11275969999997</v>
      </c>
      <c r="C1188" s="19">
        <v>-344.7080057</v>
      </c>
      <c r="E1188" s="9">
        <f t="shared" si="317"/>
        <v>-336.88724030000003</v>
      </c>
      <c r="F1188" s="9">
        <f t="shared" si="322"/>
        <v>195.2919943</v>
      </c>
      <c r="I1188">
        <v>1</v>
      </c>
      <c r="J1188">
        <f t="shared" si="318"/>
        <v>0.25219518243629263</v>
      </c>
      <c r="K1188">
        <f t="shared" si="323"/>
        <v>2.616236791990993</v>
      </c>
      <c r="O1188">
        <f t="shared" si="324"/>
        <v>-0.21588002308747398</v>
      </c>
      <c r="P1188">
        <f t="shared" si="325"/>
        <v>0.12514466324322474</v>
      </c>
      <c r="Q1188">
        <f t="shared" si="326"/>
        <v>0.96836699081158872</v>
      </c>
      <c r="R1188">
        <f t="shared" si="316"/>
        <v>1</v>
      </c>
      <c r="AG1188" s="8">
        <f t="shared" si="319"/>
        <v>-0.44226509354543464</v>
      </c>
      <c r="AH1188" s="8">
        <f t="shared" si="320"/>
        <v>0.62363121748873673</v>
      </c>
      <c r="AI1188" s="8">
        <f t="shared" si="321"/>
        <v>0.64458179589929776</v>
      </c>
      <c r="AJ1188" s="8"/>
      <c r="AK1188" s="8"/>
      <c r="AL1188" s="8"/>
      <c r="AN1188" s="8">
        <f t="shared" si="327"/>
        <v>1</v>
      </c>
      <c r="AO1188" s="8">
        <f t="shared" si="328"/>
        <v>2.1876550243886648</v>
      </c>
      <c r="AP1188" s="8">
        <f t="shared" si="329"/>
        <v>0.87032017405332474</v>
      </c>
      <c r="AQ1188" s="8"/>
      <c r="AR1188" s="8">
        <f t="shared" si="330"/>
        <v>125.34339992805967</v>
      </c>
      <c r="AS1188" s="8">
        <f t="shared" si="331"/>
        <v>40.134327201653278</v>
      </c>
    </row>
    <row r="1189" spans="1:45">
      <c r="A1189" s="19">
        <v>38.605233329999997</v>
      </c>
      <c r="B1189" s="19">
        <v>622.63423179999995</v>
      </c>
      <c r="C1189" s="19">
        <v>-344.59449180000001</v>
      </c>
      <c r="E1189" s="9">
        <f t="shared" si="317"/>
        <v>-337.36576820000005</v>
      </c>
      <c r="F1189" s="9">
        <f t="shared" si="322"/>
        <v>195.40550819999999</v>
      </c>
      <c r="I1189">
        <v>1</v>
      </c>
      <c r="J1189">
        <f t="shared" si="318"/>
        <v>0.25249032724326315</v>
      </c>
      <c r="K1189">
        <f t="shared" si="323"/>
        <v>2.6166004658850923</v>
      </c>
      <c r="O1189">
        <f t="shared" si="324"/>
        <v>-0.21617282929619472</v>
      </c>
      <c r="P1189">
        <f t="shared" si="325"/>
        <v>0.12520938859040651</v>
      </c>
      <c r="Q1189">
        <f t="shared" si="326"/>
        <v>0.96829330106269706</v>
      </c>
      <c r="R1189">
        <f t="shared" si="316"/>
        <v>1</v>
      </c>
      <c r="AG1189" s="8">
        <f t="shared" si="319"/>
        <v>-0.44204039343919288</v>
      </c>
      <c r="AH1189" s="8">
        <f t="shared" si="320"/>
        <v>0.62383798669549706</v>
      </c>
      <c r="AI1189" s="8">
        <f t="shared" si="321"/>
        <v>0.644535846112404</v>
      </c>
      <c r="AJ1189" s="8"/>
      <c r="AK1189" s="8"/>
      <c r="AL1189" s="8"/>
      <c r="AN1189" s="8">
        <f t="shared" si="327"/>
        <v>1</v>
      </c>
      <c r="AO1189" s="8">
        <f t="shared" si="328"/>
        <v>2.1872588577371017</v>
      </c>
      <c r="AP1189" s="8">
        <f t="shared" si="329"/>
        <v>0.8703802741160962</v>
      </c>
      <c r="AQ1189" s="8"/>
      <c r="AR1189" s="8">
        <f t="shared" si="330"/>
        <v>125.32070125094127</v>
      </c>
      <c r="AS1189" s="8">
        <f t="shared" si="331"/>
        <v>40.130883721708003</v>
      </c>
    </row>
    <row r="1190" spans="1:45">
      <c r="A1190" s="19">
        <v>38.638599999999997</v>
      </c>
      <c r="B1190" s="19">
        <v>621.92716140000005</v>
      </c>
      <c r="C1190" s="19">
        <v>-344.50765910000001</v>
      </c>
      <c r="E1190" s="9">
        <f t="shared" si="317"/>
        <v>-338.07283859999995</v>
      </c>
      <c r="F1190" s="9">
        <f t="shared" si="322"/>
        <v>195.49234089999999</v>
      </c>
      <c r="I1190">
        <v>1</v>
      </c>
      <c r="J1190">
        <f t="shared" si="318"/>
        <v>0.25290103974184008</v>
      </c>
      <c r="K1190">
        <f t="shared" si="323"/>
        <v>2.6173155256292446</v>
      </c>
      <c r="O1190">
        <f t="shared" si="324"/>
        <v>-0.2166065627824996</v>
      </c>
      <c r="P1190">
        <f t="shared" si="325"/>
        <v>0.12525384821806182</v>
      </c>
      <c r="Q1190">
        <f t="shared" si="326"/>
        <v>0.96819061680338436</v>
      </c>
      <c r="R1190">
        <f t="shared" si="316"/>
        <v>1</v>
      </c>
      <c r="AG1190" s="8">
        <f t="shared" si="319"/>
        <v>-0.44174283426740857</v>
      </c>
      <c r="AH1190" s="8">
        <f t="shared" si="320"/>
        <v>0.62415621488955897</v>
      </c>
      <c r="AI1190" s="8">
        <f t="shared" si="321"/>
        <v>0.64443175572603151</v>
      </c>
      <c r="AJ1190" s="8"/>
      <c r="AK1190" s="8"/>
      <c r="AL1190" s="8"/>
      <c r="AN1190" s="8">
        <f t="shared" si="327"/>
        <v>1</v>
      </c>
      <c r="AO1190" s="8">
        <f t="shared" si="328"/>
        <v>2.1867007397507443</v>
      </c>
      <c r="AP1190" s="8">
        <f t="shared" si="329"/>
        <v>0.87051640796537944</v>
      </c>
      <c r="AQ1190" s="8"/>
      <c r="AR1190" s="8">
        <f t="shared" si="330"/>
        <v>125.28872344585265</v>
      </c>
      <c r="AS1190" s="8">
        <f t="shared" si="331"/>
        <v>40.123083826695201</v>
      </c>
    </row>
    <row r="1191" spans="1:45">
      <c r="A1191" s="19">
        <v>38.671966670000003</v>
      </c>
      <c r="B1191" s="19">
        <v>621.10576260000005</v>
      </c>
      <c r="C1191" s="19">
        <v>-344.22835520000001</v>
      </c>
      <c r="E1191" s="9">
        <f t="shared" si="317"/>
        <v>-338.89423739999995</v>
      </c>
      <c r="F1191" s="9">
        <f t="shared" si="322"/>
        <v>195.77164479999999</v>
      </c>
      <c r="I1191">
        <v>1</v>
      </c>
      <c r="J1191">
        <f t="shared" si="318"/>
        <v>0.25343410488312729</v>
      </c>
      <c r="K1191">
        <f t="shared" si="323"/>
        <v>2.6177483370564669</v>
      </c>
      <c r="O1191">
        <f t="shared" si="324"/>
        <v>-0.21710762282664572</v>
      </c>
      <c r="P1191">
        <f t="shared" si="325"/>
        <v>0.12541823297285282</v>
      </c>
      <c r="Q1191">
        <f t="shared" si="326"/>
        <v>0.96805709901251702</v>
      </c>
      <c r="R1191">
        <f t="shared" si="316"/>
        <v>1</v>
      </c>
      <c r="AG1191" s="8">
        <f t="shared" si="319"/>
        <v>-0.44132108921513435</v>
      </c>
      <c r="AH1191" s="8">
        <f t="shared" si="320"/>
        <v>0.62449727561829382</v>
      </c>
      <c r="AI1191" s="8">
        <f t="shared" si="321"/>
        <v>0.64439029241547097</v>
      </c>
      <c r="AJ1191" s="8"/>
      <c r="AK1191" s="8"/>
      <c r="AL1191" s="8"/>
      <c r="AN1191" s="8">
        <f t="shared" si="327"/>
        <v>1</v>
      </c>
      <c r="AO1191" s="8">
        <f t="shared" si="328"/>
        <v>2.1859929039520414</v>
      </c>
      <c r="AP1191" s="8">
        <f t="shared" si="329"/>
        <v>0.87057063110254174</v>
      </c>
      <c r="AQ1191" s="8"/>
      <c r="AR1191" s="8">
        <f t="shared" si="330"/>
        <v>125.2481674419987</v>
      </c>
      <c r="AS1191" s="8">
        <f t="shared" si="331"/>
        <v>40.119977069783843</v>
      </c>
    </row>
    <row r="1192" spans="1:45">
      <c r="A1192" s="19">
        <v>38.705333330000002</v>
      </c>
      <c r="B1192" s="19">
        <v>620.84863929999995</v>
      </c>
      <c r="C1192" s="19">
        <v>-344.10277159999998</v>
      </c>
      <c r="E1192" s="9">
        <f t="shared" si="317"/>
        <v>-339.15136070000005</v>
      </c>
      <c r="F1192" s="9">
        <f t="shared" si="322"/>
        <v>195.89722840000002</v>
      </c>
      <c r="I1192">
        <v>1</v>
      </c>
      <c r="J1192">
        <f t="shared" si="318"/>
        <v>0.25361290349250132</v>
      </c>
      <c r="K1192">
        <f t="shared" si="323"/>
        <v>2.6177990775912985</v>
      </c>
      <c r="O1192">
        <f t="shared" si="324"/>
        <v>-0.21726386396946437</v>
      </c>
      <c r="P1192">
        <f t="shared" si="325"/>
        <v>0.12549378747956974</v>
      </c>
      <c r="Q1192">
        <f t="shared" si="326"/>
        <v>0.96801225339201713</v>
      </c>
      <c r="R1192">
        <f t="shared" si="316"/>
        <v>1</v>
      </c>
      <c r="AG1192" s="8">
        <f t="shared" si="319"/>
        <v>-0.44117280719598817</v>
      </c>
      <c r="AH1192" s="8">
        <f t="shared" si="320"/>
        <v>0.62459791034208201</v>
      </c>
      <c r="AI1192" s="8">
        <f t="shared" si="321"/>
        <v>0.64439429279527005</v>
      </c>
      <c r="AJ1192" s="8"/>
      <c r="AK1192" s="8"/>
      <c r="AL1192" s="8"/>
      <c r="AN1192" s="8">
        <f t="shared" si="327"/>
        <v>1.0000000000000002</v>
      </c>
      <c r="AO1192" s="8">
        <f t="shared" si="328"/>
        <v>2.1857585953836454</v>
      </c>
      <c r="AP1192" s="8">
        <f t="shared" si="329"/>
        <v>0.87056539976278724</v>
      </c>
      <c r="AQ1192" s="8"/>
      <c r="AR1192" s="8">
        <f t="shared" si="330"/>
        <v>125.23474254992587</v>
      </c>
      <c r="AS1192" s="8">
        <f t="shared" si="331"/>
        <v>40.120276803472976</v>
      </c>
    </row>
    <row r="1193" spans="1:45">
      <c r="A1193" s="19">
        <v>38.738700000000001</v>
      </c>
      <c r="B1193" s="19">
        <v>620.10415760000001</v>
      </c>
      <c r="C1193" s="19">
        <v>-343.91741309999998</v>
      </c>
      <c r="E1193" s="9">
        <f t="shared" si="317"/>
        <v>-339.89584239999999</v>
      </c>
      <c r="F1193" s="9">
        <f t="shared" si="322"/>
        <v>196.08258690000002</v>
      </c>
      <c r="I1193">
        <v>1</v>
      </c>
      <c r="J1193">
        <f t="shared" si="318"/>
        <v>0.25407472284091642</v>
      </c>
      <c r="K1193">
        <f t="shared" si="323"/>
        <v>2.6183389844987777</v>
      </c>
      <c r="O1193">
        <f t="shared" si="324"/>
        <v>-0.21771879506455136</v>
      </c>
      <c r="P1193">
        <f t="shared" si="325"/>
        <v>0.12559984332720447</v>
      </c>
      <c r="Q1193">
        <f t="shared" si="326"/>
        <v>0.96789627834382208</v>
      </c>
      <c r="R1193">
        <f t="shared" si="316"/>
        <v>1</v>
      </c>
      <c r="AG1193" s="8">
        <f t="shared" si="319"/>
        <v>-0.44081941516640594</v>
      </c>
      <c r="AH1193" s="8">
        <f t="shared" si="320"/>
        <v>0.62491751530917239</v>
      </c>
      <c r="AI1193" s="8">
        <f t="shared" si="321"/>
        <v>0.64432627004659526</v>
      </c>
      <c r="AJ1193" s="8"/>
      <c r="AK1193" s="8"/>
      <c r="AL1193" s="8"/>
      <c r="AN1193" s="8">
        <f t="shared" si="327"/>
        <v>0.99999999999999989</v>
      </c>
      <c r="AO1193" s="8">
        <f t="shared" si="328"/>
        <v>2.1851400436136532</v>
      </c>
      <c r="AP1193" s="8">
        <f t="shared" si="329"/>
        <v>0.87065435070637798</v>
      </c>
      <c r="AQ1193" s="8"/>
      <c r="AR1193" s="8">
        <f t="shared" si="330"/>
        <v>125.19930214409497</v>
      </c>
      <c r="AS1193" s="8">
        <f t="shared" si="331"/>
        <v>40.115180289821517</v>
      </c>
    </row>
    <row r="1194" spans="1:45">
      <c r="A1194" s="19">
        <v>38.772066670000001</v>
      </c>
      <c r="B1194" s="19">
        <v>619.4966905</v>
      </c>
      <c r="C1194" s="19">
        <v>-343.67251879999998</v>
      </c>
      <c r="E1194" s="9">
        <f t="shared" si="317"/>
        <v>-340.5033095</v>
      </c>
      <c r="F1194" s="9">
        <f t="shared" si="322"/>
        <v>196.32748120000002</v>
      </c>
      <c r="I1194">
        <v>1</v>
      </c>
      <c r="J1194">
        <f t="shared" si="318"/>
        <v>0.25448080673194357</v>
      </c>
      <c r="K1194">
        <f t="shared" si="323"/>
        <v>2.6185715896099948</v>
      </c>
      <c r="O1194">
        <f t="shared" si="324"/>
        <v>-0.21808848861602645</v>
      </c>
      <c r="P1194">
        <f t="shared" si="325"/>
        <v>0.12574551393222025</v>
      </c>
      <c r="Q1194">
        <f t="shared" si="326"/>
        <v>0.96779412937829867</v>
      </c>
      <c r="R1194">
        <f t="shared" si="316"/>
        <v>1</v>
      </c>
      <c r="AG1194" s="8">
        <f t="shared" si="319"/>
        <v>-0.44049114396721256</v>
      </c>
      <c r="AH1194" s="8">
        <f t="shared" si="320"/>
        <v>0.62516322614634112</v>
      </c>
      <c r="AI1194" s="8">
        <f t="shared" si="321"/>
        <v>0.64431241859889321</v>
      </c>
      <c r="AJ1194" s="8"/>
      <c r="AK1194" s="8"/>
      <c r="AL1194" s="8"/>
      <c r="AN1194" s="8">
        <f t="shared" si="327"/>
        <v>1.0000000000000002</v>
      </c>
      <c r="AO1194" s="8">
        <f t="shared" si="328"/>
        <v>2.1846040854010718</v>
      </c>
      <c r="AP1194" s="8">
        <f t="shared" si="329"/>
        <v>0.87067246293788747</v>
      </c>
      <c r="AQ1194" s="8"/>
      <c r="AR1194" s="8">
        <f t="shared" si="330"/>
        <v>125.16859400051867</v>
      </c>
      <c r="AS1194" s="8">
        <f t="shared" si="331"/>
        <v>40.114142535398457</v>
      </c>
    </row>
    <row r="1195" spans="1:45">
      <c r="A1195" s="19">
        <v>38.80543333</v>
      </c>
      <c r="B1195" s="19">
        <v>618.86785859999998</v>
      </c>
      <c r="C1195" s="19">
        <v>-343.5831043</v>
      </c>
      <c r="E1195" s="9">
        <f t="shared" si="317"/>
        <v>-341.13214140000002</v>
      </c>
      <c r="F1195" s="9">
        <f t="shared" si="322"/>
        <v>196.4168957</v>
      </c>
      <c r="I1195">
        <v>1</v>
      </c>
      <c r="J1195">
        <f t="shared" si="318"/>
        <v>0.25484983600102457</v>
      </c>
      <c r="K1195">
        <f t="shared" si="323"/>
        <v>2.6191727520046495</v>
      </c>
      <c r="O1195">
        <f t="shared" si="324"/>
        <v>-0.21847353420334212</v>
      </c>
      <c r="P1195">
        <f t="shared" si="325"/>
        <v>0.12579258349775721</v>
      </c>
      <c r="Q1195">
        <f t="shared" si="326"/>
        <v>0.96770116295768749</v>
      </c>
      <c r="R1195">
        <f t="shared" si="316"/>
        <v>1</v>
      </c>
      <c r="AG1195" s="8">
        <f t="shared" si="319"/>
        <v>-0.44022122471802605</v>
      </c>
      <c r="AH1195" s="8">
        <f t="shared" si="320"/>
        <v>0.62544356340340634</v>
      </c>
      <c r="AI1195" s="8">
        <f t="shared" si="321"/>
        <v>0.64422482279481474</v>
      </c>
      <c r="AJ1195" s="8"/>
      <c r="AK1195" s="8"/>
      <c r="AL1195" s="8"/>
      <c r="AN1195" s="8">
        <f t="shared" si="327"/>
        <v>1</v>
      </c>
      <c r="AO1195" s="8">
        <f t="shared" si="328"/>
        <v>2.1841044774048344</v>
      </c>
      <c r="AP1195" s="8">
        <f t="shared" si="329"/>
        <v>0.87078699730800568</v>
      </c>
      <c r="AQ1195" s="8"/>
      <c r="AR1195" s="8">
        <f t="shared" si="330"/>
        <v>125.13996857092329</v>
      </c>
      <c r="AS1195" s="8">
        <f t="shared" si="331"/>
        <v>40.107580199381495</v>
      </c>
    </row>
    <row r="1196" spans="1:45">
      <c r="A1196" s="19">
        <v>38.838799999999999</v>
      </c>
      <c r="B1196" s="19">
        <v>618.13744610000003</v>
      </c>
      <c r="C1196" s="19">
        <v>-343.52361639999998</v>
      </c>
      <c r="E1196" s="9">
        <f t="shared" si="317"/>
        <v>-341.86255389999997</v>
      </c>
      <c r="F1196" s="9">
        <f t="shared" si="322"/>
        <v>196.47638360000002</v>
      </c>
      <c r="I1196">
        <v>1</v>
      </c>
      <c r="J1196">
        <f t="shared" si="318"/>
        <v>0.25526466927543301</v>
      </c>
      <c r="K1196">
        <f t="shared" si="323"/>
        <v>2.6199663273948604</v>
      </c>
      <c r="O1196">
        <f t="shared" si="324"/>
        <v>-0.21892132030771624</v>
      </c>
      <c r="P1196">
        <f t="shared" si="325"/>
        <v>0.12581918907555834</v>
      </c>
      <c r="Q1196">
        <f t="shared" si="326"/>
        <v>0.96759650018749821</v>
      </c>
      <c r="R1196">
        <f t="shared" si="316"/>
        <v>1</v>
      </c>
      <c r="AG1196" s="8">
        <f t="shared" si="319"/>
        <v>-0.43992657520996992</v>
      </c>
      <c r="AH1196" s="8">
        <f t="shared" si="320"/>
        <v>0.62577607100262678</v>
      </c>
      <c r="AI1196" s="8">
        <f t="shared" si="321"/>
        <v>0.64410318846015824</v>
      </c>
      <c r="AJ1196" s="8"/>
      <c r="AK1196" s="8"/>
      <c r="AL1196" s="8"/>
      <c r="AN1196" s="8">
        <f t="shared" si="327"/>
        <v>1</v>
      </c>
      <c r="AO1196" s="8">
        <f t="shared" si="328"/>
        <v>2.1835392914919129</v>
      </c>
      <c r="AP1196" s="8">
        <f t="shared" si="329"/>
        <v>0.87094601984536613</v>
      </c>
      <c r="AQ1196" s="8"/>
      <c r="AR1196" s="8">
        <f t="shared" si="330"/>
        <v>125.10758580347263</v>
      </c>
      <c r="AS1196" s="8">
        <f t="shared" si="331"/>
        <v>40.098468879143283</v>
      </c>
    </row>
    <row r="1197" spans="1:45">
      <c r="A1197" s="19">
        <v>38.872166669999999</v>
      </c>
      <c r="B1197" s="19">
        <v>617.69177530000002</v>
      </c>
      <c r="C1197" s="19">
        <v>-343.46534969999999</v>
      </c>
      <c r="E1197" s="9">
        <f t="shared" si="317"/>
        <v>-342.30822469999998</v>
      </c>
      <c r="F1197" s="9">
        <f t="shared" si="322"/>
        <v>196.53465030000001</v>
      </c>
      <c r="I1197">
        <v>1</v>
      </c>
      <c r="J1197">
        <f t="shared" si="318"/>
        <v>0.25552466536846302</v>
      </c>
      <c r="K1197">
        <f t="shared" si="323"/>
        <v>2.6204009584594696</v>
      </c>
      <c r="O1197">
        <f t="shared" si="324"/>
        <v>-0.21919414644267343</v>
      </c>
      <c r="P1197">
        <f t="shared" si="325"/>
        <v>0.12584928380459631</v>
      </c>
      <c r="Q1197">
        <f t="shared" si="326"/>
        <v>0.96753081807823471</v>
      </c>
      <c r="R1197">
        <f t="shared" si="316"/>
        <v>1</v>
      </c>
      <c r="AG1197" s="8">
        <f t="shared" si="319"/>
        <v>-0.43973741657545973</v>
      </c>
      <c r="AH1197" s="8">
        <f t="shared" si="320"/>
        <v>0.62597535748393562</v>
      </c>
      <c r="AI1197" s="8">
        <f t="shared" si="321"/>
        <v>0.64403870713366274</v>
      </c>
      <c r="AJ1197" s="8"/>
      <c r="AK1197" s="8"/>
      <c r="AL1197" s="8"/>
      <c r="AN1197" s="8">
        <f t="shared" si="327"/>
        <v>1.0000000000000002</v>
      </c>
      <c r="AO1197" s="8">
        <f t="shared" si="328"/>
        <v>2.1831871862046031</v>
      </c>
      <c r="AP1197" s="8">
        <f t="shared" si="329"/>
        <v>0.87103031293391242</v>
      </c>
      <c r="AQ1197" s="8"/>
      <c r="AR1197" s="8">
        <f t="shared" si="330"/>
        <v>125.08741165656554</v>
      </c>
      <c r="AS1197" s="8">
        <f t="shared" si="331"/>
        <v>40.093639240927459</v>
      </c>
    </row>
    <row r="1198" spans="1:45">
      <c r="A1198" s="19">
        <v>38.905533329999997</v>
      </c>
      <c r="B1198" s="19">
        <v>616.97525140000005</v>
      </c>
      <c r="C1198" s="19">
        <v>-343.41087599999997</v>
      </c>
      <c r="E1198" s="9">
        <f t="shared" si="317"/>
        <v>-343.02474859999995</v>
      </c>
      <c r="F1198" s="9">
        <f t="shared" si="322"/>
        <v>196.58912400000003</v>
      </c>
      <c r="I1198">
        <v>1</v>
      </c>
      <c r="J1198">
        <f t="shared" si="318"/>
        <v>0.25593050479114654</v>
      </c>
      <c r="K1198">
        <f t="shared" si="323"/>
        <v>2.6211838463508839</v>
      </c>
      <c r="O1198">
        <f t="shared" si="324"/>
        <v>-0.21963326702530417</v>
      </c>
      <c r="P1198">
        <f t="shared" si="325"/>
        <v>0.12587287576766601</v>
      </c>
      <c r="Q1198">
        <f t="shared" si="326"/>
        <v>0.96742816124080711</v>
      </c>
      <c r="R1198">
        <f t="shared" si="316"/>
        <v>1</v>
      </c>
      <c r="AG1198" s="8">
        <f t="shared" si="319"/>
        <v>-0.43944997014950382</v>
      </c>
      <c r="AH1198" s="8">
        <f t="shared" si="320"/>
        <v>0.62630185246745573</v>
      </c>
      <c r="AI1198" s="8">
        <f t="shared" si="321"/>
        <v>0.64391747400690524</v>
      </c>
      <c r="AJ1198" s="8"/>
      <c r="AK1198" s="8"/>
      <c r="AL1198" s="8"/>
      <c r="AN1198" s="8">
        <f t="shared" si="327"/>
        <v>1</v>
      </c>
      <c r="AO1198" s="8">
        <f t="shared" si="328"/>
        <v>2.182634459804393</v>
      </c>
      <c r="AP1198" s="8">
        <f t="shared" si="329"/>
        <v>0.87118877850952436</v>
      </c>
      <c r="AQ1198" s="8"/>
      <c r="AR1198" s="8">
        <f t="shared" si="330"/>
        <v>125.05574276660803</v>
      </c>
      <c r="AS1198" s="8">
        <f t="shared" si="331"/>
        <v>40.084559832246782</v>
      </c>
    </row>
    <row r="1199" spans="1:45">
      <c r="A1199" s="19">
        <v>38.938899999999997</v>
      </c>
      <c r="B1199" s="19">
        <v>616.41027140000006</v>
      </c>
      <c r="C1199" s="19">
        <v>-343.30447379999998</v>
      </c>
      <c r="E1199" s="9">
        <f t="shared" si="317"/>
        <v>-343.58972859999994</v>
      </c>
      <c r="F1199" s="9">
        <f t="shared" si="322"/>
        <v>196.69552620000002</v>
      </c>
      <c r="I1199">
        <v>1</v>
      </c>
      <c r="J1199">
        <f t="shared" si="318"/>
        <v>0.25627027625079418</v>
      </c>
      <c r="K1199">
        <f t="shared" si="323"/>
        <v>2.6216602489022529</v>
      </c>
      <c r="O1199">
        <f t="shared" si="324"/>
        <v>-0.21997846266190649</v>
      </c>
      <c r="P1199">
        <f t="shared" si="325"/>
        <v>0.12593152782027253</v>
      </c>
      <c r="Q1199">
        <f t="shared" si="326"/>
        <v>0.9673420937112972</v>
      </c>
      <c r="R1199">
        <f t="shared" si="316"/>
        <v>1</v>
      </c>
      <c r="AG1199" s="8">
        <f t="shared" si="319"/>
        <v>-0.43919627630293584</v>
      </c>
      <c r="AH1199" s="8">
        <f t="shared" si="320"/>
        <v>0.62654904659518795</v>
      </c>
      <c r="AI1199" s="8">
        <f t="shared" si="321"/>
        <v>0.64385007811779915</v>
      </c>
      <c r="AJ1199" s="8"/>
      <c r="AK1199" s="8"/>
      <c r="AL1199" s="8"/>
      <c r="AN1199" s="8">
        <f t="shared" si="327"/>
        <v>0.99999999999999978</v>
      </c>
      <c r="AO1199" s="8">
        <f t="shared" si="328"/>
        <v>2.1821774865622459</v>
      </c>
      <c r="AP1199" s="8">
        <f t="shared" si="329"/>
        <v>0.87127686351242062</v>
      </c>
      <c r="AQ1199" s="8"/>
      <c r="AR1199" s="8">
        <f t="shared" si="330"/>
        <v>125.0295601284826</v>
      </c>
      <c r="AS1199" s="8">
        <f t="shared" si="331"/>
        <v>40.079512933342428</v>
      </c>
    </row>
    <row r="1200" spans="1:45">
      <c r="A1200" s="19">
        <v>38.972266670000003</v>
      </c>
      <c r="B1200" s="19">
        <v>615.83048050000002</v>
      </c>
      <c r="C1200" s="19">
        <v>-343.19883929999997</v>
      </c>
      <c r="E1200" s="9">
        <f t="shared" si="317"/>
        <v>-344.16951949999998</v>
      </c>
      <c r="F1200" s="9">
        <f t="shared" si="322"/>
        <v>196.80116070000003</v>
      </c>
      <c r="I1200">
        <v>1</v>
      </c>
      <c r="J1200">
        <f t="shared" si="318"/>
        <v>0.25661785071947663</v>
      </c>
      <c r="K1200">
        <f t="shared" si="323"/>
        <v>2.622155571563519</v>
      </c>
      <c r="O1200">
        <f t="shared" si="324"/>
        <v>-0.22033267424030406</v>
      </c>
      <c r="P1200">
        <f t="shared" si="325"/>
        <v>0.12598944291644879</v>
      </c>
      <c r="Q1200">
        <f t="shared" si="326"/>
        <v>0.96725393405026738</v>
      </c>
      <c r="R1200">
        <f t="shared" si="316"/>
        <v>1</v>
      </c>
      <c r="AG1200" s="8">
        <f t="shared" si="319"/>
        <v>-0.43893743043429534</v>
      </c>
      <c r="AH1200" s="8">
        <f t="shared" si="320"/>
        <v>0.62680316245037726</v>
      </c>
      <c r="AI1200" s="8">
        <f t="shared" si="321"/>
        <v>0.64377925386419854</v>
      </c>
      <c r="AJ1200" s="8"/>
      <c r="AK1200" s="8"/>
      <c r="AL1200" s="8"/>
      <c r="AN1200" s="8">
        <f t="shared" si="327"/>
        <v>1</v>
      </c>
      <c r="AO1200" s="8">
        <f t="shared" si="328"/>
        <v>2.1817098774594266</v>
      </c>
      <c r="AP1200" s="8">
        <f t="shared" si="329"/>
        <v>0.87136942228028158</v>
      </c>
      <c r="AQ1200" s="8"/>
      <c r="AR1200" s="8">
        <f t="shared" si="330"/>
        <v>125.00276810042917</v>
      </c>
      <c r="AS1200" s="8">
        <f t="shared" si="331"/>
        <v>40.074209706587062</v>
      </c>
    </row>
    <row r="1201" spans="1:45">
      <c r="A1201" s="19">
        <v>39.005633330000002</v>
      </c>
      <c r="B1201" s="19">
        <v>615.07697250000001</v>
      </c>
      <c r="C1201" s="19">
        <v>-343.09442089999999</v>
      </c>
      <c r="E1201" s="9">
        <f t="shared" si="317"/>
        <v>-344.92302749999999</v>
      </c>
      <c r="F1201" s="9">
        <f t="shared" si="322"/>
        <v>196.90557910000001</v>
      </c>
      <c r="I1201">
        <v>1</v>
      </c>
      <c r="J1201">
        <f t="shared" si="318"/>
        <v>0.25705937959767872</v>
      </c>
      <c r="K1201">
        <f t="shared" si="323"/>
        <v>2.6228690942877959</v>
      </c>
      <c r="O1201">
        <f t="shared" si="324"/>
        <v>-0.22079338355035205</v>
      </c>
      <c r="P1201">
        <f t="shared" si="325"/>
        <v>0.12604391583983321</v>
      </c>
      <c r="Q1201">
        <f t="shared" si="326"/>
        <v>0.96714177505686727</v>
      </c>
      <c r="R1201">
        <f t="shared" si="316"/>
        <v>1</v>
      </c>
      <c r="AG1201" s="8">
        <f t="shared" si="319"/>
        <v>-0.43861499695644818</v>
      </c>
      <c r="AH1201" s="8">
        <f t="shared" si="320"/>
        <v>0.62713846841580834</v>
      </c>
      <c r="AI1201" s="8">
        <f t="shared" si="321"/>
        <v>0.64367245232180703</v>
      </c>
      <c r="AJ1201" s="8"/>
      <c r="AK1201" s="8"/>
      <c r="AL1201" s="8"/>
      <c r="AN1201" s="8">
        <f t="shared" si="327"/>
        <v>0.99999999999999978</v>
      </c>
      <c r="AO1201" s="8">
        <f t="shared" si="328"/>
        <v>2.1811134455393435</v>
      </c>
      <c r="AP1201" s="8">
        <f t="shared" si="329"/>
        <v>0.8715089854030561</v>
      </c>
      <c r="AQ1201" s="8"/>
      <c r="AR1201" s="8">
        <f t="shared" si="330"/>
        <v>124.96859506864152</v>
      </c>
      <c r="AS1201" s="8">
        <f t="shared" si="331"/>
        <v>40.066213328676419</v>
      </c>
    </row>
    <row r="1202" spans="1:45">
      <c r="A1202" s="19">
        <v>39.039000000000001</v>
      </c>
      <c r="B1202" s="19">
        <v>614.48570410000002</v>
      </c>
      <c r="C1202" s="19">
        <v>-342.89691800000003</v>
      </c>
      <c r="E1202" s="9">
        <f t="shared" si="317"/>
        <v>-345.51429589999998</v>
      </c>
      <c r="F1202" s="9">
        <f t="shared" si="322"/>
        <v>197.10308199999997</v>
      </c>
      <c r="I1202">
        <v>1</v>
      </c>
      <c r="J1202">
        <f t="shared" si="318"/>
        <v>0.25744165582127343</v>
      </c>
      <c r="K1202">
        <f t="shared" si="323"/>
        <v>2.623174821275569</v>
      </c>
      <c r="O1202">
        <f t="shared" si="324"/>
        <v>-0.22115302839655701</v>
      </c>
      <c r="P1202">
        <f t="shared" si="325"/>
        <v>0.12615959457495465</v>
      </c>
      <c r="Q1202">
        <f t="shared" si="326"/>
        <v>0.96704451538060787</v>
      </c>
      <c r="R1202">
        <f t="shared" si="316"/>
        <v>1</v>
      </c>
      <c r="AG1202" s="8">
        <f t="shared" si="319"/>
        <v>-0.43831276955867032</v>
      </c>
      <c r="AH1202" s="8">
        <f t="shared" si="320"/>
        <v>0.62738299471915915</v>
      </c>
      <c r="AI1202" s="8">
        <f t="shared" si="321"/>
        <v>0.64364003447503748</v>
      </c>
      <c r="AJ1202" s="8"/>
      <c r="AK1202" s="8"/>
      <c r="AL1202" s="8"/>
      <c r="AN1202" s="8">
        <f t="shared" si="327"/>
        <v>1</v>
      </c>
      <c r="AO1202" s="8">
        <f t="shared" si="328"/>
        <v>2.180606721995952</v>
      </c>
      <c r="AP1202" s="8">
        <f t="shared" si="329"/>
        <v>0.87155134424626823</v>
      </c>
      <c r="AQ1202" s="8"/>
      <c r="AR1202" s="8">
        <f t="shared" si="330"/>
        <v>124.93956194822526</v>
      </c>
      <c r="AS1202" s="8">
        <f t="shared" si="331"/>
        <v>40.063786345735302</v>
      </c>
    </row>
    <row r="1203" spans="1:45">
      <c r="A1203" s="19">
        <v>39.072366670000001</v>
      </c>
      <c r="B1203" s="19">
        <v>613.84060499999998</v>
      </c>
      <c r="C1203" s="19">
        <v>-342.63484349999999</v>
      </c>
      <c r="E1203" s="9">
        <f t="shared" si="317"/>
        <v>-346.15939500000002</v>
      </c>
      <c r="F1203" s="9">
        <f t="shared" si="322"/>
        <v>197.36515650000001</v>
      </c>
      <c r="I1203">
        <v>1</v>
      </c>
      <c r="J1203">
        <f t="shared" si="318"/>
        <v>0.2578731032395728</v>
      </c>
      <c r="K1203">
        <f t="shared" si="323"/>
        <v>2.6234057332051157</v>
      </c>
      <c r="O1203">
        <f t="shared" si="324"/>
        <v>-0.22154458814409539</v>
      </c>
      <c r="P1203">
        <f t="shared" si="325"/>
        <v>0.12631516851012362</v>
      </c>
      <c r="Q1203">
        <f t="shared" si="326"/>
        <v>0.96693457569182117</v>
      </c>
      <c r="R1203">
        <f t="shared" si="316"/>
        <v>1</v>
      </c>
      <c r="AG1203" s="8">
        <f t="shared" si="319"/>
        <v>-0.43796318254121031</v>
      </c>
      <c r="AH1203" s="8">
        <f t="shared" si="320"/>
        <v>0.62764218773331337</v>
      </c>
      <c r="AI1203" s="8">
        <f t="shared" si="321"/>
        <v>0.64362530630461912</v>
      </c>
      <c r="AJ1203" s="8"/>
      <c r="AK1203" s="8"/>
      <c r="AL1203" s="8"/>
      <c r="AN1203" s="8">
        <f t="shared" si="327"/>
        <v>1</v>
      </c>
      <c r="AO1203" s="8">
        <f t="shared" si="328"/>
        <v>2.1800383225538882</v>
      </c>
      <c r="AP1203" s="8">
        <f t="shared" si="329"/>
        <v>0.87157058834058743</v>
      </c>
      <c r="AQ1203" s="8"/>
      <c r="AR1203" s="8">
        <f t="shared" si="330"/>
        <v>124.90699505911742</v>
      </c>
      <c r="AS1203" s="8">
        <f t="shared" si="331"/>
        <v>40.062683740350266</v>
      </c>
    </row>
    <row r="1204" spans="1:45">
      <c r="A1204" s="19">
        <v>39.10573333</v>
      </c>
      <c r="B1204" s="19">
        <v>613.20827629999997</v>
      </c>
      <c r="C1204" s="19">
        <v>-342.53673279999998</v>
      </c>
      <c r="E1204" s="9">
        <f t="shared" si="317"/>
        <v>-346.79172370000003</v>
      </c>
      <c r="F1204" s="9">
        <f t="shared" si="322"/>
        <v>197.46326720000002</v>
      </c>
      <c r="I1204">
        <v>1</v>
      </c>
      <c r="J1204">
        <f t="shared" si="318"/>
        <v>0.25824682416054695</v>
      </c>
      <c r="K1204">
        <f t="shared" si="323"/>
        <v>2.6239769763425937</v>
      </c>
      <c r="O1204">
        <f t="shared" si="324"/>
        <v>-0.2219307187390431</v>
      </c>
      <c r="P1204">
        <f t="shared" si="325"/>
        <v>0.12636738947139906</v>
      </c>
      <c r="Q1204">
        <f t="shared" si="326"/>
        <v>0.9668392001559285</v>
      </c>
      <c r="R1204">
        <f t="shared" si="316"/>
        <v>1</v>
      </c>
      <c r="AG1204" s="8">
        <f t="shared" si="319"/>
        <v>-0.43768808794381237</v>
      </c>
      <c r="AH1204" s="8">
        <f t="shared" si="320"/>
        <v>0.62792143140443024</v>
      </c>
      <c r="AI1204" s="8">
        <f t="shared" si="321"/>
        <v>0.64354006375291128</v>
      </c>
      <c r="AJ1204" s="8"/>
      <c r="AK1204" s="8"/>
      <c r="AL1204" s="8"/>
      <c r="AN1204" s="8">
        <f t="shared" si="327"/>
        <v>1</v>
      </c>
      <c r="AO1204" s="8">
        <f t="shared" si="328"/>
        <v>2.1795348080982864</v>
      </c>
      <c r="AP1204" s="8">
        <f t="shared" si="329"/>
        <v>0.87168196168638867</v>
      </c>
      <c r="AQ1204" s="8"/>
      <c r="AR1204" s="8">
        <f t="shared" si="330"/>
        <v>124.87814580588761</v>
      </c>
      <c r="AS1204" s="8">
        <f t="shared" si="331"/>
        <v>40.056302517685602</v>
      </c>
    </row>
    <row r="1205" spans="1:45">
      <c r="A1205" s="19">
        <v>39.139099999999999</v>
      </c>
      <c r="B1205" s="19">
        <v>612.84065120000002</v>
      </c>
      <c r="C1205" s="19">
        <v>-342.48279500000001</v>
      </c>
      <c r="E1205" s="9">
        <f t="shared" si="317"/>
        <v>-347.15934879999998</v>
      </c>
      <c r="F1205" s="9">
        <f t="shared" si="322"/>
        <v>197.51720499999999</v>
      </c>
      <c r="I1205">
        <v>1</v>
      </c>
      <c r="J1205">
        <f t="shared" si="318"/>
        <v>0.25846314655247576</v>
      </c>
      <c r="K1205">
        <f t="shared" si="323"/>
        <v>2.6243150514248104</v>
      </c>
      <c r="O1205">
        <f t="shared" si="324"/>
        <v>-0.22215520825613974</v>
      </c>
      <c r="P1205">
        <f t="shared" si="325"/>
        <v>0.12639577750857237</v>
      </c>
      <c r="Q1205">
        <f t="shared" si="326"/>
        <v>0.9667839318444813</v>
      </c>
      <c r="R1205">
        <f t="shared" si="316"/>
        <v>1</v>
      </c>
      <c r="AG1205" s="8">
        <f t="shared" si="319"/>
        <v>-0.43752946356825967</v>
      </c>
      <c r="AH1205" s="8">
        <f t="shared" si="320"/>
        <v>0.62808420508707041</v>
      </c>
      <c r="AI1205" s="8">
        <f t="shared" si="321"/>
        <v>0.64348908291424334</v>
      </c>
      <c r="AJ1205" s="8"/>
      <c r="AK1205" s="8"/>
      <c r="AL1205" s="8"/>
      <c r="AN1205" s="8">
        <f t="shared" si="327"/>
        <v>1.0000000000000002</v>
      </c>
      <c r="AO1205" s="8">
        <f t="shared" si="328"/>
        <v>2.1792432037986149</v>
      </c>
      <c r="AP1205" s="8">
        <f t="shared" si="329"/>
        <v>0.87174856553208602</v>
      </c>
      <c r="AQ1205" s="8"/>
      <c r="AR1205" s="8">
        <f t="shared" si="330"/>
        <v>124.86143811022856</v>
      </c>
      <c r="AS1205" s="8">
        <f t="shared" si="331"/>
        <v>40.052486398427803</v>
      </c>
    </row>
    <row r="1206" spans="1:45">
      <c r="A1206" s="19">
        <v>39.172466669999999</v>
      </c>
      <c r="B1206" s="19">
        <v>612.03791750000005</v>
      </c>
      <c r="C1206" s="19">
        <v>-342.50619940000001</v>
      </c>
      <c r="E1206" s="9">
        <f t="shared" si="317"/>
        <v>-347.96208249999995</v>
      </c>
      <c r="F1206" s="9">
        <f t="shared" si="322"/>
        <v>197.49380059999999</v>
      </c>
      <c r="I1206">
        <v>1</v>
      </c>
      <c r="J1206">
        <f t="shared" si="318"/>
        <v>0.25889197298415434</v>
      </c>
      <c r="K1206">
        <f t="shared" si="323"/>
        <v>2.6253580533675289</v>
      </c>
      <c r="O1206">
        <f t="shared" si="324"/>
        <v>-0.22264745374818493</v>
      </c>
      <c r="P1206">
        <f t="shared" si="325"/>
        <v>0.12636863050916414</v>
      </c>
      <c r="Q1206">
        <f t="shared" si="326"/>
        <v>0.96667423704301136</v>
      </c>
      <c r="R1206">
        <f t="shared" si="316"/>
        <v>1</v>
      </c>
      <c r="AG1206" s="8">
        <f t="shared" si="319"/>
        <v>-0.43724314973851486</v>
      </c>
      <c r="AH1206" s="8">
        <f t="shared" si="320"/>
        <v>0.62846199934569813</v>
      </c>
      <c r="AI1206" s="8">
        <f t="shared" si="321"/>
        <v>0.64331480892728587</v>
      </c>
      <c r="AJ1206" s="8"/>
      <c r="AK1206" s="8"/>
      <c r="AL1206" s="8"/>
      <c r="AN1206" s="8">
        <f t="shared" si="327"/>
        <v>1</v>
      </c>
      <c r="AO1206" s="8">
        <f t="shared" si="328"/>
        <v>2.1786542868041829</v>
      </c>
      <c r="AP1206" s="8">
        <f t="shared" si="329"/>
        <v>0.87197621738364728</v>
      </c>
      <c r="AQ1206" s="8"/>
      <c r="AR1206" s="8">
        <f t="shared" si="330"/>
        <v>124.82769565196408</v>
      </c>
      <c r="AS1206" s="8">
        <f t="shared" si="331"/>
        <v>40.039442908135001</v>
      </c>
    </row>
    <row r="1207" spans="1:45">
      <c r="A1207" s="19">
        <v>39.205833329999997</v>
      </c>
      <c r="B1207" s="19">
        <v>611.70170889999997</v>
      </c>
      <c r="C1207" s="19">
        <v>-342.4364837</v>
      </c>
      <c r="E1207" s="9">
        <f t="shared" si="317"/>
        <v>-348.29829110000003</v>
      </c>
      <c r="F1207" s="9">
        <f t="shared" si="322"/>
        <v>197.5635163</v>
      </c>
      <c r="I1207">
        <v>1</v>
      </c>
      <c r="J1207">
        <f t="shared" si="318"/>
        <v>0.25909613552810223</v>
      </c>
      <c r="K1207">
        <f t="shared" si="323"/>
        <v>2.6256210839069909</v>
      </c>
      <c r="O1207">
        <f t="shared" si="324"/>
        <v>-0.22285234550472566</v>
      </c>
      <c r="P1207">
        <f t="shared" si="325"/>
        <v>0.12640743327958323</v>
      </c>
      <c r="Q1207">
        <f t="shared" si="326"/>
        <v>0.96662194932388645</v>
      </c>
      <c r="R1207">
        <f t="shared" si="316"/>
        <v>1</v>
      </c>
      <c r="AG1207" s="8">
        <f t="shared" si="319"/>
        <v>-0.4370893827746391</v>
      </c>
      <c r="AH1207" s="8">
        <f t="shared" si="320"/>
        <v>0.62860746388217104</v>
      </c>
      <c r="AI1207" s="8">
        <f t="shared" si="321"/>
        <v>0.64327717806347684</v>
      </c>
      <c r="AJ1207" s="8"/>
      <c r="AK1207" s="8"/>
      <c r="AL1207" s="8"/>
      <c r="AN1207" s="8">
        <f t="shared" si="327"/>
        <v>1</v>
      </c>
      <c r="AO1207" s="8">
        <f t="shared" si="328"/>
        <v>2.1783809190175205</v>
      </c>
      <c r="AP1207" s="8">
        <f t="shared" si="329"/>
        <v>0.87202536837659061</v>
      </c>
      <c r="AQ1207" s="8"/>
      <c r="AR1207" s="8">
        <f t="shared" si="330"/>
        <v>124.8120328315335</v>
      </c>
      <c r="AS1207" s="8">
        <f t="shared" si="331"/>
        <v>40.036626763680474</v>
      </c>
    </row>
    <row r="1208" spans="1:45">
      <c r="A1208" s="19">
        <v>39.239199999999997</v>
      </c>
      <c r="B1208" s="19">
        <v>610.97205259999998</v>
      </c>
      <c r="C1208" s="19">
        <v>-342.356022</v>
      </c>
      <c r="E1208" s="9">
        <f t="shared" si="317"/>
        <v>-349.02794740000002</v>
      </c>
      <c r="F1208" s="9">
        <f t="shared" si="322"/>
        <v>197.643978</v>
      </c>
      <c r="I1208">
        <v>1</v>
      </c>
      <c r="J1208">
        <f t="shared" si="318"/>
        <v>0.25951740547266966</v>
      </c>
      <c r="K1208">
        <f t="shared" si="323"/>
        <v>2.6263441182558624</v>
      </c>
      <c r="O1208">
        <f t="shared" si="324"/>
        <v>-0.2232980053435798</v>
      </c>
      <c r="P1208">
        <f t="shared" si="325"/>
        <v>0.12644691172822223</v>
      </c>
      <c r="Q1208">
        <f t="shared" si="326"/>
        <v>0.96651393126223162</v>
      </c>
      <c r="R1208">
        <f t="shared" si="316"/>
        <v>1</v>
      </c>
      <c r="AG1208" s="8">
        <f t="shared" si="319"/>
        <v>-0.43678579196427769</v>
      </c>
      <c r="AH1208" s="8">
        <f t="shared" si="320"/>
        <v>0.62893432376992497</v>
      </c>
      <c r="AI1208" s="8">
        <f t="shared" si="321"/>
        <v>0.64316388916216838</v>
      </c>
      <c r="AJ1208" s="8"/>
      <c r="AK1208" s="8"/>
      <c r="AL1208" s="8"/>
      <c r="AN1208" s="8">
        <f t="shared" si="327"/>
        <v>1</v>
      </c>
      <c r="AO1208" s="8">
        <f t="shared" si="328"/>
        <v>2.1778117137545254</v>
      </c>
      <c r="AP1208" s="8">
        <f t="shared" si="329"/>
        <v>0.87217332673826919</v>
      </c>
      <c r="AQ1208" s="8"/>
      <c r="AR1208" s="8">
        <f t="shared" si="330"/>
        <v>124.77941977228724</v>
      </c>
      <c r="AS1208" s="8">
        <f t="shared" si="331"/>
        <v>40.028149374012621</v>
      </c>
    </row>
    <row r="1209" spans="1:45">
      <c r="A1209" s="19">
        <v>39.272566670000003</v>
      </c>
      <c r="B1209" s="19">
        <v>610.23245369999995</v>
      </c>
      <c r="C1209" s="19">
        <v>-342.21560299999999</v>
      </c>
      <c r="E1209" s="9">
        <f t="shared" si="317"/>
        <v>-349.76754630000005</v>
      </c>
      <c r="F1209" s="9">
        <f t="shared" si="322"/>
        <v>197.78439700000001</v>
      </c>
      <c r="I1209">
        <v>1</v>
      </c>
      <c r="J1209">
        <f t="shared" si="318"/>
        <v>0.25996254861178691</v>
      </c>
      <c r="K1209">
        <f t="shared" si="323"/>
        <v>2.6269470057452358</v>
      </c>
      <c r="O1209">
        <f t="shared" si="324"/>
        <v>-0.22374868311078541</v>
      </c>
      <c r="P1209">
        <f t="shared" si="325"/>
        <v>0.12652402670502083</v>
      </c>
      <c r="Q1209">
        <f t="shared" si="326"/>
        <v>0.96639960548032955</v>
      </c>
      <c r="R1209">
        <f t="shared" si="316"/>
        <v>1</v>
      </c>
      <c r="AG1209" s="8">
        <f t="shared" si="319"/>
        <v>-0.43645299501642776</v>
      </c>
      <c r="AH1209" s="8">
        <f t="shared" si="320"/>
        <v>0.62925603232983329</v>
      </c>
      <c r="AI1209" s="8">
        <f t="shared" si="321"/>
        <v>0.64307513473754063</v>
      </c>
      <c r="AJ1209" s="8"/>
      <c r="AK1209" s="8"/>
      <c r="AL1209" s="8"/>
      <c r="AN1209" s="8">
        <f t="shared" si="327"/>
        <v>1.0000000000000002</v>
      </c>
      <c r="AO1209" s="8">
        <f t="shared" si="328"/>
        <v>2.1772151469234373</v>
      </c>
      <c r="AP1209" s="8">
        <f t="shared" si="329"/>
        <v>0.87228922956690547</v>
      </c>
      <c r="AQ1209" s="8"/>
      <c r="AR1209" s="8">
        <f t="shared" si="330"/>
        <v>124.7452390106684</v>
      </c>
      <c r="AS1209" s="8">
        <f t="shared" si="331"/>
        <v>40.021508631098136</v>
      </c>
    </row>
    <row r="1210" spans="1:45">
      <c r="A1210" s="19">
        <v>39.305933330000002</v>
      </c>
      <c r="B1210" s="19">
        <v>609.74396079999997</v>
      </c>
      <c r="C1210" s="19">
        <v>-342.01826749999998</v>
      </c>
      <c r="E1210" s="9">
        <f t="shared" si="317"/>
        <v>-350.25603920000003</v>
      </c>
      <c r="F1210" s="9">
        <f t="shared" si="322"/>
        <v>197.98173250000002</v>
      </c>
      <c r="I1210">
        <v>1</v>
      </c>
      <c r="J1210">
        <f t="shared" si="318"/>
        <v>0.26028867906934816</v>
      </c>
      <c r="K1210">
        <f t="shared" si="323"/>
        <v>2.6271176955503304</v>
      </c>
      <c r="O1210">
        <f t="shared" si="324"/>
        <v>-0.22404463797238791</v>
      </c>
      <c r="P1210">
        <f t="shared" si="325"/>
        <v>0.12664091584094136</v>
      </c>
      <c r="Q1210">
        <f t="shared" si="326"/>
        <v>0.96631572409372979</v>
      </c>
      <c r="R1210">
        <f t="shared" si="316"/>
        <v>1</v>
      </c>
      <c r="AG1210" s="8">
        <f t="shared" si="319"/>
        <v>-0.4361886855103021</v>
      </c>
      <c r="AH1210" s="8">
        <f t="shared" si="320"/>
        <v>0.62945168841657395</v>
      </c>
      <c r="AI1210" s="8">
        <f t="shared" si="321"/>
        <v>0.64306298492629732</v>
      </c>
      <c r="AJ1210" s="8"/>
      <c r="AK1210" s="8"/>
      <c r="AL1210" s="8"/>
      <c r="AN1210" s="8">
        <f t="shared" si="327"/>
        <v>1.0000000000000002</v>
      </c>
      <c r="AO1210" s="8">
        <f t="shared" si="328"/>
        <v>2.1767859409990087</v>
      </c>
      <c r="AP1210" s="8">
        <f t="shared" si="329"/>
        <v>0.87230509491203756</v>
      </c>
      <c r="AQ1210" s="8"/>
      <c r="AR1210" s="8">
        <f t="shared" si="330"/>
        <v>124.72064732265663</v>
      </c>
      <c r="AS1210" s="8">
        <f t="shared" si="331"/>
        <v>40.020599613781549</v>
      </c>
    </row>
    <row r="1211" spans="1:45">
      <c r="A1211" s="19">
        <v>39.339300000000001</v>
      </c>
      <c r="B1211" s="19">
        <v>609.0274541</v>
      </c>
      <c r="C1211" s="19">
        <v>-341.84816519999998</v>
      </c>
      <c r="E1211" s="9">
        <f t="shared" si="317"/>
        <v>-350.9725459</v>
      </c>
      <c r="F1211" s="9">
        <f t="shared" si="322"/>
        <v>198.15183480000002</v>
      </c>
      <c r="I1211">
        <v>1</v>
      </c>
      <c r="J1211">
        <f t="shared" si="318"/>
        <v>0.26073032616178282</v>
      </c>
      <c r="K1211">
        <f t="shared" si="323"/>
        <v>2.6276250680163056</v>
      </c>
      <c r="O1211">
        <f t="shared" si="324"/>
        <v>-0.22448047347845707</v>
      </c>
      <c r="P1211">
        <f t="shared" si="325"/>
        <v>0.12673702891052552</v>
      </c>
      <c r="Q1211">
        <f t="shared" si="326"/>
        <v>0.96620196777372602</v>
      </c>
      <c r="R1211">
        <f t="shared" si="316"/>
        <v>1</v>
      </c>
      <c r="AG1211" s="8">
        <f t="shared" si="319"/>
        <v>-0.43585175672620075</v>
      </c>
      <c r="AH1211" s="8">
        <f t="shared" si="320"/>
        <v>0.62975757061058801</v>
      </c>
      <c r="AI1211" s="8">
        <f t="shared" si="321"/>
        <v>0.64299195050741886</v>
      </c>
      <c r="AJ1211" s="8"/>
      <c r="AK1211" s="8"/>
      <c r="AL1211" s="8"/>
      <c r="AN1211" s="8">
        <f t="shared" si="327"/>
        <v>1</v>
      </c>
      <c r="AO1211" s="8">
        <f t="shared" si="328"/>
        <v>2.1761968642186122</v>
      </c>
      <c r="AP1211" s="8">
        <f t="shared" si="329"/>
        <v>0.87239784813737686</v>
      </c>
      <c r="AQ1211" s="8"/>
      <c r="AR1211" s="8">
        <f t="shared" si="330"/>
        <v>124.68689570933076</v>
      </c>
      <c r="AS1211" s="8">
        <f t="shared" si="331"/>
        <v>40.015285245433382</v>
      </c>
    </row>
    <row r="1212" spans="1:45">
      <c r="A1212" s="19">
        <v>39.372666670000001</v>
      </c>
      <c r="B1212" s="19">
        <v>608.16924849999998</v>
      </c>
      <c r="C1212" s="19">
        <v>-341.60296749999998</v>
      </c>
      <c r="E1212" s="9">
        <f t="shared" si="317"/>
        <v>-351.83075150000002</v>
      </c>
      <c r="F1212" s="9">
        <f t="shared" si="322"/>
        <v>198.39703250000002</v>
      </c>
      <c r="I1212">
        <v>1</v>
      </c>
      <c r="J1212">
        <f t="shared" si="318"/>
        <v>0.26127197800218394</v>
      </c>
      <c r="K1212">
        <f t="shared" si="323"/>
        <v>2.62814103595022</v>
      </c>
      <c r="O1212">
        <f t="shared" si="324"/>
        <v>-0.22500166485880924</v>
      </c>
      <c r="P1212">
        <f t="shared" si="325"/>
        <v>0.12687822887916977</v>
      </c>
      <c r="Q1212">
        <f t="shared" si="326"/>
        <v>0.96606219564127915</v>
      </c>
      <c r="R1212">
        <f t="shared" si="316"/>
        <v>1</v>
      </c>
      <c r="AG1212" s="8">
        <f t="shared" si="319"/>
        <v>-0.43543054107018275</v>
      </c>
      <c r="AH1212" s="8">
        <f t="shared" si="320"/>
        <v>0.63011705427336262</v>
      </c>
      <c r="AI1212" s="8">
        <f t="shared" si="321"/>
        <v>0.6429251448008455</v>
      </c>
      <c r="AJ1212" s="8"/>
      <c r="AK1212" s="8"/>
      <c r="AL1212" s="8"/>
      <c r="AN1212" s="8">
        <f t="shared" si="327"/>
        <v>1</v>
      </c>
      <c r="AO1212" s="8">
        <f t="shared" si="328"/>
        <v>2.1754775626925644</v>
      </c>
      <c r="AP1212" s="8">
        <f t="shared" si="329"/>
        <v>0.87248507312948154</v>
      </c>
      <c r="AQ1212" s="8"/>
      <c r="AR1212" s="8">
        <f t="shared" si="330"/>
        <v>124.6456827676909</v>
      </c>
      <c r="AS1212" s="8">
        <f t="shared" si="331"/>
        <v>40.010287621517719</v>
      </c>
    </row>
    <row r="1213" spans="1:45">
      <c r="A1213" s="19">
        <v>39.40603333</v>
      </c>
      <c r="B1213" s="19">
        <v>607.70464149999998</v>
      </c>
      <c r="C1213" s="19">
        <v>-341.47429670000002</v>
      </c>
      <c r="E1213" s="9">
        <f t="shared" si="317"/>
        <v>-352.29535850000002</v>
      </c>
      <c r="F1213" s="9">
        <f t="shared" si="322"/>
        <v>198.52570329999998</v>
      </c>
      <c r="I1213">
        <v>1</v>
      </c>
      <c r="J1213">
        <f t="shared" si="318"/>
        <v>0.26156393230747454</v>
      </c>
      <c r="K1213">
        <f t="shared" si="323"/>
        <v>2.6284282140345683</v>
      </c>
      <c r="O1213">
        <f t="shared" si="324"/>
        <v>-0.22528379980654051</v>
      </c>
      <c r="P1213">
        <f t="shared" si="325"/>
        <v>0.12695206939176829</v>
      </c>
      <c r="Q1213">
        <f t="shared" si="326"/>
        <v>0.96598673987890449</v>
      </c>
      <c r="R1213">
        <f t="shared" si="316"/>
        <v>1</v>
      </c>
      <c r="AG1213" s="8">
        <f t="shared" si="319"/>
        <v>-0.43520422973611672</v>
      </c>
      <c r="AH1213" s="8">
        <f t="shared" si="320"/>
        <v>0.63031219825485929</v>
      </c>
      <c r="AI1213" s="8">
        <f t="shared" si="321"/>
        <v>0.6428870905150611</v>
      </c>
      <c r="AJ1213" s="8"/>
      <c r="AK1213" s="8"/>
      <c r="AL1213" s="8"/>
      <c r="AN1213" s="8">
        <f t="shared" si="327"/>
        <v>1</v>
      </c>
      <c r="AO1213" s="8">
        <f t="shared" si="328"/>
        <v>2.1750896553205141</v>
      </c>
      <c r="AP1213" s="8">
        <f t="shared" si="329"/>
        <v>0.87253475592187213</v>
      </c>
      <c r="AQ1213" s="8"/>
      <c r="AR1213" s="8">
        <f t="shared" si="330"/>
        <v>124.6234573124304</v>
      </c>
      <c r="AS1213" s="8">
        <f t="shared" si="331"/>
        <v>40.007441007199311</v>
      </c>
    </row>
    <row r="1214" spans="1:45">
      <c r="A1214" s="19">
        <v>39.439399999999999</v>
      </c>
      <c r="B1214" s="19">
        <v>607.10468949999995</v>
      </c>
      <c r="C1214" s="19">
        <v>-341.41000209999999</v>
      </c>
      <c r="E1214" s="9">
        <f t="shared" si="317"/>
        <v>-352.89531050000005</v>
      </c>
      <c r="F1214" s="9">
        <f t="shared" si="322"/>
        <v>198.58999790000001</v>
      </c>
      <c r="I1214">
        <v>1</v>
      </c>
      <c r="J1214">
        <f t="shared" si="318"/>
        <v>0.26190973725693356</v>
      </c>
      <c r="K1214">
        <f t="shared" si="323"/>
        <v>2.6290172584176403</v>
      </c>
      <c r="O1214">
        <f t="shared" si="324"/>
        <v>-0.22564964088995196</v>
      </c>
      <c r="P1214">
        <f t="shared" si="325"/>
        <v>0.12698316009634625</v>
      </c>
      <c r="Q1214">
        <f t="shared" si="326"/>
        <v>0.9658972598667942</v>
      </c>
      <c r="R1214">
        <f t="shared" si="316"/>
        <v>1</v>
      </c>
      <c r="AG1214" s="8">
        <f t="shared" si="319"/>
        <v>-0.43495529302006453</v>
      </c>
      <c r="AH1214" s="8">
        <f t="shared" si="320"/>
        <v>0.63058036112632365</v>
      </c>
      <c r="AI1214" s="8">
        <f t="shared" si="321"/>
        <v>0.64279258025869046</v>
      </c>
      <c r="AJ1214" s="8"/>
      <c r="AK1214" s="8"/>
      <c r="AL1214" s="8"/>
      <c r="AN1214" s="8">
        <f t="shared" si="327"/>
        <v>1</v>
      </c>
      <c r="AO1214" s="8">
        <f t="shared" si="328"/>
        <v>2.174623340470879</v>
      </c>
      <c r="AP1214" s="8">
        <f t="shared" si="329"/>
        <v>0.87265813735838238</v>
      </c>
      <c r="AQ1214" s="8"/>
      <c r="AR1214" s="8">
        <f t="shared" si="330"/>
        <v>124.59673943962204</v>
      </c>
      <c r="AS1214" s="8">
        <f t="shared" si="331"/>
        <v>40.000371771617019</v>
      </c>
    </row>
    <row r="1215" spans="1:45">
      <c r="A1215" s="19">
        <v>39.472766669999999</v>
      </c>
      <c r="B1215" s="19">
        <v>606.81621280000002</v>
      </c>
      <c r="C1215" s="19">
        <v>-341.39124809999998</v>
      </c>
      <c r="E1215" s="9">
        <f t="shared" si="317"/>
        <v>-353.18378719999998</v>
      </c>
      <c r="F1215" s="9">
        <f t="shared" si="322"/>
        <v>198.60875190000002</v>
      </c>
      <c r="I1215">
        <v>1</v>
      </c>
      <c r="J1215">
        <f t="shared" si="318"/>
        <v>0.26207230362291534</v>
      </c>
      <c r="K1215">
        <f t="shared" si="323"/>
        <v>2.6293260761592587</v>
      </c>
      <c r="O1215">
        <f t="shared" si="324"/>
        <v>-0.22582570814714456</v>
      </c>
      <c r="P1215">
        <f t="shared" si="325"/>
        <v>0.12699043293468043</v>
      </c>
      <c r="Q1215">
        <f t="shared" si="326"/>
        <v>0.96585515450449566</v>
      </c>
      <c r="R1215">
        <f t="shared" si="316"/>
        <v>1</v>
      </c>
      <c r="AG1215" s="8">
        <f t="shared" si="319"/>
        <v>-0.43484075966305336</v>
      </c>
      <c r="AH1215" s="8">
        <f t="shared" si="320"/>
        <v>0.63071120047488372</v>
      </c>
      <c r="AI1215" s="8">
        <f t="shared" si="321"/>
        <v>0.6427417018765702</v>
      </c>
      <c r="AJ1215" s="8"/>
      <c r="AK1215" s="8"/>
      <c r="AL1215" s="8"/>
      <c r="AN1215" s="8">
        <f t="shared" si="327"/>
        <v>1.0000000000000002</v>
      </c>
      <c r="AO1215" s="8">
        <f t="shared" si="328"/>
        <v>2.174403298440267</v>
      </c>
      <c r="AP1215" s="8">
        <f t="shared" si="329"/>
        <v>0.87272455288027129</v>
      </c>
      <c r="AQ1215" s="8"/>
      <c r="AR1215" s="8">
        <f t="shared" si="330"/>
        <v>124.58413195995249</v>
      </c>
      <c r="AS1215" s="8">
        <f t="shared" si="331"/>
        <v>39.99656644251862</v>
      </c>
    </row>
    <row r="1216" spans="1:45">
      <c r="A1216" s="19">
        <v>39.506133329999997</v>
      </c>
      <c r="B1216" s="19">
        <v>606.09230969999999</v>
      </c>
      <c r="C1216" s="19">
        <v>-341.400238</v>
      </c>
      <c r="E1216" s="9">
        <f t="shared" si="317"/>
        <v>-353.90769030000001</v>
      </c>
      <c r="F1216" s="9">
        <f t="shared" si="322"/>
        <v>198.599762</v>
      </c>
      <c r="I1216">
        <v>1</v>
      </c>
      <c r="J1216">
        <f t="shared" si="318"/>
        <v>0.26246318776483341</v>
      </c>
      <c r="K1216">
        <f t="shared" si="323"/>
        <v>2.6302197165670682</v>
      </c>
      <c r="O1216">
        <f t="shared" si="324"/>
        <v>-0.22626832487145862</v>
      </c>
      <c r="P1216">
        <f t="shared" si="325"/>
        <v>0.12697332298577174</v>
      </c>
      <c r="Q1216">
        <f t="shared" si="326"/>
        <v>0.96575380942029676</v>
      </c>
      <c r="R1216">
        <f t="shared" si="316"/>
        <v>1</v>
      </c>
      <c r="AG1216" s="8">
        <f t="shared" si="319"/>
        <v>-0.43457715546998654</v>
      </c>
      <c r="AH1216" s="8">
        <f t="shared" si="320"/>
        <v>0.63104836118346708</v>
      </c>
      <c r="AI1216" s="8">
        <f t="shared" si="321"/>
        <v>0.64258903024505143</v>
      </c>
      <c r="AJ1216" s="8"/>
      <c r="AK1216" s="8"/>
      <c r="AL1216" s="8"/>
      <c r="AN1216" s="8">
        <f t="shared" si="327"/>
        <v>1</v>
      </c>
      <c r="AO1216" s="8">
        <f t="shared" si="328"/>
        <v>2.1738702841913158</v>
      </c>
      <c r="AP1216" s="8">
        <f t="shared" si="329"/>
        <v>0.87292382486344033</v>
      </c>
      <c r="AQ1216" s="8"/>
      <c r="AR1216" s="8">
        <f t="shared" si="330"/>
        <v>124.55359249306724</v>
      </c>
      <c r="AS1216" s="8">
        <f t="shared" si="331"/>
        <v>39.985148998907832</v>
      </c>
    </row>
    <row r="1217" spans="1:45">
      <c r="A1217" s="19">
        <v>39.539499999999997</v>
      </c>
      <c r="B1217" s="19">
        <v>605.69515699999999</v>
      </c>
      <c r="C1217" s="19">
        <v>-341.33176739999999</v>
      </c>
      <c r="E1217" s="9">
        <f t="shared" si="317"/>
        <v>-354.30484300000001</v>
      </c>
      <c r="F1217" s="9">
        <f t="shared" si="322"/>
        <v>198.66823260000001</v>
      </c>
      <c r="I1217">
        <v>1</v>
      </c>
      <c r="J1217">
        <f t="shared" si="318"/>
        <v>0.26270007317302535</v>
      </c>
      <c r="K1217">
        <f t="shared" si="323"/>
        <v>2.6305511891834992</v>
      </c>
      <c r="O1217">
        <f t="shared" si="324"/>
        <v>-0.22650993821384996</v>
      </c>
      <c r="P1217">
        <f t="shared" si="325"/>
        <v>0.1270102003411813</v>
      </c>
      <c r="Q1217">
        <f t="shared" si="326"/>
        <v>0.96569231999620397</v>
      </c>
      <c r="R1217">
        <f t="shared" si="316"/>
        <v>1</v>
      </c>
      <c r="AG1217" s="8">
        <f t="shared" si="319"/>
        <v>-0.43440131691542694</v>
      </c>
      <c r="AH1217" s="8">
        <f t="shared" si="320"/>
        <v>0.63122150947054312</v>
      </c>
      <c r="AI1217" s="8">
        <f t="shared" si="321"/>
        <v>0.64253786024161397</v>
      </c>
      <c r="AJ1217" s="8"/>
      <c r="AK1217" s="8"/>
      <c r="AL1217" s="8"/>
      <c r="AN1217" s="8">
        <f t="shared" si="327"/>
        <v>1</v>
      </c>
      <c r="AO1217" s="8">
        <f t="shared" si="328"/>
        <v>2.1735531234860761</v>
      </c>
      <c r="AP1217" s="8">
        <f t="shared" si="329"/>
        <v>0.87299060616619895</v>
      </c>
      <c r="AQ1217" s="8"/>
      <c r="AR1217" s="8">
        <f t="shared" si="330"/>
        <v>124.53542052322962</v>
      </c>
      <c r="AS1217" s="8">
        <f t="shared" si="331"/>
        <v>39.981322712109382</v>
      </c>
    </row>
    <row r="1218" spans="1:45">
      <c r="A1218" s="19">
        <v>39.572866670000003</v>
      </c>
      <c r="B1218" s="19">
        <v>604.93705939999995</v>
      </c>
      <c r="C1218" s="19">
        <v>-341.27831680000003</v>
      </c>
      <c r="E1218" s="9">
        <f t="shared" si="317"/>
        <v>-355.06294060000005</v>
      </c>
      <c r="F1218" s="9">
        <f t="shared" si="322"/>
        <v>198.72168319999997</v>
      </c>
      <c r="I1218">
        <v>1</v>
      </c>
      <c r="J1218">
        <f t="shared" si="318"/>
        <v>0.26312872375732288</v>
      </c>
      <c r="K1218">
        <f t="shared" si="323"/>
        <v>2.6313478488683604</v>
      </c>
      <c r="O1218">
        <f t="shared" si="324"/>
        <v>-0.22697224777589201</v>
      </c>
      <c r="P1218">
        <f t="shared" si="325"/>
        <v>0.12703186381967543</v>
      </c>
      <c r="Q1218">
        <f t="shared" si="326"/>
        <v>0.96558091546698377</v>
      </c>
      <c r="R1218">
        <f t="shared" si="316"/>
        <v>1</v>
      </c>
      <c r="AG1218" s="8">
        <f t="shared" si="319"/>
        <v>-0.43409848380431382</v>
      </c>
      <c r="AH1218" s="8">
        <f t="shared" si="320"/>
        <v>0.63156421768198245</v>
      </c>
      <c r="AI1218" s="8">
        <f t="shared" si="321"/>
        <v>0.64240574818609886</v>
      </c>
      <c r="AJ1218" s="8"/>
      <c r="AK1218" s="8"/>
      <c r="AL1218" s="8"/>
      <c r="AN1218" s="8">
        <f t="shared" si="327"/>
        <v>1.0000000000000002</v>
      </c>
      <c r="AO1218" s="8">
        <f t="shared" si="328"/>
        <v>2.1729740868086513</v>
      </c>
      <c r="AP1218" s="8">
        <f t="shared" si="329"/>
        <v>0.87316300659485468</v>
      </c>
      <c r="AQ1218" s="8"/>
      <c r="AR1218" s="8">
        <f t="shared" si="330"/>
        <v>124.5022441654299</v>
      </c>
      <c r="AS1218" s="8">
        <f t="shared" si="331"/>
        <v>39.971444895161163</v>
      </c>
    </row>
    <row r="1219" spans="1:45">
      <c r="A1219" s="19">
        <v>39.606233330000002</v>
      </c>
      <c r="B1219" s="19">
        <v>604.08626249999998</v>
      </c>
      <c r="C1219" s="19">
        <v>-341.21505150000002</v>
      </c>
      <c r="E1219" s="9">
        <f t="shared" si="317"/>
        <v>-355.91373750000002</v>
      </c>
      <c r="F1219" s="9">
        <f t="shared" si="322"/>
        <v>198.78494849999998</v>
      </c>
      <c r="I1219">
        <v>1</v>
      </c>
      <c r="J1219">
        <f t="shared" si="318"/>
        <v>0.26361086746807721</v>
      </c>
      <c r="K1219">
        <f t="shared" si="323"/>
        <v>2.632231700520828</v>
      </c>
      <c r="O1219">
        <f t="shared" si="324"/>
        <v>-0.22749086030097806</v>
      </c>
      <c r="P1219">
        <f t="shared" si="325"/>
        <v>0.12705820030099468</v>
      </c>
      <c r="Q1219">
        <f t="shared" si="326"/>
        <v>0.96545539628498278</v>
      </c>
      <c r="R1219">
        <f t="shared" si="316"/>
        <v>1</v>
      </c>
      <c r="AG1219" s="8">
        <f t="shared" si="319"/>
        <v>-0.43375718702004623</v>
      </c>
      <c r="AH1219" s="8">
        <f t="shared" si="320"/>
        <v>0.63194805265015952</v>
      </c>
      <c r="AI1219" s="8">
        <f t="shared" si="321"/>
        <v>0.64225879632756122</v>
      </c>
      <c r="AJ1219" s="8"/>
      <c r="AK1219" s="8"/>
      <c r="AL1219" s="8"/>
      <c r="AN1219" s="8">
        <f t="shared" si="327"/>
        <v>1</v>
      </c>
      <c r="AO1219" s="8">
        <f t="shared" si="328"/>
        <v>2.1723234789941408</v>
      </c>
      <c r="AP1219" s="8">
        <f t="shared" si="329"/>
        <v>0.87335474305001426</v>
      </c>
      <c r="AQ1219" s="8"/>
      <c r="AR1219" s="8">
        <f t="shared" si="330"/>
        <v>124.46496708354022</v>
      </c>
      <c r="AS1219" s="8">
        <f t="shared" si="331"/>
        <v>39.960459205501714</v>
      </c>
    </row>
    <row r="1220" spans="1:45">
      <c r="A1220" s="19">
        <v>39.639600000000002</v>
      </c>
      <c r="B1220" s="19">
        <v>603.60754970000005</v>
      </c>
      <c r="C1220" s="19">
        <v>-341.08408129999998</v>
      </c>
      <c r="E1220" s="9">
        <f t="shared" si="317"/>
        <v>-356.39245029999995</v>
      </c>
      <c r="F1220" s="9">
        <f t="shared" si="322"/>
        <v>198.91591870000002</v>
      </c>
      <c r="I1220">
        <v>1</v>
      </c>
      <c r="J1220">
        <f t="shared" si="318"/>
        <v>0.26391114909700958</v>
      </c>
      <c r="K1220">
        <f t="shared" si="323"/>
        <v>2.6325234718863193</v>
      </c>
      <c r="O1220">
        <f t="shared" si="324"/>
        <v>-0.22778105999382947</v>
      </c>
      <c r="P1220">
        <f t="shared" si="325"/>
        <v>0.12713310501665365</v>
      </c>
      <c r="Q1220">
        <f t="shared" si="326"/>
        <v>0.96537710886311778</v>
      </c>
      <c r="R1220">
        <f t="shared" si="316"/>
        <v>1</v>
      </c>
      <c r="AG1220" s="8">
        <f t="shared" si="319"/>
        <v>-0.43352460846975011</v>
      </c>
      <c r="AH1220" s="8">
        <f t="shared" si="320"/>
        <v>0.6321486356852698</v>
      </c>
      <c r="AI1220" s="8">
        <f t="shared" si="321"/>
        <v>0.64221843344177054</v>
      </c>
      <c r="AJ1220" s="8"/>
      <c r="AK1220" s="8"/>
      <c r="AL1220" s="8"/>
      <c r="AN1220" s="8">
        <f t="shared" si="327"/>
        <v>1</v>
      </c>
      <c r="AO1220" s="8">
        <f t="shared" si="328"/>
        <v>2.1719252319664024</v>
      </c>
      <c r="AP1220" s="8">
        <f t="shared" si="329"/>
        <v>0.87340740141225182</v>
      </c>
      <c r="AQ1220" s="8"/>
      <c r="AR1220" s="8">
        <f t="shared" si="330"/>
        <v>124.44214920964717</v>
      </c>
      <c r="AS1220" s="8">
        <f t="shared" si="331"/>
        <v>39.957442103589436</v>
      </c>
    </row>
    <row r="1221" spans="1:45">
      <c r="A1221" s="19">
        <v>39.672966670000001</v>
      </c>
      <c r="B1221" s="19">
        <v>602.92809869999996</v>
      </c>
      <c r="C1221" s="19">
        <v>-340.96129059999998</v>
      </c>
      <c r="E1221" s="9">
        <f t="shared" si="317"/>
        <v>-357.07190130000004</v>
      </c>
      <c r="F1221" s="9">
        <f t="shared" si="322"/>
        <v>199.03870940000002</v>
      </c>
      <c r="I1221">
        <v>1</v>
      </c>
      <c r="J1221">
        <f t="shared" si="318"/>
        <v>0.2643181635860859</v>
      </c>
      <c r="K1221">
        <f t="shared" si="323"/>
        <v>2.6330712219489079</v>
      </c>
      <c r="O1221">
        <f t="shared" si="324"/>
        <v>-0.22819384826965433</v>
      </c>
      <c r="P1221">
        <f t="shared" si="325"/>
        <v>0.12719961690419196</v>
      </c>
      <c r="Q1221">
        <f t="shared" si="326"/>
        <v>0.96527085580748406</v>
      </c>
      <c r="R1221">
        <f t="shared" si="316"/>
        <v>1</v>
      </c>
      <c r="AG1221" s="8">
        <f t="shared" si="319"/>
        <v>-0.43322130062073683</v>
      </c>
      <c r="AH1221" s="8">
        <f t="shared" si="320"/>
        <v>0.6324432794471182</v>
      </c>
      <c r="AI1221" s="8">
        <f t="shared" si="321"/>
        <v>0.64213301034182291</v>
      </c>
      <c r="AJ1221" s="8"/>
      <c r="AK1221" s="8"/>
      <c r="AL1221" s="8"/>
      <c r="AN1221" s="8">
        <f t="shared" si="327"/>
        <v>1.0000000000000002</v>
      </c>
      <c r="AO1221" s="8">
        <f t="shared" si="328"/>
        <v>2.1713815536823216</v>
      </c>
      <c r="AP1221" s="8">
        <f t="shared" si="329"/>
        <v>0.87351883872040414</v>
      </c>
      <c r="AQ1221" s="8"/>
      <c r="AR1221" s="8">
        <f t="shared" si="330"/>
        <v>124.41099873855643</v>
      </c>
      <c r="AS1221" s="8">
        <f t="shared" si="331"/>
        <v>39.951057216152009</v>
      </c>
    </row>
    <row r="1222" spans="1:45">
      <c r="A1222" s="19">
        <v>39.70633333</v>
      </c>
      <c r="B1222" s="19">
        <v>602.23582429999999</v>
      </c>
      <c r="C1222" s="19">
        <v>-340.71604489999999</v>
      </c>
      <c r="E1222" s="9">
        <f t="shared" si="317"/>
        <v>-357.76417570000001</v>
      </c>
      <c r="F1222" s="9">
        <f t="shared" si="322"/>
        <v>199.28395510000001</v>
      </c>
      <c r="I1222">
        <v>1</v>
      </c>
      <c r="J1222">
        <f t="shared" si="318"/>
        <v>0.26476926054660443</v>
      </c>
      <c r="K1222">
        <f t="shared" si="323"/>
        <v>2.6333711934357718</v>
      </c>
      <c r="O1222">
        <f t="shared" si="324"/>
        <v>-0.22861236827942075</v>
      </c>
      <c r="P1222">
        <f t="shared" si="325"/>
        <v>0.12734303776044828</v>
      </c>
      <c r="Q1222">
        <f t="shared" si="326"/>
        <v>0.96515290799106834</v>
      </c>
      <c r="R1222">
        <f t="shared" si="316"/>
        <v>1</v>
      </c>
      <c r="AG1222" s="8">
        <f t="shared" si="319"/>
        <v>-0.43286121222806689</v>
      </c>
      <c r="AH1222" s="8">
        <f t="shared" si="320"/>
        <v>0.63272405755870942</v>
      </c>
      <c r="AI1222" s="8">
        <f t="shared" si="321"/>
        <v>0.64209924305740429</v>
      </c>
      <c r="AJ1222" s="8"/>
      <c r="AK1222" s="8"/>
      <c r="AL1222" s="8"/>
      <c r="AN1222" s="8">
        <f t="shared" si="327"/>
        <v>1</v>
      </c>
      <c r="AO1222" s="8">
        <f t="shared" si="328"/>
        <v>2.1707870626776447</v>
      </c>
      <c r="AP1222" s="8">
        <f t="shared" si="329"/>
        <v>0.87356288641048785</v>
      </c>
      <c r="AQ1222" s="8"/>
      <c r="AR1222" s="8">
        <f t="shared" si="330"/>
        <v>124.37693691302995</v>
      </c>
      <c r="AS1222" s="8">
        <f t="shared" si="331"/>
        <v>39.948533469412908</v>
      </c>
    </row>
    <row r="1223" spans="1:45">
      <c r="A1223" s="19">
        <v>39.739699999999999</v>
      </c>
      <c r="B1223" s="19">
        <v>601.85135300000002</v>
      </c>
      <c r="C1223" s="19">
        <v>-340.51743529999999</v>
      </c>
      <c r="E1223" s="9">
        <f t="shared" si="317"/>
        <v>-358.14864699999998</v>
      </c>
      <c r="F1223" s="9">
        <f t="shared" si="322"/>
        <v>199.48256470000001</v>
      </c>
      <c r="I1223">
        <v>1</v>
      </c>
      <c r="J1223">
        <f t="shared" si="318"/>
        <v>0.26503866459934128</v>
      </c>
      <c r="K1223">
        <f t="shared" si="323"/>
        <v>2.6334043322752616</v>
      </c>
      <c r="O1223">
        <f t="shared" si="324"/>
        <v>-0.22884373707376418</v>
      </c>
      <c r="P1223">
        <f t="shared" si="325"/>
        <v>0.12746197973772319</v>
      </c>
      <c r="Q1223">
        <f t="shared" si="326"/>
        <v>0.96508237354303295</v>
      </c>
      <c r="R1223">
        <f t="shared" si="316"/>
        <v>1</v>
      </c>
      <c r="AG1223" s="8">
        <f t="shared" si="319"/>
        <v>-0.43263471353926208</v>
      </c>
      <c r="AH1223" s="8">
        <f t="shared" si="320"/>
        <v>0.63286990935304399</v>
      </c>
      <c r="AI1223" s="8">
        <f t="shared" si="321"/>
        <v>0.64210815481215511</v>
      </c>
      <c r="AJ1223" s="8"/>
      <c r="AK1223" s="8"/>
      <c r="AL1223" s="8"/>
      <c r="AN1223" s="8">
        <f t="shared" si="327"/>
        <v>1</v>
      </c>
      <c r="AO1223" s="8">
        <f t="shared" si="328"/>
        <v>2.1704357886251979</v>
      </c>
      <c r="AP1223" s="8">
        <f t="shared" si="329"/>
        <v>0.87355126164148589</v>
      </c>
      <c r="AQ1223" s="8"/>
      <c r="AR1223" s="8">
        <f t="shared" si="330"/>
        <v>124.3568103923723</v>
      </c>
      <c r="AS1223" s="8">
        <f t="shared" si="331"/>
        <v>39.949199519614538</v>
      </c>
    </row>
    <row r="1224" spans="1:45">
      <c r="A1224" s="19">
        <v>39.773066669999999</v>
      </c>
      <c r="B1224" s="19">
        <v>601.20456439999998</v>
      </c>
      <c r="C1224" s="19">
        <v>-340.4362261</v>
      </c>
      <c r="E1224" s="9">
        <f t="shared" si="317"/>
        <v>-358.79543560000002</v>
      </c>
      <c r="F1224" s="9">
        <f t="shared" si="322"/>
        <v>199.5637739</v>
      </c>
      <c r="I1224">
        <v>1</v>
      </c>
      <c r="J1224">
        <f t="shared" si="318"/>
        <v>0.26541521025308606</v>
      </c>
      <c r="K1224">
        <f t="shared" si="323"/>
        <v>2.6339981004760675</v>
      </c>
      <c r="O1224">
        <f t="shared" si="324"/>
        <v>-0.22923694241299827</v>
      </c>
      <c r="P1224">
        <f t="shared" si="325"/>
        <v>0.12750270713096803</v>
      </c>
      <c r="Q1224">
        <f t="shared" si="326"/>
        <v>0.96498367028018373</v>
      </c>
      <c r="R1224">
        <f t="shared" si="316"/>
        <v>1</v>
      </c>
      <c r="AG1224" s="8">
        <f t="shared" si="319"/>
        <v>-0.43236110817557855</v>
      </c>
      <c r="AH1224" s="8">
        <f t="shared" si="320"/>
        <v>0.63315566958201852</v>
      </c>
      <c r="AI1224" s="8">
        <f t="shared" si="321"/>
        <v>0.64201072437563811</v>
      </c>
      <c r="AJ1224" s="8"/>
      <c r="AK1224" s="8"/>
      <c r="AL1224" s="8"/>
      <c r="AN1224" s="8">
        <f t="shared" si="327"/>
        <v>1</v>
      </c>
      <c r="AO1224" s="8">
        <f t="shared" si="328"/>
        <v>2.1699308434509854</v>
      </c>
      <c r="AP1224" s="8">
        <f t="shared" si="329"/>
        <v>0.87367834677674783</v>
      </c>
      <c r="AQ1224" s="8"/>
      <c r="AR1224" s="8">
        <f t="shared" si="330"/>
        <v>124.32787916500442</v>
      </c>
      <c r="AS1224" s="8">
        <f t="shared" si="331"/>
        <v>39.941918077725177</v>
      </c>
    </row>
    <row r="1225" spans="1:45">
      <c r="A1225" s="19">
        <v>39.806433329999997</v>
      </c>
      <c r="B1225" s="19">
        <v>600.80088239999998</v>
      </c>
      <c r="C1225" s="19">
        <v>-340.2893894</v>
      </c>
      <c r="E1225" s="9">
        <f t="shared" si="317"/>
        <v>-359.19911760000002</v>
      </c>
      <c r="F1225" s="9">
        <f t="shared" si="322"/>
        <v>199.7106106</v>
      </c>
      <c r="I1225">
        <v>1</v>
      </c>
      <c r="J1225">
        <f t="shared" si="318"/>
        <v>0.26567931951468871</v>
      </c>
      <c r="K1225">
        <f t="shared" si="323"/>
        <v>2.6341633070392136</v>
      </c>
      <c r="O1225">
        <f t="shared" si="324"/>
        <v>-0.22948074331570717</v>
      </c>
      <c r="P1225">
        <f t="shared" si="325"/>
        <v>0.12758867470147087</v>
      </c>
      <c r="Q1225">
        <f t="shared" si="326"/>
        <v>0.96491435813505888</v>
      </c>
      <c r="R1225">
        <f t="shared" si="316"/>
        <v>1</v>
      </c>
      <c r="AG1225" s="8">
        <f t="shared" si="319"/>
        <v>-0.43214949272791892</v>
      </c>
      <c r="AH1225" s="8">
        <f t="shared" si="320"/>
        <v>0.63331852766666252</v>
      </c>
      <c r="AI1225" s="8">
        <f t="shared" si="321"/>
        <v>0.64199256884260991</v>
      </c>
      <c r="AJ1225" s="8"/>
      <c r="AK1225" s="8"/>
      <c r="AL1225" s="8"/>
      <c r="AN1225" s="8">
        <f t="shared" si="327"/>
        <v>1</v>
      </c>
      <c r="AO1225" s="8">
        <f t="shared" si="328"/>
        <v>2.1695831278266375</v>
      </c>
      <c r="AP1225" s="8">
        <f t="shared" si="329"/>
        <v>0.87370202677659292</v>
      </c>
      <c r="AQ1225" s="8"/>
      <c r="AR1225" s="8">
        <f t="shared" si="330"/>
        <v>124.30795652725853</v>
      </c>
      <c r="AS1225" s="8">
        <f t="shared" si="331"/>
        <v>39.940561313675182</v>
      </c>
    </row>
    <row r="1226" spans="1:45">
      <c r="A1226" s="19">
        <v>39.839799999999997</v>
      </c>
      <c r="B1226" s="19">
        <v>599.95451920000005</v>
      </c>
      <c r="C1226" s="19">
        <v>-340.05437869999997</v>
      </c>
      <c r="E1226" s="9">
        <f t="shared" si="317"/>
        <v>-360.04548079999995</v>
      </c>
      <c r="F1226" s="9">
        <f t="shared" si="322"/>
        <v>199.94562130000003</v>
      </c>
      <c r="I1226">
        <v>1</v>
      </c>
      <c r="J1226">
        <f t="shared" si="318"/>
        <v>0.26621094401612283</v>
      </c>
      <c r="K1226">
        <f t="shared" si="323"/>
        <v>2.6346632032209114</v>
      </c>
      <c r="O1226">
        <f t="shared" si="324"/>
        <v>-0.22999292368754101</v>
      </c>
      <c r="P1226">
        <f t="shared" si="325"/>
        <v>0.12772296966241747</v>
      </c>
      <c r="Q1226">
        <f t="shared" si="326"/>
        <v>0.96477463589911505</v>
      </c>
      <c r="R1226">
        <f t="shared" si="316"/>
        <v>1</v>
      </c>
      <c r="AG1226" s="8">
        <f t="shared" si="319"/>
        <v>-0.43173674798517603</v>
      </c>
      <c r="AH1226" s="8">
        <f t="shared" si="320"/>
        <v>0.63367144525873753</v>
      </c>
      <c r="AI1226" s="8">
        <f t="shared" si="321"/>
        <v>0.64192202011061084</v>
      </c>
      <c r="AJ1226" s="8"/>
      <c r="AK1226" s="8"/>
      <c r="AL1226" s="8"/>
      <c r="AN1226" s="8">
        <f t="shared" si="327"/>
        <v>1</v>
      </c>
      <c r="AO1226" s="8">
        <f t="shared" si="328"/>
        <v>2.1688790649889667</v>
      </c>
      <c r="AP1226" s="8">
        <f t="shared" si="329"/>
        <v>0.87379403801352762</v>
      </c>
      <c r="AQ1226" s="8"/>
      <c r="AR1226" s="8">
        <f t="shared" si="330"/>
        <v>124.26761669814798</v>
      </c>
      <c r="AS1226" s="8">
        <f t="shared" si="331"/>
        <v>39.935289458131045</v>
      </c>
    </row>
    <row r="1227" spans="1:45">
      <c r="A1227" s="19">
        <v>39.873166670000003</v>
      </c>
      <c r="B1227" s="19">
        <v>599.31161910000003</v>
      </c>
      <c r="C1227" s="19">
        <v>-339.85566269999998</v>
      </c>
      <c r="E1227" s="9">
        <f t="shared" si="317"/>
        <v>-360.68838089999997</v>
      </c>
      <c r="F1227" s="9">
        <f t="shared" si="322"/>
        <v>200.14433730000002</v>
      </c>
      <c r="I1227">
        <v>1</v>
      </c>
      <c r="J1227">
        <f t="shared" si="318"/>
        <v>0.26662081420767769</v>
      </c>
      <c r="K1227">
        <f t="shared" si="323"/>
        <v>2.6349987195858873</v>
      </c>
      <c r="O1227">
        <f t="shared" si="324"/>
        <v>-0.23038151148807967</v>
      </c>
      <c r="P1227">
        <f t="shared" si="325"/>
        <v>0.1278376498513763</v>
      </c>
      <c r="Q1227">
        <f t="shared" si="326"/>
        <v>0.96466672713686186</v>
      </c>
      <c r="R1227">
        <f t="shared" si="316"/>
        <v>1</v>
      </c>
      <c r="AG1227" s="8">
        <f t="shared" si="319"/>
        <v>-0.4314146351866906</v>
      </c>
      <c r="AH1227" s="8">
        <f t="shared" si="320"/>
        <v>0.63393609229272574</v>
      </c>
      <c r="AI1227" s="8">
        <f t="shared" si="321"/>
        <v>0.64187728066614369</v>
      </c>
      <c r="AJ1227" s="8"/>
      <c r="AK1227" s="8"/>
      <c r="AL1227" s="8"/>
      <c r="AN1227" s="8">
        <f t="shared" si="327"/>
        <v>1</v>
      </c>
      <c r="AO1227" s="8">
        <f t="shared" si="328"/>
        <v>2.1683375843976922</v>
      </c>
      <c r="AP1227" s="8">
        <f t="shared" si="329"/>
        <v>0.87385238452699543</v>
      </c>
      <c r="AQ1227" s="8"/>
      <c r="AR1227" s="8">
        <f t="shared" si="330"/>
        <v>124.23659214557971</v>
      </c>
      <c r="AS1227" s="8">
        <f t="shared" si="331"/>
        <v>39.931946449160037</v>
      </c>
    </row>
    <row r="1228" spans="1:45">
      <c r="A1228" s="19">
        <v>39.906533330000002</v>
      </c>
      <c r="B1228" s="19">
        <v>598.79969449999999</v>
      </c>
      <c r="C1228" s="19">
        <v>-339.61016569999998</v>
      </c>
      <c r="E1228" s="9">
        <f t="shared" si="317"/>
        <v>-361.20030550000001</v>
      </c>
      <c r="F1228" s="9">
        <f t="shared" si="322"/>
        <v>200.38983430000002</v>
      </c>
      <c r="I1228">
        <v>1</v>
      </c>
      <c r="J1228">
        <f t="shared" si="318"/>
        <v>0.26697347967985724</v>
      </c>
      <c r="K1228">
        <f t="shared" si="323"/>
        <v>2.6350803622098158</v>
      </c>
      <c r="O1228">
        <f t="shared" si="324"/>
        <v>-0.23068942255722089</v>
      </c>
      <c r="P1228">
        <f t="shared" si="325"/>
        <v>0.12798387614044862</v>
      </c>
      <c r="Q1228">
        <f t="shared" si="326"/>
        <v>0.96457374926351913</v>
      </c>
      <c r="R1228">
        <f t="shared" si="316"/>
        <v>1</v>
      </c>
      <c r="AG1228" s="8">
        <f t="shared" si="319"/>
        <v>-0.43112108356012985</v>
      </c>
      <c r="AH1228" s="8">
        <f t="shared" si="320"/>
        <v>0.63413269980594089</v>
      </c>
      <c r="AI1228" s="8">
        <f t="shared" si="321"/>
        <v>0.64188030842733301</v>
      </c>
      <c r="AJ1228" s="8"/>
      <c r="AK1228" s="8"/>
      <c r="AL1228" s="8"/>
      <c r="AN1228" s="8">
        <f t="shared" si="327"/>
        <v>1.0000000000000002</v>
      </c>
      <c r="AO1228" s="8">
        <f t="shared" si="328"/>
        <v>2.1678768425551835</v>
      </c>
      <c r="AP1228" s="8">
        <f t="shared" si="329"/>
        <v>0.87384843599144968</v>
      </c>
      <c r="AQ1228" s="8"/>
      <c r="AR1228" s="8">
        <f t="shared" si="330"/>
        <v>124.21019358255887</v>
      </c>
      <c r="AS1228" s="8">
        <f t="shared" si="331"/>
        <v>39.932172683582067</v>
      </c>
    </row>
    <row r="1229" spans="1:45">
      <c r="A1229" s="19">
        <v>39.939900000000002</v>
      </c>
      <c r="B1229" s="19">
        <v>598.06792159999998</v>
      </c>
      <c r="C1229" s="19">
        <v>-339.75183779999998</v>
      </c>
      <c r="E1229" s="9">
        <f t="shared" si="317"/>
        <v>-361.93207840000002</v>
      </c>
      <c r="F1229" s="9">
        <f t="shared" si="322"/>
        <v>200.24816220000002</v>
      </c>
      <c r="I1229">
        <v>1</v>
      </c>
      <c r="J1229">
        <f t="shared" si="318"/>
        <v>0.26732900311277974</v>
      </c>
      <c r="K1229">
        <f t="shared" si="323"/>
        <v>2.6362381197968103</v>
      </c>
      <c r="O1229">
        <f t="shared" si="324"/>
        <v>-0.23113749111602888</v>
      </c>
      <c r="P1229">
        <f t="shared" si="325"/>
        <v>0.12788271770801848</v>
      </c>
      <c r="Q1229">
        <f t="shared" si="326"/>
        <v>0.96447989647902921</v>
      </c>
      <c r="R1229">
        <f t="shared" si="316"/>
        <v>1</v>
      </c>
      <c r="AG1229" s="8">
        <f t="shared" si="319"/>
        <v>-0.4309106108689989</v>
      </c>
      <c r="AH1229" s="8">
        <f t="shared" si="320"/>
        <v>0.63449262497244874</v>
      </c>
      <c r="AI1229" s="8">
        <f t="shared" si="321"/>
        <v>0.64166592109607767</v>
      </c>
      <c r="AJ1229" s="8"/>
      <c r="AK1229" s="8"/>
      <c r="AL1229" s="8"/>
      <c r="AN1229" s="8">
        <f t="shared" si="327"/>
        <v>1</v>
      </c>
      <c r="AO1229" s="8">
        <f t="shared" si="328"/>
        <v>2.1673860661809132</v>
      </c>
      <c r="AP1229" s="8">
        <f t="shared" si="329"/>
        <v>0.87412798854541629</v>
      </c>
      <c r="AQ1229" s="8"/>
      <c r="AR1229" s="8">
        <f t="shared" si="330"/>
        <v>124.18207416762846</v>
      </c>
      <c r="AS1229" s="8">
        <f t="shared" si="331"/>
        <v>39.916155502087676</v>
      </c>
    </row>
    <row r="1230" spans="1:45">
      <c r="A1230" s="19">
        <v>39.973266670000001</v>
      </c>
      <c r="B1230" s="19">
        <v>597.53410819999999</v>
      </c>
      <c r="C1230" s="19">
        <v>-339.90975270000001</v>
      </c>
      <c r="E1230" s="9">
        <f t="shared" si="317"/>
        <v>-362.46589180000001</v>
      </c>
      <c r="F1230" s="9">
        <f t="shared" si="322"/>
        <v>200.09024729999999</v>
      </c>
      <c r="I1230">
        <v>1</v>
      </c>
      <c r="J1230">
        <f t="shared" si="318"/>
        <v>0.26757212137839498</v>
      </c>
      <c r="K1230">
        <f t="shared" si="323"/>
        <v>2.6371960413949003</v>
      </c>
      <c r="O1230">
        <f t="shared" si="324"/>
        <v>-0.23146516150021337</v>
      </c>
      <c r="P1230">
        <f t="shared" si="325"/>
        <v>0.12777456432084661</v>
      </c>
      <c r="Q1230">
        <f t="shared" si="326"/>
        <v>0.9644156467645566</v>
      </c>
      <c r="R1230">
        <f t="shared" si="316"/>
        <v>1</v>
      </c>
      <c r="AG1230" s="8">
        <f t="shared" si="319"/>
        <v>-0.4307802018654267</v>
      </c>
      <c r="AH1230" s="8">
        <f t="shared" si="320"/>
        <v>0.6347638126762305</v>
      </c>
      <c r="AI1230" s="8">
        <f t="shared" si="321"/>
        <v>0.64148524519081318</v>
      </c>
      <c r="AJ1230" s="8"/>
      <c r="AK1230" s="8"/>
      <c r="AL1230" s="8"/>
      <c r="AN1230" s="8">
        <f t="shared" si="327"/>
        <v>1.0000000000000002</v>
      </c>
      <c r="AO1230" s="8">
        <f t="shared" si="328"/>
        <v>2.1670468280032518</v>
      </c>
      <c r="AP1230" s="8">
        <f t="shared" si="329"/>
        <v>0.87436353198190808</v>
      </c>
      <c r="AQ1230" s="8"/>
      <c r="AR1230" s="8">
        <f t="shared" si="330"/>
        <v>124.16263725179874</v>
      </c>
      <c r="AS1230" s="8">
        <f t="shared" si="331"/>
        <v>39.902659857284689</v>
      </c>
    </row>
    <row r="1231" spans="1:45">
      <c r="A1231" s="19">
        <v>40.00663333</v>
      </c>
      <c r="B1231" s="19">
        <v>596.90083170000003</v>
      </c>
      <c r="C1231" s="19">
        <v>-339.67134859999999</v>
      </c>
      <c r="E1231" s="9">
        <f t="shared" si="317"/>
        <v>-363.09916829999997</v>
      </c>
      <c r="F1231" s="9">
        <f t="shared" si="322"/>
        <v>200.32865140000001</v>
      </c>
      <c r="I1231">
        <v>1</v>
      </c>
      <c r="J1231">
        <f t="shared" si="318"/>
        <v>0.26798860602018365</v>
      </c>
      <c r="K1231">
        <f t="shared" si="323"/>
        <v>2.637430754844849</v>
      </c>
      <c r="O1231">
        <f t="shared" si="324"/>
        <v>-0.23184681453570624</v>
      </c>
      <c r="P1231">
        <f t="shared" si="325"/>
        <v>0.12791425522889027</v>
      </c>
      <c r="Q1231">
        <f t="shared" si="326"/>
        <v>0.96430544844405197</v>
      </c>
      <c r="R1231">
        <f t="shared" si="316"/>
        <v>1</v>
      </c>
      <c r="AG1231" s="8">
        <f t="shared" si="319"/>
        <v>-0.43044474943773015</v>
      </c>
      <c r="AH1231" s="8">
        <f t="shared" si="320"/>
        <v>0.63501706954825177</v>
      </c>
      <c r="AI1231" s="8">
        <f t="shared" si="321"/>
        <v>0.6414597719762638</v>
      </c>
      <c r="AJ1231" s="8"/>
      <c r="AK1231" s="8"/>
      <c r="AL1231" s="8"/>
      <c r="AN1231" s="8">
        <f t="shared" si="327"/>
        <v>0.99999999999999978</v>
      </c>
      <c r="AO1231" s="8">
        <f t="shared" si="328"/>
        <v>2.1664996334410782</v>
      </c>
      <c r="AP1231" s="8">
        <f t="shared" si="329"/>
        <v>0.87439673715248356</v>
      </c>
      <c r="AQ1231" s="8"/>
      <c r="AR1231" s="8">
        <f t="shared" si="330"/>
        <v>124.13128531281369</v>
      </c>
      <c r="AS1231" s="8">
        <f t="shared" si="331"/>
        <v>39.900757341152705</v>
      </c>
    </row>
    <row r="1232" spans="1:45">
      <c r="A1232" s="19">
        <v>40.04</v>
      </c>
      <c r="B1232" s="19">
        <v>596.28669179999997</v>
      </c>
      <c r="C1232" s="19">
        <v>-339.55565300000001</v>
      </c>
      <c r="E1232" s="9">
        <f t="shared" si="317"/>
        <v>-363.71330820000003</v>
      </c>
      <c r="F1232" s="9">
        <f t="shared" si="322"/>
        <v>200.44434699999999</v>
      </c>
      <c r="I1232">
        <v>1</v>
      </c>
      <c r="J1232">
        <f t="shared" si="318"/>
        <v>0.26835776339620937</v>
      </c>
      <c r="K1232">
        <f t="shared" si="323"/>
        <v>2.6379012079051471</v>
      </c>
      <c r="O1232">
        <f t="shared" si="324"/>
        <v>-0.23221872084072093</v>
      </c>
      <c r="P1232">
        <f t="shared" si="325"/>
        <v>0.12797697750036197</v>
      </c>
      <c r="Q1232">
        <f t="shared" si="326"/>
        <v>0.96420763268134901</v>
      </c>
      <c r="R1232">
        <f t="shared" si="316"/>
        <v>1</v>
      </c>
      <c r="AG1232" s="8">
        <f t="shared" si="319"/>
        <v>-0.4301684506370676</v>
      </c>
      <c r="AH1232" s="8">
        <f t="shared" si="320"/>
        <v>0.63528106106965276</v>
      </c>
      <c r="AI1232" s="8">
        <f t="shared" si="321"/>
        <v>0.64138372096797169</v>
      </c>
      <c r="AJ1232" s="8"/>
      <c r="AK1232" s="8"/>
      <c r="AL1232" s="8"/>
      <c r="AN1232" s="8">
        <f t="shared" si="327"/>
        <v>1</v>
      </c>
      <c r="AO1232" s="8">
        <f t="shared" si="328"/>
        <v>2.1660084697176383</v>
      </c>
      <c r="AP1232" s="8">
        <f t="shared" si="329"/>
        <v>0.87449586665156764</v>
      </c>
      <c r="AQ1232" s="8"/>
      <c r="AR1232" s="8">
        <f t="shared" si="330"/>
        <v>124.10314370441066</v>
      </c>
      <c r="AS1232" s="8">
        <f t="shared" si="331"/>
        <v>39.895077639229939</v>
      </c>
    </row>
    <row r="1233" spans="1:45">
      <c r="A1233" s="19">
        <v>40.073366669999999</v>
      </c>
      <c r="B1233" s="19">
        <v>595.81390429999999</v>
      </c>
      <c r="C1233" s="19">
        <v>-339.43015780000002</v>
      </c>
      <c r="E1233" s="9">
        <f t="shared" si="317"/>
        <v>-364.18609570000001</v>
      </c>
      <c r="F1233" s="9">
        <f t="shared" si="322"/>
        <v>200.56984219999998</v>
      </c>
      <c r="I1233">
        <v>1</v>
      </c>
      <c r="J1233">
        <f t="shared" si="318"/>
        <v>0.2686528700437858</v>
      </c>
      <c r="K1233">
        <f t="shared" si="323"/>
        <v>2.6381857128126027</v>
      </c>
      <c r="O1233">
        <f t="shared" si="324"/>
        <v>-0.23250435611234119</v>
      </c>
      <c r="P1233">
        <f t="shared" si="325"/>
        <v>0.12804816704116942</v>
      </c>
      <c r="Q1233">
        <f t="shared" si="326"/>
        <v>0.9641293436599585</v>
      </c>
      <c r="R1233">
        <f t="shared" si="316"/>
        <v>1</v>
      </c>
      <c r="AG1233" s="8">
        <f t="shared" si="319"/>
        <v>-0.42994027747925889</v>
      </c>
      <c r="AH1233" s="8">
        <f t="shared" si="320"/>
        <v>0.63547834294989713</v>
      </c>
      <c r="AI1233" s="8">
        <f t="shared" si="321"/>
        <v>0.64134127688985598</v>
      </c>
      <c r="AJ1233" s="8"/>
      <c r="AK1233" s="8"/>
      <c r="AL1233" s="8"/>
      <c r="AN1233" s="8">
        <f t="shared" si="327"/>
        <v>1</v>
      </c>
      <c r="AO1233" s="8">
        <f t="shared" si="328"/>
        <v>2.1656180562043925</v>
      </c>
      <c r="AP1233" s="8">
        <f t="shared" si="329"/>
        <v>0.87455118726689818</v>
      </c>
      <c r="AQ1233" s="8"/>
      <c r="AR1233" s="8">
        <f t="shared" si="330"/>
        <v>124.0807746578368</v>
      </c>
      <c r="AS1233" s="8">
        <f t="shared" si="331"/>
        <v>39.891908001451434</v>
      </c>
    </row>
    <row r="1234" spans="1:45">
      <c r="A1234" s="19">
        <v>40.106733329999997</v>
      </c>
      <c r="B1234" s="19">
        <v>595.03154500000005</v>
      </c>
      <c r="C1234" s="19">
        <v>-339.3527277</v>
      </c>
      <c r="E1234" s="9">
        <f t="shared" si="317"/>
        <v>-364.96845499999995</v>
      </c>
      <c r="F1234" s="9">
        <f t="shared" si="322"/>
        <v>200.6472723</v>
      </c>
      <c r="I1234">
        <v>1</v>
      </c>
      <c r="J1234">
        <f t="shared" si="318"/>
        <v>0.26910214824985512</v>
      </c>
      <c r="K1234">
        <f t="shared" si="323"/>
        <v>2.6389290630206701</v>
      </c>
      <c r="O1234">
        <f t="shared" si="324"/>
        <v>-0.23297903419925325</v>
      </c>
      <c r="P1234">
        <f t="shared" si="325"/>
        <v>0.1280839674628006</v>
      </c>
      <c r="Q1234">
        <f t="shared" si="326"/>
        <v>0.96400999315493163</v>
      </c>
      <c r="R1234">
        <f t="shared" si="316"/>
        <v>1</v>
      </c>
      <c r="AG1234" s="8">
        <f t="shared" si="319"/>
        <v>-0.42961795115418533</v>
      </c>
      <c r="AH1234" s="8">
        <f t="shared" si="320"/>
        <v>0.63582552729369179</v>
      </c>
      <c r="AI1234" s="8">
        <f t="shared" si="321"/>
        <v>0.64121315869824347</v>
      </c>
      <c r="AJ1234" s="8"/>
      <c r="AK1234" s="8"/>
      <c r="AL1234" s="8"/>
      <c r="AN1234" s="8">
        <f t="shared" si="327"/>
        <v>1</v>
      </c>
      <c r="AO1234" s="8">
        <f t="shared" si="328"/>
        <v>2.165016626358093</v>
      </c>
      <c r="AP1234" s="8">
        <f t="shared" si="329"/>
        <v>0.87471815799897079</v>
      </c>
      <c r="AQ1234" s="8"/>
      <c r="AR1234" s="8">
        <f t="shared" si="330"/>
        <v>124.04631526597063</v>
      </c>
      <c r="AS1234" s="8">
        <f t="shared" si="331"/>
        <v>39.882341283201463</v>
      </c>
    </row>
    <row r="1235" spans="1:45">
      <c r="A1235" s="19">
        <v>40.140099999999997</v>
      </c>
      <c r="B1235" s="19">
        <v>594.54204970000001</v>
      </c>
      <c r="C1235" s="19">
        <v>-339.21234509999999</v>
      </c>
      <c r="E1235" s="9">
        <f t="shared" si="317"/>
        <v>-365.45795029999999</v>
      </c>
      <c r="F1235" s="9">
        <f t="shared" si="322"/>
        <v>200.78765490000001</v>
      </c>
      <c r="I1235">
        <v>1</v>
      </c>
      <c r="J1235">
        <f t="shared" si="318"/>
        <v>0.2694107723508396</v>
      </c>
      <c r="K1235">
        <f t="shared" si="323"/>
        <v>2.6391995828795158</v>
      </c>
      <c r="O1235">
        <f t="shared" si="324"/>
        <v>-0.23327441722467043</v>
      </c>
      <c r="P1235">
        <f t="shared" si="325"/>
        <v>0.12816419274572216</v>
      </c>
      <c r="Q1235">
        <f t="shared" si="326"/>
        <v>0.96392789458876427</v>
      </c>
      <c r="R1235">
        <f t="shared" si="316"/>
        <v>1</v>
      </c>
      <c r="AG1235" s="8">
        <f t="shared" si="319"/>
        <v>-0.42937726116280001</v>
      </c>
      <c r="AH1235" s="8">
        <f t="shared" si="320"/>
        <v>0.6360278624032869</v>
      </c>
      <c r="AI1235" s="8">
        <f t="shared" si="321"/>
        <v>0.64117370956944131</v>
      </c>
      <c r="AJ1235" s="8"/>
      <c r="AK1235" s="8"/>
      <c r="AL1235" s="8"/>
      <c r="AN1235" s="8">
        <f t="shared" si="327"/>
        <v>1.0000000000000002</v>
      </c>
      <c r="AO1235" s="8">
        <f t="shared" si="328"/>
        <v>2.1646091285341571</v>
      </c>
      <c r="AP1235" s="8">
        <f t="shared" si="329"/>
        <v>0.87476956560033836</v>
      </c>
      <c r="AQ1235" s="8"/>
      <c r="AR1235" s="8">
        <f t="shared" si="330"/>
        <v>124.02296736049834</v>
      </c>
      <c r="AS1235" s="8">
        <f t="shared" si="331"/>
        <v>39.879395844608212</v>
      </c>
    </row>
    <row r="1236" spans="1:45">
      <c r="A1236" s="19">
        <v>40.173466670000003</v>
      </c>
      <c r="B1236" s="19">
        <v>593.87651449999998</v>
      </c>
      <c r="C1236" s="19">
        <v>-338.93940120000002</v>
      </c>
      <c r="E1236" s="9">
        <f t="shared" si="317"/>
        <v>-366.12348550000002</v>
      </c>
      <c r="F1236" s="9">
        <f t="shared" si="322"/>
        <v>201.06059879999998</v>
      </c>
      <c r="I1236">
        <v>1</v>
      </c>
      <c r="J1236">
        <f t="shared" si="318"/>
        <v>0.26985488220701692</v>
      </c>
      <c r="K1236">
        <f t="shared" si="323"/>
        <v>2.6393941118230591</v>
      </c>
      <c r="O1236">
        <f t="shared" si="324"/>
        <v>-0.23367455351845479</v>
      </c>
      <c r="P1236">
        <f t="shared" si="325"/>
        <v>0.12832486173505303</v>
      </c>
      <c r="Q1236">
        <f t="shared" si="326"/>
        <v>0.9638095936950567</v>
      </c>
      <c r="R1236">
        <f t="shared" si="316"/>
        <v>1</v>
      </c>
      <c r="AG1236" s="8">
        <f t="shared" si="319"/>
        <v>-0.42901518307641884</v>
      </c>
      <c r="AH1236" s="8">
        <f t="shared" si="320"/>
        <v>0.63628962085266305</v>
      </c>
      <c r="AI1236" s="8">
        <f t="shared" si="321"/>
        <v>0.64115637022888672</v>
      </c>
      <c r="AJ1236" s="8"/>
      <c r="AK1236" s="8"/>
      <c r="AL1236" s="8"/>
      <c r="AN1236" s="8">
        <f t="shared" si="327"/>
        <v>1.0000000000000002</v>
      </c>
      <c r="AO1236" s="8">
        <f t="shared" si="328"/>
        <v>2.1640272290679436</v>
      </c>
      <c r="AP1236" s="8">
        <f t="shared" si="329"/>
        <v>0.87479216043011521</v>
      </c>
      <c r="AQ1236" s="8"/>
      <c r="AR1236" s="8">
        <f t="shared" si="330"/>
        <v>123.98962697698339</v>
      </c>
      <c r="AS1236" s="8">
        <f t="shared" si="331"/>
        <v>39.878101256223182</v>
      </c>
    </row>
    <row r="1237" spans="1:45">
      <c r="A1237" s="19">
        <v>40.206833330000002</v>
      </c>
      <c r="B1237" s="19">
        <v>593.14841049999995</v>
      </c>
      <c r="C1237" s="19">
        <v>-338.89718360000001</v>
      </c>
      <c r="E1237" s="9">
        <f t="shared" si="317"/>
        <v>-366.85158950000005</v>
      </c>
      <c r="F1237" s="9">
        <f t="shared" si="322"/>
        <v>201.10281639999999</v>
      </c>
      <c r="I1237">
        <v>1</v>
      </c>
      <c r="J1237">
        <f t="shared" si="318"/>
        <v>0.27026404839339552</v>
      </c>
      <c r="K1237">
        <f t="shared" si="323"/>
        <v>2.6401434023417818</v>
      </c>
      <c r="O1237">
        <f t="shared" si="324"/>
        <v>-0.234116428533657</v>
      </c>
      <c r="P1237">
        <f t="shared" si="325"/>
        <v>0.12833929166777608</v>
      </c>
      <c r="Q1237">
        <f t="shared" si="326"/>
        <v>0.96370043276158102</v>
      </c>
      <c r="R1237">
        <f t="shared" si="316"/>
        <v>1</v>
      </c>
      <c r="AG1237" s="8">
        <f t="shared" si="319"/>
        <v>-0.42872782058743469</v>
      </c>
      <c r="AH1237" s="8">
        <f t="shared" si="320"/>
        <v>0.6366169941974229</v>
      </c>
      <c r="AI1237" s="8">
        <f t="shared" si="321"/>
        <v>0.6410236021812199</v>
      </c>
      <c r="AJ1237" s="8"/>
      <c r="AK1237" s="8"/>
      <c r="AL1237" s="8"/>
      <c r="AN1237" s="8">
        <f t="shared" si="327"/>
        <v>1</v>
      </c>
      <c r="AO1237" s="8">
        <f t="shared" si="328"/>
        <v>2.1634783463270111</v>
      </c>
      <c r="AP1237" s="8">
        <f t="shared" si="329"/>
        <v>0.87496515584205414</v>
      </c>
      <c r="AQ1237" s="8"/>
      <c r="AR1237" s="8">
        <f t="shared" si="330"/>
        <v>123.95817831248038</v>
      </c>
      <c r="AS1237" s="8">
        <f t="shared" si="331"/>
        <v>39.868189349243956</v>
      </c>
    </row>
    <row r="1238" spans="1:45">
      <c r="A1238" s="19">
        <v>40.240200000000002</v>
      </c>
      <c r="B1238" s="19">
        <v>592.67347529999995</v>
      </c>
      <c r="C1238" s="19">
        <v>-338.8386428</v>
      </c>
      <c r="E1238" s="9">
        <f t="shared" si="317"/>
        <v>-367.32652470000005</v>
      </c>
      <c r="F1238" s="9">
        <f t="shared" si="322"/>
        <v>201.1613572</v>
      </c>
      <c r="I1238">
        <v>1</v>
      </c>
      <c r="J1238">
        <f t="shared" si="318"/>
        <v>0.27054022357536001</v>
      </c>
      <c r="K1238">
        <f t="shared" si="323"/>
        <v>2.6405659562925536</v>
      </c>
      <c r="O1238">
        <f t="shared" si="324"/>
        <v>-0.23440406656741894</v>
      </c>
      <c r="P1238">
        <f t="shared" si="325"/>
        <v>0.12836818741149067</v>
      </c>
      <c r="Q1238">
        <f t="shared" si="326"/>
        <v>0.96362666112833628</v>
      </c>
      <c r="R1238">
        <f t="shared" si="316"/>
        <v>1</v>
      </c>
      <c r="AG1238" s="8">
        <f t="shared" si="319"/>
        <v>-0.42852721186917037</v>
      </c>
      <c r="AH1238" s="8">
        <f t="shared" si="320"/>
        <v>0.63682544575499356</v>
      </c>
      <c r="AI1238" s="8">
        <f t="shared" si="321"/>
        <v>0.64095068478517825</v>
      </c>
      <c r="AJ1238" s="8"/>
      <c r="AK1238" s="8"/>
      <c r="AL1238" s="8"/>
      <c r="AN1238" s="8">
        <f t="shared" si="327"/>
        <v>1</v>
      </c>
      <c r="AO1238" s="8">
        <f t="shared" si="328"/>
        <v>2.1631098743643387</v>
      </c>
      <c r="AP1238" s="8">
        <f t="shared" si="329"/>
        <v>0.87506015583252905</v>
      </c>
      <c r="AQ1238" s="8"/>
      <c r="AR1238" s="8">
        <f t="shared" si="330"/>
        <v>123.93706642415036</v>
      </c>
      <c r="AS1238" s="8">
        <f t="shared" si="331"/>
        <v>39.86274625073596</v>
      </c>
    </row>
    <row r="1239" spans="1:45">
      <c r="A1239" s="19">
        <v>40.273566670000001</v>
      </c>
      <c r="B1239" s="19">
        <v>591.99955199999999</v>
      </c>
      <c r="C1239" s="19">
        <v>-338.80849690000002</v>
      </c>
      <c r="E1239" s="9">
        <f t="shared" si="317"/>
        <v>-368.00044800000001</v>
      </c>
      <c r="F1239" s="9">
        <f t="shared" si="322"/>
        <v>201.19150309999998</v>
      </c>
      <c r="I1239">
        <v>1</v>
      </c>
      <c r="J1239">
        <f t="shared" si="318"/>
        <v>0.27091635669847974</v>
      </c>
      <c r="K1239">
        <f t="shared" si="323"/>
        <v>2.6412747244917378</v>
      </c>
      <c r="O1239">
        <f t="shared" si="324"/>
        <v>-0.23481300058654261</v>
      </c>
      <c r="P1239">
        <f t="shared" si="325"/>
        <v>0.12837587777998499</v>
      </c>
      <c r="Q1239">
        <f t="shared" si="326"/>
        <v>0.96352607061758466</v>
      </c>
      <c r="R1239">
        <f t="shared" si="316"/>
        <v>1</v>
      </c>
      <c r="AG1239" s="8">
        <f t="shared" si="319"/>
        <v>-0.42826497945388475</v>
      </c>
      <c r="AH1239" s="8">
        <f t="shared" si="320"/>
        <v>0.63712959656868906</v>
      </c>
      <c r="AI1239" s="8">
        <f t="shared" si="321"/>
        <v>0.64082367664559892</v>
      </c>
      <c r="AJ1239" s="8"/>
      <c r="AK1239" s="8"/>
      <c r="AL1239" s="8"/>
      <c r="AN1239" s="8">
        <f t="shared" si="327"/>
        <v>1</v>
      </c>
      <c r="AO1239" s="8">
        <f t="shared" si="328"/>
        <v>2.162605290029707</v>
      </c>
      <c r="AP1239" s="8">
        <f t="shared" si="329"/>
        <v>0.87522560963048368</v>
      </c>
      <c r="AQ1239" s="8"/>
      <c r="AR1239" s="8">
        <f t="shared" si="330"/>
        <v>123.90815587136754</v>
      </c>
      <c r="AS1239" s="8">
        <f t="shared" si="331"/>
        <v>39.853266446408746</v>
      </c>
    </row>
    <row r="1240" spans="1:45">
      <c r="A1240" s="19">
        <v>40.30693333</v>
      </c>
      <c r="B1240" s="19">
        <v>591.39747769999997</v>
      </c>
      <c r="C1240" s="19">
        <v>-338.79474429999999</v>
      </c>
      <c r="E1240" s="9">
        <f t="shared" si="317"/>
        <v>-368.60252230000003</v>
      </c>
      <c r="F1240" s="9">
        <f t="shared" si="322"/>
        <v>201.20525570000001</v>
      </c>
      <c r="I1240">
        <v>1</v>
      </c>
      <c r="J1240">
        <f t="shared" si="318"/>
        <v>0.27124851712953135</v>
      </c>
      <c r="K1240">
        <f t="shared" si="323"/>
        <v>2.6419337459009959</v>
      </c>
      <c r="O1240">
        <f t="shared" si="324"/>
        <v>-0.23517845751556971</v>
      </c>
      <c r="P1240">
        <f t="shared" si="325"/>
        <v>0.12837443809198756</v>
      </c>
      <c r="Q1240">
        <f t="shared" si="326"/>
        <v>0.96343712652417746</v>
      </c>
      <c r="R1240">
        <f t="shared" si="316"/>
        <v>1</v>
      </c>
      <c r="AG1240" s="8">
        <f t="shared" si="319"/>
        <v>-0.42803627151057422</v>
      </c>
      <c r="AH1240" s="8">
        <f t="shared" si="320"/>
        <v>0.63740329633072546</v>
      </c>
      <c r="AI1240" s="8">
        <f t="shared" si="321"/>
        <v>0.6407042906817868</v>
      </c>
      <c r="AJ1240" s="8"/>
      <c r="AK1240" s="8"/>
      <c r="AL1240" s="8"/>
      <c r="AN1240" s="8">
        <f t="shared" si="327"/>
        <v>1.0000000000000002</v>
      </c>
      <c r="AO1240" s="8">
        <f t="shared" si="328"/>
        <v>2.1621592041175837</v>
      </c>
      <c r="AP1240" s="8">
        <f t="shared" si="329"/>
        <v>0.87538111316981149</v>
      </c>
      <c r="AQ1240" s="8"/>
      <c r="AR1240" s="8">
        <f t="shared" si="330"/>
        <v>123.88259703130264</v>
      </c>
      <c r="AS1240" s="8">
        <f t="shared" si="331"/>
        <v>39.84435674990592</v>
      </c>
    </row>
    <row r="1241" spans="1:45">
      <c r="A1241" s="19">
        <v>40.340299999999999</v>
      </c>
      <c r="B1241" s="19">
        <v>590.84336440000004</v>
      </c>
      <c r="C1241" s="19">
        <v>-338.56081260000002</v>
      </c>
      <c r="E1241" s="9">
        <f t="shared" si="317"/>
        <v>-369.15663559999996</v>
      </c>
      <c r="F1241" s="9">
        <f t="shared" si="322"/>
        <v>201.43918739999998</v>
      </c>
      <c r="I1241">
        <v>1</v>
      </c>
      <c r="J1241">
        <f t="shared" si="318"/>
        <v>0.27162003162207987</v>
      </c>
      <c r="K1241">
        <f t="shared" si="323"/>
        <v>2.6420767940807508</v>
      </c>
      <c r="O1241">
        <f t="shared" si="324"/>
        <v>-0.23551099951960883</v>
      </c>
      <c r="P1241">
        <f t="shared" si="325"/>
        <v>0.12851223516512025</v>
      </c>
      <c r="Q1241">
        <f t="shared" si="326"/>
        <v>0.96333751848359961</v>
      </c>
      <c r="R1241">
        <f t="shared" si="316"/>
        <v>1</v>
      </c>
      <c r="AG1241" s="8">
        <f t="shared" si="319"/>
        <v>-0.42773194550474936</v>
      </c>
      <c r="AH1241" s="8">
        <f t="shared" si="320"/>
        <v>0.63761948757159892</v>
      </c>
      <c r="AI1241" s="8">
        <f t="shared" si="321"/>
        <v>0.64069241595609183</v>
      </c>
      <c r="AJ1241" s="8"/>
      <c r="AK1241" s="8"/>
      <c r="AL1241" s="8"/>
      <c r="AN1241" s="8">
        <f t="shared" si="327"/>
        <v>1</v>
      </c>
      <c r="AO1241" s="8">
        <f t="shared" si="328"/>
        <v>2.1616731763452899</v>
      </c>
      <c r="AP1241" s="8">
        <f t="shared" si="329"/>
        <v>0.87539657922698699</v>
      </c>
      <c r="AQ1241" s="8"/>
      <c r="AR1241" s="8">
        <f t="shared" si="330"/>
        <v>123.85474969122406</v>
      </c>
      <c r="AS1241" s="8">
        <f t="shared" si="331"/>
        <v>39.843470610104049</v>
      </c>
    </row>
    <row r="1242" spans="1:45">
      <c r="A1242" s="19">
        <v>40.373666669999999</v>
      </c>
      <c r="B1242" s="19">
        <v>590.07026589999998</v>
      </c>
      <c r="C1242" s="19">
        <v>-338.4485593</v>
      </c>
      <c r="E1242" s="9">
        <f t="shared" si="317"/>
        <v>-369.92973410000002</v>
      </c>
      <c r="F1242" s="9">
        <f t="shared" si="322"/>
        <v>201.5514407</v>
      </c>
      <c r="I1242">
        <v>1</v>
      </c>
      <c r="J1242">
        <f t="shared" si="318"/>
        <v>0.27207465661647451</v>
      </c>
      <c r="K1242">
        <f t="shared" si="323"/>
        <v>2.6427219269287088</v>
      </c>
      <c r="O1242">
        <f t="shared" si="324"/>
        <v>-0.23597841417636362</v>
      </c>
      <c r="P1242">
        <f t="shared" si="325"/>
        <v>0.12856979303667013</v>
      </c>
      <c r="Q1242">
        <f t="shared" si="326"/>
        <v>0.96321544649227697</v>
      </c>
      <c r="R1242">
        <f t="shared" si="316"/>
        <v>1</v>
      </c>
      <c r="AG1242" s="8">
        <f t="shared" si="319"/>
        <v>-0.42739812879460182</v>
      </c>
      <c r="AH1242" s="8">
        <f t="shared" si="320"/>
        <v>0.63795535479887366</v>
      </c>
      <c r="AI1242" s="8">
        <f t="shared" si="321"/>
        <v>0.64058083392052589</v>
      </c>
      <c r="AJ1242" s="8"/>
      <c r="AK1242" s="8"/>
      <c r="AL1242" s="8"/>
      <c r="AN1242" s="8">
        <f t="shared" si="327"/>
        <v>1.0000000000000002</v>
      </c>
      <c r="AO1242" s="8">
        <f t="shared" si="328"/>
        <v>2.1610684978325896</v>
      </c>
      <c r="AP1242" s="8">
        <f t="shared" si="329"/>
        <v>0.87554189781627145</v>
      </c>
      <c r="AQ1242" s="8"/>
      <c r="AR1242" s="8">
        <f t="shared" si="330"/>
        <v>123.82010416448408</v>
      </c>
      <c r="AS1242" s="8">
        <f t="shared" si="331"/>
        <v>39.835144468253255</v>
      </c>
    </row>
    <row r="1243" spans="1:45">
      <c r="A1243" s="19">
        <v>40.407033329999997</v>
      </c>
      <c r="B1243" s="19">
        <v>589.78056019999997</v>
      </c>
      <c r="C1243" s="19">
        <v>-338.31062989999998</v>
      </c>
      <c r="E1243" s="9">
        <f t="shared" si="317"/>
        <v>-370.21943980000003</v>
      </c>
      <c r="F1243" s="9">
        <f t="shared" si="322"/>
        <v>201.68937010000002</v>
      </c>
      <c r="I1243">
        <v>1</v>
      </c>
      <c r="J1243">
        <f t="shared" si="318"/>
        <v>0.27227347267416074</v>
      </c>
      <c r="K1243">
        <f t="shared" si="323"/>
        <v>2.6427634030979688</v>
      </c>
      <c r="O1243">
        <f t="shared" si="324"/>
        <v>-0.23615190869175309</v>
      </c>
      <c r="P1243">
        <f t="shared" si="325"/>
        <v>0.12865161736964092</v>
      </c>
      <c r="Q1243">
        <f t="shared" si="326"/>
        <v>0.96316199954598369</v>
      </c>
      <c r="R1243">
        <f t="shared" ref="R1243:R1272" si="332">SQRT(O1243^2+P1243^2+Q1243^2)</f>
        <v>1</v>
      </c>
      <c r="AG1243" s="8">
        <f t="shared" si="319"/>
        <v>-0.42723239174247429</v>
      </c>
      <c r="AH1243" s="8">
        <f t="shared" si="320"/>
        <v>0.63806573134951161</v>
      </c>
      <c r="AI1243" s="8">
        <f t="shared" si="321"/>
        <v>0.64058145924106946</v>
      </c>
      <c r="AJ1243" s="8"/>
      <c r="AK1243" s="8"/>
      <c r="AL1243" s="8"/>
      <c r="AN1243" s="8">
        <f t="shared" si="327"/>
        <v>1</v>
      </c>
      <c r="AO1243" s="8">
        <f t="shared" si="328"/>
        <v>2.1608091811698835</v>
      </c>
      <c r="AP1243" s="8">
        <f t="shared" si="329"/>
        <v>0.87554108348068949</v>
      </c>
      <c r="AQ1243" s="8"/>
      <c r="AR1243" s="8">
        <f t="shared" si="330"/>
        <v>123.8052464141536</v>
      </c>
      <c r="AS1243" s="8">
        <f t="shared" si="331"/>
        <v>39.835191126245213</v>
      </c>
    </row>
    <row r="1244" spans="1:45">
      <c r="A1244" s="19">
        <v>40.440399999999997</v>
      </c>
      <c r="B1244" s="19">
        <v>589.06006490000004</v>
      </c>
      <c r="C1244" s="19">
        <v>-338.16611330000001</v>
      </c>
      <c r="E1244" s="9">
        <f t="shared" si="317"/>
        <v>-370.93993509999996</v>
      </c>
      <c r="F1244" s="9">
        <f t="shared" si="322"/>
        <v>201.83388669999999</v>
      </c>
      <c r="I1244">
        <v>1</v>
      </c>
      <c r="J1244">
        <f t="shared" si="318"/>
        <v>0.27270895766561043</v>
      </c>
      <c r="K1244">
        <f t="shared" si="323"/>
        <v>2.6432791016288779</v>
      </c>
      <c r="O1244">
        <f t="shared" si="324"/>
        <v>-0.23658663444042494</v>
      </c>
      <c r="P1244">
        <f t="shared" si="325"/>
        <v>0.12873027531400741</v>
      </c>
      <c r="Q1244">
        <f t="shared" si="326"/>
        <v>0.96304479678867094</v>
      </c>
      <c r="R1244">
        <f t="shared" si="332"/>
        <v>1</v>
      </c>
      <c r="AG1244" s="8">
        <f t="shared" si="319"/>
        <v>-0.42690435327067394</v>
      </c>
      <c r="AH1244" s="8">
        <f t="shared" si="320"/>
        <v>0.6383720350419011</v>
      </c>
      <c r="AI1244" s="8">
        <f t="shared" si="321"/>
        <v>0.64049497893036555</v>
      </c>
      <c r="AJ1244" s="8"/>
      <c r="AK1244" s="8"/>
      <c r="AL1244" s="8"/>
      <c r="AN1244" s="8">
        <f t="shared" si="327"/>
        <v>1</v>
      </c>
      <c r="AO1244" s="8">
        <f t="shared" si="328"/>
        <v>2.1602323340207459</v>
      </c>
      <c r="AP1244" s="8">
        <f t="shared" si="329"/>
        <v>0.87565369886025113</v>
      </c>
      <c r="AQ1244" s="8"/>
      <c r="AR1244" s="8">
        <f t="shared" si="330"/>
        <v>123.77219550708386</v>
      </c>
      <c r="AS1244" s="8">
        <f t="shared" si="331"/>
        <v>39.828738740288067</v>
      </c>
    </row>
    <row r="1245" spans="1:45">
      <c r="A1245" s="19">
        <v>40.473766670000003</v>
      </c>
      <c r="B1245" s="19">
        <v>588.59980810000002</v>
      </c>
      <c r="C1245" s="19">
        <v>-338.02368630000001</v>
      </c>
      <c r="E1245" s="9">
        <f t="shared" si="317"/>
        <v>-371.40019189999998</v>
      </c>
      <c r="F1245" s="9">
        <f t="shared" si="322"/>
        <v>201.97631369999999</v>
      </c>
      <c r="I1245">
        <v>1</v>
      </c>
      <c r="J1245">
        <f t="shared" si="318"/>
        <v>0.2730019805779299</v>
      </c>
      <c r="K1245">
        <f t="shared" si="323"/>
        <v>2.6435035060511751</v>
      </c>
      <c r="O1245">
        <f t="shared" si="324"/>
        <v>-0.23686341273475298</v>
      </c>
      <c r="P1245">
        <f t="shared" si="325"/>
        <v>0.1288119930951685</v>
      </c>
      <c r="Q1245">
        <f t="shared" si="326"/>
        <v>0.96296583228196431</v>
      </c>
      <c r="R1245">
        <f t="shared" si="332"/>
        <v>1</v>
      </c>
      <c r="AG1245" s="8">
        <f t="shared" si="319"/>
        <v>-0.42667355421847969</v>
      </c>
      <c r="AH1245" s="8">
        <f t="shared" si="320"/>
        <v>0.63855953122265563</v>
      </c>
      <c r="AI1245" s="8">
        <f t="shared" si="321"/>
        <v>0.64046186710472652</v>
      </c>
      <c r="AJ1245" s="8"/>
      <c r="AK1245" s="8"/>
      <c r="AL1245" s="8"/>
      <c r="AN1245" s="8">
        <f t="shared" si="327"/>
        <v>1</v>
      </c>
      <c r="AO1245" s="8">
        <f t="shared" si="328"/>
        <v>2.1598468076322597</v>
      </c>
      <c r="AP1245" s="8">
        <f t="shared" si="329"/>
        <v>0.87569681455467774</v>
      </c>
      <c r="AQ1245" s="8"/>
      <c r="AR1245" s="8">
        <f t="shared" si="330"/>
        <v>123.75010647213269</v>
      </c>
      <c r="AS1245" s="8">
        <f t="shared" si="331"/>
        <v>39.826268392966647</v>
      </c>
    </row>
    <row r="1246" spans="1:45">
      <c r="A1246" s="19">
        <v>40.507133330000002</v>
      </c>
      <c r="B1246" s="19">
        <v>587.92003520000003</v>
      </c>
      <c r="C1246" s="19">
        <v>-337.76903099999998</v>
      </c>
      <c r="E1246" s="9">
        <f t="shared" si="317"/>
        <v>-372.07996479999997</v>
      </c>
      <c r="F1246" s="9">
        <f t="shared" si="322"/>
        <v>202.23096900000002</v>
      </c>
      <c r="I1246">
        <v>1</v>
      </c>
      <c r="J1246">
        <f t="shared" si="318"/>
        <v>0.27344781825513692</v>
      </c>
      <c r="K1246">
        <f t="shared" si="323"/>
        <v>2.6437421110935859</v>
      </c>
      <c r="O1246">
        <f t="shared" si="324"/>
        <v>-0.23727132858462602</v>
      </c>
      <c r="P1246">
        <f t="shared" si="325"/>
        <v>0.12896047956083423</v>
      </c>
      <c r="Q1246">
        <f t="shared" si="326"/>
        <v>0.96284552828744341</v>
      </c>
      <c r="R1246">
        <f t="shared" si="332"/>
        <v>1</v>
      </c>
      <c r="AG1246" s="8">
        <f t="shared" si="319"/>
        <v>-0.42631389790068352</v>
      </c>
      <c r="AH1246" s="8">
        <f t="shared" si="320"/>
        <v>0.63882916138742041</v>
      </c>
      <c r="AI1246" s="8">
        <f t="shared" si="321"/>
        <v>0.64043248123262053</v>
      </c>
      <c r="AJ1246" s="8"/>
      <c r="AK1246" s="8"/>
      <c r="AL1246" s="8"/>
      <c r="AN1246" s="8">
        <f t="shared" si="327"/>
        <v>1</v>
      </c>
      <c r="AO1246" s="8">
        <f t="shared" si="328"/>
        <v>2.159262389139073</v>
      </c>
      <c r="AP1246" s="8">
        <f t="shared" si="329"/>
        <v>0.8757350772981537</v>
      </c>
      <c r="AQ1246" s="8"/>
      <c r="AR1246" s="8">
        <f t="shared" si="330"/>
        <v>123.71662175900369</v>
      </c>
      <c r="AS1246" s="8">
        <f t="shared" si="331"/>
        <v>39.824076099252878</v>
      </c>
    </row>
    <row r="1247" spans="1:45">
      <c r="A1247" s="19">
        <v>40.540500000000002</v>
      </c>
      <c r="B1247" s="19">
        <v>587.21634630000005</v>
      </c>
      <c r="C1247" s="19">
        <v>-337.79780879999998</v>
      </c>
      <c r="E1247" s="9">
        <f t="shared" si="317"/>
        <v>-372.78365369999995</v>
      </c>
      <c r="F1247" s="9">
        <f t="shared" si="322"/>
        <v>202.20219120000002</v>
      </c>
      <c r="I1247">
        <v>1</v>
      </c>
      <c r="J1247">
        <f t="shared" si="318"/>
        <v>0.2738227654985888</v>
      </c>
      <c r="K1247">
        <f t="shared" si="323"/>
        <v>2.644594104174895</v>
      </c>
      <c r="O1247">
        <f t="shared" si="324"/>
        <v>-0.23769843885085604</v>
      </c>
      <c r="P1247">
        <f t="shared" si="325"/>
        <v>0.12893039891481251</v>
      </c>
      <c r="Q1247">
        <f t="shared" si="326"/>
        <v>0.96274420507398184</v>
      </c>
      <c r="R1247">
        <f t="shared" si="332"/>
        <v>1</v>
      </c>
      <c r="AG1247" s="8">
        <f t="shared" si="319"/>
        <v>-0.42606548898814828</v>
      </c>
      <c r="AH1247" s="8">
        <f t="shared" si="320"/>
        <v>0.63915518049558429</v>
      </c>
      <c r="AI1247" s="8">
        <f t="shared" si="321"/>
        <v>0.64027248444622953</v>
      </c>
      <c r="AJ1247" s="8"/>
      <c r="AK1247" s="8"/>
      <c r="AL1247" s="8"/>
      <c r="AN1247" s="8">
        <f t="shared" si="327"/>
        <v>1</v>
      </c>
      <c r="AO1247" s="8">
        <f t="shared" si="328"/>
        <v>2.1587578073753244</v>
      </c>
      <c r="AP1247" s="8">
        <f t="shared" si="329"/>
        <v>0.8759433844297857</v>
      </c>
      <c r="AQ1247" s="8"/>
      <c r="AR1247" s="8">
        <f t="shared" si="330"/>
        <v>123.68771135352162</v>
      </c>
      <c r="AS1247" s="8">
        <f t="shared" si="331"/>
        <v>39.812140979767889</v>
      </c>
    </row>
    <row r="1248" spans="1:45">
      <c r="A1248" s="19">
        <v>40.573866670000001</v>
      </c>
      <c r="B1248" s="19">
        <v>586.74051150000003</v>
      </c>
      <c r="C1248" s="19">
        <v>-337.76452769999997</v>
      </c>
      <c r="E1248" s="9">
        <f t="shared" ref="E1248:E1272" si="333">(B1248-($B$15/2))</f>
        <v>-373.25948849999997</v>
      </c>
      <c r="F1248" s="9">
        <f t="shared" si="322"/>
        <v>202.23547230000003</v>
      </c>
      <c r="I1248">
        <v>1</v>
      </c>
      <c r="J1248">
        <f t="shared" ref="J1248:J1272" si="334">ATAN((SQRT(E1248^2+F1248^2)^$B$16)/($F$24))</f>
        <v>0.2740919451149636</v>
      </c>
      <c r="K1248">
        <f t="shared" si="323"/>
        <v>2.6450596082339786</v>
      </c>
      <c r="O1248">
        <f t="shared" si="324"/>
        <v>-0.23798627798193173</v>
      </c>
      <c r="P1248">
        <f t="shared" si="325"/>
        <v>0.12894318513377884</v>
      </c>
      <c r="Q1248">
        <f t="shared" si="326"/>
        <v>0.96267138032656951</v>
      </c>
      <c r="R1248">
        <f t="shared" si="332"/>
        <v>1</v>
      </c>
      <c r="AG1248" s="8">
        <f t="shared" ref="AG1248:AG1311" si="335">$O1248*$Z$27+$P1248*$Z$31+$Q1248*$Z$35</f>
        <v>-0.42587514935524373</v>
      </c>
      <c r="AH1248" s="8">
        <f t="shared" ref="AH1248:AH1311" si="336">$O1248*$AA$27+$P1248*$AA$31+$Q1248*$AA$35</f>
        <v>0.63936703482921564</v>
      </c>
      <c r="AI1248" s="8">
        <f t="shared" ref="AI1248:AI1311" si="337">$AB$27*$O1248+$P1248*$AB$31+$AB$35*$Q1248</f>
        <v>0.64018759120694091</v>
      </c>
      <c r="AJ1248" s="8"/>
      <c r="AK1248" s="8"/>
      <c r="AL1248" s="8"/>
      <c r="AN1248" s="8">
        <f t="shared" si="327"/>
        <v>0.99999999999999989</v>
      </c>
      <c r="AO1248" s="8">
        <f t="shared" si="328"/>
        <v>2.158398684490928</v>
      </c>
      <c r="AP1248" s="8">
        <f t="shared" si="329"/>
        <v>0.87605389613375639</v>
      </c>
      <c r="AQ1248" s="8"/>
      <c r="AR1248" s="8">
        <f t="shared" si="330"/>
        <v>123.66713512791915</v>
      </c>
      <c r="AS1248" s="8">
        <f t="shared" si="331"/>
        <v>39.805809125543568</v>
      </c>
    </row>
    <row r="1249" spans="1:45">
      <c r="A1249" s="19">
        <v>40.60723333</v>
      </c>
      <c r="B1249" s="19">
        <v>585.98417370000004</v>
      </c>
      <c r="C1249" s="19">
        <v>-337.55399629999999</v>
      </c>
      <c r="E1249" s="9">
        <f t="shared" si="333"/>
        <v>-374.01582629999996</v>
      </c>
      <c r="F1249" s="9">
        <f t="shared" ref="F1249:F1312" si="338">(($C$15/2)+C1249)</f>
        <v>202.44600370000001</v>
      </c>
      <c r="I1249">
        <v>1</v>
      </c>
      <c r="J1249">
        <f t="shared" si="334"/>
        <v>0.27456633540551822</v>
      </c>
      <c r="K1249">
        <f t="shared" ref="K1249:K1272" si="339">ATAN2(E1249,F1249)</f>
        <v>2.6454715541593936</v>
      </c>
      <c r="O1249">
        <f t="shared" ref="O1249:O1272" si="340">COS(K1249)*SIN(J1249)</f>
        <v>-0.23844097097657754</v>
      </c>
      <c r="P1249">
        <f t="shared" ref="P1249:P1272" si="341">SIN(K1249)*SIN(J1249)</f>
        <v>0.12906251099074367</v>
      </c>
      <c r="Q1249">
        <f t="shared" ref="Q1249:Q1272" si="342">COS(J1249)</f>
        <v>0.96254286741760808</v>
      </c>
      <c r="R1249">
        <f t="shared" si="332"/>
        <v>1</v>
      </c>
      <c r="AG1249" s="8">
        <f t="shared" si="335"/>
        <v>-0.42550580400262406</v>
      </c>
      <c r="AH1249" s="8">
        <f t="shared" si="336"/>
        <v>0.63967820342751913</v>
      </c>
      <c r="AI1249" s="8">
        <f t="shared" si="337"/>
        <v>0.64012233738545787</v>
      </c>
      <c r="AJ1249" s="8"/>
      <c r="AK1249" s="8"/>
      <c r="AL1249" s="8"/>
      <c r="AN1249" s="8">
        <f t="shared" ref="AN1249:AN1272" si="343">AG1249^2+AH1249^2+AI1249^2</f>
        <v>1</v>
      </c>
      <c r="AO1249" s="8">
        <f t="shared" ref="AO1249:AO1272" si="344">IF(ATAN2(AG1249,AH1249)&gt;=0,ATAN2(AG1249,AH1249),ATAN2(AG1249,AH1249)+2*PI())</f>
        <v>2.1577740399148619</v>
      </c>
      <c r="AP1249" s="8">
        <f t="shared" ref="AP1249:AP1272" si="345">ACOS(AI1249/AN1249)</f>
        <v>0.87613883486151034</v>
      </c>
      <c r="AQ1249" s="8"/>
      <c r="AR1249" s="8">
        <f t="shared" ref="AR1249:AR1272" si="346">DEGREES(AO1249)</f>
        <v>123.63134563001482</v>
      </c>
      <c r="AS1249" s="8">
        <f t="shared" ref="AS1249:AS1272" si="347">90-DEGREES(AP1249)</f>
        <v>39.800942494926062</v>
      </c>
    </row>
    <row r="1250" spans="1:45">
      <c r="A1250" s="19">
        <v>40.640599999999999</v>
      </c>
      <c r="B1250" s="19">
        <v>585.37483559999998</v>
      </c>
      <c r="C1250" s="19">
        <v>-337.4718949</v>
      </c>
      <c r="E1250" s="9">
        <f t="shared" si="333"/>
        <v>-374.62516440000002</v>
      </c>
      <c r="F1250" s="9">
        <f t="shared" si="338"/>
        <v>202.5281051</v>
      </c>
      <c r="I1250">
        <v>1</v>
      </c>
      <c r="J1250">
        <f t="shared" si="334"/>
        <v>0.27492267812193733</v>
      </c>
      <c r="K1250">
        <f t="shared" si="339"/>
        <v>2.6459831072558675</v>
      </c>
      <c r="O1250">
        <f t="shared" si="340"/>
        <v>-0.23880867257248092</v>
      </c>
      <c r="P1250">
        <f t="shared" si="341"/>
        <v>0.12910362819596788</v>
      </c>
      <c r="Q1250">
        <f t="shared" si="342"/>
        <v>0.96244619127035191</v>
      </c>
      <c r="R1250">
        <f t="shared" si="332"/>
        <v>1</v>
      </c>
      <c r="AG1250" s="8">
        <f t="shared" si="335"/>
        <v>-0.42524530757950707</v>
      </c>
      <c r="AH1250" s="8">
        <f t="shared" si="336"/>
        <v>0.63994283290442067</v>
      </c>
      <c r="AI1250" s="8">
        <f t="shared" si="337"/>
        <v>0.64003093596784455</v>
      </c>
      <c r="AJ1250" s="8"/>
      <c r="AK1250" s="8"/>
      <c r="AL1250" s="8"/>
      <c r="AN1250" s="8">
        <f t="shared" si="343"/>
        <v>1</v>
      </c>
      <c r="AO1250" s="8">
        <f t="shared" si="344"/>
        <v>2.1573010018381908</v>
      </c>
      <c r="AP1250" s="8">
        <f t="shared" si="345"/>
        <v>0.8762577989392567</v>
      </c>
      <c r="AQ1250" s="8"/>
      <c r="AR1250" s="8">
        <f t="shared" si="346"/>
        <v>123.60424254467259</v>
      </c>
      <c r="AS1250" s="8">
        <f t="shared" si="347"/>
        <v>39.794126355357527</v>
      </c>
    </row>
    <row r="1251" spans="1:45">
      <c r="A1251" s="19">
        <v>40.673966669999999</v>
      </c>
      <c r="B1251" s="19">
        <v>584.86392260000002</v>
      </c>
      <c r="C1251" s="19">
        <v>-337.36342029999997</v>
      </c>
      <c r="E1251" s="9">
        <f t="shared" si="333"/>
        <v>-375.13607739999998</v>
      </c>
      <c r="F1251" s="9">
        <f t="shared" si="338"/>
        <v>202.63657970000003</v>
      </c>
      <c r="I1251">
        <v>1</v>
      </c>
      <c r="J1251">
        <f t="shared" si="334"/>
        <v>0.27523313286101631</v>
      </c>
      <c r="K1251">
        <f t="shared" si="339"/>
        <v>2.646329173170499</v>
      </c>
      <c r="O1251">
        <f t="shared" si="340"/>
        <v>-0.23911621882906497</v>
      </c>
      <c r="P1251">
        <f t="shared" si="341"/>
        <v>0.12916297752576142</v>
      </c>
      <c r="Q1251">
        <f t="shared" si="342"/>
        <v>0.96236186496014609</v>
      </c>
      <c r="R1251">
        <f t="shared" si="332"/>
        <v>1</v>
      </c>
      <c r="AG1251" s="8">
        <f t="shared" si="335"/>
        <v>-0.42501009056481404</v>
      </c>
      <c r="AH1251" s="8">
        <f t="shared" si="336"/>
        <v>0.64015821932044692</v>
      </c>
      <c r="AI1251" s="8">
        <f t="shared" si="337"/>
        <v>0.63997177840476938</v>
      </c>
      <c r="AJ1251" s="8"/>
      <c r="AK1251" s="8"/>
      <c r="AL1251" s="8"/>
      <c r="AN1251" s="8">
        <f t="shared" si="343"/>
        <v>1</v>
      </c>
      <c r="AO1251" s="8">
        <f t="shared" si="344"/>
        <v>2.1568909099928044</v>
      </c>
      <c r="AP1251" s="8">
        <f t="shared" si="345"/>
        <v>0.87633478954566457</v>
      </c>
      <c r="AQ1251" s="8"/>
      <c r="AR1251" s="8">
        <f t="shared" si="346"/>
        <v>123.58074601271922</v>
      </c>
      <c r="AS1251" s="8">
        <f t="shared" si="347"/>
        <v>39.789715118548202</v>
      </c>
    </row>
    <row r="1252" spans="1:45">
      <c r="A1252" s="19">
        <v>40.707333329999997</v>
      </c>
      <c r="B1252" s="19">
        <v>584.04605260000005</v>
      </c>
      <c r="C1252" s="19">
        <v>-337.3117474</v>
      </c>
      <c r="E1252" s="9">
        <f t="shared" si="333"/>
        <v>-375.95394739999995</v>
      </c>
      <c r="F1252" s="9">
        <f t="shared" si="338"/>
        <v>202.6882526</v>
      </c>
      <c r="I1252">
        <v>1</v>
      </c>
      <c r="J1252">
        <f t="shared" si="334"/>
        <v>0.27569420786157889</v>
      </c>
      <c r="K1252">
        <f t="shared" si="339"/>
        <v>2.6471328041570459</v>
      </c>
      <c r="O1252">
        <f t="shared" si="340"/>
        <v>-0.2396104899242858</v>
      </c>
      <c r="P1252">
        <f t="shared" si="341"/>
        <v>0.12918133149885752</v>
      </c>
      <c r="Q1252">
        <f t="shared" si="342"/>
        <v>0.96223645571679839</v>
      </c>
      <c r="R1252">
        <f t="shared" si="332"/>
        <v>1</v>
      </c>
      <c r="AG1252" s="8">
        <f t="shared" si="335"/>
        <v>-0.42468519736746868</v>
      </c>
      <c r="AH1252" s="8">
        <f t="shared" si="336"/>
        <v>0.64052246396625978</v>
      </c>
      <c r="AI1252" s="8">
        <f t="shared" si="337"/>
        <v>0.63982298824873873</v>
      </c>
      <c r="AJ1252" s="8"/>
      <c r="AK1252" s="8"/>
      <c r="AL1252" s="8"/>
      <c r="AN1252" s="8">
        <f t="shared" si="343"/>
        <v>1</v>
      </c>
      <c r="AO1252" s="8">
        <f t="shared" si="344"/>
        <v>2.1562765637122951</v>
      </c>
      <c r="AP1252" s="8">
        <f t="shared" si="345"/>
        <v>0.87652841066490217</v>
      </c>
      <c r="AQ1252" s="8"/>
      <c r="AR1252" s="8">
        <f t="shared" si="346"/>
        <v>123.54554656368647</v>
      </c>
      <c r="AS1252" s="8">
        <f t="shared" si="347"/>
        <v>39.778621445591291</v>
      </c>
    </row>
    <row r="1253" spans="1:45">
      <c r="A1253" s="19">
        <v>40.740699999999997</v>
      </c>
      <c r="B1253" s="19">
        <v>583.41422460000001</v>
      </c>
      <c r="C1253" s="19">
        <v>-337.23749729999997</v>
      </c>
      <c r="E1253" s="9">
        <f t="shared" si="333"/>
        <v>-376.58577539999999</v>
      </c>
      <c r="F1253" s="9">
        <f t="shared" si="338"/>
        <v>202.76250270000003</v>
      </c>
      <c r="I1253">
        <v>1</v>
      </c>
      <c r="J1253">
        <f t="shared" si="334"/>
        <v>0.27606051985020924</v>
      </c>
      <c r="K1253">
        <f t="shared" si="339"/>
        <v>2.6476810382902105</v>
      </c>
      <c r="O1253">
        <f t="shared" si="340"/>
        <v>-0.23999161176397291</v>
      </c>
      <c r="P1253">
        <f t="shared" si="341"/>
        <v>0.12921704165958775</v>
      </c>
      <c r="Q1253">
        <f t="shared" si="342"/>
        <v>0.96213667554442328</v>
      </c>
      <c r="R1253">
        <f t="shared" si="332"/>
        <v>1</v>
      </c>
      <c r="AG1253" s="8">
        <f t="shared" si="335"/>
        <v>-0.42441964931318882</v>
      </c>
      <c r="AH1253" s="8">
        <f t="shared" si="336"/>
        <v>0.64079814515471023</v>
      </c>
      <c r="AI1253" s="8">
        <f t="shared" si="337"/>
        <v>0.63972314202563652</v>
      </c>
      <c r="AJ1253" s="8"/>
      <c r="AK1253" s="8"/>
      <c r="AL1253" s="8"/>
      <c r="AN1253" s="8">
        <f t="shared" si="343"/>
        <v>1</v>
      </c>
      <c r="AO1253" s="8">
        <f t="shared" si="344"/>
        <v>2.1557904085014701</v>
      </c>
      <c r="AP1253" s="8">
        <f t="shared" si="345"/>
        <v>0.87665832338520344</v>
      </c>
      <c r="AQ1253" s="8"/>
      <c r="AR1253" s="8">
        <f t="shared" si="346"/>
        <v>123.5176919219179</v>
      </c>
      <c r="AS1253" s="8">
        <f t="shared" si="347"/>
        <v>39.771177995012962</v>
      </c>
    </row>
    <row r="1254" spans="1:45">
      <c r="A1254" s="19">
        <v>40.774066670000003</v>
      </c>
      <c r="B1254" s="19">
        <v>582.77622129999997</v>
      </c>
      <c r="C1254" s="19">
        <v>-337.14967460000003</v>
      </c>
      <c r="E1254" s="9">
        <f t="shared" si="333"/>
        <v>-377.22377870000003</v>
      </c>
      <c r="F1254" s="9">
        <f t="shared" si="338"/>
        <v>202.85032539999997</v>
      </c>
      <c r="I1254">
        <v>1</v>
      </c>
      <c r="J1254">
        <f t="shared" si="334"/>
        <v>0.27643418777330764</v>
      </c>
      <c r="K1254">
        <f t="shared" si="339"/>
        <v>2.6482066764026073</v>
      </c>
      <c r="O1254">
        <f t="shared" si="340"/>
        <v>-0.2403761244876145</v>
      </c>
      <c r="P1254">
        <f t="shared" si="341"/>
        <v>0.12926113841164252</v>
      </c>
      <c r="Q1254">
        <f t="shared" si="342"/>
        <v>0.96203475866147425</v>
      </c>
      <c r="R1254">
        <f t="shared" si="332"/>
        <v>1</v>
      </c>
      <c r="AG1254" s="8">
        <f t="shared" si="335"/>
        <v>-0.42414605150446344</v>
      </c>
      <c r="AH1254" s="8">
        <f t="shared" si="336"/>
        <v>0.64107429468230592</v>
      </c>
      <c r="AI1254" s="8">
        <f t="shared" si="337"/>
        <v>0.6396279197242386</v>
      </c>
      <c r="AJ1254" s="8"/>
      <c r="AK1254" s="8"/>
      <c r="AL1254" s="8"/>
      <c r="AN1254" s="8">
        <f t="shared" si="343"/>
        <v>1</v>
      </c>
      <c r="AO1254" s="8">
        <f t="shared" si="344"/>
        <v>2.1552952887734862</v>
      </c>
      <c r="AP1254" s="8">
        <f t="shared" si="345"/>
        <v>0.87678220670611873</v>
      </c>
      <c r="AQ1254" s="8"/>
      <c r="AR1254" s="8">
        <f t="shared" si="346"/>
        <v>123.48932365115076</v>
      </c>
      <c r="AS1254" s="8">
        <f t="shared" si="347"/>
        <v>39.764080003572452</v>
      </c>
    </row>
    <row r="1255" spans="1:45">
      <c r="A1255" s="19">
        <v>40.807433330000002</v>
      </c>
      <c r="B1255" s="19">
        <v>582.08173620000002</v>
      </c>
      <c r="C1255" s="19">
        <v>-337.08725079999999</v>
      </c>
      <c r="E1255" s="9">
        <f t="shared" si="333"/>
        <v>-377.91826379999998</v>
      </c>
      <c r="F1255" s="9">
        <f t="shared" si="338"/>
        <v>202.91274920000001</v>
      </c>
      <c r="I1255">
        <v>1</v>
      </c>
      <c r="J1255">
        <f t="shared" si="334"/>
        <v>0.27683122019116219</v>
      </c>
      <c r="K1255">
        <f t="shared" si="339"/>
        <v>2.6488453022530365</v>
      </c>
      <c r="O1255">
        <f t="shared" si="340"/>
        <v>-0.24079512583712862</v>
      </c>
      <c r="P1255">
        <f t="shared" si="341"/>
        <v>0.12928827648147062</v>
      </c>
      <c r="Q1255">
        <f t="shared" si="342"/>
        <v>0.96192632199016792</v>
      </c>
      <c r="R1255">
        <f t="shared" si="332"/>
        <v>1</v>
      </c>
      <c r="AG1255" s="8">
        <f t="shared" si="335"/>
        <v>-0.42386225998377508</v>
      </c>
      <c r="AH1255" s="8">
        <f t="shared" si="336"/>
        <v>0.64138006507860457</v>
      </c>
      <c r="AI1255" s="8">
        <f t="shared" si="337"/>
        <v>0.6395094969437215</v>
      </c>
      <c r="AJ1255" s="8"/>
      <c r="AK1255" s="8"/>
      <c r="AL1255" s="8"/>
      <c r="AN1255" s="8">
        <f t="shared" si="343"/>
        <v>1.0000000000000002</v>
      </c>
      <c r="AO1255" s="8">
        <f t="shared" si="344"/>
        <v>2.154767965329222</v>
      </c>
      <c r="AP1255" s="8">
        <f t="shared" si="345"/>
        <v>0.87693625581860746</v>
      </c>
      <c r="AQ1255" s="8"/>
      <c r="AR1255" s="8">
        <f t="shared" si="346"/>
        <v>123.45911024335612</v>
      </c>
      <c r="AS1255" s="8">
        <f t="shared" si="347"/>
        <v>39.755253639589114</v>
      </c>
    </row>
    <row r="1256" spans="1:45">
      <c r="A1256" s="19">
        <v>40.840800000000002</v>
      </c>
      <c r="B1256" s="19">
        <v>581.75060629999996</v>
      </c>
      <c r="C1256" s="19">
        <v>-336.97446000000002</v>
      </c>
      <c r="E1256" s="9">
        <f t="shared" si="333"/>
        <v>-378.24939370000004</v>
      </c>
      <c r="F1256" s="9">
        <f t="shared" si="338"/>
        <v>203.02553999999998</v>
      </c>
      <c r="I1256">
        <v>1</v>
      </c>
      <c r="J1256">
        <f t="shared" si="334"/>
        <v>0.27704483402215918</v>
      </c>
      <c r="K1256">
        <f t="shared" si="339"/>
        <v>2.6489787021916249</v>
      </c>
      <c r="O1256">
        <f t="shared" si="340"/>
        <v>-0.24099341427925458</v>
      </c>
      <c r="P1256">
        <f t="shared" si="341"/>
        <v>0.12935332847960984</v>
      </c>
      <c r="Q1256">
        <f t="shared" si="342"/>
        <v>0.96186791748413869</v>
      </c>
      <c r="R1256">
        <f t="shared" si="332"/>
        <v>1</v>
      </c>
      <c r="AG1256" s="8">
        <f t="shared" si="335"/>
        <v>-0.42369179608138618</v>
      </c>
      <c r="AH1256" s="8">
        <f t="shared" si="336"/>
        <v>0.64151239859531939</v>
      </c>
      <c r="AI1256" s="8">
        <f t="shared" si="337"/>
        <v>0.63948972187347097</v>
      </c>
      <c r="AJ1256" s="8"/>
      <c r="AK1256" s="8"/>
      <c r="AL1256" s="8"/>
      <c r="AN1256" s="8">
        <f t="shared" si="343"/>
        <v>1</v>
      </c>
      <c r="AO1256" s="8">
        <f t="shared" si="344"/>
        <v>2.1544880802712747</v>
      </c>
      <c r="AP1256" s="8">
        <f t="shared" si="345"/>
        <v>0.87696197810127408</v>
      </c>
      <c r="AQ1256" s="8"/>
      <c r="AR1256" s="8">
        <f t="shared" si="346"/>
        <v>123.44307401078696</v>
      </c>
      <c r="AS1256" s="8">
        <f t="shared" si="347"/>
        <v>39.753779861352875</v>
      </c>
    </row>
    <row r="1257" spans="1:45">
      <c r="A1257" s="19">
        <v>40.874166670000001</v>
      </c>
      <c r="B1257" s="19">
        <v>581.04892180000002</v>
      </c>
      <c r="C1257" s="19">
        <v>-336.7629402</v>
      </c>
      <c r="E1257" s="9">
        <f t="shared" si="333"/>
        <v>-378.95107819999998</v>
      </c>
      <c r="F1257" s="9">
        <f t="shared" si="338"/>
        <v>203.2370598</v>
      </c>
      <c r="I1257">
        <v>1</v>
      </c>
      <c r="J1257">
        <f t="shared" si="334"/>
        <v>0.27748938957193459</v>
      </c>
      <c r="K1257">
        <f t="shared" si="339"/>
        <v>2.6493170148925933</v>
      </c>
      <c r="O1257">
        <f t="shared" si="340"/>
        <v>-0.24141396841460006</v>
      </c>
      <c r="P1257">
        <f t="shared" si="341"/>
        <v>0.12947387659717544</v>
      </c>
      <c r="Q1257">
        <f t="shared" si="342"/>
        <v>0.96174623011125648</v>
      </c>
      <c r="R1257">
        <f t="shared" si="332"/>
        <v>1</v>
      </c>
      <c r="AG1257" s="8">
        <f t="shared" si="335"/>
        <v>-0.42334220678722823</v>
      </c>
      <c r="AH1257" s="8">
        <f t="shared" si="336"/>
        <v>0.6417971093204663</v>
      </c>
      <c r="AI1257" s="8">
        <f t="shared" si="337"/>
        <v>0.63943556862315154</v>
      </c>
      <c r="AJ1257" s="8"/>
      <c r="AK1257" s="8"/>
      <c r="AL1257" s="8"/>
      <c r="AN1257" s="8">
        <f t="shared" si="343"/>
        <v>1</v>
      </c>
      <c r="AO1257" s="8">
        <f t="shared" si="344"/>
        <v>2.153904587182808</v>
      </c>
      <c r="AP1257" s="8">
        <f t="shared" si="345"/>
        <v>0.87703241474142157</v>
      </c>
      <c r="AQ1257" s="8"/>
      <c r="AR1257" s="8">
        <f t="shared" si="346"/>
        <v>123.40964231944277</v>
      </c>
      <c r="AS1257" s="8">
        <f t="shared" si="347"/>
        <v>39.749744139149335</v>
      </c>
    </row>
    <row r="1258" spans="1:45">
      <c r="A1258" s="19">
        <v>40.90753333</v>
      </c>
      <c r="B1258" s="19">
        <v>580.4949646</v>
      </c>
      <c r="C1258" s="19">
        <v>-336.56380739999997</v>
      </c>
      <c r="E1258" s="9">
        <f t="shared" si="333"/>
        <v>-379.5050354</v>
      </c>
      <c r="F1258" s="9">
        <f t="shared" si="338"/>
        <v>203.43619260000003</v>
      </c>
      <c r="I1258">
        <v>1</v>
      </c>
      <c r="J1258">
        <f t="shared" si="334"/>
        <v>0.27784969456121422</v>
      </c>
      <c r="K1258">
        <f t="shared" si="339"/>
        <v>2.6495175070065056</v>
      </c>
      <c r="O1258">
        <f t="shared" si="340"/>
        <v>-0.24174531501364813</v>
      </c>
      <c r="P1258">
        <f t="shared" si="341"/>
        <v>0.12958918032122688</v>
      </c>
      <c r="Q1258">
        <f t="shared" si="342"/>
        <v>0.96164746503727894</v>
      </c>
      <c r="R1258">
        <f t="shared" si="332"/>
        <v>1</v>
      </c>
      <c r="AG1258" s="8">
        <f t="shared" si="335"/>
        <v>-0.42305260976959141</v>
      </c>
      <c r="AH1258" s="8">
        <f t="shared" si="336"/>
        <v>0.64201654998524527</v>
      </c>
      <c r="AI1258" s="8">
        <f t="shared" si="337"/>
        <v>0.63940694312165625</v>
      </c>
      <c r="AJ1258" s="8"/>
      <c r="AK1258" s="8"/>
      <c r="AL1258" s="8"/>
      <c r="AN1258" s="8">
        <f t="shared" si="343"/>
        <v>1</v>
      </c>
      <c r="AO1258" s="8">
        <f t="shared" si="344"/>
        <v>2.153433022377726</v>
      </c>
      <c r="AP1258" s="8">
        <f t="shared" si="345"/>
        <v>0.87706964600383786</v>
      </c>
      <c r="AQ1258" s="8"/>
      <c r="AR1258" s="8">
        <f t="shared" si="346"/>
        <v>123.38262364634467</v>
      </c>
      <c r="AS1258" s="8">
        <f t="shared" si="347"/>
        <v>39.747610944946942</v>
      </c>
    </row>
    <row r="1259" spans="1:45">
      <c r="A1259" s="19">
        <v>40.940899999999999</v>
      </c>
      <c r="B1259" s="19">
        <v>579.92141460000005</v>
      </c>
      <c r="C1259" s="19">
        <v>-336.45875330000001</v>
      </c>
      <c r="E1259" s="9">
        <f t="shared" si="333"/>
        <v>-380.07858539999995</v>
      </c>
      <c r="F1259" s="9">
        <f t="shared" si="338"/>
        <v>203.54124669999999</v>
      </c>
      <c r="I1259">
        <v>1</v>
      </c>
      <c r="J1259">
        <f t="shared" si="334"/>
        <v>0.27819314563762143</v>
      </c>
      <c r="K1259">
        <f t="shared" si="339"/>
        <v>2.6499312560772088</v>
      </c>
      <c r="O1259">
        <f t="shared" si="340"/>
        <v>-0.24209005469822184</v>
      </c>
      <c r="P1259">
        <f t="shared" si="341"/>
        <v>0.12964506141562604</v>
      </c>
      <c r="Q1259">
        <f t="shared" si="342"/>
        <v>0.96155320365892938</v>
      </c>
      <c r="R1259">
        <f t="shared" si="332"/>
        <v>1</v>
      </c>
      <c r="AG1259" s="8">
        <f t="shared" si="335"/>
        <v>-0.42279556322278417</v>
      </c>
      <c r="AH1259" s="8">
        <f t="shared" si="336"/>
        <v>0.64225994644002971</v>
      </c>
      <c r="AI1259" s="8">
        <f t="shared" si="337"/>
        <v>0.63933252139866859</v>
      </c>
      <c r="AJ1259" s="8"/>
      <c r="AK1259" s="8"/>
      <c r="AL1259" s="8"/>
      <c r="AN1259" s="8">
        <f t="shared" si="343"/>
        <v>1</v>
      </c>
      <c r="AO1259" s="8">
        <f t="shared" si="344"/>
        <v>2.1529797159216981</v>
      </c>
      <c r="AP1259" s="8">
        <f t="shared" si="345"/>
        <v>0.87716643593424626</v>
      </c>
      <c r="AQ1259" s="8"/>
      <c r="AR1259" s="8">
        <f t="shared" si="346"/>
        <v>123.35665109958823</v>
      </c>
      <c r="AS1259" s="8">
        <f t="shared" si="347"/>
        <v>39.742065290435178</v>
      </c>
    </row>
    <row r="1260" spans="1:45">
      <c r="A1260" s="19">
        <v>40.974266669999999</v>
      </c>
      <c r="B1260" s="19">
        <v>579.16422</v>
      </c>
      <c r="C1260" s="19">
        <v>-336.418454</v>
      </c>
      <c r="E1260" s="9">
        <f t="shared" si="333"/>
        <v>-380.83578</v>
      </c>
      <c r="F1260" s="9">
        <f t="shared" si="338"/>
        <v>203.581546</v>
      </c>
      <c r="I1260">
        <v>1</v>
      </c>
      <c r="J1260">
        <f t="shared" si="334"/>
        <v>0.27861784752951885</v>
      </c>
      <c r="K1260">
        <f t="shared" si="339"/>
        <v>2.6506767703802963</v>
      </c>
      <c r="O1260">
        <f t="shared" si="340"/>
        <v>-0.24254676295925259</v>
      </c>
      <c r="P1260">
        <f t="shared" si="341"/>
        <v>0.12965705318061291</v>
      </c>
      <c r="Q1260">
        <f t="shared" si="342"/>
        <v>0.96143648585775432</v>
      </c>
      <c r="R1260">
        <f t="shared" si="332"/>
        <v>1</v>
      </c>
      <c r="AG1260" s="8">
        <f t="shared" si="335"/>
        <v>-0.42249783221620196</v>
      </c>
      <c r="AH1260" s="8">
        <f t="shared" si="336"/>
        <v>0.64259696954650825</v>
      </c>
      <c r="AI1260" s="8">
        <f t="shared" si="337"/>
        <v>0.6391906730407243</v>
      </c>
      <c r="AJ1260" s="8"/>
      <c r="AK1260" s="8"/>
      <c r="AL1260" s="8"/>
      <c r="AN1260" s="8">
        <f t="shared" si="343"/>
        <v>1</v>
      </c>
      <c r="AO1260" s="8">
        <f t="shared" si="344"/>
        <v>2.1524153874521144</v>
      </c>
      <c r="AP1260" s="8">
        <f t="shared" si="345"/>
        <v>0.8773508966940381</v>
      </c>
      <c r="AQ1260" s="8"/>
      <c r="AR1260" s="8">
        <f t="shared" si="346"/>
        <v>123.324317460022</v>
      </c>
      <c r="AS1260" s="8">
        <f t="shared" si="347"/>
        <v>39.731496467413329</v>
      </c>
    </row>
    <row r="1261" spans="1:45">
      <c r="A1261" s="19">
        <v>41.007633329999997</v>
      </c>
      <c r="B1261" s="19">
        <v>578.7186074</v>
      </c>
      <c r="C1261" s="19">
        <v>-336.25009560000001</v>
      </c>
      <c r="E1261" s="9">
        <f t="shared" si="333"/>
        <v>-381.2813926</v>
      </c>
      <c r="F1261" s="9">
        <f t="shared" si="338"/>
        <v>203.74990439999999</v>
      </c>
      <c r="I1261">
        <v>1</v>
      </c>
      <c r="J1261">
        <f t="shared" si="334"/>
        <v>0.27890995285476983</v>
      </c>
      <c r="K1261">
        <f t="shared" si="339"/>
        <v>2.6508192647107385</v>
      </c>
      <c r="O1261">
        <f t="shared" si="340"/>
        <v>-0.24281291823912957</v>
      </c>
      <c r="P1261">
        <f t="shared" si="341"/>
        <v>0.12975484730829662</v>
      </c>
      <c r="Q1261">
        <f t="shared" si="342"/>
        <v>0.96135610797258597</v>
      </c>
      <c r="R1261">
        <f t="shared" si="332"/>
        <v>1</v>
      </c>
      <c r="AG1261" s="8">
        <f t="shared" si="335"/>
        <v>-0.42226140844132098</v>
      </c>
      <c r="AH1261" s="8">
        <f t="shared" si="336"/>
        <v>0.64277184774888441</v>
      </c>
      <c r="AI1261" s="8">
        <f t="shared" si="337"/>
        <v>0.6391710684023777</v>
      </c>
      <c r="AJ1261" s="8"/>
      <c r="AK1261" s="8"/>
      <c r="AL1261" s="8"/>
      <c r="AN1261" s="8">
        <f t="shared" si="343"/>
        <v>1</v>
      </c>
      <c r="AO1261" s="8">
        <f t="shared" si="344"/>
        <v>2.1520335940584978</v>
      </c>
      <c r="AP1261" s="8">
        <f t="shared" si="345"/>
        <v>0.87737638850090582</v>
      </c>
      <c r="AQ1261" s="8"/>
      <c r="AR1261" s="8">
        <f t="shared" si="346"/>
        <v>123.3024423099218</v>
      </c>
      <c r="AS1261" s="8">
        <f t="shared" si="347"/>
        <v>39.73003589446764</v>
      </c>
    </row>
    <row r="1262" spans="1:45">
      <c r="A1262" s="19">
        <v>41.040999999999997</v>
      </c>
      <c r="B1262" s="19">
        <v>577.96983360000002</v>
      </c>
      <c r="C1262" s="19">
        <v>-336.0610413</v>
      </c>
      <c r="E1262" s="9">
        <f t="shared" si="333"/>
        <v>-382.03016639999998</v>
      </c>
      <c r="F1262" s="9">
        <f t="shared" si="338"/>
        <v>203.9389587</v>
      </c>
      <c r="I1262">
        <v>1</v>
      </c>
      <c r="J1262">
        <f t="shared" si="334"/>
        <v>0.27937336935647206</v>
      </c>
      <c r="K1262">
        <f t="shared" si="339"/>
        <v>2.6512491465431793</v>
      </c>
      <c r="O1262">
        <f t="shared" si="340"/>
        <v>-0.24326166351315967</v>
      </c>
      <c r="P1262">
        <f t="shared" si="341"/>
        <v>0.129860243278693</v>
      </c>
      <c r="Q1262">
        <f t="shared" si="342"/>
        <v>0.96122842253046648</v>
      </c>
      <c r="R1262">
        <f t="shared" si="332"/>
        <v>1</v>
      </c>
      <c r="AG1262" s="8">
        <f t="shared" si="335"/>
        <v>-0.42190383996245029</v>
      </c>
      <c r="AH1262" s="8">
        <f t="shared" si="336"/>
        <v>0.64308067649218525</v>
      </c>
      <c r="AI1262" s="8">
        <f t="shared" si="337"/>
        <v>0.63909654462161858</v>
      </c>
      <c r="AJ1262" s="8"/>
      <c r="AK1262" s="8"/>
      <c r="AL1262" s="8"/>
      <c r="AN1262" s="8">
        <f t="shared" si="343"/>
        <v>1</v>
      </c>
      <c r="AO1262" s="8">
        <f t="shared" si="344"/>
        <v>2.1514245719488443</v>
      </c>
      <c r="AP1262" s="8">
        <f t="shared" si="345"/>
        <v>0.87747328644820399</v>
      </c>
      <c r="AQ1262" s="8"/>
      <c r="AR1262" s="8">
        <f t="shared" si="346"/>
        <v>123.26754791340849</v>
      </c>
      <c r="AS1262" s="8">
        <f t="shared" si="347"/>
        <v>39.72448405104398</v>
      </c>
    </row>
    <row r="1263" spans="1:45">
      <c r="A1263" s="19">
        <v>41.074366670000003</v>
      </c>
      <c r="B1263" s="19">
        <v>577.38584319999995</v>
      </c>
      <c r="C1263" s="19">
        <v>-336.0561821</v>
      </c>
      <c r="E1263" s="9">
        <f t="shared" si="333"/>
        <v>-382.61415680000005</v>
      </c>
      <c r="F1263" s="9">
        <f t="shared" si="338"/>
        <v>203.9438179</v>
      </c>
      <c r="I1263">
        <v>1</v>
      </c>
      <c r="J1263">
        <f t="shared" si="334"/>
        <v>0.27969328906040419</v>
      </c>
      <c r="K1263">
        <f t="shared" si="339"/>
        <v>2.6518735639869715</v>
      </c>
      <c r="O1263">
        <f t="shared" si="340"/>
        <v>-0.24361406266605909</v>
      </c>
      <c r="P1263">
        <f t="shared" si="341"/>
        <v>0.12985296323004727</v>
      </c>
      <c r="Q1263">
        <f t="shared" si="342"/>
        <v>0.96114015440606448</v>
      </c>
      <c r="R1263">
        <f t="shared" si="332"/>
        <v>1</v>
      </c>
      <c r="AG1263" s="8">
        <f t="shared" si="335"/>
        <v>-0.42168527048638255</v>
      </c>
      <c r="AH1263" s="8">
        <f t="shared" si="336"/>
        <v>0.64334442844617301</v>
      </c>
      <c r="AI1263" s="8">
        <f t="shared" si="337"/>
        <v>0.63897533523767047</v>
      </c>
      <c r="AJ1263" s="8"/>
      <c r="AK1263" s="8"/>
      <c r="AL1263" s="8"/>
      <c r="AN1263" s="8">
        <f t="shared" si="343"/>
        <v>1</v>
      </c>
      <c r="AO1263" s="8">
        <f t="shared" si="344"/>
        <v>2.1509989098385178</v>
      </c>
      <c r="AP1263" s="8">
        <f t="shared" si="345"/>
        <v>0.87763086968818749</v>
      </c>
      <c r="AQ1263" s="8"/>
      <c r="AR1263" s="8">
        <f t="shared" si="346"/>
        <v>123.24315927098816</v>
      </c>
      <c r="AS1263" s="8">
        <f t="shared" si="347"/>
        <v>39.715455196470927</v>
      </c>
    </row>
    <row r="1264" spans="1:45">
      <c r="A1264" s="19">
        <v>41.107733330000002</v>
      </c>
      <c r="B1264" s="19">
        <v>576.91422690000002</v>
      </c>
      <c r="C1264" s="19">
        <v>-336.00573759999997</v>
      </c>
      <c r="E1264" s="9">
        <f t="shared" si="333"/>
        <v>-383.08577309999998</v>
      </c>
      <c r="F1264" s="9">
        <f t="shared" si="338"/>
        <v>203.99426240000003</v>
      </c>
      <c r="I1264">
        <v>1</v>
      </c>
      <c r="J1264">
        <f t="shared" si="334"/>
        <v>0.27996519589257585</v>
      </c>
      <c r="K1264">
        <f t="shared" si="339"/>
        <v>2.6522821276142516</v>
      </c>
      <c r="O1264">
        <f t="shared" si="340"/>
        <v>-0.24389776064171972</v>
      </c>
      <c r="P1264">
        <f t="shared" si="341"/>
        <v>0.12987625037730588</v>
      </c>
      <c r="Q1264">
        <f t="shared" si="342"/>
        <v>0.96106505604037329</v>
      </c>
      <c r="R1264">
        <f t="shared" si="332"/>
        <v>1</v>
      </c>
      <c r="AG1264" s="8">
        <f t="shared" si="335"/>
        <v>-0.421489070630229</v>
      </c>
      <c r="AH1264" s="8">
        <f t="shared" si="336"/>
        <v>0.64354981698381397</v>
      </c>
      <c r="AI1264" s="8">
        <f t="shared" si="337"/>
        <v>0.63889795460571441</v>
      </c>
      <c r="AJ1264" s="8"/>
      <c r="AK1264" s="8"/>
      <c r="AL1264" s="8"/>
      <c r="AN1264" s="8">
        <f t="shared" si="343"/>
        <v>1</v>
      </c>
      <c r="AO1264" s="8">
        <f t="shared" si="344"/>
        <v>2.1506392481103402</v>
      </c>
      <c r="AP1264" s="8">
        <f t="shared" si="345"/>
        <v>0.87773146077102071</v>
      </c>
      <c r="AQ1264" s="8"/>
      <c r="AR1264" s="8">
        <f t="shared" si="346"/>
        <v>123.2225521719112</v>
      </c>
      <c r="AS1264" s="8">
        <f t="shared" si="347"/>
        <v>39.709691751967931</v>
      </c>
    </row>
    <row r="1265" spans="1:45">
      <c r="A1265" s="19">
        <v>41.141100000000002</v>
      </c>
      <c r="B1265" s="19">
        <v>576.18318339999996</v>
      </c>
      <c r="C1265" s="19">
        <v>-335.8631742</v>
      </c>
      <c r="E1265" s="9">
        <f t="shared" si="333"/>
        <v>-383.81681660000004</v>
      </c>
      <c r="F1265" s="9">
        <f t="shared" si="338"/>
        <v>204.1368258</v>
      </c>
      <c r="I1265">
        <v>1</v>
      </c>
      <c r="J1265">
        <f t="shared" si="334"/>
        <v>0.28040535656250892</v>
      </c>
      <c r="K1265">
        <f t="shared" si="339"/>
        <v>2.652783059944761</v>
      </c>
      <c r="O1265">
        <f t="shared" si="340"/>
        <v>-0.24433624946127469</v>
      </c>
      <c r="P1265">
        <f t="shared" si="341"/>
        <v>0.12995268637455937</v>
      </c>
      <c r="Q1265">
        <f t="shared" si="342"/>
        <v>0.96094333678070387</v>
      </c>
      <c r="R1265">
        <f t="shared" si="332"/>
        <v>1</v>
      </c>
      <c r="AG1265" s="8">
        <f t="shared" si="335"/>
        <v>-0.42115770858097151</v>
      </c>
      <c r="AH1265" s="8">
        <f t="shared" si="336"/>
        <v>0.64385761391156771</v>
      </c>
      <c r="AI1265" s="8">
        <f t="shared" si="337"/>
        <v>0.63880635368703731</v>
      </c>
      <c r="AJ1265" s="8"/>
      <c r="AK1265" s="8"/>
      <c r="AL1265" s="8"/>
      <c r="AN1265" s="8">
        <f t="shared" si="343"/>
        <v>1</v>
      </c>
      <c r="AO1265" s="8">
        <f t="shared" si="344"/>
        <v>2.1500597589461279</v>
      </c>
      <c r="AP1265" s="8">
        <f t="shared" si="345"/>
        <v>0.87785052667882302</v>
      </c>
      <c r="AQ1265" s="8"/>
      <c r="AR1265" s="8">
        <f t="shared" si="346"/>
        <v>123.18934988852827</v>
      </c>
      <c r="AS1265" s="8">
        <f t="shared" si="347"/>
        <v>39.702869777966967</v>
      </c>
    </row>
    <row r="1266" spans="1:45">
      <c r="A1266" s="19">
        <v>41.174466670000001</v>
      </c>
      <c r="B1266" s="19">
        <v>575.58557819999999</v>
      </c>
      <c r="C1266" s="19">
        <v>-335.62972860000002</v>
      </c>
      <c r="E1266" s="9">
        <f t="shared" si="333"/>
        <v>-384.41442180000001</v>
      </c>
      <c r="F1266" s="9">
        <f t="shared" si="338"/>
        <v>204.37027139999998</v>
      </c>
      <c r="I1266">
        <v>1</v>
      </c>
      <c r="J1266">
        <f t="shared" si="334"/>
        <v>0.28079903833131253</v>
      </c>
      <c r="K1266">
        <f t="shared" si="339"/>
        <v>2.6529542115843761</v>
      </c>
      <c r="O1266">
        <f t="shared" si="340"/>
        <v>-0.24469250235823004</v>
      </c>
      <c r="P1266">
        <f t="shared" si="341"/>
        <v>0.13008844174559689</v>
      </c>
      <c r="Q1266">
        <f t="shared" si="342"/>
        <v>0.96083431277919606</v>
      </c>
      <c r="R1266">
        <f t="shared" si="332"/>
        <v>1</v>
      </c>
      <c r="AG1266" s="8">
        <f t="shared" si="335"/>
        <v>-0.42083739004331622</v>
      </c>
      <c r="AH1266" s="8">
        <f t="shared" si="336"/>
        <v>0.64409017200104257</v>
      </c>
      <c r="AI1266" s="8">
        <f t="shared" si="337"/>
        <v>0.63878301595549403</v>
      </c>
      <c r="AJ1266" s="8"/>
      <c r="AK1266" s="8"/>
      <c r="AL1266" s="8"/>
      <c r="AN1266" s="8">
        <f t="shared" si="343"/>
        <v>0.99999999999999978</v>
      </c>
      <c r="AO1266" s="8">
        <f t="shared" si="344"/>
        <v>2.1495458851060181</v>
      </c>
      <c r="AP1266" s="8">
        <f t="shared" si="345"/>
        <v>0.87788085995367471</v>
      </c>
      <c r="AQ1266" s="8"/>
      <c r="AR1266" s="8">
        <f t="shared" si="346"/>
        <v>123.1599070862878</v>
      </c>
      <c r="AS1266" s="8">
        <f t="shared" si="347"/>
        <v>39.701131809339152</v>
      </c>
    </row>
    <row r="1267" spans="1:45">
      <c r="A1267" s="19">
        <v>41.20783333</v>
      </c>
      <c r="B1267" s="19">
        <v>574.86621549999995</v>
      </c>
      <c r="C1267" s="19">
        <v>-335.45415709999997</v>
      </c>
      <c r="E1267" s="9">
        <f t="shared" si="333"/>
        <v>-385.13378450000005</v>
      </c>
      <c r="F1267" s="9">
        <f t="shared" si="338"/>
        <v>204.54584290000003</v>
      </c>
      <c r="I1267">
        <v>1</v>
      </c>
      <c r="J1267">
        <f t="shared" si="334"/>
        <v>0.28124228101505616</v>
      </c>
      <c r="K1267">
        <f t="shared" si="339"/>
        <v>2.6533730813442493</v>
      </c>
      <c r="O1267">
        <f t="shared" si="340"/>
        <v>-0.24512307357897789</v>
      </c>
      <c r="P1267">
        <f t="shared" si="341"/>
        <v>0.13018568538344044</v>
      </c>
      <c r="Q1267">
        <f t="shared" si="342"/>
        <v>0.96071138544332801</v>
      </c>
      <c r="R1267">
        <f t="shared" si="332"/>
        <v>1</v>
      </c>
      <c r="AG1267" s="8">
        <f t="shared" si="335"/>
        <v>-0.4204963909607955</v>
      </c>
      <c r="AH1267" s="8">
        <f t="shared" si="336"/>
        <v>0.64438696788213301</v>
      </c>
      <c r="AI1267" s="8">
        <f t="shared" si="337"/>
        <v>0.63870824388966241</v>
      </c>
      <c r="AJ1267" s="8"/>
      <c r="AK1267" s="8"/>
      <c r="AL1267" s="8"/>
      <c r="AN1267" s="8">
        <f t="shared" si="343"/>
        <v>0.99999999999999978</v>
      </c>
      <c r="AO1267" s="8">
        <f t="shared" si="344"/>
        <v>2.1489639009111769</v>
      </c>
      <c r="AP1267" s="8">
        <f t="shared" si="345"/>
        <v>0.87797803998891077</v>
      </c>
      <c r="AQ1267" s="8"/>
      <c r="AR1267" s="8">
        <f t="shared" si="346"/>
        <v>123.12656184818009</v>
      </c>
      <c r="AS1267" s="8">
        <f t="shared" si="347"/>
        <v>39.695563803467195</v>
      </c>
    </row>
    <row r="1268" spans="1:45">
      <c r="A1268" s="19">
        <v>41.241199999999999</v>
      </c>
      <c r="B1268" s="19">
        <v>574.07981199999995</v>
      </c>
      <c r="C1268" s="19">
        <v>-335.38012450000002</v>
      </c>
      <c r="E1268" s="9">
        <f t="shared" si="333"/>
        <v>-385.92018800000005</v>
      </c>
      <c r="F1268" s="9">
        <f t="shared" si="338"/>
        <v>204.61987549999998</v>
      </c>
      <c r="I1268">
        <v>1</v>
      </c>
      <c r="J1268">
        <f t="shared" si="334"/>
        <v>0.28169265661773596</v>
      </c>
      <c r="K1268">
        <f t="shared" si="339"/>
        <v>2.6540678502609998</v>
      </c>
      <c r="O1268">
        <f t="shared" si="340"/>
        <v>-0.24559570998903199</v>
      </c>
      <c r="P1268">
        <f t="shared" si="341"/>
        <v>0.13021802218154452</v>
      </c>
      <c r="Q1268">
        <f t="shared" si="342"/>
        <v>0.96058628656363299</v>
      </c>
      <c r="R1268">
        <f t="shared" si="332"/>
        <v>1</v>
      </c>
      <c r="AG1268" s="8">
        <f t="shared" si="335"/>
        <v>-0.42017344636358611</v>
      </c>
      <c r="AH1268" s="8">
        <f t="shared" si="336"/>
        <v>0.64473026339575612</v>
      </c>
      <c r="AI1268" s="8">
        <f t="shared" si="337"/>
        <v>0.63857432021072191</v>
      </c>
      <c r="AJ1268" s="8"/>
      <c r="AK1268" s="8"/>
      <c r="AL1268" s="8"/>
      <c r="AN1268" s="8">
        <f t="shared" si="343"/>
        <v>1</v>
      </c>
      <c r="AO1268" s="8">
        <f t="shared" si="344"/>
        <v>2.1483686743753654</v>
      </c>
      <c r="AP1268" s="8">
        <f t="shared" si="345"/>
        <v>0.87815207882029866</v>
      </c>
      <c r="AQ1268" s="8"/>
      <c r="AR1268" s="8">
        <f t="shared" si="346"/>
        <v>123.09245787982388</v>
      </c>
      <c r="AS1268" s="8">
        <f t="shared" si="347"/>
        <v>39.685592112957281</v>
      </c>
    </row>
    <row r="1269" spans="1:45">
      <c r="A1269" s="19">
        <v>41.274566669999999</v>
      </c>
      <c r="B1269" s="19">
        <v>573.76591029999997</v>
      </c>
      <c r="C1269" s="19">
        <v>-335.32363450000003</v>
      </c>
      <c r="E1269" s="9">
        <f t="shared" si="333"/>
        <v>-386.23408970000003</v>
      </c>
      <c r="F1269" s="9">
        <f t="shared" si="338"/>
        <v>204.67636549999997</v>
      </c>
      <c r="I1269">
        <v>1</v>
      </c>
      <c r="J1269">
        <f t="shared" si="334"/>
        <v>0.28188022164848398</v>
      </c>
      <c r="K1269">
        <f t="shared" si="339"/>
        <v>2.6542900703196284</v>
      </c>
      <c r="O1269">
        <f t="shared" si="340"/>
        <v>-0.2457838368309079</v>
      </c>
      <c r="P1269">
        <f t="shared" si="341"/>
        <v>0.13024780505591729</v>
      </c>
      <c r="Q1269">
        <f t="shared" si="342"/>
        <v>0.96053412996665211</v>
      </c>
      <c r="R1269">
        <f t="shared" si="332"/>
        <v>1</v>
      </c>
      <c r="AG1269" s="8">
        <f t="shared" si="335"/>
        <v>-0.42003314602396524</v>
      </c>
      <c r="AH1269" s="8">
        <f t="shared" si="336"/>
        <v>0.64486286944253113</v>
      </c>
      <c r="AI1269" s="8">
        <f t="shared" si="337"/>
        <v>0.63853272105316206</v>
      </c>
      <c r="AJ1269" s="8"/>
      <c r="AK1269" s="8"/>
      <c r="AL1269" s="8"/>
      <c r="AN1269" s="8">
        <f t="shared" si="343"/>
        <v>0.99999999999999989</v>
      </c>
      <c r="AO1269" s="8">
        <f t="shared" si="344"/>
        <v>2.1481218637985711</v>
      </c>
      <c r="AP1269" s="8">
        <f t="shared" si="345"/>
        <v>0.87820613336586817</v>
      </c>
      <c r="AQ1269" s="8"/>
      <c r="AR1269" s="8">
        <f t="shared" si="346"/>
        <v>123.07831667543438</v>
      </c>
      <c r="AS1269" s="8">
        <f t="shared" si="347"/>
        <v>39.682495015632647</v>
      </c>
    </row>
    <row r="1270" spans="1:45">
      <c r="A1270" s="19">
        <v>41.307933329999997</v>
      </c>
      <c r="B1270" s="19">
        <v>572.97751270000003</v>
      </c>
      <c r="C1270" s="19">
        <v>-335.26379700000001</v>
      </c>
      <c r="E1270" s="9">
        <f t="shared" si="333"/>
        <v>-387.02248729999997</v>
      </c>
      <c r="F1270" s="9">
        <f t="shared" si="338"/>
        <v>204.73620299999999</v>
      </c>
      <c r="I1270">
        <v>1</v>
      </c>
      <c r="J1270">
        <f t="shared" si="334"/>
        <v>0.28232760368739579</v>
      </c>
      <c r="K1270">
        <f t="shared" si="339"/>
        <v>2.6550124590643343</v>
      </c>
      <c r="O1270">
        <f t="shared" si="340"/>
        <v>-0.24625768814541105</v>
      </c>
      <c r="P1270">
        <f t="shared" si="341"/>
        <v>0.13027114879598262</v>
      </c>
      <c r="Q1270">
        <f t="shared" si="342"/>
        <v>0.96040958909241037</v>
      </c>
      <c r="R1270">
        <f t="shared" si="332"/>
        <v>1</v>
      </c>
      <c r="AG1270" s="8">
        <f t="shared" si="335"/>
        <v>-0.41971543207096118</v>
      </c>
      <c r="AH1270" s="8">
        <f t="shared" si="336"/>
        <v>0.64520903066678881</v>
      </c>
      <c r="AI1270" s="8">
        <f t="shared" si="337"/>
        <v>0.63839193512097969</v>
      </c>
      <c r="AJ1270" s="8"/>
      <c r="AK1270" s="8"/>
      <c r="AL1270" s="8"/>
      <c r="AN1270" s="8">
        <f t="shared" si="343"/>
        <v>1</v>
      </c>
      <c r="AO1270" s="8">
        <f t="shared" si="344"/>
        <v>2.1475305381110594</v>
      </c>
      <c r="AP1270" s="8">
        <f t="shared" si="345"/>
        <v>0.87838905465519446</v>
      </c>
      <c r="AQ1270" s="8"/>
      <c r="AR1270" s="8">
        <f t="shared" si="346"/>
        <v>123.0444362092223</v>
      </c>
      <c r="AS1270" s="8">
        <f t="shared" si="347"/>
        <v>39.672014397771157</v>
      </c>
    </row>
    <row r="1271" spans="1:45">
      <c r="A1271" s="19">
        <v>41.341299999999997</v>
      </c>
      <c r="B1271" s="19">
        <v>572.71301219999998</v>
      </c>
      <c r="C1271" s="19">
        <v>-335.16740479999999</v>
      </c>
      <c r="E1271" s="9">
        <f t="shared" si="333"/>
        <v>-387.28698780000002</v>
      </c>
      <c r="F1271" s="9">
        <f t="shared" si="338"/>
        <v>204.83259520000001</v>
      </c>
      <c r="I1271">
        <v>1</v>
      </c>
      <c r="J1271">
        <f t="shared" si="334"/>
        <v>0.28249972075307994</v>
      </c>
      <c r="K1271">
        <f t="shared" si="339"/>
        <v>2.6551002830811958</v>
      </c>
      <c r="O1271">
        <f t="shared" si="340"/>
        <v>-0.24641524862680014</v>
      </c>
      <c r="P1271">
        <f t="shared" si="341"/>
        <v>0.13032680276659872</v>
      </c>
      <c r="Q1271">
        <f t="shared" si="342"/>
        <v>0.96036162445446993</v>
      </c>
      <c r="R1271">
        <f t="shared" si="332"/>
        <v>1</v>
      </c>
      <c r="AG1271" s="8">
        <f t="shared" si="335"/>
        <v>-0.41957658381077229</v>
      </c>
      <c r="AH1271" s="8">
        <f t="shared" si="336"/>
        <v>0.64531276175411456</v>
      </c>
      <c r="AI1271" s="8">
        <f t="shared" si="337"/>
        <v>0.63837835946635868</v>
      </c>
      <c r="AJ1271" s="8"/>
      <c r="AK1271" s="8"/>
      <c r="AL1271" s="8"/>
      <c r="AN1271" s="8">
        <f t="shared" si="343"/>
        <v>1.0000000000000002</v>
      </c>
      <c r="AO1271" s="8">
        <f t="shared" si="344"/>
        <v>2.1473058432773913</v>
      </c>
      <c r="AP1271" s="8">
        <f t="shared" si="345"/>
        <v>0.87840669185558906</v>
      </c>
      <c r="AQ1271" s="8"/>
      <c r="AR1271" s="8">
        <f t="shared" si="346"/>
        <v>123.03156214357472</v>
      </c>
      <c r="AS1271" s="8">
        <f t="shared" si="347"/>
        <v>39.671003860626122</v>
      </c>
    </row>
    <row r="1272" spans="1:45">
      <c r="A1272" s="19">
        <v>41.374666670000003</v>
      </c>
      <c r="B1272" s="19">
        <v>572.16780670000003</v>
      </c>
      <c r="C1272" s="19">
        <v>-335.06976980000002</v>
      </c>
      <c r="E1272" s="9">
        <f t="shared" si="333"/>
        <v>-387.83219329999997</v>
      </c>
      <c r="F1272" s="9">
        <f t="shared" si="338"/>
        <v>204.93023019999998</v>
      </c>
      <c r="I1272">
        <v>1</v>
      </c>
      <c r="J1272">
        <f t="shared" si="334"/>
        <v>0.28282531842449049</v>
      </c>
      <c r="K1272">
        <f t="shared" si="339"/>
        <v>2.6554846288411436</v>
      </c>
      <c r="O1272">
        <f t="shared" si="340"/>
        <v>-0.24674177655746099</v>
      </c>
      <c r="P1272">
        <f t="shared" si="341"/>
        <v>0.13037816340007649</v>
      </c>
      <c r="Q1272">
        <f t="shared" si="342"/>
        <v>0.96027081087039756</v>
      </c>
      <c r="R1272">
        <f t="shared" si="332"/>
        <v>1</v>
      </c>
      <c r="AG1272" s="8">
        <f t="shared" si="335"/>
        <v>-0.41933308560012039</v>
      </c>
      <c r="AH1272" s="8">
        <f t="shared" si="336"/>
        <v>0.64554284511442761</v>
      </c>
      <c r="AI1272" s="8">
        <f t="shared" si="337"/>
        <v>0.63830572490198789</v>
      </c>
      <c r="AJ1272" s="8"/>
      <c r="AK1272" s="8"/>
      <c r="AL1272" s="8"/>
      <c r="AN1272" s="8">
        <f t="shared" si="343"/>
        <v>1</v>
      </c>
      <c r="AO1272" s="8">
        <f t="shared" si="344"/>
        <v>2.1468777221284761</v>
      </c>
      <c r="AP1272" s="8">
        <f t="shared" si="345"/>
        <v>0.87850105274719736</v>
      </c>
      <c r="AQ1272" s="8"/>
      <c r="AR1272" s="8">
        <f t="shared" si="346"/>
        <v>123.00703260862159</v>
      </c>
      <c r="AS1272" s="8">
        <f t="shared" si="347"/>
        <v>39.665597379785879</v>
      </c>
    </row>
    <row r="1273" spans="1:45">
      <c r="A1273" s="20">
        <v>41.408033330000002</v>
      </c>
      <c r="B1273" s="20">
        <v>571.16791369999999</v>
      </c>
      <c r="C1273" s="20">
        <v>-335.06972869999998</v>
      </c>
      <c r="E1273" s="9">
        <f t="shared" ref="E1273:E1336" si="348">(B1273-($B$15/2))</f>
        <v>-388.83208630000001</v>
      </c>
      <c r="F1273" s="9">
        <f t="shared" si="338"/>
        <v>204.93027130000002</v>
      </c>
      <c r="I1273">
        <v>1</v>
      </c>
      <c r="J1273">
        <f t="shared" ref="J1273:J1336" si="349">ATAN((SQRT(E1273^2+F1273^2)^$B$16)/($F$24))</f>
        <v>0.28337090549361316</v>
      </c>
      <c r="K1273">
        <f t="shared" ref="K1273:K1336" si="350">ATAN2(E1273,F1273)</f>
        <v>2.6565473591421052</v>
      </c>
      <c r="O1273">
        <f t="shared" ref="O1273:O1336" si="351">COS(K1273)*SIN(J1273)</f>
        <v>-0.24734363742675833</v>
      </c>
      <c r="P1273">
        <f t="shared" ref="P1273:P1336" si="352">SIN(K1273)*SIN(J1273)</f>
        <v>0.1303601233234811</v>
      </c>
      <c r="Q1273">
        <f t="shared" ref="Q1273:Q1336" si="353">COS(J1273)</f>
        <v>0.96011841106791984</v>
      </c>
      <c r="R1273">
        <f t="shared" ref="R1273:R1336" si="354">SQRT(O1273^2+P1273^2+Q1273^2)</f>
        <v>1</v>
      </c>
      <c r="AG1273" s="8">
        <f t="shared" si="335"/>
        <v>-0.41896213314344166</v>
      </c>
      <c r="AH1273" s="8">
        <f t="shared" si="336"/>
        <v>0.64599349314634025</v>
      </c>
      <c r="AI1273" s="8">
        <f t="shared" si="337"/>
        <v>0.6380933613543448</v>
      </c>
      <c r="AJ1273" s="8"/>
      <c r="AK1273" s="8"/>
      <c r="AL1273" s="8"/>
      <c r="AN1273" s="8">
        <f t="shared" ref="AN1273:AN1336" si="355">AG1273^2+AH1273^2+AI1273^2</f>
        <v>1</v>
      </c>
      <c r="AO1273" s="8">
        <f t="shared" ref="AO1273:AO1336" si="356">IF(ATAN2(AG1273,AH1273)&gt;=0,ATAN2(AG1273,AH1273),ATAN2(AG1273,AH1273)+2*PI())</f>
        <v>2.1461548666876356</v>
      </c>
      <c r="AP1273" s="8">
        <f t="shared" ref="AP1273:AP1336" si="357">ACOS(AI1273/AN1273)</f>
        <v>0.87877689578079787</v>
      </c>
      <c r="AQ1273" s="8"/>
      <c r="AR1273" s="8">
        <f t="shared" ref="AR1273:AR1336" si="358">DEGREES(AO1273)</f>
        <v>122.96561604266336</v>
      </c>
      <c r="AS1273" s="8">
        <f t="shared" ref="AS1273:AS1336" si="359">90-DEGREES(AP1273)</f>
        <v>39.649792738152485</v>
      </c>
    </row>
    <row r="1274" spans="1:45">
      <c r="A1274" s="20">
        <v>41.441400000000002</v>
      </c>
      <c r="B1274" s="20">
        <v>570.94157859999996</v>
      </c>
      <c r="C1274" s="20">
        <v>-335.10959179999998</v>
      </c>
      <c r="E1274" s="9">
        <f t="shared" si="348"/>
        <v>-389.05842140000004</v>
      </c>
      <c r="F1274" s="9">
        <f t="shared" si="338"/>
        <v>204.89040820000002</v>
      </c>
      <c r="I1274">
        <v>1</v>
      </c>
      <c r="J1274">
        <f t="shared" si="349"/>
        <v>0.2834829632596465</v>
      </c>
      <c r="K1274">
        <f t="shared" si="350"/>
        <v>2.6568675538854478</v>
      </c>
      <c r="O1274">
        <f t="shared" si="351"/>
        <v>-0.24748055865369273</v>
      </c>
      <c r="P1274">
        <f t="shared" si="352"/>
        <v>0.13033105028714109</v>
      </c>
      <c r="Q1274">
        <f t="shared" si="353"/>
        <v>0.96008707439456076</v>
      </c>
      <c r="R1274">
        <f t="shared" si="354"/>
        <v>1</v>
      </c>
      <c r="AG1274" s="8">
        <f t="shared" si="335"/>
        <v>-0.41889500145118713</v>
      </c>
      <c r="AH1274" s="8">
        <f t="shared" si="336"/>
        <v>0.64610190311646887</v>
      </c>
      <c r="AI1274" s="8">
        <f t="shared" si="337"/>
        <v>0.63802767067619182</v>
      </c>
      <c r="AJ1274" s="8"/>
      <c r="AK1274" s="8"/>
      <c r="AL1274" s="8"/>
      <c r="AN1274" s="8">
        <f t="shared" si="355"/>
        <v>1</v>
      </c>
      <c r="AO1274" s="8">
        <f t="shared" si="356"/>
        <v>2.1460051121125958</v>
      </c>
      <c r="AP1274" s="8">
        <f t="shared" si="357"/>
        <v>0.8788622098767751</v>
      </c>
      <c r="AQ1274" s="8"/>
      <c r="AR1274" s="8">
        <f t="shared" si="358"/>
        <v>122.9570357375508</v>
      </c>
      <c r="AS1274" s="8">
        <f t="shared" si="359"/>
        <v>39.644904600520015</v>
      </c>
    </row>
    <row r="1275" spans="1:45">
      <c r="A1275" s="20">
        <v>41.474766670000001</v>
      </c>
      <c r="B1275" s="20">
        <v>570.15595210000004</v>
      </c>
      <c r="C1275" s="20">
        <v>-334.95457219999997</v>
      </c>
      <c r="E1275" s="9">
        <f t="shared" si="348"/>
        <v>-389.84404789999996</v>
      </c>
      <c r="F1275" s="9">
        <f t="shared" si="338"/>
        <v>205.04542780000003</v>
      </c>
      <c r="I1275">
        <v>1</v>
      </c>
      <c r="J1275">
        <f t="shared" si="349"/>
        <v>0.28395626062727292</v>
      </c>
      <c r="K1275">
        <f t="shared" si="350"/>
        <v>2.6573872440492128</v>
      </c>
      <c r="O1275">
        <f t="shared" si="351"/>
        <v>-0.24795039967085489</v>
      </c>
      <c r="P1275">
        <f t="shared" si="352"/>
        <v>0.13041393359103653</v>
      </c>
      <c r="Q1275">
        <f t="shared" si="353"/>
        <v>0.95995458498221464</v>
      </c>
      <c r="R1275">
        <f t="shared" si="354"/>
        <v>1</v>
      </c>
      <c r="AG1275" s="8">
        <f t="shared" si="335"/>
        <v>-0.4185380283692256</v>
      </c>
      <c r="AH1275" s="8">
        <f t="shared" si="336"/>
        <v>0.64643055878329658</v>
      </c>
      <c r="AI1275" s="8">
        <f t="shared" si="337"/>
        <v>0.63792903326303951</v>
      </c>
      <c r="AJ1275" s="8"/>
      <c r="AK1275" s="8"/>
      <c r="AL1275" s="8"/>
      <c r="AN1275" s="8">
        <f t="shared" si="355"/>
        <v>1</v>
      </c>
      <c r="AO1275" s="8">
        <f t="shared" si="356"/>
        <v>2.1453839933885845</v>
      </c>
      <c r="AP1275" s="8">
        <f t="shared" si="357"/>
        <v>0.87899030138093148</v>
      </c>
      <c r="AQ1275" s="8"/>
      <c r="AR1275" s="8">
        <f t="shared" si="358"/>
        <v>122.92144825608841</v>
      </c>
      <c r="AS1275" s="8">
        <f t="shared" si="359"/>
        <v>39.637565497940372</v>
      </c>
    </row>
    <row r="1276" spans="1:45">
      <c r="A1276" s="20">
        <v>41.50813333</v>
      </c>
      <c r="B1276" s="20">
        <v>569.42842350000001</v>
      </c>
      <c r="C1276" s="20">
        <v>-334.72579469999999</v>
      </c>
      <c r="E1276" s="9">
        <f t="shared" si="348"/>
        <v>-390.57157649999999</v>
      </c>
      <c r="F1276" s="9">
        <f t="shared" si="338"/>
        <v>205.27420530000001</v>
      </c>
      <c r="I1276">
        <v>1</v>
      </c>
      <c r="J1276">
        <f t="shared" si="349"/>
        <v>0.28441895240803844</v>
      </c>
      <c r="K1276">
        <f t="shared" si="350"/>
        <v>2.6576959040952834</v>
      </c>
      <c r="O1276">
        <f t="shared" si="351"/>
        <v>-0.24838378304871611</v>
      </c>
      <c r="P1276">
        <f t="shared" si="352"/>
        <v>0.13054401995054768</v>
      </c>
      <c r="Q1276">
        <f t="shared" si="353"/>
        <v>0.95982485650954019</v>
      </c>
      <c r="R1276">
        <f t="shared" si="354"/>
        <v>1</v>
      </c>
      <c r="AG1276" s="8">
        <f t="shared" si="335"/>
        <v>-0.41817145283105983</v>
      </c>
      <c r="AH1276" s="8">
        <f t="shared" si="336"/>
        <v>0.64672089215838624</v>
      </c>
      <c r="AI1276" s="8">
        <f t="shared" si="337"/>
        <v>0.63787516308680792</v>
      </c>
      <c r="AJ1276" s="8"/>
      <c r="AK1276" s="8"/>
      <c r="AL1276" s="8"/>
      <c r="AN1276" s="8">
        <f t="shared" si="355"/>
        <v>1.0000000000000002</v>
      </c>
      <c r="AO1276" s="8">
        <f t="shared" si="356"/>
        <v>2.1447795544270929</v>
      </c>
      <c r="AP1276" s="8">
        <f t="shared" si="357"/>
        <v>0.87906025197751725</v>
      </c>
      <c r="AQ1276" s="8"/>
      <c r="AR1276" s="8">
        <f t="shared" si="358"/>
        <v>122.88681645462167</v>
      </c>
      <c r="AS1276" s="8">
        <f t="shared" si="359"/>
        <v>39.633557623981581</v>
      </c>
    </row>
    <row r="1277" spans="1:45">
      <c r="A1277" s="20">
        <v>41.541499999999999</v>
      </c>
      <c r="B1277" s="20">
        <v>568.94473909999999</v>
      </c>
      <c r="C1277" s="20">
        <v>-334.43185590000002</v>
      </c>
      <c r="E1277" s="9">
        <f t="shared" si="348"/>
        <v>-391.05526090000001</v>
      </c>
      <c r="F1277" s="9">
        <f t="shared" si="338"/>
        <v>205.56814409999998</v>
      </c>
      <c r="I1277">
        <v>1</v>
      </c>
      <c r="J1277">
        <f t="shared" si="349"/>
        <v>0.28476718427200975</v>
      </c>
      <c r="K1277">
        <f t="shared" si="350"/>
        <v>2.6576163064025313</v>
      </c>
      <c r="O1277">
        <f t="shared" si="351"/>
        <v>-0.24866923072002248</v>
      </c>
      <c r="P1277">
        <f t="shared" si="352"/>
        <v>0.13071930585013064</v>
      </c>
      <c r="Q1277">
        <f t="shared" si="353"/>
        <v>0.95972708452516453</v>
      </c>
      <c r="R1277">
        <f t="shared" si="354"/>
        <v>1</v>
      </c>
      <c r="AG1277" s="8">
        <f t="shared" si="335"/>
        <v>-0.41786784064198523</v>
      </c>
      <c r="AH1277" s="8">
        <f t="shared" si="336"/>
        <v>0.64689081419098171</v>
      </c>
      <c r="AI1277" s="8">
        <f t="shared" si="337"/>
        <v>0.63790182808370555</v>
      </c>
      <c r="AJ1277" s="8"/>
      <c r="AK1277" s="8"/>
      <c r="AL1277" s="8"/>
      <c r="AN1277" s="8">
        <f t="shared" si="355"/>
        <v>1.0000000000000002</v>
      </c>
      <c r="AO1277" s="8">
        <f t="shared" si="356"/>
        <v>2.1443286866484037</v>
      </c>
      <c r="AP1277" s="8">
        <f t="shared" si="357"/>
        <v>0.87902562790011496</v>
      </c>
      <c r="AQ1277" s="8"/>
      <c r="AR1277" s="8">
        <f t="shared" si="358"/>
        <v>122.86098363378433</v>
      </c>
      <c r="AS1277" s="8">
        <f t="shared" si="359"/>
        <v>39.635541437486268</v>
      </c>
    </row>
    <row r="1278" spans="1:45">
      <c r="A1278" s="20">
        <v>41.574866669999999</v>
      </c>
      <c r="B1278" s="20">
        <v>568.43990480000002</v>
      </c>
      <c r="C1278" s="20">
        <v>-334.28073410000002</v>
      </c>
      <c r="E1278" s="9">
        <f t="shared" si="348"/>
        <v>-391.56009519999998</v>
      </c>
      <c r="F1278" s="9">
        <f t="shared" si="338"/>
        <v>205.71926589999998</v>
      </c>
      <c r="I1278">
        <v>1</v>
      </c>
      <c r="J1278">
        <f t="shared" si="349"/>
        <v>0.28508594147857352</v>
      </c>
      <c r="K1278">
        <f t="shared" si="350"/>
        <v>2.6578449572098579</v>
      </c>
      <c r="O1278">
        <f t="shared" si="351"/>
        <v>-0.24896991874292809</v>
      </c>
      <c r="P1278">
        <f t="shared" si="352"/>
        <v>0.13080472076404229</v>
      </c>
      <c r="Q1278">
        <f t="shared" si="353"/>
        <v>0.95963748602635401</v>
      </c>
      <c r="R1278">
        <f t="shared" si="354"/>
        <v>1</v>
      </c>
      <c r="AG1278" s="8">
        <f t="shared" si="335"/>
        <v>-0.41761669913270782</v>
      </c>
      <c r="AH1278" s="8">
        <f t="shared" si="336"/>
        <v>0.6470932813126693</v>
      </c>
      <c r="AI1278" s="8">
        <f t="shared" si="337"/>
        <v>0.63786093930064747</v>
      </c>
      <c r="AJ1278" s="8"/>
      <c r="AK1278" s="8"/>
      <c r="AL1278" s="8"/>
      <c r="AN1278" s="8">
        <f t="shared" si="355"/>
        <v>1.0000000000000002</v>
      </c>
      <c r="AO1278" s="8">
        <f t="shared" si="356"/>
        <v>2.1439121252182733</v>
      </c>
      <c r="AP1278" s="8">
        <f t="shared" si="357"/>
        <v>0.87907872093314487</v>
      </c>
      <c r="AQ1278" s="8"/>
      <c r="AR1278" s="8">
        <f t="shared" si="358"/>
        <v>122.83711642192993</v>
      </c>
      <c r="AS1278" s="8">
        <f t="shared" si="359"/>
        <v>39.632499430772107</v>
      </c>
    </row>
    <row r="1279" spans="1:45">
      <c r="A1279" s="20">
        <v>41.608233329999997</v>
      </c>
      <c r="B1279" s="20">
        <v>567.96121500000004</v>
      </c>
      <c r="C1279" s="20">
        <v>-334.26991040000001</v>
      </c>
      <c r="E1279" s="9">
        <f t="shared" si="348"/>
        <v>-392.03878499999996</v>
      </c>
      <c r="F1279" s="9">
        <f t="shared" si="338"/>
        <v>205.73008959999999</v>
      </c>
      <c r="I1279">
        <v>1</v>
      </c>
      <c r="J1279">
        <f t="shared" si="349"/>
        <v>0.28535021294834034</v>
      </c>
      <c r="K1279">
        <f t="shared" si="350"/>
        <v>2.6583261800713753</v>
      </c>
      <c r="O1279">
        <f t="shared" si="351"/>
        <v>-0.24925738987975643</v>
      </c>
      <c r="P1279">
        <f t="shared" si="352"/>
        <v>0.13080273461572026</v>
      </c>
      <c r="Q1279">
        <f t="shared" si="353"/>
        <v>0.95956312882862504</v>
      </c>
      <c r="R1279">
        <f t="shared" si="354"/>
        <v>1</v>
      </c>
      <c r="AG1279" s="8">
        <f t="shared" si="335"/>
        <v>-0.4174344999584943</v>
      </c>
      <c r="AH1279" s="8">
        <f t="shared" si="336"/>
        <v>0.64730664149299</v>
      </c>
      <c r="AI1279" s="8">
        <f t="shared" si="337"/>
        <v>0.63776371025911127</v>
      </c>
      <c r="AJ1279" s="8"/>
      <c r="AK1279" s="8"/>
      <c r="AL1279" s="8"/>
      <c r="AN1279" s="8">
        <f t="shared" si="355"/>
        <v>1</v>
      </c>
      <c r="AO1279" s="8">
        <f t="shared" si="356"/>
        <v>2.1435631632598735</v>
      </c>
      <c r="AP1279" s="8">
        <f t="shared" si="357"/>
        <v>0.87920496096752332</v>
      </c>
      <c r="AQ1279" s="8"/>
      <c r="AR1279" s="8">
        <f t="shared" si="358"/>
        <v>122.817122374503</v>
      </c>
      <c r="AS1279" s="8">
        <f t="shared" si="359"/>
        <v>39.625266409596634</v>
      </c>
    </row>
    <row r="1280" spans="1:45">
      <c r="A1280" s="20">
        <v>41.641599999999997</v>
      </c>
      <c r="B1280" s="20">
        <v>567.19161110000005</v>
      </c>
      <c r="C1280" s="20">
        <v>-334.20957479999998</v>
      </c>
      <c r="E1280" s="9">
        <f t="shared" si="348"/>
        <v>-392.80838889999995</v>
      </c>
      <c r="F1280" s="9">
        <f t="shared" si="338"/>
        <v>205.79042520000002</v>
      </c>
      <c r="I1280">
        <v>1</v>
      </c>
      <c r="J1280">
        <f t="shared" si="349"/>
        <v>0.28578741480750908</v>
      </c>
      <c r="K1280">
        <f t="shared" si="350"/>
        <v>2.6590121395599473</v>
      </c>
      <c r="O1280">
        <f t="shared" si="351"/>
        <v>-0.24971864619017298</v>
      </c>
      <c r="P1280">
        <f t="shared" si="352"/>
        <v>0.13082639737851098</v>
      </c>
      <c r="Q1280">
        <f t="shared" si="353"/>
        <v>0.95943996763419603</v>
      </c>
      <c r="R1280">
        <f t="shared" si="354"/>
        <v>1</v>
      </c>
      <c r="AG1280" s="8">
        <f t="shared" si="335"/>
        <v>-0.41712342562389998</v>
      </c>
      <c r="AH1280" s="8">
        <f t="shared" si="336"/>
        <v>0.64764252484916396</v>
      </c>
      <c r="AI1280" s="8">
        <f t="shared" si="337"/>
        <v>0.6376262289168968</v>
      </c>
      <c r="AJ1280" s="8"/>
      <c r="AK1280" s="8"/>
      <c r="AL1280" s="8"/>
      <c r="AN1280" s="8">
        <f t="shared" si="355"/>
        <v>1</v>
      </c>
      <c r="AO1280" s="8">
        <f t="shared" si="356"/>
        <v>2.1429874952479633</v>
      </c>
      <c r="AP1280" s="8">
        <f t="shared" si="357"/>
        <v>0.87938344118057266</v>
      </c>
      <c r="AQ1280" s="8"/>
      <c r="AR1280" s="8">
        <f t="shared" si="358"/>
        <v>122.78413902701986</v>
      </c>
      <c r="AS1280" s="8">
        <f t="shared" si="359"/>
        <v>39.615040246662311</v>
      </c>
    </row>
    <row r="1281" spans="1:45">
      <c r="A1281" s="20">
        <v>41.674966670000003</v>
      </c>
      <c r="B1281" s="20">
        <v>566.33720600000004</v>
      </c>
      <c r="C1281" s="20">
        <v>-334.13295740000001</v>
      </c>
      <c r="E1281" s="9">
        <f t="shared" si="348"/>
        <v>-393.66279399999996</v>
      </c>
      <c r="F1281" s="9">
        <f t="shared" si="338"/>
        <v>205.86704259999999</v>
      </c>
      <c r="I1281">
        <v>1</v>
      </c>
      <c r="J1281">
        <f t="shared" si="349"/>
        <v>0.28627556717257074</v>
      </c>
      <c r="K1281">
        <f t="shared" si="350"/>
        <v>2.6597518997844292</v>
      </c>
      <c r="O1281">
        <f t="shared" si="351"/>
        <v>-0.2502303560578733</v>
      </c>
      <c r="P1281">
        <f t="shared" si="352"/>
        <v>0.13085865404486102</v>
      </c>
      <c r="Q1281">
        <f t="shared" si="353"/>
        <v>0.95930223682044924</v>
      </c>
      <c r="R1281">
        <f t="shared" si="354"/>
        <v>1</v>
      </c>
      <c r="AG1281" s="8">
        <f t="shared" si="335"/>
        <v>-0.41677398441283503</v>
      </c>
      <c r="AH1281" s="8">
        <f t="shared" si="336"/>
        <v>0.64801359136944892</v>
      </c>
      <c r="AI1281" s="8">
        <f t="shared" si="337"/>
        <v>0.63747771044728996</v>
      </c>
      <c r="AJ1281" s="8"/>
      <c r="AK1281" s="8"/>
      <c r="AL1281" s="8"/>
      <c r="AN1281" s="8">
        <f t="shared" si="355"/>
        <v>1</v>
      </c>
      <c r="AO1281" s="8">
        <f t="shared" si="356"/>
        <v>2.1423454128341062</v>
      </c>
      <c r="AP1281" s="8">
        <f t="shared" si="357"/>
        <v>0.87957622032550375</v>
      </c>
      <c r="AQ1281" s="8"/>
      <c r="AR1281" s="8">
        <f t="shared" si="358"/>
        <v>122.74735041460627</v>
      </c>
      <c r="AS1281" s="8">
        <f t="shared" si="359"/>
        <v>39.60399481527962</v>
      </c>
    </row>
    <row r="1282" spans="1:45">
      <c r="A1282" s="20">
        <v>41.708333330000002</v>
      </c>
      <c r="B1282" s="20">
        <v>565.8322369</v>
      </c>
      <c r="C1282" s="20">
        <v>-334.09756240000002</v>
      </c>
      <c r="E1282" s="9">
        <f t="shared" si="348"/>
        <v>-394.1677631</v>
      </c>
      <c r="F1282" s="9">
        <f t="shared" si="338"/>
        <v>205.90243759999998</v>
      </c>
      <c r="I1282">
        <v>1</v>
      </c>
      <c r="J1282">
        <f t="shared" si="349"/>
        <v>0.28656126352084044</v>
      </c>
      <c r="K1282">
        <f t="shared" si="350"/>
        <v>2.6602075782539498</v>
      </c>
      <c r="O1282">
        <f t="shared" si="351"/>
        <v>-0.25053287174327638</v>
      </c>
      <c r="P1282">
        <f t="shared" si="352"/>
        <v>0.13087150655134025</v>
      </c>
      <c r="Q1282">
        <f t="shared" si="353"/>
        <v>0.95922152235500302</v>
      </c>
      <c r="R1282">
        <f t="shared" si="354"/>
        <v>1</v>
      </c>
      <c r="AG1282" s="8">
        <f t="shared" si="335"/>
        <v>-0.41657162016783228</v>
      </c>
      <c r="AH1282" s="8">
        <f t="shared" si="336"/>
        <v>0.64823437018385333</v>
      </c>
      <c r="AI1282" s="8">
        <f t="shared" si="337"/>
        <v>0.63738550860769527</v>
      </c>
      <c r="AJ1282" s="8"/>
      <c r="AK1282" s="8"/>
      <c r="AL1282" s="8"/>
      <c r="AN1282" s="8">
        <f t="shared" si="355"/>
        <v>1.0000000000000002</v>
      </c>
      <c r="AO1282" s="8">
        <f t="shared" si="356"/>
        <v>2.1419695381205344</v>
      </c>
      <c r="AP1282" s="8">
        <f t="shared" si="357"/>
        <v>0.87969588419235023</v>
      </c>
      <c r="AQ1282" s="8"/>
      <c r="AR1282" s="8">
        <f t="shared" si="358"/>
        <v>122.72581437989292</v>
      </c>
      <c r="AS1282" s="8">
        <f t="shared" si="359"/>
        <v>39.597138580749103</v>
      </c>
    </row>
    <row r="1283" spans="1:45">
      <c r="A1283" s="20">
        <v>41.741700000000002</v>
      </c>
      <c r="B1283" s="20">
        <v>565.10686399999997</v>
      </c>
      <c r="C1283" s="20">
        <v>-333.9198184</v>
      </c>
      <c r="E1283" s="9">
        <f t="shared" si="348"/>
        <v>-394.89313600000003</v>
      </c>
      <c r="F1283" s="9">
        <f t="shared" si="338"/>
        <v>206.0801816</v>
      </c>
      <c r="I1283">
        <v>1</v>
      </c>
      <c r="J1283">
        <f t="shared" si="349"/>
        <v>0.28700781338177539</v>
      </c>
      <c r="K1283">
        <f t="shared" si="350"/>
        <v>2.6606078835085567</v>
      </c>
      <c r="O1283">
        <f t="shared" si="351"/>
        <v>-0.25096495586904732</v>
      </c>
      <c r="P1283">
        <f t="shared" si="352"/>
        <v>0.1309693660533246</v>
      </c>
      <c r="Q1283">
        <f t="shared" si="353"/>
        <v>0.95909520699523743</v>
      </c>
      <c r="R1283">
        <f t="shared" si="354"/>
        <v>1</v>
      </c>
      <c r="AG1283" s="8">
        <f t="shared" si="335"/>
        <v>-0.41622736406362193</v>
      </c>
      <c r="AH1283" s="8">
        <f t="shared" si="336"/>
        <v>0.64853076101946561</v>
      </c>
      <c r="AI1283" s="8">
        <f t="shared" si="337"/>
        <v>0.63730889952687919</v>
      </c>
      <c r="AJ1283" s="8"/>
      <c r="AK1283" s="8"/>
      <c r="AL1283" s="8"/>
      <c r="AN1283" s="8">
        <f t="shared" si="355"/>
        <v>1</v>
      </c>
      <c r="AO1283" s="8">
        <f t="shared" si="356"/>
        <v>2.1413857837248251</v>
      </c>
      <c r="AP1283" s="8">
        <f t="shared" si="357"/>
        <v>0.87979530203751666</v>
      </c>
      <c r="AQ1283" s="8"/>
      <c r="AR1283" s="8">
        <f t="shared" si="358"/>
        <v>122.69236771674657</v>
      </c>
      <c r="AS1283" s="8">
        <f t="shared" si="359"/>
        <v>39.591442357812781</v>
      </c>
    </row>
    <row r="1284" spans="1:45">
      <c r="A1284" s="20">
        <v>41.775066670000001</v>
      </c>
      <c r="B1284" s="20">
        <v>564.60020329999998</v>
      </c>
      <c r="C1284" s="20">
        <v>-333.67753420000003</v>
      </c>
      <c r="E1284" s="9">
        <f t="shared" si="348"/>
        <v>-395.39979670000002</v>
      </c>
      <c r="F1284" s="9">
        <f t="shared" si="338"/>
        <v>206.32246579999997</v>
      </c>
      <c r="I1284">
        <v>1</v>
      </c>
      <c r="J1284">
        <f t="shared" si="349"/>
        <v>0.28735331159722938</v>
      </c>
      <c r="K1284">
        <f t="shared" si="350"/>
        <v>2.6606518600387394</v>
      </c>
      <c r="O1284">
        <f t="shared" si="351"/>
        <v>-0.25126447580948874</v>
      </c>
      <c r="P1284">
        <f t="shared" si="352"/>
        <v>0.13111161576112704</v>
      </c>
      <c r="Q1284">
        <f t="shared" si="353"/>
        <v>0.95899734483922816</v>
      </c>
      <c r="R1284">
        <f t="shared" si="354"/>
        <v>1</v>
      </c>
      <c r="AG1284" s="8">
        <f t="shared" si="335"/>
        <v>-0.41593705741137038</v>
      </c>
      <c r="AH1284" s="8">
        <f t="shared" si="336"/>
        <v>0.64871849453405306</v>
      </c>
      <c r="AI1284" s="8">
        <f t="shared" si="337"/>
        <v>0.63730736628525031</v>
      </c>
      <c r="AJ1284" s="8"/>
      <c r="AK1284" s="8"/>
      <c r="AL1284" s="8"/>
      <c r="AN1284" s="8">
        <f t="shared" si="355"/>
        <v>1</v>
      </c>
      <c r="AO1284" s="8">
        <f t="shared" si="356"/>
        <v>2.1409371555219039</v>
      </c>
      <c r="AP1284" s="8">
        <f t="shared" si="357"/>
        <v>0.8797972916865906</v>
      </c>
      <c r="AQ1284" s="8"/>
      <c r="AR1284" s="8">
        <f t="shared" si="358"/>
        <v>122.66666321414864</v>
      </c>
      <c r="AS1284" s="8">
        <f t="shared" si="359"/>
        <v>39.591328359318126</v>
      </c>
    </row>
    <row r="1285" spans="1:45">
      <c r="A1285" s="20">
        <v>41.80843333</v>
      </c>
      <c r="B1285" s="20">
        <v>564.00350030000004</v>
      </c>
      <c r="C1285" s="20">
        <v>-333.5068953</v>
      </c>
      <c r="E1285" s="9">
        <f t="shared" si="348"/>
        <v>-395.99649969999996</v>
      </c>
      <c r="F1285" s="9">
        <f t="shared" si="338"/>
        <v>206.4931047</v>
      </c>
      <c r="I1285">
        <v>1</v>
      </c>
      <c r="J1285">
        <f t="shared" si="349"/>
        <v>0.28772748312297119</v>
      </c>
      <c r="K1285">
        <f t="shared" si="350"/>
        <v>2.6609312170958739</v>
      </c>
      <c r="O1285">
        <f t="shared" si="351"/>
        <v>-0.25161924563545895</v>
      </c>
      <c r="P1285">
        <f t="shared" si="352"/>
        <v>0.13120731944070221</v>
      </c>
      <c r="Q1285">
        <f t="shared" si="353"/>
        <v>0.95889123186679937</v>
      </c>
      <c r="R1285">
        <f t="shared" si="354"/>
        <v>1</v>
      </c>
      <c r="AG1285" s="8">
        <f t="shared" si="335"/>
        <v>-0.415643563278776</v>
      </c>
      <c r="AH1285" s="8">
        <f t="shared" si="336"/>
        <v>0.64895806402053546</v>
      </c>
      <c r="AI1285" s="8">
        <f t="shared" si="337"/>
        <v>0.63725494070084754</v>
      </c>
      <c r="AJ1285" s="8"/>
      <c r="AK1285" s="8"/>
      <c r="AL1285" s="8"/>
      <c r="AN1285" s="8">
        <f t="shared" si="355"/>
        <v>1</v>
      </c>
      <c r="AO1285" s="8">
        <f t="shared" si="356"/>
        <v>2.1404487665185155</v>
      </c>
      <c r="AP1285" s="8">
        <f t="shared" si="357"/>
        <v>0.87986532107841187</v>
      </c>
      <c r="AQ1285" s="8"/>
      <c r="AR1285" s="8">
        <f t="shared" si="358"/>
        <v>122.63868058549389</v>
      </c>
      <c r="AS1285" s="8">
        <f t="shared" si="359"/>
        <v>39.587430562283927</v>
      </c>
    </row>
    <row r="1286" spans="1:45">
      <c r="A1286" s="20">
        <v>41.841799999999999</v>
      </c>
      <c r="B1286" s="20">
        <v>563.58520920000001</v>
      </c>
      <c r="C1286" s="20">
        <v>-333.38422910000003</v>
      </c>
      <c r="E1286" s="9">
        <f t="shared" si="348"/>
        <v>-396.41479079999999</v>
      </c>
      <c r="F1286" s="9">
        <f t="shared" si="338"/>
        <v>206.61577089999997</v>
      </c>
      <c r="I1286">
        <v>1</v>
      </c>
      <c r="J1286">
        <f t="shared" si="349"/>
        <v>0.28799061191580883</v>
      </c>
      <c r="K1286">
        <f t="shared" si="350"/>
        <v>2.6611205486913843</v>
      </c>
      <c r="O1286">
        <f t="shared" si="351"/>
        <v>-0.25186781843894923</v>
      </c>
      <c r="P1286">
        <f t="shared" si="352"/>
        <v>0.13127629109560643</v>
      </c>
      <c r="Q1286">
        <f t="shared" si="353"/>
        <v>0.95881652959833041</v>
      </c>
      <c r="R1286">
        <f t="shared" si="354"/>
        <v>1</v>
      </c>
      <c r="AG1286" s="8">
        <f t="shared" si="335"/>
        <v>-0.41543653716309231</v>
      </c>
      <c r="AH1286" s="8">
        <f t="shared" si="336"/>
        <v>0.64912542257760397</v>
      </c>
      <c r="AI1286" s="8">
        <f t="shared" si="337"/>
        <v>0.63721948287335484</v>
      </c>
      <c r="AJ1286" s="8"/>
      <c r="AK1286" s="8"/>
      <c r="AL1286" s="8"/>
      <c r="AN1286" s="8">
        <f t="shared" si="355"/>
        <v>1</v>
      </c>
      <c r="AO1286" s="8">
        <f t="shared" si="356"/>
        <v>2.1401054378223741</v>
      </c>
      <c r="AP1286" s="8">
        <f t="shared" si="357"/>
        <v>0.87991133030722002</v>
      </c>
      <c r="AQ1286" s="8"/>
      <c r="AR1286" s="8">
        <f t="shared" si="358"/>
        <v>122.61900930021926</v>
      </c>
      <c r="AS1286" s="8">
        <f t="shared" si="359"/>
        <v>39.584794427654572</v>
      </c>
    </row>
    <row r="1287" spans="1:45">
      <c r="A1287" s="20">
        <v>41.875166669999999</v>
      </c>
      <c r="B1287" s="20">
        <v>562.90153940000005</v>
      </c>
      <c r="C1287" s="20">
        <v>-333.31251140000001</v>
      </c>
      <c r="E1287" s="9">
        <f t="shared" si="348"/>
        <v>-397.09846059999995</v>
      </c>
      <c r="F1287" s="9">
        <f t="shared" si="338"/>
        <v>206.68748859999999</v>
      </c>
      <c r="I1287">
        <v>1</v>
      </c>
      <c r="J1287">
        <f t="shared" si="349"/>
        <v>0.28838403526462336</v>
      </c>
      <c r="K1287">
        <f t="shared" si="350"/>
        <v>2.6616843436975515</v>
      </c>
      <c r="O1287">
        <f t="shared" si="351"/>
        <v>-0.25227638072932423</v>
      </c>
      <c r="P1287">
        <f t="shared" si="352"/>
        <v>0.13130842030275414</v>
      </c>
      <c r="Q1287">
        <f t="shared" si="353"/>
        <v>0.9587047128723778</v>
      </c>
      <c r="R1287">
        <f t="shared" si="354"/>
        <v>1</v>
      </c>
      <c r="AG1287" s="8">
        <f t="shared" si="335"/>
        <v>-0.41515248925410075</v>
      </c>
      <c r="AH1287" s="8">
        <f t="shared" si="336"/>
        <v>0.64941971534789544</v>
      </c>
      <c r="AI1287" s="8">
        <f t="shared" si="337"/>
        <v>0.63710473548984248</v>
      </c>
      <c r="AJ1287" s="8"/>
      <c r="AK1287" s="8"/>
      <c r="AL1287" s="8"/>
      <c r="AN1287" s="8">
        <f t="shared" si="355"/>
        <v>1</v>
      </c>
      <c r="AO1287" s="8">
        <f t="shared" si="356"/>
        <v>2.1395892255557873</v>
      </c>
      <c r="AP1287" s="8">
        <f t="shared" si="357"/>
        <v>0.88006021177217608</v>
      </c>
      <c r="AQ1287" s="8"/>
      <c r="AR1287" s="8">
        <f t="shared" si="358"/>
        <v>122.58943251601096</v>
      </c>
      <c r="AS1287" s="8">
        <f t="shared" si="359"/>
        <v>39.576264148064865</v>
      </c>
    </row>
    <row r="1288" spans="1:45">
      <c r="A1288" s="20">
        <v>41.908533329999997</v>
      </c>
      <c r="B1288" s="20">
        <v>562.1357385</v>
      </c>
      <c r="C1288" s="20">
        <v>-333.23442369999998</v>
      </c>
      <c r="E1288" s="9">
        <f t="shared" si="348"/>
        <v>-397.8642615</v>
      </c>
      <c r="F1288" s="9">
        <f t="shared" si="338"/>
        <v>206.76557630000002</v>
      </c>
      <c r="I1288">
        <v>1</v>
      </c>
      <c r="J1288">
        <f t="shared" si="349"/>
        <v>0.28882408600473414</v>
      </c>
      <c r="K1288">
        <f t="shared" si="350"/>
        <v>2.6623184031479807</v>
      </c>
      <c r="O1288">
        <f t="shared" si="351"/>
        <v>-0.2527339084804156</v>
      </c>
      <c r="P1288">
        <f t="shared" si="352"/>
        <v>0.13134296616763252</v>
      </c>
      <c r="Q1288">
        <f t="shared" si="353"/>
        <v>0.95857946814153128</v>
      </c>
      <c r="R1288">
        <f t="shared" si="354"/>
        <v>1</v>
      </c>
      <c r="AG1288" s="8">
        <f t="shared" si="335"/>
        <v>-0.41483525001993798</v>
      </c>
      <c r="AH1288" s="8">
        <f t="shared" si="336"/>
        <v>0.64974951330468755</v>
      </c>
      <c r="AI1288" s="8">
        <f t="shared" si="337"/>
        <v>0.63697510571545668</v>
      </c>
      <c r="AJ1288" s="8"/>
      <c r="AK1288" s="8"/>
      <c r="AL1288" s="8"/>
      <c r="AN1288" s="8">
        <f t="shared" si="355"/>
        <v>1</v>
      </c>
      <c r="AO1288" s="8">
        <f t="shared" si="356"/>
        <v>2.1390120640894157</v>
      </c>
      <c r="AP1288" s="8">
        <f t="shared" si="357"/>
        <v>0.88022838067897269</v>
      </c>
      <c r="AQ1288" s="8"/>
      <c r="AR1288" s="8">
        <f t="shared" si="358"/>
        <v>122.55636359989028</v>
      </c>
      <c r="AS1288" s="8">
        <f t="shared" si="359"/>
        <v>39.566628779460089</v>
      </c>
    </row>
    <row r="1289" spans="1:45">
      <c r="A1289" s="20">
        <v>41.941899999999997</v>
      </c>
      <c r="B1289" s="20">
        <v>561.7843858</v>
      </c>
      <c r="C1289" s="20">
        <v>-333.23121370000001</v>
      </c>
      <c r="E1289" s="9">
        <f t="shared" si="348"/>
        <v>-398.2156142</v>
      </c>
      <c r="F1289" s="9">
        <f t="shared" si="338"/>
        <v>206.76878629999999</v>
      </c>
      <c r="I1289">
        <v>1</v>
      </c>
      <c r="J1289">
        <f t="shared" si="349"/>
        <v>0.28901674059868177</v>
      </c>
      <c r="K1289">
        <f t="shared" si="350"/>
        <v>2.6626731476864776</v>
      </c>
      <c r="O1289">
        <f t="shared" si="351"/>
        <v>-0.25294437868769876</v>
      </c>
      <c r="P1289">
        <f t="shared" si="352"/>
        <v>0.13133840140280234</v>
      </c>
      <c r="Q1289">
        <f t="shared" si="353"/>
        <v>0.95852457746645725</v>
      </c>
      <c r="R1289">
        <f t="shared" si="354"/>
        <v>1</v>
      </c>
      <c r="AG1289" s="8">
        <f t="shared" si="335"/>
        <v>-0.41470344971359985</v>
      </c>
      <c r="AH1289" s="8">
        <f t="shared" si="336"/>
        <v>0.64990604707406452</v>
      </c>
      <c r="AI1289" s="8">
        <f t="shared" si="337"/>
        <v>0.63690123156750422</v>
      </c>
      <c r="AJ1289" s="8"/>
      <c r="AK1289" s="8"/>
      <c r="AL1289" s="8"/>
      <c r="AN1289" s="8">
        <f t="shared" si="355"/>
        <v>1</v>
      </c>
      <c r="AO1289" s="8">
        <f t="shared" si="356"/>
        <v>2.138758706462716</v>
      </c>
      <c r="AP1289" s="8">
        <f t="shared" si="357"/>
        <v>0.88032420727266147</v>
      </c>
      <c r="AQ1289" s="8"/>
      <c r="AR1289" s="8">
        <f t="shared" si="358"/>
        <v>122.54184727717293</v>
      </c>
      <c r="AS1289" s="8">
        <f t="shared" si="359"/>
        <v>39.561138320076608</v>
      </c>
    </row>
    <row r="1290" spans="1:45">
      <c r="A1290" s="20">
        <v>41.975266670000003</v>
      </c>
      <c r="B1290" s="20">
        <v>561.13575530000003</v>
      </c>
      <c r="C1290" s="20">
        <v>-333.23444260000002</v>
      </c>
      <c r="E1290" s="9">
        <f t="shared" si="348"/>
        <v>-398.86424469999997</v>
      </c>
      <c r="F1290" s="9">
        <f t="shared" si="338"/>
        <v>206.76555739999998</v>
      </c>
      <c r="I1290">
        <v>1</v>
      </c>
      <c r="J1290">
        <f t="shared" si="349"/>
        <v>0.28936984542257571</v>
      </c>
      <c r="K1290">
        <f t="shared" si="350"/>
        <v>2.6633448307088083</v>
      </c>
      <c r="O1290">
        <f t="shared" si="351"/>
        <v>-0.2533330090019642</v>
      </c>
      <c r="P1290">
        <f t="shared" si="352"/>
        <v>0.13132423251802791</v>
      </c>
      <c r="Q1290">
        <f t="shared" si="353"/>
        <v>0.95842387934752626</v>
      </c>
      <c r="R1290">
        <f t="shared" si="354"/>
        <v>1</v>
      </c>
      <c r="AG1290" s="8">
        <f t="shared" si="335"/>
        <v>-0.41446397966704396</v>
      </c>
      <c r="AH1290" s="8">
        <f t="shared" si="336"/>
        <v>0.65019638640670352</v>
      </c>
      <c r="AI1290" s="8">
        <f t="shared" si="337"/>
        <v>0.63676076250207259</v>
      </c>
      <c r="AJ1290" s="8"/>
      <c r="AK1290" s="8"/>
      <c r="AL1290" s="8"/>
      <c r="AN1290" s="8">
        <f t="shared" si="355"/>
        <v>1</v>
      </c>
      <c r="AO1290" s="8">
        <f t="shared" si="356"/>
        <v>2.1382943452946144</v>
      </c>
      <c r="AP1290" s="8">
        <f t="shared" si="357"/>
        <v>0.88050639721045698</v>
      </c>
      <c r="AQ1290" s="8"/>
      <c r="AR1290" s="8">
        <f t="shared" si="358"/>
        <v>122.51524134207095</v>
      </c>
      <c r="AS1290" s="8">
        <f t="shared" si="359"/>
        <v>39.550699605571175</v>
      </c>
    </row>
    <row r="1291" spans="1:45">
      <c r="A1291" s="20">
        <v>42.008633330000002</v>
      </c>
      <c r="B1291" s="20">
        <v>560.16267700000003</v>
      </c>
      <c r="C1291" s="20">
        <v>-333.03309180000002</v>
      </c>
      <c r="E1291" s="9">
        <f t="shared" si="348"/>
        <v>-399.83732299999997</v>
      </c>
      <c r="F1291" s="9">
        <f t="shared" si="338"/>
        <v>206.96690819999998</v>
      </c>
      <c r="I1291">
        <v>1</v>
      </c>
      <c r="J1291">
        <f t="shared" si="349"/>
        <v>0.28995791210681005</v>
      </c>
      <c r="K1291">
        <f t="shared" si="350"/>
        <v>2.663942471359559</v>
      </c>
      <c r="O1291">
        <f t="shared" si="351"/>
        <v>-0.25391194035992626</v>
      </c>
      <c r="P1291">
        <f t="shared" si="352"/>
        <v>0.13143187548641308</v>
      </c>
      <c r="Q1291">
        <f t="shared" si="353"/>
        <v>0.95825590979068909</v>
      </c>
      <c r="R1291">
        <f t="shared" si="354"/>
        <v>1</v>
      </c>
      <c r="AG1291" s="8">
        <f t="shared" si="335"/>
        <v>-0.41401776090549902</v>
      </c>
      <c r="AH1291" s="8">
        <f t="shared" si="336"/>
        <v>0.65059816389522074</v>
      </c>
      <c r="AI1291" s="8">
        <f t="shared" si="337"/>
        <v>0.63664065436552564</v>
      </c>
      <c r="AJ1291" s="8"/>
      <c r="AK1291" s="8"/>
      <c r="AL1291" s="8"/>
      <c r="AN1291" s="8">
        <f t="shared" si="355"/>
        <v>1</v>
      </c>
      <c r="AO1291" s="8">
        <f t="shared" si="356"/>
        <v>2.1375263621141167</v>
      </c>
      <c r="AP1291" s="8">
        <f t="shared" si="357"/>
        <v>0.88066215706024165</v>
      </c>
      <c r="AQ1291" s="8"/>
      <c r="AR1291" s="8">
        <f t="shared" si="358"/>
        <v>122.4712391470914</v>
      </c>
      <c r="AS1291" s="8">
        <f t="shared" si="359"/>
        <v>39.541775223560919</v>
      </c>
    </row>
    <row r="1292" spans="1:45">
      <c r="A1292" s="20">
        <v>42.042000000000002</v>
      </c>
      <c r="B1292" s="20">
        <v>559.76670090000005</v>
      </c>
      <c r="C1292" s="20">
        <v>-333.02348269999999</v>
      </c>
      <c r="E1292" s="9">
        <f t="shared" si="348"/>
        <v>-400.23329909999995</v>
      </c>
      <c r="F1292" s="9">
        <f t="shared" si="338"/>
        <v>206.97651730000001</v>
      </c>
      <c r="I1292">
        <v>1</v>
      </c>
      <c r="J1292">
        <f t="shared" si="349"/>
        <v>0.29017676783570862</v>
      </c>
      <c r="K1292">
        <f t="shared" si="350"/>
        <v>2.6643275140019562</v>
      </c>
      <c r="O1292">
        <f t="shared" si="351"/>
        <v>-0.25414880688285474</v>
      </c>
      <c r="P1292">
        <f t="shared" si="352"/>
        <v>0.13143043080835839</v>
      </c>
      <c r="Q1292">
        <f t="shared" si="353"/>
        <v>0.95819331338595282</v>
      </c>
      <c r="R1292">
        <f t="shared" si="354"/>
        <v>1</v>
      </c>
      <c r="AG1292" s="8">
        <f t="shared" si="335"/>
        <v>-0.4138666680434121</v>
      </c>
      <c r="AH1292" s="8">
        <f t="shared" si="336"/>
        <v>0.65077330290348256</v>
      </c>
      <c r="AI1292" s="8">
        <f t="shared" si="337"/>
        <v>0.63655988666482621</v>
      </c>
      <c r="AJ1292" s="8"/>
      <c r="AK1292" s="8"/>
      <c r="AL1292" s="8"/>
      <c r="AN1292" s="8">
        <f t="shared" si="355"/>
        <v>1</v>
      </c>
      <c r="AO1292" s="8">
        <f t="shared" si="356"/>
        <v>2.1372391586727759</v>
      </c>
      <c r="AP1292" s="8">
        <f t="shared" si="357"/>
        <v>0.88076688778548939</v>
      </c>
      <c r="AQ1292" s="8"/>
      <c r="AR1292" s="8">
        <f t="shared" si="358"/>
        <v>122.45478360204093</v>
      </c>
      <c r="AS1292" s="8">
        <f t="shared" si="359"/>
        <v>39.535774595018879</v>
      </c>
    </row>
    <row r="1293" spans="1:45">
      <c r="A1293" s="20">
        <v>42.075366670000001</v>
      </c>
      <c r="B1293" s="20">
        <v>559.07268450000004</v>
      </c>
      <c r="C1293" s="20">
        <v>-332.65705539999999</v>
      </c>
      <c r="E1293" s="9">
        <f t="shared" si="348"/>
        <v>-400.92731549999996</v>
      </c>
      <c r="F1293" s="9">
        <f t="shared" si="338"/>
        <v>207.34294460000001</v>
      </c>
      <c r="I1293">
        <v>1</v>
      </c>
      <c r="J1293">
        <f t="shared" si="349"/>
        <v>0.29065898174333066</v>
      </c>
      <c r="K1293">
        <f t="shared" si="350"/>
        <v>2.6643127076497284</v>
      </c>
      <c r="O1293">
        <f t="shared" si="351"/>
        <v>-0.25455724981620964</v>
      </c>
      <c r="P1293">
        <f t="shared" si="352"/>
        <v>0.13164642992794723</v>
      </c>
      <c r="Q1293">
        <f t="shared" si="353"/>
        <v>0.95805523016850858</v>
      </c>
      <c r="R1293">
        <f t="shared" si="354"/>
        <v>1</v>
      </c>
      <c r="AG1293" s="8">
        <f t="shared" si="335"/>
        <v>-0.4134544853189443</v>
      </c>
      <c r="AH1293" s="8">
        <f t="shared" si="336"/>
        <v>0.65102331192398244</v>
      </c>
      <c r="AI1293" s="8">
        <f t="shared" si="337"/>
        <v>0.63657209795998437</v>
      </c>
      <c r="AJ1293" s="8"/>
      <c r="AK1293" s="8"/>
      <c r="AL1293" s="8"/>
      <c r="AN1293" s="8">
        <f t="shared" si="355"/>
        <v>1</v>
      </c>
      <c r="AO1293" s="8">
        <f t="shared" si="356"/>
        <v>2.1366142123029359</v>
      </c>
      <c r="AP1293" s="8">
        <f t="shared" si="357"/>
        <v>0.88075105409373733</v>
      </c>
      <c r="AQ1293" s="8"/>
      <c r="AR1293" s="8">
        <f t="shared" si="358"/>
        <v>122.41897681262708</v>
      </c>
      <c r="AS1293" s="8">
        <f t="shared" si="359"/>
        <v>39.536681798730385</v>
      </c>
    </row>
    <row r="1294" spans="1:45">
      <c r="A1294" s="20">
        <v>42.10873333</v>
      </c>
      <c r="B1294" s="20">
        <v>558.50806699999998</v>
      </c>
      <c r="C1294" s="20">
        <v>-332.41365680000001</v>
      </c>
      <c r="E1294" s="9">
        <f t="shared" si="348"/>
        <v>-401.49193300000002</v>
      </c>
      <c r="F1294" s="9">
        <f t="shared" si="338"/>
        <v>207.58634319999999</v>
      </c>
      <c r="I1294">
        <v>1</v>
      </c>
      <c r="J1294">
        <f t="shared" si="349"/>
        <v>0.29103575549944022</v>
      </c>
      <c r="K1294">
        <f t="shared" si="350"/>
        <v>2.6644082139774543</v>
      </c>
      <c r="O1294">
        <f t="shared" si="351"/>
        <v>-0.2548904503145295</v>
      </c>
      <c r="P1294">
        <f t="shared" si="352"/>
        <v>0.13178789447157951</v>
      </c>
      <c r="Q1294">
        <f t="shared" si="353"/>
        <v>0.95794718497900722</v>
      </c>
      <c r="R1294">
        <f t="shared" si="354"/>
        <v>1</v>
      </c>
      <c r="AG1294" s="8">
        <f t="shared" si="335"/>
        <v>-0.41314222454584809</v>
      </c>
      <c r="AH1294" s="8">
        <f t="shared" si="336"/>
        <v>0.65123544133782096</v>
      </c>
      <c r="AI1294" s="8">
        <f t="shared" si="337"/>
        <v>0.63655785459205649</v>
      </c>
      <c r="AJ1294" s="8"/>
      <c r="AK1294" s="8"/>
      <c r="AL1294" s="8"/>
      <c r="AN1294" s="8">
        <f t="shared" si="355"/>
        <v>1.0000000000000002</v>
      </c>
      <c r="AO1294" s="8">
        <f t="shared" si="356"/>
        <v>2.136124968463875</v>
      </c>
      <c r="AP1294" s="8">
        <f t="shared" si="357"/>
        <v>0.88076952263856634</v>
      </c>
      <c r="AQ1294" s="8"/>
      <c r="AR1294" s="8">
        <f t="shared" si="358"/>
        <v>122.39094520549611</v>
      </c>
      <c r="AS1294" s="8">
        <f t="shared" si="359"/>
        <v>39.53562362905793</v>
      </c>
    </row>
    <row r="1295" spans="1:45">
      <c r="A1295" s="20">
        <v>42.142099999999999</v>
      </c>
      <c r="B1295" s="20">
        <v>557.87666469999999</v>
      </c>
      <c r="C1295" s="20">
        <v>-332.33401989999999</v>
      </c>
      <c r="E1295" s="9">
        <f t="shared" si="348"/>
        <v>-402.12333530000001</v>
      </c>
      <c r="F1295" s="9">
        <f t="shared" si="338"/>
        <v>207.66598010000001</v>
      </c>
      <c r="I1295">
        <v>1</v>
      </c>
      <c r="J1295">
        <f t="shared" si="349"/>
        <v>0.29140272612621071</v>
      </c>
      <c r="K1295">
        <f t="shared" si="350"/>
        <v>2.6648926583108974</v>
      </c>
      <c r="O1295">
        <f t="shared" si="351"/>
        <v>-0.25526659397434043</v>
      </c>
      <c r="P1295">
        <f t="shared" si="352"/>
        <v>0.13182569319167323</v>
      </c>
      <c r="Q1295">
        <f t="shared" si="353"/>
        <v>0.9578418202476201</v>
      </c>
      <c r="R1295">
        <f t="shared" si="354"/>
        <v>1</v>
      </c>
      <c r="AG1295" s="8">
        <f t="shared" si="335"/>
        <v>-0.41287418717066787</v>
      </c>
      <c r="AH1295" s="8">
        <f t="shared" si="336"/>
        <v>0.65150381717529982</v>
      </c>
      <c r="AI1295" s="8">
        <f t="shared" si="337"/>
        <v>0.63645713270743842</v>
      </c>
      <c r="AJ1295" s="8"/>
      <c r="AK1295" s="8"/>
      <c r="AL1295" s="8"/>
      <c r="AN1295" s="8">
        <f t="shared" si="355"/>
        <v>1</v>
      </c>
      <c r="AO1295" s="8">
        <f t="shared" si="356"/>
        <v>2.1356451350554981</v>
      </c>
      <c r="AP1295" s="8">
        <f t="shared" si="357"/>
        <v>0.88090011480124375</v>
      </c>
      <c r="AQ1295" s="8"/>
      <c r="AR1295" s="8">
        <f t="shared" si="358"/>
        <v>122.36345277632674</v>
      </c>
      <c r="AS1295" s="8">
        <f t="shared" si="359"/>
        <v>39.528141249299033</v>
      </c>
    </row>
    <row r="1296" spans="1:45">
      <c r="A1296" s="20">
        <v>42.175466669999999</v>
      </c>
      <c r="B1296" s="20">
        <v>557.15951189999998</v>
      </c>
      <c r="C1296" s="20">
        <v>-332.2445429</v>
      </c>
      <c r="E1296" s="9">
        <f t="shared" si="348"/>
        <v>-402.84048810000002</v>
      </c>
      <c r="F1296" s="9">
        <f t="shared" si="338"/>
        <v>207.7554571</v>
      </c>
      <c r="I1296">
        <v>1</v>
      </c>
      <c r="J1296">
        <f t="shared" si="349"/>
        <v>0.29181924718631835</v>
      </c>
      <c r="K1296">
        <f t="shared" si="350"/>
        <v>2.6654432580238558</v>
      </c>
      <c r="O1296">
        <f t="shared" si="351"/>
        <v>-0.25569369972490236</v>
      </c>
      <c r="P1296">
        <f t="shared" si="352"/>
        <v>0.13186798008930631</v>
      </c>
      <c r="Q1296">
        <f t="shared" si="353"/>
        <v>0.95772207228828021</v>
      </c>
      <c r="R1296">
        <f t="shared" si="354"/>
        <v>1</v>
      </c>
      <c r="AG1296" s="8">
        <f t="shared" si="335"/>
        <v>-0.41257014895283717</v>
      </c>
      <c r="AH1296" s="8">
        <f t="shared" si="336"/>
        <v>0.65180861227939724</v>
      </c>
      <c r="AI1296" s="8">
        <f t="shared" si="337"/>
        <v>0.63634220758286986</v>
      </c>
      <c r="AJ1296" s="8"/>
      <c r="AK1296" s="8"/>
      <c r="AL1296" s="8"/>
      <c r="AN1296" s="8">
        <f t="shared" si="355"/>
        <v>1</v>
      </c>
      <c r="AO1296" s="8">
        <f t="shared" si="356"/>
        <v>2.1351007206314367</v>
      </c>
      <c r="AP1296" s="8">
        <f t="shared" si="357"/>
        <v>0.88104910515745127</v>
      </c>
      <c r="AQ1296" s="8"/>
      <c r="AR1296" s="8">
        <f t="shared" si="358"/>
        <v>122.33226012752198</v>
      </c>
      <c r="AS1296" s="8">
        <f t="shared" si="359"/>
        <v>39.519604730700188</v>
      </c>
    </row>
    <row r="1297" spans="1:45">
      <c r="A1297" s="20">
        <v>42.208833329999997</v>
      </c>
      <c r="B1297" s="20">
        <v>556.63101759999995</v>
      </c>
      <c r="C1297" s="20">
        <v>-332.15606750000001</v>
      </c>
      <c r="E1297" s="9">
        <f t="shared" si="348"/>
        <v>-403.36898240000005</v>
      </c>
      <c r="F1297" s="9">
        <f t="shared" si="338"/>
        <v>207.84393249999999</v>
      </c>
      <c r="I1297">
        <v>1</v>
      </c>
      <c r="J1297">
        <f t="shared" si="349"/>
        <v>0.29213252334984707</v>
      </c>
      <c r="K1297">
        <f t="shared" si="350"/>
        <v>2.6658038095445864</v>
      </c>
      <c r="O1297">
        <f t="shared" si="351"/>
        <v>-0.25600792325218025</v>
      </c>
      <c r="P1297">
        <f t="shared" si="352"/>
        <v>0.13191320067125545</v>
      </c>
      <c r="Q1297">
        <f t="shared" si="353"/>
        <v>0.95763189729706211</v>
      </c>
      <c r="R1297">
        <f t="shared" si="354"/>
        <v>1</v>
      </c>
      <c r="AG1297" s="8">
        <f t="shared" si="335"/>
        <v>-0.41233659093737041</v>
      </c>
      <c r="AH1297" s="8">
        <f t="shared" si="336"/>
        <v>0.65202943242884603</v>
      </c>
      <c r="AI1297" s="8">
        <f t="shared" si="337"/>
        <v>0.63626736127249572</v>
      </c>
      <c r="AJ1297" s="8"/>
      <c r="AK1297" s="8"/>
      <c r="AL1297" s="8"/>
      <c r="AN1297" s="8">
        <f t="shared" si="355"/>
        <v>1</v>
      </c>
      <c r="AO1297" s="8">
        <f t="shared" si="356"/>
        <v>2.1346918274987754</v>
      </c>
      <c r="AP1297" s="8">
        <f t="shared" si="357"/>
        <v>0.88114612699655193</v>
      </c>
      <c r="AQ1297" s="8"/>
      <c r="AR1297" s="8">
        <f t="shared" si="358"/>
        <v>122.3088322767486</v>
      </c>
      <c r="AS1297" s="8">
        <f t="shared" si="359"/>
        <v>39.514045788799123</v>
      </c>
    </row>
    <row r="1298" spans="1:45">
      <c r="A1298" s="20">
        <v>42.242199999999997</v>
      </c>
      <c r="B1298" s="20">
        <v>555.95438520000005</v>
      </c>
      <c r="C1298" s="20">
        <v>-332.0677306</v>
      </c>
      <c r="E1298" s="9">
        <f t="shared" si="348"/>
        <v>-404.04561479999995</v>
      </c>
      <c r="F1298" s="9">
        <f t="shared" si="338"/>
        <v>207.9322694</v>
      </c>
      <c r="I1298">
        <v>1</v>
      </c>
      <c r="J1298">
        <f t="shared" si="349"/>
        <v>0.29252657937296639</v>
      </c>
      <c r="K1298">
        <f t="shared" si="350"/>
        <v>2.6663130390700633</v>
      </c>
      <c r="O1298">
        <f t="shared" si="351"/>
        <v>-0.25641058004294215</v>
      </c>
      <c r="P1298">
        <f t="shared" si="352"/>
        <v>0.13195548189005943</v>
      </c>
      <c r="Q1298">
        <f t="shared" si="353"/>
        <v>0.95751833676499587</v>
      </c>
      <c r="R1298">
        <f t="shared" si="354"/>
        <v>1</v>
      </c>
      <c r="AG1298" s="8">
        <f t="shared" si="335"/>
        <v>-0.41204806680223471</v>
      </c>
      <c r="AH1298" s="8">
        <f t="shared" si="336"/>
        <v>0.6523160470379924</v>
      </c>
      <c r="AI1298" s="8">
        <f t="shared" si="337"/>
        <v>0.63616048715812956</v>
      </c>
      <c r="AJ1298" s="8"/>
      <c r="AK1298" s="8"/>
      <c r="AL1298" s="8"/>
      <c r="AN1298" s="8">
        <f t="shared" si="355"/>
        <v>1</v>
      </c>
      <c r="AO1298" s="8">
        <f t="shared" si="356"/>
        <v>2.134177224760867</v>
      </c>
      <c r="AP1298" s="8">
        <f t="shared" si="357"/>
        <v>0.88128465240896792</v>
      </c>
      <c r="AQ1298" s="8"/>
      <c r="AR1298" s="8">
        <f t="shared" si="358"/>
        <v>122.27934771174057</v>
      </c>
      <c r="AS1298" s="8">
        <f t="shared" si="359"/>
        <v>39.506108867312378</v>
      </c>
    </row>
    <row r="1299" spans="1:45">
      <c r="A1299" s="20">
        <v>42.275566670000003</v>
      </c>
      <c r="B1299" s="20">
        <v>555.25698769999997</v>
      </c>
      <c r="C1299" s="20">
        <v>-332.18068670000002</v>
      </c>
      <c r="E1299" s="9">
        <f t="shared" si="348"/>
        <v>-404.74301230000003</v>
      </c>
      <c r="F1299" s="9">
        <f t="shared" si="338"/>
        <v>207.81931329999998</v>
      </c>
      <c r="I1299">
        <v>1</v>
      </c>
      <c r="J1299">
        <f t="shared" si="349"/>
        <v>0.29287551367404829</v>
      </c>
      <c r="K1299">
        <f t="shared" si="350"/>
        <v>2.6672351846174918</v>
      </c>
      <c r="O1299">
        <f t="shared" si="351"/>
        <v>-0.25682935813463886</v>
      </c>
      <c r="P1299">
        <f t="shared" si="352"/>
        <v>0.13187158078286706</v>
      </c>
      <c r="Q1299">
        <f t="shared" si="353"/>
        <v>0.9574176554576258</v>
      </c>
      <c r="R1299">
        <f t="shared" si="354"/>
        <v>1</v>
      </c>
      <c r="AG1299" s="8">
        <f t="shared" si="335"/>
        <v>-0.41183660462598409</v>
      </c>
      <c r="AH1299" s="8">
        <f t="shared" si="336"/>
        <v>0.65264446433892287</v>
      </c>
      <c r="AI1299" s="8">
        <f t="shared" si="337"/>
        <v>0.63596054457639206</v>
      </c>
      <c r="AJ1299" s="8"/>
      <c r="AK1299" s="8"/>
      <c r="AL1299" s="8"/>
      <c r="AN1299" s="8">
        <f t="shared" si="355"/>
        <v>0.99999999999999989</v>
      </c>
      <c r="AO1299" s="8">
        <f t="shared" si="356"/>
        <v>2.1337182870640117</v>
      </c>
      <c r="AP1299" s="8">
        <f t="shared" si="357"/>
        <v>0.88154376649918431</v>
      </c>
      <c r="AQ1299" s="8"/>
      <c r="AR1299" s="8">
        <f t="shared" si="358"/>
        <v>122.2530525186513</v>
      </c>
      <c r="AS1299" s="8">
        <f t="shared" si="359"/>
        <v>39.49126272353061</v>
      </c>
    </row>
    <row r="1300" spans="1:45">
      <c r="A1300" s="20">
        <v>42.308933330000002</v>
      </c>
      <c r="B1300" s="20">
        <v>554.80938690000005</v>
      </c>
      <c r="C1300" s="20">
        <v>-332.26069740000003</v>
      </c>
      <c r="E1300" s="9">
        <f t="shared" si="348"/>
        <v>-405.19061309999995</v>
      </c>
      <c r="F1300" s="9">
        <f t="shared" si="338"/>
        <v>207.73930259999997</v>
      </c>
      <c r="I1300">
        <v>1</v>
      </c>
      <c r="J1300">
        <f t="shared" si="349"/>
        <v>0.29309745051222774</v>
      </c>
      <c r="K1300">
        <f t="shared" si="350"/>
        <v>2.6678405022820071</v>
      </c>
      <c r="O1300">
        <f t="shared" si="351"/>
        <v>-0.25709821253559456</v>
      </c>
      <c r="P1300">
        <f t="shared" si="352"/>
        <v>0.13181303229912117</v>
      </c>
      <c r="Q1300">
        <f t="shared" si="353"/>
        <v>0.95735355727500859</v>
      </c>
      <c r="R1300">
        <f t="shared" si="354"/>
        <v>1</v>
      </c>
      <c r="AG1300" s="8">
        <f t="shared" si="335"/>
        <v>-0.41170402885802021</v>
      </c>
      <c r="AH1300" s="8">
        <f t="shared" si="336"/>
        <v>0.65285637119382689</v>
      </c>
      <c r="AI1300" s="8">
        <f t="shared" si="337"/>
        <v>0.63582886944027861</v>
      </c>
      <c r="AJ1300" s="8"/>
      <c r="AK1300" s="8"/>
      <c r="AL1300" s="8"/>
      <c r="AN1300" s="8">
        <f t="shared" si="355"/>
        <v>1.0000000000000002</v>
      </c>
      <c r="AO1300" s="8">
        <f t="shared" si="356"/>
        <v>2.1334265060342394</v>
      </c>
      <c r="AP1300" s="8">
        <f t="shared" si="357"/>
        <v>0.88171437969100086</v>
      </c>
      <c r="AQ1300" s="8"/>
      <c r="AR1300" s="8">
        <f t="shared" si="358"/>
        <v>122.23633469710337</v>
      </c>
      <c r="AS1300" s="8">
        <f t="shared" si="359"/>
        <v>39.481487307710267</v>
      </c>
    </row>
    <row r="1301" spans="1:45">
      <c r="A1301" s="20">
        <v>42.342300000000002</v>
      </c>
      <c r="B1301" s="20">
        <v>554.04543799999999</v>
      </c>
      <c r="C1301" s="20">
        <v>-332.06870259999999</v>
      </c>
      <c r="E1301" s="9">
        <f t="shared" si="348"/>
        <v>-405.95456200000001</v>
      </c>
      <c r="F1301" s="9">
        <f t="shared" si="338"/>
        <v>207.93129740000001</v>
      </c>
      <c r="I1301">
        <v>1</v>
      </c>
      <c r="J1301">
        <f t="shared" si="349"/>
        <v>0.29356823102534602</v>
      </c>
      <c r="K1301">
        <f t="shared" si="350"/>
        <v>2.6682300726373165</v>
      </c>
      <c r="O1301">
        <f t="shared" si="351"/>
        <v>-0.25755065918963366</v>
      </c>
      <c r="P1301">
        <f t="shared" si="352"/>
        <v>0.13191831728085313</v>
      </c>
      <c r="Q1301">
        <f t="shared" si="353"/>
        <v>0.95721743377185387</v>
      </c>
      <c r="R1301">
        <f t="shared" si="354"/>
        <v>1</v>
      </c>
      <c r="AG1301" s="8">
        <f t="shared" si="335"/>
        <v>-0.41133937634351664</v>
      </c>
      <c r="AH1301" s="8">
        <f t="shared" si="336"/>
        <v>0.65316441753805465</v>
      </c>
      <c r="AI1301" s="8">
        <f t="shared" si="337"/>
        <v>0.63574850462388088</v>
      </c>
      <c r="AJ1301" s="8"/>
      <c r="AK1301" s="8"/>
      <c r="AL1301" s="8"/>
      <c r="AN1301" s="8">
        <f t="shared" si="355"/>
        <v>1</v>
      </c>
      <c r="AO1301" s="8">
        <f t="shared" si="356"/>
        <v>2.1328140415227388</v>
      </c>
      <c r="AP1301" s="8">
        <f t="shared" si="357"/>
        <v>0.88181849764889131</v>
      </c>
      <c r="AQ1301" s="8"/>
      <c r="AR1301" s="8">
        <f t="shared" si="358"/>
        <v>122.20124306549285</v>
      </c>
      <c r="AS1301" s="8">
        <f t="shared" si="359"/>
        <v>39.475521788151617</v>
      </c>
    </row>
    <row r="1302" spans="1:45">
      <c r="A1302" s="20">
        <v>42.375666670000001</v>
      </c>
      <c r="B1302" s="20">
        <v>553.51840149999998</v>
      </c>
      <c r="C1302" s="20">
        <v>-331.62909300000001</v>
      </c>
      <c r="E1302" s="9">
        <f t="shared" si="348"/>
        <v>-406.48159850000002</v>
      </c>
      <c r="F1302" s="9">
        <f t="shared" si="338"/>
        <v>208.37090699999999</v>
      </c>
      <c r="I1302">
        <v>1</v>
      </c>
      <c r="J1302">
        <f t="shared" si="349"/>
        <v>0.29397884069439439</v>
      </c>
      <c r="K1302">
        <f t="shared" si="350"/>
        <v>2.6678994871881105</v>
      </c>
      <c r="O1302">
        <f t="shared" si="351"/>
        <v>-0.25785677777491178</v>
      </c>
      <c r="P1302">
        <f t="shared" si="352"/>
        <v>0.13218273806078779</v>
      </c>
      <c r="Q1302">
        <f t="shared" si="353"/>
        <v>0.95709853511239529</v>
      </c>
      <c r="R1302">
        <f t="shared" si="354"/>
        <v>1</v>
      </c>
      <c r="AG1302" s="8">
        <f t="shared" si="335"/>
        <v>-0.41095848220765185</v>
      </c>
      <c r="AH1302" s="8">
        <f t="shared" si="336"/>
        <v>0.65332679577023922</v>
      </c>
      <c r="AI1302" s="8">
        <f t="shared" si="337"/>
        <v>0.63582798289331</v>
      </c>
      <c r="AJ1302" s="8"/>
      <c r="AK1302" s="8"/>
      <c r="AL1302" s="8"/>
      <c r="AN1302" s="8">
        <f t="shared" si="355"/>
        <v>1</v>
      </c>
      <c r="AO1302" s="8">
        <f t="shared" si="356"/>
        <v>2.1322843449601976</v>
      </c>
      <c r="AP1302" s="8">
        <f t="shared" si="357"/>
        <v>0.88171552832020006</v>
      </c>
      <c r="AQ1302" s="8"/>
      <c r="AR1302" s="8">
        <f t="shared" si="358"/>
        <v>122.17089368803666</v>
      </c>
      <c r="AS1302" s="8">
        <f t="shared" si="359"/>
        <v>39.481421496104922</v>
      </c>
    </row>
    <row r="1303" spans="1:45">
      <c r="A1303" s="20">
        <v>42.40903333</v>
      </c>
      <c r="B1303" s="20">
        <v>552.96071610000001</v>
      </c>
      <c r="C1303" s="20">
        <v>-331.50295110000002</v>
      </c>
      <c r="E1303" s="9">
        <f t="shared" si="348"/>
        <v>-407.03928389999999</v>
      </c>
      <c r="F1303" s="9">
        <f t="shared" si="338"/>
        <v>208.49704889999998</v>
      </c>
      <c r="I1303">
        <v>1</v>
      </c>
      <c r="J1303">
        <f t="shared" si="349"/>
        <v>0.29431843520729961</v>
      </c>
      <c r="K1303">
        <f t="shared" si="350"/>
        <v>2.6682103127222687</v>
      </c>
      <c r="O1303">
        <f t="shared" si="351"/>
        <v>-0.25818711902525981</v>
      </c>
      <c r="P1303">
        <f t="shared" si="352"/>
        <v>0.13225075443574336</v>
      </c>
      <c r="Q1303">
        <f t="shared" si="353"/>
        <v>0.95700007811943932</v>
      </c>
      <c r="R1303">
        <f t="shared" si="354"/>
        <v>1</v>
      </c>
      <c r="AG1303" s="8">
        <f t="shared" si="335"/>
        <v>-0.41069820002831658</v>
      </c>
      <c r="AH1303" s="8">
        <f t="shared" si="336"/>
        <v>0.65355367597782799</v>
      </c>
      <c r="AI1303" s="8">
        <f t="shared" si="337"/>
        <v>0.63576299130208025</v>
      </c>
      <c r="AJ1303" s="8"/>
      <c r="AK1303" s="8"/>
      <c r="AL1303" s="8"/>
      <c r="AN1303" s="8">
        <f t="shared" si="355"/>
        <v>0.99999999999999978</v>
      </c>
      <c r="AO1303" s="8">
        <f t="shared" si="356"/>
        <v>2.1318424121913884</v>
      </c>
      <c r="AP1303" s="8">
        <f t="shared" si="357"/>
        <v>0.88179972985471544</v>
      </c>
      <c r="AQ1303" s="8"/>
      <c r="AR1303" s="8">
        <f t="shared" si="358"/>
        <v>122.14557280555535</v>
      </c>
      <c r="AS1303" s="8">
        <f t="shared" si="359"/>
        <v>39.47659710354867</v>
      </c>
    </row>
    <row r="1304" spans="1:45">
      <c r="A1304" s="20">
        <v>42.442399999999999</v>
      </c>
      <c r="B1304" s="20">
        <v>552.37467609999999</v>
      </c>
      <c r="C1304" s="20">
        <v>-331.40325080000002</v>
      </c>
      <c r="E1304" s="9">
        <f t="shared" si="348"/>
        <v>-407.62532390000001</v>
      </c>
      <c r="F1304" s="9">
        <f t="shared" si="338"/>
        <v>208.59674919999998</v>
      </c>
      <c r="I1304">
        <v>1</v>
      </c>
      <c r="J1304">
        <f t="shared" si="349"/>
        <v>0.29466607893637337</v>
      </c>
      <c r="K1304">
        <f t="shared" si="350"/>
        <v>2.6686000035237702</v>
      </c>
      <c r="O1304">
        <f t="shared" si="351"/>
        <v>-0.25853478885164649</v>
      </c>
      <c r="P1304">
        <f t="shared" si="352"/>
        <v>0.13230168330462222</v>
      </c>
      <c r="Q1304">
        <f t="shared" si="353"/>
        <v>0.9568991731359151</v>
      </c>
      <c r="R1304">
        <f t="shared" si="354"/>
        <v>1</v>
      </c>
      <c r="AG1304" s="8">
        <f t="shared" si="335"/>
        <v>-0.41043851514801821</v>
      </c>
      <c r="AH1304" s="8">
        <f t="shared" si="336"/>
        <v>0.6537973098217581</v>
      </c>
      <c r="AI1304" s="8">
        <f t="shared" si="337"/>
        <v>0.63568018920910385</v>
      </c>
      <c r="AJ1304" s="8"/>
      <c r="AK1304" s="8"/>
      <c r="AL1304" s="8"/>
      <c r="AN1304" s="8">
        <f t="shared" si="355"/>
        <v>1</v>
      </c>
      <c r="AO1304" s="8">
        <f t="shared" si="356"/>
        <v>2.1313896567138979</v>
      </c>
      <c r="AP1304" s="8">
        <f t="shared" si="357"/>
        <v>0.88190699778624781</v>
      </c>
      <c r="AQ1304" s="8"/>
      <c r="AR1304" s="8">
        <f t="shared" si="358"/>
        <v>122.11963182754371</v>
      </c>
      <c r="AS1304" s="8">
        <f t="shared" si="359"/>
        <v>39.470451103794765</v>
      </c>
    </row>
    <row r="1305" spans="1:45">
      <c r="A1305" s="20">
        <v>42.475766669999999</v>
      </c>
      <c r="B1305" s="20">
        <v>551.84396579999998</v>
      </c>
      <c r="C1305" s="20">
        <v>-331.32648110000002</v>
      </c>
      <c r="E1305" s="9">
        <f t="shared" si="348"/>
        <v>-408.15603420000002</v>
      </c>
      <c r="F1305" s="9">
        <f t="shared" si="338"/>
        <v>208.67351889999998</v>
      </c>
      <c r="I1305">
        <v>1</v>
      </c>
      <c r="J1305">
        <f t="shared" si="349"/>
        <v>0.29497710640745223</v>
      </c>
      <c r="K1305">
        <f t="shared" si="350"/>
        <v>2.6689783260444475</v>
      </c>
      <c r="O1305">
        <f t="shared" si="351"/>
        <v>-0.25884980752908854</v>
      </c>
      <c r="P1305">
        <f t="shared" si="352"/>
        <v>0.132339340050562</v>
      </c>
      <c r="Q1305">
        <f t="shared" si="353"/>
        <v>0.95680879814994158</v>
      </c>
      <c r="R1305">
        <f t="shared" si="354"/>
        <v>1</v>
      </c>
      <c r="AG1305" s="8">
        <f t="shared" si="335"/>
        <v>-0.41020903500787698</v>
      </c>
      <c r="AH1305" s="8">
        <f t="shared" si="336"/>
        <v>0.65402002738218246</v>
      </c>
      <c r="AI1305" s="8">
        <f t="shared" si="337"/>
        <v>0.63559920656095525</v>
      </c>
      <c r="AJ1305" s="8"/>
      <c r="AK1305" s="8"/>
      <c r="AL1305" s="8"/>
      <c r="AN1305" s="8">
        <f t="shared" si="355"/>
        <v>1.0000000000000002</v>
      </c>
      <c r="AO1305" s="8">
        <f t="shared" si="356"/>
        <v>2.1309845213184118</v>
      </c>
      <c r="AP1305" s="8">
        <f t="shared" si="357"/>
        <v>0.88201189951051551</v>
      </c>
      <c r="AQ1305" s="8"/>
      <c r="AR1305" s="8">
        <f t="shared" si="358"/>
        <v>122.09641927925099</v>
      </c>
      <c r="AS1305" s="8">
        <f t="shared" si="359"/>
        <v>39.464440677730579</v>
      </c>
    </row>
    <row r="1306" spans="1:45">
      <c r="A1306" s="20">
        <v>42.509133329999997</v>
      </c>
      <c r="B1306" s="20">
        <v>551.14453140000001</v>
      </c>
      <c r="C1306" s="20">
        <v>-331.28104760000002</v>
      </c>
      <c r="E1306" s="9">
        <f t="shared" si="348"/>
        <v>-408.85546859999999</v>
      </c>
      <c r="F1306" s="9">
        <f t="shared" si="338"/>
        <v>208.71895239999998</v>
      </c>
      <c r="I1306">
        <v>1</v>
      </c>
      <c r="J1306">
        <f t="shared" si="349"/>
        <v>0.29537146160753414</v>
      </c>
      <c r="K1306">
        <f t="shared" si="350"/>
        <v>2.6695837952866706</v>
      </c>
      <c r="O1306">
        <f t="shared" si="351"/>
        <v>-0.25926593217232863</v>
      </c>
      <c r="P1306">
        <f t="shared" si="352"/>
        <v>0.13235413957238651</v>
      </c>
      <c r="Q1306">
        <f t="shared" si="353"/>
        <v>0.95669407761983494</v>
      </c>
      <c r="R1306">
        <f t="shared" si="354"/>
        <v>1</v>
      </c>
      <c r="AG1306" s="8">
        <f t="shared" si="335"/>
        <v>-0.40993005246596692</v>
      </c>
      <c r="AH1306" s="8">
        <f t="shared" si="336"/>
        <v>0.65432246594788857</v>
      </c>
      <c r="AI1306" s="8">
        <f t="shared" si="337"/>
        <v>0.63546790842742329</v>
      </c>
      <c r="AJ1306" s="8"/>
      <c r="AK1306" s="8"/>
      <c r="AL1306" s="8"/>
      <c r="AN1306" s="8">
        <f t="shared" si="355"/>
        <v>1.0000000000000002</v>
      </c>
      <c r="AO1306" s="8">
        <f t="shared" si="356"/>
        <v>2.1304703043862987</v>
      </c>
      <c r="AP1306" s="8">
        <f t="shared" si="357"/>
        <v>0.88218195867870974</v>
      </c>
      <c r="AQ1306" s="8"/>
      <c r="AR1306" s="8">
        <f t="shared" si="358"/>
        <v>122.06695681928676</v>
      </c>
      <c r="AS1306" s="8">
        <f t="shared" si="359"/>
        <v>39.454697005125546</v>
      </c>
    </row>
    <row r="1307" spans="1:45">
      <c r="A1307" s="20">
        <v>42.542499999999997</v>
      </c>
      <c r="B1307" s="20">
        <v>550.73492069999998</v>
      </c>
      <c r="C1307" s="20">
        <v>-331.20672930000001</v>
      </c>
      <c r="E1307" s="9">
        <f t="shared" si="348"/>
        <v>-409.26507930000002</v>
      </c>
      <c r="F1307" s="9">
        <f t="shared" si="338"/>
        <v>208.79327069999999</v>
      </c>
      <c r="I1307">
        <v>1</v>
      </c>
      <c r="J1307">
        <f t="shared" si="349"/>
        <v>0.29561569698345308</v>
      </c>
      <c r="K1307">
        <f t="shared" si="350"/>
        <v>2.6698450832007485</v>
      </c>
      <c r="O1307">
        <f t="shared" si="351"/>
        <v>-0.25950863541818581</v>
      </c>
      <c r="P1307">
        <f t="shared" si="352"/>
        <v>0.13239257269770408</v>
      </c>
      <c r="Q1307">
        <f t="shared" si="353"/>
        <v>0.95662295333003289</v>
      </c>
      <c r="R1307">
        <f t="shared" si="354"/>
        <v>1</v>
      </c>
      <c r="AG1307" s="8">
        <f t="shared" si="335"/>
        <v>-0.4097465875576693</v>
      </c>
      <c r="AH1307" s="8">
        <f t="shared" si="336"/>
        <v>0.65449172196012095</v>
      </c>
      <c r="AI1307" s="8">
        <f t="shared" si="337"/>
        <v>0.63541192927936208</v>
      </c>
      <c r="AJ1307" s="8"/>
      <c r="AK1307" s="8"/>
      <c r="AL1307" s="8"/>
      <c r="AN1307" s="8">
        <f t="shared" si="355"/>
        <v>1</v>
      </c>
      <c r="AO1307" s="8">
        <f t="shared" si="356"/>
        <v>2.1301525868038098</v>
      </c>
      <c r="AP1307" s="8">
        <f t="shared" si="357"/>
        <v>0.88225445641261446</v>
      </c>
      <c r="AQ1307" s="8"/>
      <c r="AR1307" s="8">
        <f t="shared" si="358"/>
        <v>122.04875294273305</v>
      </c>
      <c r="AS1307" s="8">
        <f t="shared" si="359"/>
        <v>39.450543190948544</v>
      </c>
    </row>
    <row r="1308" spans="1:45">
      <c r="A1308" s="20">
        <v>42.575866670000003</v>
      </c>
      <c r="B1308" s="20">
        <v>549.96503629999995</v>
      </c>
      <c r="C1308" s="20">
        <v>-331.10901269999999</v>
      </c>
      <c r="E1308" s="9">
        <f t="shared" si="348"/>
        <v>-410.03496370000005</v>
      </c>
      <c r="F1308" s="9">
        <f t="shared" si="338"/>
        <v>208.89098730000001</v>
      </c>
      <c r="I1308">
        <v>1</v>
      </c>
      <c r="J1308">
        <f t="shared" si="349"/>
        <v>0.2960630398416374</v>
      </c>
      <c r="K1308">
        <f t="shared" si="350"/>
        <v>2.6704162216631442</v>
      </c>
      <c r="O1308">
        <f t="shared" si="351"/>
        <v>-0.25996548967522576</v>
      </c>
      <c r="P1308">
        <f t="shared" si="352"/>
        <v>0.13243857868159128</v>
      </c>
      <c r="Q1308">
        <f t="shared" si="353"/>
        <v>0.9564925337161394</v>
      </c>
      <c r="R1308">
        <f t="shared" si="354"/>
        <v>1</v>
      </c>
      <c r="AG1308" s="8">
        <f t="shared" si="335"/>
        <v>-0.40941941142979787</v>
      </c>
      <c r="AH1308" s="8">
        <f t="shared" si="336"/>
        <v>0.65481650848248329</v>
      </c>
      <c r="AI1308" s="8">
        <f t="shared" si="337"/>
        <v>0.63528819110958445</v>
      </c>
      <c r="AJ1308" s="8"/>
      <c r="AK1308" s="8"/>
      <c r="AL1308" s="8"/>
      <c r="AN1308" s="8">
        <f t="shared" si="355"/>
        <v>1.0000000000000002</v>
      </c>
      <c r="AO1308" s="8">
        <f t="shared" si="356"/>
        <v>2.129570335221401</v>
      </c>
      <c r="AP1308" s="8">
        <f t="shared" si="357"/>
        <v>0.88241469247004722</v>
      </c>
      <c r="AQ1308" s="8"/>
      <c r="AR1308" s="8">
        <f t="shared" si="358"/>
        <v>122.0153923844462</v>
      </c>
      <c r="AS1308" s="8">
        <f t="shared" si="359"/>
        <v>39.441362341131828</v>
      </c>
    </row>
    <row r="1309" spans="1:45">
      <c r="A1309" s="20">
        <v>42.609233330000002</v>
      </c>
      <c r="B1309" s="20">
        <v>549.22745950000001</v>
      </c>
      <c r="C1309" s="20">
        <v>-331.06241720000003</v>
      </c>
      <c r="E1309" s="9">
        <f t="shared" si="348"/>
        <v>-410.77254049999999</v>
      </c>
      <c r="F1309" s="9">
        <f t="shared" si="338"/>
        <v>208.93758279999997</v>
      </c>
      <c r="I1309">
        <v>1</v>
      </c>
      <c r="J1309">
        <f t="shared" si="349"/>
        <v>0.29647853367172988</v>
      </c>
      <c r="K1309">
        <f t="shared" si="350"/>
        <v>2.6710526310839189</v>
      </c>
      <c r="O1309">
        <f t="shared" si="351"/>
        <v>-0.26040392664721773</v>
      </c>
      <c r="P1309">
        <f t="shared" si="352"/>
        <v>0.1324532718741899</v>
      </c>
      <c r="Q1309">
        <f t="shared" si="353"/>
        <v>0.95637122800538721</v>
      </c>
      <c r="R1309">
        <f t="shared" si="354"/>
        <v>1</v>
      </c>
      <c r="AG1309" s="8">
        <f t="shared" si="335"/>
        <v>-0.40912573724220297</v>
      </c>
      <c r="AH1309" s="8">
        <f t="shared" si="336"/>
        <v>0.6551351133221911</v>
      </c>
      <c r="AI1309" s="8">
        <f t="shared" si="337"/>
        <v>0.63514889153516096</v>
      </c>
      <c r="AJ1309" s="8"/>
      <c r="AK1309" s="8"/>
      <c r="AL1309" s="8"/>
      <c r="AN1309" s="8">
        <f t="shared" si="355"/>
        <v>1</v>
      </c>
      <c r="AO1309" s="8">
        <f t="shared" si="356"/>
        <v>2.1290292670936068</v>
      </c>
      <c r="AP1309" s="8">
        <f t="shared" si="357"/>
        <v>0.88259505466510346</v>
      </c>
      <c r="AQ1309" s="8"/>
      <c r="AR1309" s="8">
        <f t="shared" si="358"/>
        <v>121.98439146429455</v>
      </c>
      <c r="AS1309" s="8">
        <f t="shared" si="359"/>
        <v>39.431028348571395</v>
      </c>
    </row>
    <row r="1310" spans="1:45">
      <c r="A1310" s="20">
        <v>42.642600000000002</v>
      </c>
      <c r="B1310" s="20">
        <v>548.96728210000003</v>
      </c>
      <c r="C1310" s="20">
        <v>-330.82070140000002</v>
      </c>
      <c r="E1310" s="9">
        <f t="shared" si="348"/>
        <v>-411.03271789999997</v>
      </c>
      <c r="F1310" s="9">
        <f t="shared" si="338"/>
        <v>209.17929859999998</v>
      </c>
      <c r="I1310">
        <v>1</v>
      </c>
      <c r="J1310">
        <f t="shared" si="349"/>
        <v>0.29668763505425294</v>
      </c>
      <c r="K1310">
        <f t="shared" si="350"/>
        <v>2.6708412448562671</v>
      </c>
      <c r="O1310">
        <f t="shared" si="351"/>
        <v>-0.26055414276477229</v>
      </c>
      <c r="P1310">
        <f t="shared" si="352"/>
        <v>0.1325990133080337</v>
      </c>
      <c r="Q1310">
        <f t="shared" si="353"/>
        <v>0.95631011725164272</v>
      </c>
      <c r="R1310">
        <f t="shared" si="354"/>
        <v>1</v>
      </c>
      <c r="AG1310" s="8">
        <f t="shared" si="335"/>
        <v>-0.40892737342665619</v>
      </c>
      <c r="AH1310" s="8">
        <f t="shared" si="336"/>
        <v>0.65521072457983187</v>
      </c>
      <c r="AI1310" s="8">
        <f t="shared" si="337"/>
        <v>0.63519863795347353</v>
      </c>
      <c r="AJ1310" s="8"/>
      <c r="AK1310" s="8"/>
      <c r="AL1310" s="8"/>
      <c r="AN1310" s="8">
        <f t="shared" si="355"/>
        <v>1</v>
      </c>
      <c r="AO1310" s="8">
        <f t="shared" si="356"/>
        <v>2.128759568898948</v>
      </c>
      <c r="AP1310" s="8">
        <f t="shared" si="357"/>
        <v>0.88253064710734797</v>
      </c>
      <c r="AQ1310" s="8"/>
      <c r="AR1310" s="8">
        <f t="shared" si="358"/>
        <v>121.96893889599831</v>
      </c>
      <c r="AS1310" s="8">
        <f t="shared" si="359"/>
        <v>39.434718629799526</v>
      </c>
    </row>
    <row r="1311" spans="1:45">
      <c r="A1311" s="20">
        <v>42.675966670000001</v>
      </c>
      <c r="B1311" s="20">
        <v>548.35815049999997</v>
      </c>
      <c r="C1311" s="20">
        <v>-330.62542919999999</v>
      </c>
      <c r="E1311" s="9">
        <f t="shared" si="348"/>
        <v>-411.64184950000003</v>
      </c>
      <c r="F1311" s="9">
        <f t="shared" si="338"/>
        <v>209.37457080000001</v>
      </c>
      <c r="I1311">
        <v>1</v>
      </c>
      <c r="J1311">
        <f t="shared" si="349"/>
        <v>0.29707421070606166</v>
      </c>
      <c r="K1311">
        <f t="shared" si="350"/>
        <v>2.6710626323825064</v>
      </c>
      <c r="O1311">
        <f t="shared" si="351"/>
        <v>-0.26091298438091154</v>
      </c>
      <c r="P1311">
        <f t="shared" si="352"/>
        <v>0.13270891719890715</v>
      </c>
      <c r="Q1311">
        <f t="shared" si="353"/>
        <v>0.95619702879549873</v>
      </c>
      <c r="R1311">
        <f t="shared" si="354"/>
        <v>1</v>
      </c>
      <c r="AG1311" s="8">
        <f t="shared" si="335"/>
        <v>-0.40861888825536036</v>
      </c>
      <c r="AH1311" s="8">
        <f t="shared" si="336"/>
        <v>0.65544805439844356</v>
      </c>
      <c r="AI1311" s="8">
        <f t="shared" si="337"/>
        <v>0.63515230625909591</v>
      </c>
      <c r="AJ1311" s="8"/>
      <c r="AK1311" s="8"/>
      <c r="AL1311" s="8"/>
      <c r="AN1311" s="8">
        <f t="shared" si="355"/>
        <v>1</v>
      </c>
      <c r="AO1311" s="8">
        <f t="shared" si="356"/>
        <v>2.1282580645788816</v>
      </c>
      <c r="AP1311" s="8">
        <f t="shared" si="357"/>
        <v>0.88259063367135326</v>
      </c>
      <c r="AQ1311" s="8"/>
      <c r="AR1311" s="8">
        <f t="shared" si="358"/>
        <v>121.94020481505092</v>
      </c>
      <c r="AS1311" s="8">
        <f t="shared" si="359"/>
        <v>39.43128165285453</v>
      </c>
    </row>
    <row r="1312" spans="1:45">
      <c r="A1312" s="20">
        <v>42.70933333</v>
      </c>
      <c r="B1312" s="20">
        <v>547.71938890000001</v>
      </c>
      <c r="C1312" s="20">
        <v>-330.46339640000002</v>
      </c>
      <c r="E1312" s="9">
        <f t="shared" si="348"/>
        <v>-412.28061109999999</v>
      </c>
      <c r="F1312" s="9">
        <f t="shared" si="338"/>
        <v>209.53660359999998</v>
      </c>
      <c r="I1312">
        <v>1</v>
      </c>
      <c r="J1312">
        <f t="shared" si="349"/>
        <v>0.29746766145251607</v>
      </c>
      <c r="K1312">
        <f t="shared" si="350"/>
        <v>2.6713765186331337</v>
      </c>
      <c r="O1312">
        <f t="shared" si="351"/>
        <v>-0.2612899926336007</v>
      </c>
      <c r="P1312">
        <f t="shared" si="352"/>
        <v>0.13279745915054436</v>
      </c>
      <c r="Q1312">
        <f t="shared" si="353"/>
        <v>0.95608178237674435</v>
      </c>
      <c r="R1312">
        <f t="shared" si="354"/>
        <v>1</v>
      </c>
      <c r="AG1312" s="8">
        <f t="shared" ref="AG1312:AG1375" si="360">$O1312*$Z$27+$P1312*$Z$31+$Q1312*$Z$35</f>
        <v>-0.40831337930618172</v>
      </c>
      <c r="AH1312" s="8">
        <f t="shared" ref="AH1312:AH1375" si="361">$O1312*$AA$27+$P1312*$AA$31+$Q1312*$AA$35</f>
        <v>0.65570373674200599</v>
      </c>
      <c r="AI1312" s="8">
        <f t="shared" ref="AI1312:AI1375" si="362">$AB$27*$O1312+$P1312*$AB$31+$AB$35*$Q1312</f>
        <v>0.63508487141651881</v>
      </c>
      <c r="AJ1312" s="8"/>
      <c r="AK1312" s="8"/>
      <c r="AL1312" s="8"/>
      <c r="AN1312" s="8">
        <f t="shared" si="355"/>
        <v>1</v>
      </c>
      <c r="AO1312" s="8">
        <f t="shared" si="356"/>
        <v>2.127747321291972</v>
      </c>
      <c r="AP1312" s="8">
        <f t="shared" si="357"/>
        <v>0.88267793761283153</v>
      </c>
      <c r="AQ1312" s="8"/>
      <c r="AR1312" s="8">
        <f t="shared" si="358"/>
        <v>121.91094138029636</v>
      </c>
      <c r="AS1312" s="8">
        <f t="shared" si="359"/>
        <v>39.426279505472969</v>
      </c>
    </row>
    <row r="1313" spans="1:45">
      <c r="A1313" s="20">
        <v>42.742699999999999</v>
      </c>
      <c r="B1313" s="20">
        <v>547.01866370000005</v>
      </c>
      <c r="C1313" s="20">
        <v>-330.33646700000003</v>
      </c>
      <c r="E1313" s="9">
        <f t="shared" si="348"/>
        <v>-412.98133629999995</v>
      </c>
      <c r="F1313" s="9">
        <f t="shared" ref="F1313:F1376" si="363">(($C$15/2)+C1313)</f>
        <v>209.66353299999997</v>
      </c>
      <c r="I1313">
        <v>1</v>
      </c>
      <c r="J1313">
        <f t="shared" si="349"/>
        <v>0.2978851308146287</v>
      </c>
      <c r="K1313">
        <f t="shared" si="350"/>
        <v>2.6718176887440301</v>
      </c>
      <c r="O1313">
        <f t="shared" si="351"/>
        <v>-0.26170442733511262</v>
      </c>
      <c r="P1313">
        <f t="shared" si="352"/>
        <v>0.13286284394450859</v>
      </c>
      <c r="Q1313">
        <f t="shared" si="353"/>
        <v>0.95595933878600603</v>
      </c>
      <c r="R1313">
        <f t="shared" si="354"/>
        <v>1</v>
      </c>
      <c r="AG1313" s="8">
        <f t="shared" si="360"/>
        <v>-0.40799960970422733</v>
      </c>
      <c r="AH1313" s="8">
        <f t="shared" si="361"/>
        <v>0.65599232583887657</v>
      </c>
      <c r="AI1313" s="8">
        <f t="shared" si="362"/>
        <v>0.6349884935348824</v>
      </c>
      <c r="AJ1313" s="8"/>
      <c r="AK1313" s="8"/>
      <c r="AL1313" s="8"/>
      <c r="AN1313" s="8">
        <f t="shared" si="355"/>
        <v>1</v>
      </c>
      <c r="AO1313" s="8">
        <f t="shared" si="356"/>
        <v>2.127205073424749</v>
      </c>
      <c r="AP1313" s="8">
        <f t="shared" si="357"/>
        <v>0.88280270153499429</v>
      </c>
      <c r="AQ1313" s="8"/>
      <c r="AR1313" s="8">
        <f t="shared" si="358"/>
        <v>121.87987286605451</v>
      </c>
      <c r="AS1313" s="8">
        <f t="shared" si="359"/>
        <v>39.419131059297548</v>
      </c>
    </row>
    <row r="1314" spans="1:45">
      <c r="A1314" s="20">
        <v>42.776066669999999</v>
      </c>
      <c r="B1314" s="20">
        <v>546.44377929999996</v>
      </c>
      <c r="C1314" s="20">
        <v>-330.22675120000002</v>
      </c>
      <c r="E1314" s="9">
        <f t="shared" si="348"/>
        <v>-413.55622070000004</v>
      </c>
      <c r="F1314" s="9">
        <f t="shared" si="363"/>
        <v>209.77324879999998</v>
      </c>
      <c r="I1314">
        <v>1</v>
      </c>
      <c r="J1314">
        <f t="shared" si="349"/>
        <v>0.29822913853426414</v>
      </c>
      <c r="K1314">
        <f t="shared" si="350"/>
        <v>2.6721679272900709</v>
      </c>
      <c r="O1314">
        <f t="shared" si="351"/>
        <v>-0.26204421393052829</v>
      </c>
      <c r="P1314">
        <f t="shared" si="352"/>
        <v>0.13291993526878931</v>
      </c>
      <c r="Q1314">
        <f t="shared" si="353"/>
        <v>0.95585831625491047</v>
      </c>
      <c r="R1314">
        <f t="shared" si="354"/>
        <v>1</v>
      </c>
      <c r="AG1314" s="8">
        <f t="shared" si="360"/>
        <v>-0.40773984063403501</v>
      </c>
      <c r="AH1314" s="8">
        <f t="shared" si="361"/>
        <v>0.65622803274551877</v>
      </c>
      <c r="AI1314" s="8">
        <f t="shared" si="362"/>
        <v>0.63491179812528142</v>
      </c>
      <c r="AJ1314" s="8"/>
      <c r="AK1314" s="8"/>
      <c r="AL1314" s="8"/>
      <c r="AN1314" s="8">
        <f t="shared" si="355"/>
        <v>1</v>
      </c>
      <c r="AO1314" s="8">
        <f t="shared" si="356"/>
        <v>2.1267584284166121</v>
      </c>
      <c r="AP1314" s="8">
        <f t="shared" si="357"/>
        <v>0.88290197679311178</v>
      </c>
      <c r="AQ1314" s="8"/>
      <c r="AR1314" s="8">
        <f t="shared" si="358"/>
        <v>121.85428199214768</v>
      </c>
      <c r="AS1314" s="8">
        <f t="shared" si="359"/>
        <v>39.413443005997344</v>
      </c>
    </row>
    <row r="1315" spans="1:45">
      <c r="A1315" s="20">
        <v>42.809433329999997</v>
      </c>
      <c r="B1315" s="20">
        <v>545.94711919999997</v>
      </c>
      <c r="C1315" s="20">
        <v>-330.2274822</v>
      </c>
      <c r="E1315" s="9">
        <f t="shared" si="348"/>
        <v>-414.05288080000003</v>
      </c>
      <c r="F1315" s="9">
        <f t="shared" si="363"/>
        <v>209.7725178</v>
      </c>
      <c r="I1315">
        <v>1</v>
      </c>
      <c r="J1315">
        <f t="shared" si="349"/>
        <v>0.29849990248231301</v>
      </c>
      <c r="K1315">
        <f t="shared" si="350"/>
        <v>2.6726533801947445</v>
      </c>
      <c r="O1315">
        <f t="shared" si="351"/>
        <v>-0.26233957255542178</v>
      </c>
      <c r="P1315">
        <f t="shared" si="352"/>
        <v>0.13290967218293204</v>
      </c>
      <c r="Q1315">
        <f t="shared" si="353"/>
        <v>0.95577872319468593</v>
      </c>
      <c r="R1315">
        <f t="shared" si="354"/>
        <v>1</v>
      </c>
      <c r="AG1315" s="8">
        <f t="shared" si="360"/>
        <v>-0.40755557664625536</v>
      </c>
      <c r="AH1315" s="8">
        <f t="shared" si="361"/>
        <v>0.65644715208258153</v>
      </c>
      <c r="AI1315" s="8">
        <f t="shared" si="362"/>
        <v>0.63480358258850933</v>
      </c>
      <c r="AJ1315" s="8"/>
      <c r="AK1315" s="8"/>
      <c r="AL1315" s="8"/>
      <c r="AN1315" s="8">
        <f t="shared" si="355"/>
        <v>1</v>
      </c>
      <c r="AO1315" s="8">
        <f t="shared" si="356"/>
        <v>2.1264062031510278</v>
      </c>
      <c r="AP1315" s="8">
        <f t="shared" si="357"/>
        <v>0.88304203822521887</v>
      </c>
      <c r="AQ1315" s="8"/>
      <c r="AR1315" s="8">
        <f t="shared" si="358"/>
        <v>121.83410097099183</v>
      </c>
      <c r="AS1315" s="8">
        <f t="shared" si="359"/>
        <v>39.40541807706505</v>
      </c>
    </row>
    <row r="1316" spans="1:45">
      <c r="A1316" s="20">
        <v>42.842799999999997</v>
      </c>
      <c r="B1316" s="20">
        <v>545.26069930000006</v>
      </c>
      <c r="C1316" s="20">
        <v>-330.20933760000003</v>
      </c>
      <c r="E1316" s="9">
        <f t="shared" si="348"/>
        <v>-414.73930069999994</v>
      </c>
      <c r="F1316" s="9">
        <f t="shared" si="363"/>
        <v>209.79066239999997</v>
      </c>
      <c r="I1316">
        <v>1</v>
      </c>
      <c r="J1316">
        <f t="shared" si="349"/>
        <v>0.29887944434911334</v>
      </c>
      <c r="K1316">
        <f t="shared" si="350"/>
        <v>2.6732860122919599</v>
      </c>
      <c r="O1316">
        <f t="shared" si="351"/>
        <v>-0.26274728536858449</v>
      </c>
      <c r="P1316">
        <f t="shared" si="352"/>
        <v>0.13290741183254637</v>
      </c>
      <c r="Q1316">
        <f t="shared" si="353"/>
        <v>0.95566703611216686</v>
      </c>
      <c r="R1316">
        <f t="shared" si="354"/>
        <v>1</v>
      </c>
      <c r="AG1316" s="8">
        <f t="shared" si="360"/>
        <v>-0.40729284330137611</v>
      </c>
      <c r="AH1316" s="8">
        <f t="shared" si="361"/>
        <v>0.65674670831042437</v>
      </c>
      <c r="AI1316" s="8">
        <f t="shared" si="362"/>
        <v>0.63466235189973508</v>
      </c>
      <c r="AJ1316" s="8"/>
      <c r="AK1316" s="8"/>
      <c r="AL1316" s="8"/>
      <c r="AN1316" s="8">
        <f t="shared" si="355"/>
        <v>1</v>
      </c>
      <c r="AO1316" s="8">
        <f t="shared" si="356"/>
        <v>2.1259129031192705</v>
      </c>
      <c r="AP1316" s="8">
        <f t="shared" si="357"/>
        <v>0.88322480633913647</v>
      </c>
      <c r="AQ1316" s="8"/>
      <c r="AR1316" s="8">
        <f t="shared" si="358"/>
        <v>121.80583696113847</v>
      </c>
      <c r="AS1316" s="8">
        <f t="shared" si="359"/>
        <v>39.394946235508002</v>
      </c>
    </row>
    <row r="1317" spans="1:45">
      <c r="A1317" s="20">
        <v>42.876166670000003</v>
      </c>
      <c r="B1317" s="20">
        <v>544.65364309999995</v>
      </c>
      <c r="C1317" s="20">
        <v>-330.18771520000001</v>
      </c>
      <c r="E1317" s="9">
        <f t="shared" si="348"/>
        <v>-415.34635690000005</v>
      </c>
      <c r="F1317" s="9">
        <f t="shared" si="363"/>
        <v>209.81228479999999</v>
      </c>
      <c r="I1317">
        <v>1</v>
      </c>
      <c r="J1317">
        <f t="shared" si="349"/>
        <v>0.29921666545363057</v>
      </c>
      <c r="K1317">
        <f t="shared" si="350"/>
        <v>2.6738333982277549</v>
      </c>
      <c r="O1317">
        <f t="shared" si="351"/>
        <v>-0.26310763570720214</v>
      </c>
      <c r="P1317">
        <f t="shared" si="352"/>
        <v>0.13290886817467629</v>
      </c>
      <c r="Q1317">
        <f t="shared" si="353"/>
        <v>0.95556768718552465</v>
      </c>
      <c r="R1317">
        <f t="shared" si="354"/>
        <v>1</v>
      </c>
      <c r="AG1317" s="8">
        <f t="shared" si="360"/>
        <v>-0.40705813119384593</v>
      </c>
      <c r="AH1317" s="8">
        <f t="shared" si="361"/>
        <v>0.65701056864544649</v>
      </c>
      <c r="AI1317" s="8">
        <f t="shared" si="362"/>
        <v>0.63453982579280288</v>
      </c>
      <c r="AJ1317" s="8"/>
      <c r="AK1317" s="8"/>
      <c r="AL1317" s="8"/>
      <c r="AN1317" s="8">
        <f t="shared" si="355"/>
        <v>0.99999999999999989</v>
      </c>
      <c r="AO1317" s="8">
        <f t="shared" si="356"/>
        <v>2.1254748938042098</v>
      </c>
      <c r="AP1317" s="8">
        <f t="shared" si="357"/>
        <v>0.88338334643619376</v>
      </c>
      <c r="AQ1317" s="8"/>
      <c r="AR1317" s="8">
        <f t="shared" si="358"/>
        <v>121.78074087599808</v>
      </c>
      <c r="AS1317" s="8">
        <f t="shared" si="359"/>
        <v>39.385862557063028</v>
      </c>
    </row>
    <row r="1318" spans="1:45">
      <c r="A1318" s="20">
        <v>42.909533330000002</v>
      </c>
      <c r="B1318" s="20">
        <v>544.10340980000001</v>
      </c>
      <c r="C1318" s="20">
        <v>-330.1813156</v>
      </c>
      <c r="E1318" s="9">
        <f t="shared" si="348"/>
        <v>-415.89659019999999</v>
      </c>
      <c r="F1318" s="9">
        <f t="shared" si="363"/>
        <v>209.8186844</v>
      </c>
      <c r="I1318">
        <v>1</v>
      </c>
      <c r="J1318">
        <f t="shared" si="349"/>
        <v>0.29951870352780058</v>
      </c>
      <c r="K1318">
        <f t="shared" si="350"/>
        <v>2.6743537236333963</v>
      </c>
      <c r="O1318">
        <f t="shared" si="351"/>
        <v>-0.2634344263601448</v>
      </c>
      <c r="P1318">
        <f t="shared" si="352"/>
        <v>0.13290194261504742</v>
      </c>
      <c r="Q1318">
        <f t="shared" si="353"/>
        <v>0.95547861130296796</v>
      </c>
      <c r="R1318">
        <f t="shared" si="354"/>
        <v>1</v>
      </c>
      <c r="AG1318" s="8">
        <f t="shared" si="360"/>
        <v>-0.4068509263790499</v>
      </c>
      <c r="AH1318" s="8">
        <f t="shared" si="361"/>
        <v>0.6572517623342895</v>
      </c>
      <c r="AI1318" s="8">
        <f t="shared" si="362"/>
        <v>0.63442292251539878</v>
      </c>
      <c r="AJ1318" s="8"/>
      <c r="AK1318" s="8"/>
      <c r="AL1318" s="8"/>
      <c r="AN1318" s="8">
        <f t="shared" si="355"/>
        <v>1</v>
      </c>
      <c r="AO1318" s="8">
        <f t="shared" si="356"/>
        <v>2.1250826900537438</v>
      </c>
      <c r="AP1318" s="8">
        <f t="shared" si="357"/>
        <v>0.88353459175580029</v>
      </c>
      <c r="AQ1318" s="8"/>
      <c r="AR1318" s="8">
        <f t="shared" si="358"/>
        <v>121.75826925638717</v>
      </c>
      <c r="AS1318" s="8">
        <f t="shared" si="359"/>
        <v>39.377196838578463</v>
      </c>
    </row>
    <row r="1319" spans="1:45">
      <c r="A1319" s="20">
        <v>42.942900000000002</v>
      </c>
      <c r="B1319" s="20">
        <v>543.61483699999997</v>
      </c>
      <c r="C1319" s="20">
        <v>-330.00164310000002</v>
      </c>
      <c r="E1319" s="9">
        <f t="shared" si="348"/>
        <v>-416.38516300000003</v>
      </c>
      <c r="F1319" s="9">
        <f t="shared" si="363"/>
        <v>209.99835689999998</v>
      </c>
      <c r="I1319">
        <v>1</v>
      </c>
      <c r="J1319">
        <f t="shared" si="349"/>
        <v>0.2998347825864649</v>
      </c>
      <c r="K1319">
        <f t="shared" si="350"/>
        <v>2.6744816337493922</v>
      </c>
      <c r="O1319">
        <f t="shared" si="351"/>
        <v>-0.26372106422647357</v>
      </c>
      <c r="P1319">
        <f t="shared" si="352"/>
        <v>0.1330042352337103</v>
      </c>
      <c r="Q1319">
        <f t="shared" si="353"/>
        <v>0.95538530117076437</v>
      </c>
      <c r="R1319">
        <f t="shared" si="354"/>
        <v>1</v>
      </c>
      <c r="AG1319" s="8">
        <f t="shared" si="360"/>
        <v>-0.40659382205389161</v>
      </c>
      <c r="AH1319" s="8">
        <f t="shared" si="361"/>
        <v>0.65743742473562949</v>
      </c>
      <c r="AI1319" s="8">
        <f t="shared" si="362"/>
        <v>0.63439537862802253</v>
      </c>
      <c r="AJ1319" s="8"/>
      <c r="AK1319" s="8"/>
      <c r="AL1319" s="8"/>
      <c r="AN1319" s="8">
        <f t="shared" si="355"/>
        <v>1.0000000000000002</v>
      </c>
      <c r="AO1319" s="8">
        <f t="shared" si="356"/>
        <v>2.1246734700451118</v>
      </c>
      <c r="AP1319" s="8">
        <f t="shared" si="357"/>
        <v>0.88357022432874988</v>
      </c>
      <c r="AQ1319" s="8"/>
      <c r="AR1319" s="8">
        <f t="shared" si="358"/>
        <v>121.73482267700024</v>
      </c>
      <c r="AS1319" s="8">
        <f t="shared" si="359"/>
        <v>39.375155242535257</v>
      </c>
    </row>
    <row r="1320" spans="1:45">
      <c r="A1320" s="20">
        <v>42.976266670000001</v>
      </c>
      <c r="B1320" s="20">
        <v>542.91604059999997</v>
      </c>
      <c r="C1320" s="20">
        <v>-329.69493770000003</v>
      </c>
      <c r="E1320" s="9">
        <f t="shared" si="348"/>
        <v>-417.08395940000003</v>
      </c>
      <c r="F1320" s="9">
        <f t="shared" si="363"/>
        <v>210.30506229999997</v>
      </c>
      <c r="I1320">
        <v>1</v>
      </c>
      <c r="J1320">
        <f t="shared" si="349"/>
        <v>0.30030044814902263</v>
      </c>
      <c r="K1320">
        <f t="shared" si="350"/>
        <v>2.6745690340388157</v>
      </c>
      <c r="O1320">
        <f t="shared" si="351"/>
        <v>-0.26412990700182115</v>
      </c>
      <c r="P1320">
        <f t="shared" si="352"/>
        <v>0.13318147412626485</v>
      </c>
      <c r="Q1320">
        <f t="shared" si="353"/>
        <v>0.95524765750917406</v>
      </c>
      <c r="R1320">
        <f t="shared" si="354"/>
        <v>1</v>
      </c>
      <c r="AG1320" s="8">
        <f t="shared" si="360"/>
        <v>-0.40620520957577655</v>
      </c>
      <c r="AH1320" s="8">
        <f t="shared" si="361"/>
        <v>0.65769467727857645</v>
      </c>
      <c r="AI1320" s="8">
        <f t="shared" si="362"/>
        <v>0.63437767866857409</v>
      </c>
      <c r="AJ1320" s="8"/>
      <c r="AK1320" s="8"/>
      <c r="AL1320" s="8"/>
      <c r="AN1320" s="8">
        <f t="shared" si="355"/>
        <v>1</v>
      </c>
      <c r="AO1320" s="8">
        <f t="shared" si="356"/>
        <v>2.1240708703390769</v>
      </c>
      <c r="AP1320" s="8">
        <f t="shared" si="357"/>
        <v>0.88359312160320291</v>
      </c>
      <c r="AQ1320" s="8"/>
      <c r="AR1320" s="8">
        <f t="shared" si="358"/>
        <v>121.70029625710862</v>
      </c>
      <c r="AS1320" s="8">
        <f t="shared" si="359"/>
        <v>39.373843325346748</v>
      </c>
    </row>
    <row r="1321" spans="1:45">
      <c r="A1321" s="20">
        <v>43.00963333</v>
      </c>
      <c r="B1321" s="20">
        <v>542.24261179999996</v>
      </c>
      <c r="C1321" s="20">
        <v>-329.59976069999999</v>
      </c>
      <c r="E1321" s="9">
        <f t="shared" si="348"/>
        <v>-417.75738820000004</v>
      </c>
      <c r="F1321" s="9">
        <f t="shared" si="363"/>
        <v>210.40023930000001</v>
      </c>
      <c r="I1321">
        <v>1</v>
      </c>
      <c r="J1321">
        <f t="shared" si="349"/>
        <v>0.30069400960668896</v>
      </c>
      <c r="K1321">
        <f t="shared" si="350"/>
        <v>2.675035552166007</v>
      </c>
      <c r="O1321">
        <f t="shared" si="351"/>
        <v>-0.26452775747061402</v>
      </c>
      <c r="P1321">
        <f t="shared" si="352"/>
        <v>0.13322733492067912</v>
      </c>
      <c r="Q1321">
        <f t="shared" si="353"/>
        <v>0.95513116521109354</v>
      </c>
      <c r="R1321">
        <f t="shared" si="354"/>
        <v>1</v>
      </c>
      <c r="AG1321" s="8">
        <f t="shared" si="360"/>
        <v>-0.40591491038102845</v>
      </c>
      <c r="AH1321" s="8">
        <f t="shared" si="361"/>
        <v>0.6579751344754845</v>
      </c>
      <c r="AI1321" s="8">
        <f t="shared" si="362"/>
        <v>0.63427266056667608</v>
      </c>
      <c r="AJ1321" s="8"/>
      <c r="AK1321" s="8"/>
      <c r="AL1321" s="8"/>
      <c r="AN1321" s="8">
        <f t="shared" si="355"/>
        <v>1.0000000000000002</v>
      </c>
      <c r="AO1321" s="8">
        <f t="shared" si="356"/>
        <v>2.123560771079287</v>
      </c>
      <c r="AP1321" s="8">
        <f t="shared" si="357"/>
        <v>0.88372896777261023</v>
      </c>
      <c r="AQ1321" s="8"/>
      <c r="AR1321" s="8">
        <f t="shared" si="358"/>
        <v>121.67106972238992</v>
      </c>
      <c r="AS1321" s="8">
        <f t="shared" si="359"/>
        <v>39.366059913176692</v>
      </c>
    </row>
    <row r="1322" spans="1:45">
      <c r="A1322" s="20">
        <v>43.042999999999999</v>
      </c>
      <c r="B1322" s="20">
        <v>541.71397479999996</v>
      </c>
      <c r="C1322" s="20">
        <v>-329.50959469999998</v>
      </c>
      <c r="E1322" s="9">
        <f t="shared" si="348"/>
        <v>-418.28602520000004</v>
      </c>
      <c r="F1322" s="9">
        <f t="shared" si="363"/>
        <v>210.49040530000002</v>
      </c>
      <c r="I1322">
        <v>1</v>
      </c>
      <c r="J1322">
        <f t="shared" si="349"/>
        <v>0.30100717479034117</v>
      </c>
      <c r="K1322">
        <f t="shared" si="350"/>
        <v>2.6753713877497964</v>
      </c>
      <c r="O1322">
        <f t="shared" si="351"/>
        <v>-0.26483966243598789</v>
      </c>
      <c r="P1322">
        <f t="shared" si="352"/>
        <v>0.13327293891545067</v>
      </c>
      <c r="Q1322">
        <f t="shared" si="353"/>
        <v>0.95503836412660958</v>
      </c>
      <c r="R1322">
        <f t="shared" si="354"/>
        <v>1</v>
      </c>
      <c r="AG1322" s="8">
        <f t="shared" si="360"/>
        <v>-0.40568053385918817</v>
      </c>
      <c r="AH1322" s="8">
        <f t="shared" si="361"/>
        <v>0.65819264201297267</v>
      </c>
      <c r="AI1322" s="8">
        <f t="shared" si="362"/>
        <v>0.63419693348967465</v>
      </c>
      <c r="AJ1322" s="8"/>
      <c r="AK1322" s="8"/>
      <c r="AL1322" s="8"/>
      <c r="AN1322" s="8">
        <f t="shared" si="355"/>
        <v>0.99999999999999989</v>
      </c>
      <c r="AO1322" s="8">
        <f t="shared" si="356"/>
        <v>2.1231550746899881</v>
      </c>
      <c r="AP1322" s="8">
        <f t="shared" si="357"/>
        <v>0.8838269151415008</v>
      </c>
      <c r="AQ1322" s="8"/>
      <c r="AR1322" s="8">
        <f t="shared" si="358"/>
        <v>121.64782503151939</v>
      </c>
      <c r="AS1322" s="8">
        <f t="shared" si="359"/>
        <v>39.360447942324846</v>
      </c>
    </row>
    <row r="1323" spans="1:45">
      <c r="A1323" s="20">
        <v>43.076366669999999</v>
      </c>
      <c r="B1323" s="20">
        <v>540.99959149999995</v>
      </c>
      <c r="C1323" s="20">
        <v>-329.37797890000002</v>
      </c>
      <c r="E1323" s="9">
        <f t="shared" si="348"/>
        <v>-419.00040850000005</v>
      </c>
      <c r="F1323" s="9">
        <f t="shared" si="363"/>
        <v>210.62202109999998</v>
      </c>
      <c r="I1323">
        <v>1</v>
      </c>
      <c r="J1323">
        <f t="shared" si="349"/>
        <v>0.30143301481692891</v>
      </c>
      <c r="K1323">
        <f t="shared" si="350"/>
        <v>2.6758054475911068</v>
      </c>
      <c r="O1323">
        <f t="shared" si="351"/>
        <v>-0.26526082968747994</v>
      </c>
      <c r="P1323">
        <f t="shared" si="352"/>
        <v>0.13334061479188258</v>
      </c>
      <c r="Q1323">
        <f t="shared" si="353"/>
        <v>0.95491202352909588</v>
      </c>
      <c r="R1323">
        <f t="shared" si="354"/>
        <v>1</v>
      </c>
      <c r="AG1323" s="8">
        <f t="shared" si="360"/>
        <v>-0.40535970104713337</v>
      </c>
      <c r="AH1323" s="8">
        <f t="shared" si="361"/>
        <v>0.65848480322506675</v>
      </c>
      <c r="AI1323" s="8">
        <f t="shared" si="362"/>
        <v>0.63409879095344746</v>
      </c>
      <c r="AJ1323" s="8"/>
      <c r="AK1323" s="8"/>
      <c r="AL1323" s="8"/>
      <c r="AN1323" s="8">
        <f t="shared" si="355"/>
        <v>1</v>
      </c>
      <c r="AO1323" s="8">
        <f t="shared" si="356"/>
        <v>2.1226036147013705</v>
      </c>
      <c r="AP1323" s="8">
        <f t="shared" si="357"/>
        <v>0.88395384354110529</v>
      </c>
      <c r="AQ1323" s="8"/>
      <c r="AR1323" s="8">
        <f t="shared" si="358"/>
        <v>121.61622870160127</v>
      </c>
      <c r="AS1323" s="8">
        <f t="shared" si="359"/>
        <v>39.35317548072716</v>
      </c>
    </row>
    <row r="1324" spans="1:45">
      <c r="A1324" s="20">
        <v>43.109733329999997</v>
      </c>
      <c r="B1324" s="20">
        <v>540.37452759999996</v>
      </c>
      <c r="C1324" s="20">
        <v>-329.2744457</v>
      </c>
      <c r="E1324" s="9">
        <f t="shared" si="348"/>
        <v>-419.62547240000004</v>
      </c>
      <c r="F1324" s="9">
        <f t="shared" si="363"/>
        <v>210.7255543</v>
      </c>
      <c r="I1324">
        <v>1</v>
      </c>
      <c r="J1324">
        <f t="shared" si="349"/>
        <v>0.30180238368700124</v>
      </c>
      <c r="K1324">
        <f t="shared" si="350"/>
        <v>2.6762063062821739</v>
      </c>
      <c r="O1324">
        <f t="shared" si="351"/>
        <v>-0.2656294439545131</v>
      </c>
      <c r="P1324">
        <f t="shared" si="352"/>
        <v>0.13339255001745598</v>
      </c>
      <c r="Q1324">
        <f t="shared" si="353"/>
        <v>0.95480229686792051</v>
      </c>
      <c r="R1324">
        <f t="shared" si="354"/>
        <v>1</v>
      </c>
      <c r="AG1324" s="8">
        <f t="shared" si="360"/>
        <v>-0.40508386467366714</v>
      </c>
      <c r="AH1324" s="8">
        <f t="shared" si="361"/>
        <v>0.65874217040754379</v>
      </c>
      <c r="AI1324" s="8">
        <f t="shared" si="362"/>
        <v>0.63400774088949785</v>
      </c>
      <c r="AJ1324" s="8"/>
      <c r="AK1324" s="8"/>
      <c r="AL1324" s="8"/>
      <c r="AN1324" s="8">
        <f t="shared" si="355"/>
        <v>0.99999999999999989</v>
      </c>
      <c r="AO1324" s="8">
        <f t="shared" si="356"/>
        <v>2.1221254012957775</v>
      </c>
      <c r="AP1324" s="8">
        <f t="shared" si="357"/>
        <v>0.88407158738599301</v>
      </c>
      <c r="AQ1324" s="8"/>
      <c r="AR1324" s="8">
        <f t="shared" si="358"/>
        <v>121.58882909175422</v>
      </c>
      <c r="AS1324" s="8">
        <f t="shared" si="359"/>
        <v>39.346429255351453</v>
      </c>
    </row>
    <row r="1325" spans="1:45">
      <c r="A1325" s="20">
        <v>43.143099999999997</v>
      </c>
      <c r="B1325" s="20">
        <v>539.91557</v>
      </c>
      <c r="C1325" s="20">
        <v>-329.18489080000001</v>
      </c>
      <c r="E1325" s="9">
        <f t="shared" si="348"/>
        <v>-420.08443</v>
      </c>
      <c r="F1325" s="9">
        <f t="shared" si="363"/>
        <v>210.81510919999999</v>
      </c>
      <c r="I1325">
        <v>1</v>
      </c>
      <c r="J1325">
        <f t="shared" si="349"/>
        <v>0.30207727883569641</v>
      </c>
      <c r="K1325">
        <f t="shared" si="350"/>
        <v>2.6764742445286087</v>
      </c>
      <c r="O1325">
        <f t="shared" si="351"/>
        <v>-0.26589975321679971</v>
      </c>
      <c r="P1325">
        <f t="shared" si="352"/>
        <v>0.13343909344760213</v>
      </c>
      <c r="Q1325">
        <f t="shared" si="353"/>
        <v>0.95472055051681337</v>
      </c>
      <c r="R1325">
        <f t="shared" si="354"/>
        <v>1</v>
      </c>
      <c r="AG1325" s="8">
        <f t="shared" si="360"/>
        <v>-0.40487564581980484</v>
      </c>
      <c r="AH1325" s="8">
        <f t="shared" si="361"/>
        <v>0.65892883325518159</v>
      </c>
      <c r="AI1325" s="8">
        <f t="shared" si="362"/>
        <v>0.63394676758144386</v>
      </c>
      <c r="AJ1325" s="8"/>
      <c r="AK1325" s="8"/>
      <c r="AL1325" s="8"/>
      <c r="AN1325" s="8">
        <f t="shared" si="355"/>
        <v>1</v>
      </c>
      <c r="AO1325" s="8">
        <f t="shared" si="356"/>
        <v>2.1217696308309408</v>
      </c>
      <c r="AP1325" s="8">
        <f t="shared" si="357"/>
        <v>0.88415043030914342</v>
      </c>
      <c r="AQ1325" s="8"/>
      <c r="AR1325" s="8">
        <f t="shared" si="358"/>
        <v>121.56844494564366</v>
      </c>
      <c r="AS1325" s="8">
        <f t="shared" si="359"/>
        <v>39.341911888610461</v>
      </c>
    </row>
    <row r="1326" spans="1:45">
      <c r="A1326" s="20">
        <v>43.176466670000003</v>
      </c>
      <c r="B1326" s="20">
        <v>539.38017600000001</v>
      </c>
      <c r="C1326" s="20">
        <v>-329.0624133</v>
      </c>
      <c r="E1326" s="9">
        <f t="shared" si="348"/>
        <v>-420.61982399999999</v>
      </c>
      <c r="F1326" s="9">
        <f t="shared" si="363"/>
        <v>210.9375867</v>
      </c>
      <c r="I1326">
        <v>1</v>
      </c>
      <c r="J1326">
        <f t="shared" si="349"/>
        <v>0.30240285174619574</v>
      </c>
      <c r="K1326">
        <f t="shared" si="350"/>
        <v>2.6767519482522246</v>
      </c>
      <c r="O1326">
        <f t="shared" si="351"/>
        <v>-0.26621463518040456</v>
      </c>
      <c r="P1326">
        <f t="shared" si="352"/>
        <v>0.13350457939703636</v>
      </c>
      <c r="Q1326">
        <f t="shared" si="353"/>
        <v>0.9546236406541504</v>
      </c>
      <c r="R1326">
        <f t="shared" si="354"/>
        <v>1</v>
      </c>
      <c r="AG1326" s="8">
        <f t="shared" si="360"/>
        <v>-0.40462518942166209</v>
      </c>
      <c r="AH1326" s="8">
        <f t="shared" si="361"/>
        <v>0.65914353327574071</v>
      </c>
      <c r="AI1326" s="8">
        <f t="shared" si="362"/>
        <v>0.63388347401257938</v>
      </c>
      <c r="AJ1326" s="8"/>
      <c r="AK1326" s="8"/>
      <c r="AL1326" s="8"/>
      <c r="AN1326" s="8">
        <f t="shared" si="355"/>
        <v>0.99999999999999978</v>
      </c>
      <c r="AO1326" s="8">
        <f t="shared" si="356"/>
        <v>2.1213484002401275</v>
      </c>
      <c r="AP1326" s="8">
        <f t="shared" si="357"/>
        <v>0.88423226810864186</v>
      </c>
      <c r="AQ1326" s="8"/>
      <c r="AR1326" s="8">
        <f t="shared" si="358"/>
        <v>121.54431021058825</v>
      </c>
      <c r="AS1326" s="8">
        <f t="shared" si="359"/>
        <v>39.337222928094562</v>
      </c>
    </row>
    <row r="1327" spans="1:45">
      <c r="A1327" s="20">
        <v>43.209833330000002</v>
      </c>
      <c r="B1327" s="20">
        <v>538.75633800000003</v>
      </c>
      <c r="C1327" s="20">
        <v>-328.87124290000003</v>
      </c>
      <c r="E1327" s="9">
        <f t="shared" si="348"/>
        <v>-421.24366199999997</v>
      </c>
      <c r="F1327" s="9">
        <f t="shared" si="363"/>
        <v>211.12875709999997</v>
      </c>
      <c r="I1327">
        <v>1</v>
      </c>
      <c r="J1327">
        <f t="shared" si="349"/>
        <v>0.30279540278108014</v>
      </c>
      <c r="K1327">
        <f t="shared" si="350"/>
        <v>2.6769827852753112</v>
      </c>
      <c r="O1327">
        <f t="shared" si="351"/>
        <v>-0.26658044024853311</v>
      </c>
      <c r="P1327">
        <f t="shared" si="352"/>
        <v>0.13361102396086297</v>
      </c>
      <c r="Q1327">
        <f t="shared" si="353"/>
        <v>0.95450665956452496</v>
      </c>
      <c r="R1327">
        <f t="shared" si="354"/>
        <v>1</v>
      </c>
      <c r="AG1327" s="8">
        <f t="shared" si="360"/>
        <v>-0.40431301788267016</v>
      </c>
      <c r="AH1327" s="8">
        <f t="shared" si="361"/>
        <v>0.6593856291934963</v>
      </c>
      <c r="AI1327" s="8">
        <f t="shared" si="362"/>
        <v>0.63383087301243446</v>
      </c>
      <c r="AJ1327" s="8"/>
      <c r="AK1327" s="8"/>
      <c r="AL1327" s="8"/>
      <c r="AN1327" s="8">
        <f t="shared" si="355"/>
        <v>1.0000000000000002</v>
      </c>
      <c r="AO1327" s="8">
        <f t="shared" si="356"/>
        <v>2.1208406917204012</v>
      </c>
      <c r="AP1327" s="8">
        <f t="shared" si="357"/>
        <v>0.88430027637318953</v>
      </c>
      <c r="AQ1327" s="8"/>
      <c r="AR1327" s="8">
        <f t="shared" si="358"/>
        <v>121.5152206551851</v>
      </c>
      <c r="AS1327" s="8">
        <f t="shared" si="359"/>
        <v>39.333326341563968</v>
      </c>
    </row>
    <row r="1328" spans="1:45">
      <c r="A1328" s="20">
        <v>43.243200000000002</v>
      </c>
      <c r="B1328" s="20">
        <v>537.97672150000005</v>
      </c>
      <c r="C1328" s="20">
        <v>-328.69363429999999</v>
      </c>
      <c r="E1328" s="9">
        <f t="shared" si="348"/>
        <v>-422.02327849999995</v>
      </c>
      <c r="F1328" s="9">
        <f t="shared" si="363"/>
        <v>211.30636570000001</v>
      </c>
      <c r="I1328">
        <v>1</v>
      </c>
      <c r="J1328">
        <f t="shared" si="349"/>
        <v>0.30326913060938765</v>
      </c>
      <c r="K1328">
        <f t="shared" si="350"/>
        <v>2.6773865083628339</v>
      </c>
      <c r="O1328">
        <f t="shared" si="351"/>
        <v>-0.26703865627076917</v>
      </c>
      <c r="P1328">
        <f t="shared" si="352"/>
        <v>0.13370581868978065</v>
      </c>
      <c r="Q1328">
        <f t="shared" si="353"/>
        <v>0.95436529175447149</v>
      </c>
      <c r="R1328">
        <f t="shared" si="354"/>
        <v>1</v>
      </c>
      <c r="AG1328" s="8">
        <f t="shared" si="360"/>
        <v>-0.40394863631501071</v>
      </c>
      <c r="AH1328" s="8">
        <f t="shared" si="361"/>
        <v>0.6596979835948521</v>
      </c>
      <c r="AI1328" s="8">
        <f t="shared" si="362"/>
        <v>0.63373817121910003</v>
      </c>
      <c r="AJ1328" s="8"/>
      <c r="AK1328" s="8"/>
      <c r="AL1328" s="8"/>
      <c r="AN1328" s="8">
        <f t="shared" si="355"/>
        <v>1</v>
      </c>
      <c r="AO1328" s="8">
        <f t="shared" si="356"/>
        <v>2.1202280451869644</v>
      </c>
      <c r="AP1328" s="8">
        <f t="shared" si="357"/>
        <v>0.88442012205763965</v>
      </c>
      <c r="AQ1328" s="8"/>
      <c r="AR1328" s="8">
        <f t="shared" si="358"/>
        <v>121.48011859448586</v>
      </c>
      <c r="AS1328" s="8">
        <f t="shared" si="359"/>
        <v>39.326459689652125</v>
      </c>
    </row>
    <row r="1329" spans="1:45">
      <c r="A1329" s="20">
        <v>43.276566670000001</v>
      </c>
      <c r="B1329" s="20">
        <v>537.29408439999997</v>
      </c>
      <c r="C1329" s="20">
        <v>-328.53422019999999</v>
      </c>
      <c r="E1329" s="9">
        <f t="shared" si="348"/>
        <v>-422.70591560000003</v>
      </c>
      <c r="F1329" s="9">
        <f t="shared" si="363"/>
        <v>211.46577980000001</v>
      </c>
      <c r="I1329">
        <v>1</v>
      </c>
      <c r="J1329">
        <f t="shared" si="349"/>
        <v>0.30368492284315785</v>
      </c>
      <c r="K1329">
        <f t="shared" si="350"/>
        <v>2.6777315439960869</v>
      </c>
      <c r="O1329">
        <f t="shared" si="351"/>
        <v>-0.26743963717213287</v>
      </c>
      <c r="P1329">
        <f t="shared" si="352"/>
        <v>0.13379119935844619</v>
      </c>
      <c r="Q1329">
        <f t="shared" si="353"/>
        <v>0.9542410363443119</v>
      </c>
      <c r="R1329">
        <f t="shared" si="354"/>
        <v>1</v>
      </c>
      <c r="AG1329" s="8">
        <f t="shared" si="360"/>
        <v>-0.40362794991799839</v>
      </c>
      <c r="AH1329" s="8">
        <f t="shared" si="361"/>
        <v>0.65997064488607982</v>
      </c>
      <c r="AI1329" s="8">
        <f t="shared" si="362"/>
        <v>0.63365860361368531</v>
      </c>
      <c r="AJ1329" s="8"/>
      <c r="AK1329" s="8"/>
      <c r="AL1329" s="8"/>
      <c r="AN1329" s="8">
        <f t="shared" si="355"/>
        <v>0.99999999999999978</v>
      </c>
      <c r="AO1329" s="8">
        <f t="shared" si="356"/>
        <v>2.1196904730334416</v>
      </c>
      <c r="AP1329" s="8">
        <f t="shared" si="357"/>
        <v>0.88452297836608962</v>
      </c>
      <c r="AQ1329" s="8"/>
      <c r="AR1329" s="8">
        <f t="shared" si="358"/>
        <v>121.44931797890524</v>
      </c>
      <c r="AS1329" s="8">
        <f t="shared" si="359"/>
        <v>39.320566457281643</v>
      </c>
    </row>
    <row r="1330" spans="1:45">
      <c r="A1330" s="20">
        <v>43.30993333</v>
      </c>
      <c r="B1330" s="20">
        <v>536.644499</v>
      </c>
      <c r="C1330" s="20">
        <v>-328.32906300000002</v>
      </c>
      <c r="E1330" s="9">
        <f t="shared" si="348"/>
        <v>-423.355501</v>
      </c>
      <c r="F1330" s="9">
        <f t="shared" si="363"/>
        <v>211.67093699999998</v>
      </c>
      <c r="I1330">
        <v>1</v>
      </c>
      <c r="J1330">
        <f t="shared" si="349"/>
        <v>0.30409509365992698</v>
      </c>
      <c r="K1330">
        <f t="shared" si="350"/>
        <v>2.6779579199031787</v>
      </c>
      <c r="O1330">
        <f t="shared" si="351"/>
        <v>-0.26781997760277748</v>
      </c>
      <c r="P1330">
        <f t="shared" si="352"/>
        <v>0.13390567849618876</v>
      </c>
      <c r="Q1330">
        <f t="shared" si="353"/>
        <v>0.95411829919739155</v>
      </c>
      <c r="R1330">
        <f t="shared" si="354"/>
        <v>1</v>
      </c>
      <c r="AG1330" s="8">
        <f t="shared" si="360"/>
        <v>-0.40330036012065817</v>
      </c>
      <c r="AH1330" s="8">
        <f t="shared" si="361"/>
        <v>0.66022117895506227</v>
      </c>
      <c r="AI1330" s="8">
        <f t="shared" si="362"/>
        <v>0.63360619819074948</v>
      </c>
      <c r="AJ1330" s="8"/>
      <c r="AK1330" s="8"/>
      <c r="AL1330" s="8"/>
      <c r="AN1330" s="8">
        <f t="shared" si="355"/>
        <v>1.0000000000000002</v>
      </c>
      <c r="AO1330" s="8">
        <f t="shared" si="356"/>
        <v>2.1191602860215291</v>
      </c>
      <c r="AP1330" s="8">
        <f t="shared" si="357"/>
        <v>0.88459071763920372</v>
      </c>
      <c r="AQ1330" s="8"/>
      <c r="AR1330" s="8">
        <f t="shared" si="358"/>
        <v>121.41894050077001</v>
      </c>
      <c r="AS1330" s="8">
        <f t="shared" si="359"/>
        <v>39.31668528282492</v>
      </c>
    </row>
    <row r="1331" spans="1:45">
      <c r="A1331" s="20">
        <v>43.343299999999999</v>
      </c>
      <c r="B1331" s="20">
        <v>536.05847300000005</v>
      </c>
      <c r="C1331" s="20">
        <v>-328.30861110000001</v>
      </c>
      <c r="E1331" s="9">
        <f t="shared" si="348"/>
        <v>-423.94152699999995</v>
      </c>
      <c r="F1331" s="9">
        <f t="shared" si="363"/>
        <v>211.69138889999999</v>
      </c>
      <c r="I1331">
        <v>1</v>
      </c>
      <c r="J1331">
        <f t="shared" si="349"/>
        <v>0.3044202168153618</v>
      </c>
      <c r="K1331">
        <f t="shared" si="350"/>
        <v>2.6784723781349702</v>
      </c>
      <c r="O1331">
        <f t="shared" si="351"/>
        <v>-0.26816634662911903</v>
      </c>
      <c r="P1331">
        <f t="shared" si="352"/>
        <v>0.13390645350521901</v>
      </c>
      <c r="Q1331">
        <f t="shared" si="353"/>
        <v>0.9540208971742945</v>
      </c>
      <c r="R1331">
        <f t="shared" si="354"/>
        <v>1</v>
      </c>
      <c r="AG1331" s="8">
        <f t="shared" si="360"/>
        <v>-0.40307391159860423</v>
      </c>
      <c r="AH1331" s="8">
        <f t="shared" si="361"/>
        <v>0.66047400567520087</v>
      </c>
      <c r="AI1331" s="8">
        <f t="shared" si="362"/>
        <v>0.63348678724654972</v>
      </c>
      <c r="AJ1331" s="8"/>
      <c r="AK1331" s="8"/>
      <c r="AL1331" s="8"/>
      <c r="AN1331" s="8">
        <f t="shared" si="355"/>
        <v>1</v>
      </c>
      <c r="AO1331" s="8">
        <f t="shared" si="356"/>
        <v>2.1187402002993219</v>
      </c>
      <c r="AP1331" s="8">
        <f t="shared" si="357"/>
        <v>0.88474505424417549</v>
      </c>
      <c r="AQ1331" s="8"/>
      <c r="AR1331" s="8">
        <f t="shared" si="358"/>
        <v>121.39487136185382</v>
      </c>
      <c r="AS1331" s="8">
        <f t="shared" si="359"/>
        <v>39.307842446735663</v>
      </c>
    </row>
    <row r="1332" spans="1:45">
      <c r="A1332" s="20">
        <v>43.376666669999999</v>
      </c>
      <c r="B1332" s="20">
        <v>535.63072339999997</v>
      </c>
      <c r="C1332" s="20">
        <v>-328.23698469999999</v>
      </c>
      <c r="E1332" s="9">
        <f t="shared" si="348"/>
        <v>-424.36927660000003</v>
      </c>
      <c r="F1332" s="9">
        <f t="shared" si="363"/>
        <v>211.76301530000001</v>
      </c>
      <c r="I1332">
        <v>1</v>
      </c>
      <c r="J1332">
        <f t="shared" si="349"/>
        <v>0.30467296414231487</v>
      </c>
      <c r="K1332">
        <f t="shared" si="350"/>
        <v>2.6787401832736757</v>
      </c>
      <c r="O1332">
        <f t="shared" si="351"/>
        <v>-0.26841794481337583</v>
      </c>
      <c r="P1332">
        <f t="shared" si="352"/>
        <v>0.1339422915101518</v>
      </c>
      <c r="Q1332">
        <f t="shared" si="353"/>
        <v>0.95394510819395317</v>
      </c>
      <c r="R1332">
        <f t="shared" si="354"/>
        <v>1</v>
      </c>
      <c r="AG1332" s="8">
        <f t="shared" si="360"/>
        <v>-0.40288483014557763</v>
      </c>
      <c r="AH1332" s="8">
        <f t="shared" si="361"/>
        <v>0.66064918077559454</v>
      </c>
      <c r="AI1332" s="8">
        <f t="shared" si="362"/>
        <v>0.63342440241839826</v>
      </c>
      <c r="AJ1332" s="8"/>
      <c r="AK1332" s="8"/>
      <c r="AL1332" s="8"/>
      <c r="AN1332" s="8">
        <f t="shared" si="355"/>
        <v>1</v>
      </c>
      <c r="AO1332" s="8">
        <f t="shared" si="356"/>
        <v>2.1184136915345522</v>
      </c>
      <c r="AP1332" s="8">
        <f t="shared" si="357"/>
        <v>0.8848256778132203</v>
      </c>
      <c r="AQ1332" s="8"/>
      <c r="AR1332" s="8">
        <f t="shared" si="358"/>
        <v>121.37616378765848</v>
      </c>
      <c r="AS1332" s="8">
        <f t="shared" si="359"/>
        <v>39.303223056500116</v>
      </c>
    </row>
    <row r="1333" spans="1:45">
      <c r="A1333" s="20">
        <v>43.410033329999997</v>
      </c>
      <c r="B1333" s="20">
        <v>534.96690880000006</v>
      </c>
      <c r="C1333" s="20">
        <v>-328.20365939999999</v>
      </c>
      <c r="E1333" s="9">
        <f t="shared" si="348"/>
        <v>-425.03309119999994</v>
      </c>
      <c r="F1333" s="9">
        <f t="shared" si="363"/>
        <v>211.79634060000001</v>
      </c>
      <c r="I1333">
        <v>1</v>
      </c>
      <c r="J1333">
        <f t="shared" si="349"/>
        <v>0.30504401017434601</v>
      </c>
      <c r="K1333">
        <f t="shared" si="350"/>
        <v>2.6793015376239269</v>
      </c>
      <c r="O1333">
        <f t="shared" si="351"/>
        <v>-0.26880987680487767</v>
      </c>
      <c r="P1333">
        <f t="shared" si="352"/>
        <v>0.13394944865038766</v>
      </c>
      <c r="Q1333">
        <f t="shared" si="353"/>
        <v>0.95383373568898455</v>
      </c>
      <c r="R1333">
        <f t="shared" si="354"/>
        <v>1</v>
      </c>
      <c r="AG1333" s="8">
        <f t="shared" si="360"/>
        <v>-0.40262404822681802</v>
      </c>
      <c r="AH1333" s="8">
        <f t="shared" si="361"/>
        <v>0.66093363297804841</v>
      </c>
      <c r="AI1333" s="8">
        <f t="shared" si="362"/>
        <v>0.63329346166519629</v>
      </c>
      <c r="AJ1333" s="8"/>
      <c r="AK1333" s="8"/>
      <c r="AL1333" s="8"/>
      <c r="AN1333" s="8">
        <f t="shared" si="355"/>
        <v>1.0000000000000002</v>
      </c>
      <c r="AO1333" s="8">
        <f t="shared" si="356"/>
        <v>2.117934633744138</v>
      </c>
      <c r="AP1333" s="8">
        <f t="shared" si="357"/>
        <v>0.88499488291978057</v>
      </c>
      <c r="AQ1333" s="8"/>
      <c r="AR1333" s="8">
        <f t="shared" si="358"/>
        <v>121.3487157981249</v>
      </c>
      <c r="AS1333" s="8">
        <f t="shared" si="359"/>
        <v>39.293528318022148</v>
      </c>
    </row>
    <row r="1334" spans="1:45">
      <c r="A1334" s="20">
        <v>43.443399999999997</v>
      </c>
      <c r="B1334" s="20">
        <v>534.16359320000004</v>
      </c>
      <c r="C1334" s="20">
        <v>-328.1431164</v>
      </c>
      <c r="E1334" s="9">
        <f t="shared" si="348"/>
        <v>-425.83640679999996</v>
      </c>
      <c r="F1334" s="9">
        <f t="shared" si="363"/>
        <v>211.8568836</v>
      </c>
      <c r="I1334">
        <v>1</v>
      </c>
      <c r="J1334">
        <f t="shared" si="349"/>
        <v>0.30549852800795996</v>
      </c>
      <c r="K1334">
        <f t="shared" si="350"/>
        <v>2.6799408861598977</v>
      </c>
      <c r="O1334">
        <f t="shared" si="351"/>
        <v>-0.26928358563463761</v>
      </c>
      <c r="P1334">
        <f t="shared" si="352"/>
        <v>0.13397065245288486</v>
      </c>
      <c r="Q1334">
        <f t="shared" si="353"/>
        <v>0.95369712948561458</v>
      </c>
      <c r="R1334">
        <f t="shared" si="354"/>
        <v>1</v>
      </c>
      <c r="AG1334" s="8">
        <f t="shared" si="360"/>
        <v>-0.40229997238977272</v>
      </c>
      <c r="AH1334" s="8">
        <f t="shared" si="361"/>
        <v>0.66127432402761666</v>
      </c>
      <c r="AI1334" s="8">
        <f t="shared" si="362"/>
        <v>0.6331437440242198</v>
      </c>
      <c r="AJ1334" s="8"/>
      <c r="AK1334" s="8"/>
      <c r="AL1334" s="8"/>
      <c r="AN1334" s="8">
        <f t="shared" si="355"/>
        <v>1</v>
      </c>
      <c r="AO1334" s="8">
        <f t="shared" si="356"/>
        <v>2.1173480845001187</v>
      </c>
      <c r="AP1334" s="8">
        <f t="shared" si="357"/>
        <v>0.88518832331388109</v>
      </c>
      <c r="AQ1334" s="8"/>
      <c r="AR1334" s="8">
        <f t="shared" si="358"/>
        <v>121.31510900196599</v>
      </c>
      <c r="AS1334" s="8">
        <f t="shared" si="359"/>
        <v>39.282444999852842</v>
      </c>
    </row>
    <row r="1335" spans="1:45">
      <c r="A1335" s="20">
        <v>43.476766670000004</v>
      </c>
      <c r="B1335" s="20">
        <v>533.73869669999999</v>
      </c>
      <c r="C1335" s="20">
        <v>-328.13877600000001</v>
      </c>
      <c r="E1335" s="9">
        <f t="shared" si="348"/>
        <v>-426.26130330000001</v>
      </c>
      <c r="F1335" s="9">
        <f t="shared" si="363"/>
        <v>211.86122399999999</v>
      </c>
      <c r="I1335">
        <v>1</v>
      </c>
      <c r="J1335">
        <f t="shared" si="349"/>
        <v>0.30573142924198582</v>
      </c>
      <c r="K1335">
        <f t="shared" si="350"/>
        <v>2.680330321790716</v>
      </c>
      <c r="O1335">
        <f t="shared" si="351"/>
        <v>-0.26953463492343432</v>
      </c>
      <c r="P1335">
        <f t="shared" si="352"/>
        <v>0.13396462973107967</v>
      </c>
      <c r="Q1335">
        <f t="shared" si="353"/>
        <v>0.95362705422911831</v>
      </c>
      <c r="R1335">
        <f t="shared" si="354"/>
        <v>1</v>
      </c>
      <c r="AG1335" s="8">
        <f t="shared" si="360"/>
        <v>-0.40214016438419053</v>
      </c>
      <c r="AH1335" s="8">
        <f t="shared" si="361"/>
        <v>0.6614589573758497</v>
      </c>
      <c r="AI1335" s="8">
        <f t="shared" si="362"/>
        <v>0.63305239585385831</v>
      </c>
      <c r="AJ1335" s="8"/>
      <c r="AK1335" s="8"/>
      <c r="AL1335" s="8"/>
      <c r="AN1335" s="8">
        <f t="shared" si="355"/>
        <v>1</v>
      </c>
      <c r="AO1335" s="8">
        <f t="shared" si="356"/>
        <v>2.1170477525906559</v>
      </c>
      <c r="AP1335" s="8">
        <f t="shared" si="357"/>
        <v>0.88530633329013819</v>
      </c>
      <c r="AQ1335" s="8"/>
      <c r="AR1335" s="8">
        <f t="shared" si="358"/>
        <v>121.29790125110068</v>
      </c>
      <c r="AS1335" s="8">
        <f t="shared" si="359"/>
        <v>39.275683526272871</v>
      </c>
    </row>
    <row r="1336" spans="1:45">
      <c r="A1336" s="20">
        <v>43.510133330000002</v>
      </c>
      <c r="B1336" s="20">
        <v>533.0294778</v>
      </c>
      <c r="C1336" s="20">
        <v>-328.13815369999998</v>
      </c>
      <c r="E1336" s="9">
        <f t="shared" si="348"/>
        <v>-426.9705222</v>
      </c>
      <c r="F1336" s="9">
        <f t="shared" si="363"/>
        <v>211.86184630000002</v>
      </c>
      <c r="I1336">
        <v>1</v>
      </c>
      <c r="J1336">
        <f t="shared" si="349"/>
        <v>0.30611841117266708</v>
      </c>
      <c r="K1336">
        <f t="shared" si="350"/>
        <v>2.6809914048348285</v>
      </c>
      <c r="O1336">
        <f t="shared" si="351"/>
        <v>-0.26995369502609856</v>
      </c>
      <c r="P1336">
        <f t="shared" si="352"/>
        <v>0.13395043748932692</v>
      </c>
      <c r="Q1336">
        <f t="shared" si="353"/>
        <v>0.95351050483892108</v>
      </c>
      <c r="R1336">
        <f t="shared" si="354"/>
        <v>1</v>
      </c>
      <c r="AG1336" s="8">
        <f t="shared" si="360"/>
        <v>-0.40187618498116245</v>
      </c>
      <c r="AH1336" s="8">
        <f t="shared" si="361"/>
        <v>0.66176806832172774</v>
      </c>
      <c r="AI1336" s="8">
        <f t="shared" si="362"/>
        <v>0.6328969550366913</v>
      </c>
      <c r="AJ1336" s="8"/>
      <c r="AK1336" s="8"/>
      <c r="AL1336" s="8"/>
      <c r="AN1336" s="8">
        <f t="shared" si="355"/>
        <v>1</v>
      </c>
      <c r="AO1336" s="8">
        <f t="shared" si="356"/>
        <v>2.1165490107071765</v>
      </c>
      <c r="AP1336" s="8">
        <f t="shared" si="357"/>
        <v>0.88550711647203673</v>
      </c>
      <c r="AQ1336" s="8"/>
      <c r="AR1336" s="8">
        <f t="shared" si="358"/>
        <v>121.2693254461109</v>
      </c>
      <c r="AS1336" s="8">
        <f t="shared" si="359"/>
        <v>39.264179497352877</v>
      </c>
    </row>
    <row r="1337" spans="1:45">
      <c r="A1337" s="20">
        <v>43.543500000000002</v>
      </c>
      <c r="B1337" s="20">
        <v>532.68337980000001</v>
      </c>
      <c r="C1337" s="20">
        <v>-327.97869100000003</v>
      </c>
      <c r="E1337" s="9">
        <f t="shared" ref="E1337:E1400" si="364">(B1337-($B$15/2))</f>
        <v>-427.31662019999999</v>
      </c>
      <c r="F1337" s="9">
        <f t="shared" si="363"/>
        <v>212.02130899999997</v>
      </c>
      <c r="I1337">
        <v>1</v>
      </c>
      <c r="J1337">
        <f t="shared" ref="J1337:J1400" si="365">ATAN((SQRT(E1337^2+F1337^2)^$B$16)/($F$24))</f>
        <v>0.30635032628876524</v>
      </c>
      <c r="K1337">
        <f t="shared" ref="K1337:K1400" si="366">ATAN2(E1337,F1337)</f>
        <v>2.6810144468805963</v>
      </c>
      <c r="O1337">
        <f t="shared" ref="O1337:O1400" si="367">COS(K1337)*SIN(J1337)</f>
        <v>-0.27015486461274757</v>
      </c>
      <c r="P1337">
        <f t="shared" ref="P1337:P1400" si="368">SIN(K1337)*SIN(J1337)</f>
        <v>0.13404249991751793</v>
      </c>
      <c r="Q1337">
        <f t="shared" ref="Q1337:Q1400" si="369">COS(J1337)</f>
        <v>0.95344058930901943</v>
      </c>
      <c r="R1337">
        <f t="shared" ref="R1337:R1400" si="370">SQRT(O1337^2+P1337^2+Q1337^2)</f>
        <v>1</v>
      </c>
      <c r="AG1337" s="8">
        <f t="shared" si="360"/>
        <v>-0.40168062902351265</v>
      </c>
      <c r="AH1337" s="8">
        <f t="shared" si="361"/>
        <v>0.66189277403787683</v>
      </c>
      <c r="AI1337" s="8">
        <f t="shared" si="362"/>
        <v>0.63289069193954772</v>
      </c>
      <c r="AJ1337" s="8"/>
      <c r="AK1337" s="8"/>
      <c r="AL1337" s="8"/>
      <c r="AN1337" s="8">
        <f t="shared" ref="AN1337:AN1400" si="371">AG1337^2+AH1337^2+AI1337^2</f>
        <v>1.0000000000000002</v>
      </c>
      <c r="AO1337" s="8">
        <f t="shared" ref="AO1337:AO1400" si="372">IF(ATAN2(AG1337,AH1337)&gt;=0,ATAN2(AG1337,AH1337),ATAN2(AG1337,AH1337)+2*PI())</f>
        <v>2.1162495189669253</v>
      </c>
      <c r="AP1337" s="8">
        <f t="shared" ref="AP1337:AP1400" si="373">ACOS(AI1337/AN1337)</f>
        <v>0.88551520583512433</v>
      </c>
      <c r="AQ1337" s="8"/>
      <c r="AR1337" s="8">
        <f t="shared" ref="AR1337:AR1400" si="374">DEGREES(AO1337)</f>
        <v>121.25216583339548</v>
      </c>
      <c r="AS1337" s="8">
        <f t="shared" ref="AS1337:AS1400" si="375">90-DEGREES(AP1337)</f>
        <v>39.263716010989008</v>
      </c>
    </row>
    <row r="1338" spans="1:45">
      <c r="A1338" s="20">
        <v>43.576866670000001</v>
      </c>
      <c r="B1338" s="20">
        <v>532.00367080000001</v>
      </c>
      <c r="C1338" s="20">
        <v>-327.68199959999998</v>
      </c>
      <c r="E1338" s="9">
        <f t="shared" si="364"/>
        <v>-427.99632919999999</v>
      </c>
      <c r="F1338" s="9">
        <f t="shared" si="363"/>
        <v>212.31800040000002</v>
      </c>
      <c r="I1338">
        <v>1</v>
      </c>
      <c r="J1338">
        <f t="shared" si="365"/>
        <v>0.30680123816701271</v>
      </c>
      <c r="K1338">
        <f t="shared" si="366"/>
        <v>2.6810904941734446</v>
      </c>
      <c r="O1338">
        <f t="shared" si="367"/>
        <v>-0.27055016284837946</v>
      </c>
      <c r="P1338">
        <f t="shared" si="368"/>
        <v>0.13421299591805549</v>
      </c>
      <c r="Q1338">
        <f t="shared" si="369"/>
        <v>0.95330450597351912</v>
      </c>
      <c r="R1338">
        <f t="shared" si="370"/>
        <v>1</v>
      </c>
      <c r="AG1338" s="8">
        <f t="shared" si="360"/>
        <v>-0.4013034978708413</v>
      </c>
      <c r="AH1338" s="8">
        <f t="shared" si="361"/>
        <v>0.66214023320448556</v>
      </c>
      <c r="AI1338" s="8">
        <f t="shared" si="362"/>
        <v>0.63287108811237158</v>
      </c>
      <c r="AJ1338" s="8"/>
      <c r="AK1338" s="8"/>
      <c r="AL1338" s="8"/>
      <c r="AN1338" s="8">
        <f t="shared" si="371"/>
        <v>1</v>
      </c>
      <c r="AO1338" s="8">
        <f t="shared" si="372"/>
        <v>2.1156672967626555</v>
      </c>
      <c r="AP1338" s="8">
        <f t="shared" si="373"/>
        <v>0.88554052562610097</v>
      </c>
      <c r="AQ1338" s="8"/>
      <c r="AR1338" s="8">
        <f t="shared" si="374"/>
        <v>121.21880695835202</v>
      </c>
      <c r="AS1338" s="8">
        <f t="shared" si="375"/>
        <v>39.262265293827895</v>
      </c>
    </row>
    <row r="1339" spans="1:45">
      <c r="A1339" s="20">
        <v>43.61023333</v>
      </c>
      <c r="B1339" s="20">
        <v>531.32220170000005</v>
      </c>
      <c r="C1339" s="20">
        <v>-327.53154569999998</v>
      </c>
      <c r="E1339" s="9">
        <f t="shared" si="364"/>
        <v>-428.67779829999995</v>
      </c>
      <c r="F1339" s="9">
        <f t="shared" si="363"/>
        <v>212.46845430000002</v>
      </c>
      <c r="I1339">
        <v>1</v>
      </c>
      <c r="J1339">
        <f t="shared" si="365"/>
        <v>0.30721346259222049</v>
      </c>
      <c r="K1339">
        <f t="shared" si="366"/>
        <v>2.6814417639328485</v>
      </c>
      <c r="O1339">
        <f t="shared" si="367"/>
        <v>-0.270949368383538</v>
      </c>
      <c r="P1339">
        <f t="shared" si="368"/>
        <v>0.13429245396497982</v>
      </c>
      <c r="Q1339">
        <f t="shared" si="369"/>
        <v>0.95317992875460067</v>
      </c>
      <c r="R1339">
        <f t="shared" si="370"/>
        <v>1</v>
      </c>
      <c r="AG1339" s="8">
        <f t="shared" si="360"/>
        <v>-0.40098703146770609</v>
      </c>
      <c r="AH1339" s="8">
        <f t="shared" si="361"/>
        <v>0.66241223113552383</v>
      </c>
      <c r="AI1339" s="8">
        <f t="shared" si="362"/>
        <v>0.63278703892919164</v>
      </c>
      <c r="AJ1339" s="8"/>
      <c r="AK1339" s="8"/>
      <c r="AL1339" s="8"/>
      <c r="AN1339" s="8">
        <f t="shared" si="371"/>
        <v>1.0000000000000002</v>
      </c>
      <c r="AO1339" s="8">
        <f t="shared" si="372"/>
        <v>2.1151357132372315</v>
      </c>
      <c r="AP1339" s="8">
        <f t="shared" si="373"/>
        <v>0.88564907541625348</v>
      </c>
      <c r="AQ1339" s="8"/>
      <c r="AR1339" s="8">
        <f t="shared" si="374"/>
        <v>121.18834946588653</v>
      </c>
      <c r="AS1339" s="8">
        <f t="shared" si="375"/>
        <v>39.256045848985124</v>
      </c>
    </row>
    <row r="1340" spans="1:45">
      <c r="A1340" s="20">
        <v>43.643599999999999</v>
      </c>
      <c r="B1340" s="20">
        <v>530.79054559999997</v>
      </c>
      <c r="C1340" s="20">
        <v>-327.42277739999997</v>
      </c>
      <c r="E1340" s="9">
        <f t="shared" si="364"/>
        <v>-429.20945440000003</v>
      </c>
      <c r="F1340" s="9">
        <f t="shared" si="363"/>
        <v>212.57722260000003</v>
      </c>
      <c r="I1340">
        <v>1</v>
      </c>
      <c r="J1340">
        <f t="shared" si="365"/>
        <v>0.30753269353914181</v>
      </c>
      <c r="K1340">
        <f t="shared" si="366"/>
        <v>2.6817312299024914</v>
      </c>
      <c r="O1340">
        <f t="shared" si="367"/>
        <v>-0.27126088994563585</v>
      </c>
      <c r="P1340">
        <f t="shared" si="368"/>
        <v>0.13434905963396584</v>
      </c>
      <c r="Q1340">
        <f t="shared" si="369"/>
        <v>0.95308334355468138</v>
      </c>
      <c r="R1340">
        <f t="shared" si="370"/>
        <v>1</v>
      </c>
      <c r="AG1340" s="8">
        <f t="shared" si="360"/>
        <v>-0.400743749213267</v>
      </c>
      <c r="AH1340" s="8">
        <f t="shared" si="361"/>
        <v>0.66262571581284346</v>
      </c>
      <c r="AI1340" s="8">
        <f t="shared" si="362"/>
        <v>0.63271763703093586</v>
      </c>
      <c r="AJ1340" s="8"/>
      <c r="AK1340" s="8"/>
      <c r="AL1340" s="8"/>
      <c r="AN1340" s="8">
        <f t="shared" si="371"/>
        <v>1</v>
      </c>
      <c r="AO1340" s="8">
        <f t="shared" si="372"/>
        <v>2.1147241927859572</v>
      </c>
      <c r="AP1340" s="8">
        <f t="shared" si="373"/>
        <v>0.88573870093301588</v>
      </c>
      <c r="AQ1340" s="8"/>
      <c r="AR1340" s="8">
        <f t="shared" si="374"/>
        <v>121.1647710808452</v>
      </c>
      <c r="AS1340" s="8">
        <f t="shared" si="375"/>
        <v>39.25091068513796</v>
      </c>
    </row>
    <row r="1341" spans="1:45">
      <c r="A1341" s="20">
        <v>43.676966669999999</v>
      </c>
      <c r="B1341" s="20">
        <v>530.16817920000005</v>
      </c>
      <c r="C1341" s="20">
        <v>-327.32333019999999</v>
      </c>
      <c r="E1341" s="9">
        <f t="shared" si="364"/>
        <v>-429.83182079999995</v>
      </c>
      <c r="F1341" s="9">
        <f t="shared" si="363"/>
        <v>212.67666980000001</v>
      </c>
      <c r="I1341">
        <v>1</v>
      </c>
      <c r="J1341">
        <f t="shared" si="365"/>
        <v>0.30789882389049805</v>
      </c>
      <c r="K1341">
        <f t="shared" si="366"/>
        <v>2.6821213821888836</v>
      </c>
      <c r="O1341">
        <f t="shared" si="367"/>
        <v>-0.27162602953862841</v>
      </c>
      <c r="P1341">
        <f t="shared" si="368"/>
        <v>0.13439795891740544</v>
      </c>
      <c r="Q1341">
        <f t="shared" si="369"/>
        <v>0.95297244908544732</v>
      </c>
      <c r="R1341">
        <f t="shared" si="370"/>
        <v>1</v>
      </c>
      <c r="AG1341" s="8">
        <f t="shared" si="360"/>
        <v>-0.40047064533222387</v>
      </c>
      <c r="AH1341" s="8">
        <f t="shared" si="361"/>
        <v>0.66288005312031772</v>
      </c>
      <c r="AI1341" s="8">
        <f t="shared" si="362"/>
        <v>0.63262413596257683</v>
      </c>
      <c r="AJ1341" s="8"/>
      <c r="AK1341" s="8"/>
      <c r="AL1341" s="8"/>
      <c r="AN1341" s="8">
        <f t="shared" si="371"/>
        <v>1</v>
      </c>
      <c r="AO1341" s="8">
        <f t="shared" si="372"/>
        <v>2.1142524956727935</v>
      </c>
      <c r="AP1341" s="8">
        <f t="shared" si="373"/>
        <v>0.88585943770889219</v>
      </c>
      <c r="AQ1341" s="8"/>
      <c r="AR1341" s="8">
        <f t="shared" si="374"/>
        <v>121.13774482705242</v>
      </c>
      <c r="AS1341" s="8">
        <f t="shared" si="375"/>
        <v>39.243992977448229</v>
      </c>
    </row>
    <row r="1342" spans="1:45">
      <c r="A1342" s="20">
        <v>43.710333329999997</v>
      </c>
      <c r="B1342" s="20">
        <v>529.69421990000001</v>
      </c>
      <c r="C1342" s="20">
        <v>-327.2203025</v>
      </c>
      <c r="E1342" s="9">
        <f t="shared" si="364"/>
        <v>-430.30578009999999</v>
      </c>
      <c r="F1342" s="9">
        <f t="shared" si="363"/>
        <v>212.7796975</v>
      </c>
      <c r="I1342">
        <v>1</v>
      </c>
      <c r="J1342">
        <f t="shared" si="365"/>
        <v>0.30818498086688928</v>
      </c>
      <c r="K1342">
        <f t="shared" si="366"/>
        <v>2.6823668750550103</v>
      </c>
      <c r="O1342">
        <f t="shared" si="367"/>
        <v>-0.27190345088544077</v>
      </c>
      <c r="P1342">
        <f t="shared" si="368"/>
        <v>0.13445214241641137</v>
      </c>
      <c r="Q1342">
        <f t="shared" si="369"/>
        <v>0.95288568821040953</v>
      </c>
      <c r="R1342">
        <f t="shared" si="370"/>
        <v>1</v>
      </c>
      <c r="AG1342" s="8">
        <f t="shared" si="360"/>
        <v>-0.40025122848299483</v>
      </c>
      <c r="AH1342" s="8">
        <f t="shared" si="361"/>
        <v>0.66306916312950492</v>
      </c>
      <c r="AI1342" s="8">
        <f t="shared" si="362"/>
        <v>0.63256481012192844</v>
      </c>
      <c r="AJ1342" s="8"/>
      <c r="AK1342" s="8"/>
      <c r="AL1342" s="8"/>
      <c r="AN1342" s="8">
        <f t="shared" si="371"/>
        <v>1</v>
      </c>
      <c r="AO1342" s="8">
        <f t="shared" si="372"/>
        <v>2.1138837542085263</v>
      </c>
      <c r="AP1342" s="8">
        <f t="shared" si="373"/>
        <v>0.88593603826060885</v>
      </c>
      <c r="AQ1342" s="8"/>
      <c r="AR1342" s="8">
        <f t="shared" si="374"/>
        <v>121.11661749741843</v>
      </c>
      <c r="AS1342" s="8">
        <f t="shared" si="375"/>
        <v>39.239604089126487</v>
      </c>
    </row>
    <row r="1343" spans="1:45">
      <c r="A1343" s="20">
        <v>43.743699999999997</v>
      </c>
      <c r="B1343" s="20">
        <v>528.93853220000005</v>
      </c>
      <c r="C1343" s="20">
        <v>-327.20359509999997</v>
      </c>
      <c r="E1343" s="9">
        <f t="shared" si="364"/>
        <v>-431.06146779999995</v>
      </c>
      <c r="F1343" s="9">
        <f t="shared" si="363"/>
        <v>212.79640490000003</v>
      </c>
      <c r="I1343">
        <v>1</v>
      </c>
      <c r="J1343">
        <f t="shared" si="365"/>
        <v>0.30860144455299088</v>
      </c>
      <c r="K1343">
        <f t="shared" si="366"/>
        <v>2.6830325061439684</v>
      </c>
      <c r="O1343">
        <f t="shared" si="367"/>
        <v>-0.27234870739399353</v>
      </c>
      <c r="P1343">
        <f t="shared" si="368"/>
        <v>0.13444677880485778</v>
      </c>
      <c r="Q1343">
        <f t="shared" si="369"/>
        <v>0.95275927980252106</v>
      </c>
      <c r="R1343">
        <f t="shared" si="370"/>
        <v>1</v>
      </c>
      <c r="AG1343" s="8">
        <f t="shared" si="360"/>
        <v>-0.39996321445947569</v>
      </c>
      <c r="AH1343" s="8">
        <f t="shared" si="361"/>
        <v>0.66339470117671395</v>
      </c>
      <c r="AI1343" s="8">
        <f t="shared" si="362"/>
        <v>0.63240564318315662</v>
      </c>
      <c r="AJ1343" s="8"/>
      <c r="AK1343" s="8"/>
      <c r="AL1343" s="8"/>
      <c r="AN1343" s="8">
        <f t="shared" si="371"/>
        <v>1</v>
      </c>
      <c r="AO1343" s="8">
        <f t="shared" si="372"/>
        <v>2.1133482702786304</v>
      </c>
      <c r="AP1343" s="8">
        <f t="shared" si="373"/>
        <v>0.88614152832834114</v>
      </c>
      <c r="AQ1343" s="8"/>
      <c r="AR1343" s="8">
        <f t="shared" si="374"/>
        <v>121.08593652823831</v>
      </c>
      <c r="AS1343" s="8">
        <f t="shared" si="375"/>
        <v>39.22783037551357</v>
      </c>
    </row>
    <row r="1344" spans="1:45">
      <c r="A1344" s="20">
        <v>43.777066670000004</v>
      </c>
      <c r="B1344" s="20">
        <v>528.26731830000006</v>
      </c>
      <c r="C1344" s="20">
        <v>-327.18887119999999</v>
      </c>
      <c r="E1344" s="9">
        <f t="shared" si="364"/>
        <v>-431.73268169999994</v>
      </c>
      <c r="F1344" s="9">
        <f t="shared" si="363"/>
        <v>212.81112880000001</v>
      </c>
      <c r="I1344">
        <v>1</v>
      </c>
      <c r="J1344">
        <f t="shared" si="365"/>
        <v>0.30897134366309542</v>
      </c>
      <c r="K1344">
        <f t="shared" si="366"/>
        <v>2.6836223575229639</v>
      </c>
      <c r="O1344">
        <f t="shared" si="367"/>
        <v>-0.27274405302846932</v>
      </c>
      <c r="P1344">
        <f t="shared" si="368"/>
        <v>0.13444191801724251</v>
      </c>
      <c r="Q1344">
        <f t="shared" si="369"/>
        <v>0.95264686648172447</v>
      </c>
      <c r="R1344">
        <f t="shared" si="370"/>
        <v>1</v>
      </c>
      <c r="AG1344" s="8">
        <f t="shared" si="360"/>
        <v>-0.39970743306731066</v>
      </c>
      <c r="AH1344" s="8">
        <f t="shared" si="361"/>
        <v>0.66368368240071962</v>
      </c>
      <c r="AI1344" s="8">
        <f t="shared" si="362"/>
        <v>0.63226413599520426</v>
      </c>
      <c r="AJ1344" s="8"/>
      <c r="AK1344" s="8"/>
      <c r="AL1344" s="8"/>
      <c r="AN1344" s="8">
        <f t="shared" si="371"/>
        <v>1</v>
      </c>
      <c r="AO1344" s="8">
        <f t="shared" si="372"/>
        <v>2.1128729479993122</v>
      </c>
      <c r="AP1344" s="8">
        <f t="shared" si="373"/>
        <v>0.88632419009811036</v>
      </c>
      <c r="AQ1344" s="8"/>
      <c r="AR1344" s="8">
        <f t="shared" si="374"/>
        <v>121.05870256772485</v>
      </c>
      <c r="AS1344" s="8">
        <f t="shared" si="375"/>
        <v>39.217364627027408</v>
      </c>
    </row>
    <row r="1345" spans="1:45">
      <c r="A1345" s="20">
        <v>43.810433330000002</v>
      </c>
      <c r="B1345" s="20">
        <v>527.78802150000001</v>
      </c>
      <c r="C1345" s="20">
        <v>-327.21423370000002</v>
      </c>
      <c r="E1345" s="9">
        <f t="shared" si="364"/>
        <v>-432.21197849999999</v>
      </c>
      <c r="F1345" s="9">
        <f t="shared" si="363"/>
        <v>212.78576629999998</v>
      </c>
      <c r="I1345">
        <v>1</v>
      </c>
      <c r="J1345">
        <f t="shared" si="365"/>
        <v>0.30922585952414749</v>
      </c>
      <c r="K1345">
        <f t="shared" si="366"/>
        <v>2.6841094540293828</v>
      </c>
      <c r="O1345">
        <f t="shared" si="367"/>
        <v>-0.27302702848088828</v>
      </c>
      <c r="P1345">
        <f t="shared" si="368"/>
        <v>0.13441613922303117</v>
      </c>
      <c r="Q1345">
        <f t="shared" si="369"/>
        <v>0.95256944273647104</v>
      </c>
      <c r="R1345">
        <f t="shared" si="370"/>
        <v>1</v>
      </c>
      <c r="AG1345" s="8">
        <f t="shared" si="360"/>
        <v>-0.39953980557900087</v>
      </c>
      <c r="AH1345" s="8">
        <f t="shared" si="361"/>
        <v>0.66389581398185604</v>
      </c>
      <c r="AI1345" s="8">
        <f t="shared" si="362"/>
        <v>0.63214736567928764</v>
      </c>
      <c r="AJ1345" s="8"/>
      <c r="AK1345" s="8"/>
      <c r="AL1345" s="8"/>
      <c r="AN1345" s="8">
        <f t="shared" si="371"/>
        <v>1</v>
      </c>
      <c r="AO1345" s="8">
        <f t="shared" si="372"/>
        <v>2.1125463829220226</v>
      </c>
      <c r="AP1345" s="8">
        <f t="shared" si="373"/>
        <v>0.88647490026036424</v>
      </c>
      <c r="AQ1345" s="8"/>
      <c r="AR1345" s="8">
        <f t="shared" si="374"/>
        <v>121.03999176705979</v>
      </c>
      <c r="AS1345" s="8">
        <f t="shared" si="375"/>
        <v>39.208729570800529</v>
      </c>
    </row>
    <row r="1346" spans="1:45">
      <c r="A1346" s="20">
        <v>43.843800000000002</v>
      </c>
      <c r="B1346" s="20">
        <v>527.19708549999996</v>
      </c>
      <c r="C1346" s="20">
        <v>-326.80249350000003</v>
      </c>
      <c r="E1346" s="9">
        <f t="shared" si="364"/>
        <v>-432.80291450000004</v>
      </c>
      <c r="F1346" s="9">
        <f t="shared" si="363"/>
        <v>213.19750649999997</v>
      </c>
      <c r="I1346">
        <v>1</v>
      </c>
      <c r="J1346">
        <f t="shared" si="365"/>
        <v>0.30965854865219505</v>
      </c>
      <c r="K1346">
        <f t="shared" si="366"/>
        <v>2.6838847983240743</v>
      </c>
      <c r="O1346">
        <f t="shared" si="367"/>
        <v>-0.27336653988859222</v>
      </c>
      <c r="P1346">
        <f t="shared" si="368"/>
        <v>0.13465959380636433</v>
      </c>
      <c r="Q1346">
        <f t="shared" si="369"/>
        <v>0.9524376770504428</v>
      </c>
      <c r="R1346">
        <f t="shared" si="370"/>
        <v>1</v>
      </c>
      <c r="AG1346" s="8">
        <f t="shared" si="360"/>
        <v>-0.39914759865377003</v>
      </c>
      <c r="AH1346" s="8">
        <f t="shared" si="361"/>
        <v>0.66408455120406806</v>
      </c>
      <c r="AI1346" s="8">
        <f t="shared" si="362"/>
        <v>0.6321968865322104</v>
      </c>
      <c r="AJ1346" s="8"/>
      <c r="AK1346" s="8"/>
      <c r="AL1346" s="8"/>
      <c r="AN1346" s="8">
        <f t="shared" si="371"/>
        <v>1</v>
      </c>
      <c r="AO1346" s="8">
        <f t="shared" si="372"/>
        <v>2.1119870627133155</v>
      </c>
      <c r="AP1346" s="8">
        <f t="shared" si="373"/>
        <v>0.88641098819982256</v>
      </c>
      <c r="AQ1346" s="8"/>
      <c r="AR1346" s="8">
        <f t="shared" si="374"/>
        <v>121.0079450797045</v>
      </c>
      <c r="AS1346" s="8">
        <f t="shared" si="375"/>
        <v>39.212391462129553</v>
      </c>
    </row>
    <row r="1347" spans="1:45">
      <c r="A1347" s="20">
        <v>43.877166670000001</v>
      </c>
      <c r="B1347" s="20">
        <v>526.62978810000004</v>
      </c>
      <c r="C1347" s="20">
        <v>-326.51509909999999</v>
      </c>
      <c r="E1347" s="9">
        <f t="shared" si="364"/>
        <v>-433.37021189999996</v>
      </c>
      <c r="F1347" s="9">
        <f t="shared" si="363"/>
        <v>213.48490090000001</v>
      </c>
      <c r="I1347">
        <v>1</v>
      </c>
      <c r="J1347">
        <f t="shared" si="365"/>
        <v>0.31004487324465063</v>
      </c>
      <c r="K1347">
        <f t="shared" si="366"/>
        <v>2.6838700447317114</v>
      </c>
      <c r="O1347">
        <f t="shared" si="367"/>
        <v>-0.27369460650048655</v>
      </c>
      <c r="P1347">
        <f t="shared" si="368"/>
        <v>0.13482621634156877</v>
      </c>
      <c r="Q1347">
        <f t="shared" si="369"/>
        <v>0.95231987995607881</v>
      </c>
      <c r="R1347">
        <f t="shared" si="370"/>
        <v>1</v>
      </c>
      <c r="AG1347" s="8">
        <f t="shared" si="360"/>
        <v>-0.39881628026138682</v>
      </c>
      <c r="AH1347" s="8">
        <f t="shared" si="361"/>
        <v>0.664283284579958</v>
      </c>
      <c r="AI1347" s="8">
        <f t="shared" si="362"/>
        <v>0.63219719425677123</v>
      </c>
      <c r="AJ1347" s="8"/>
      <c r="AK1347" s="8"/>
      <c r="AL1347" s="8"/>
      <c r="AN1347" s="8">
        <f t="shared" si="371"/>
        <v>1.0000000000000002</v>
      </c>
      <c r="AO1347" s="8">
        <f t="shared" si="372"/>
        <v>2.1114884220776551</v>
      </c>
      <c r="AP1347" s="8">
        <f t="shared" si="373"/>
        <v>0.88641059103730269</v>
      </c>
      <c r="AQ1347" s="8"/>
      <c r="AR1347" s="8">
        <f t="shared" si="374"/>
        <v>120.97937507578743</v>
      </c>
      <c r="AS1347" s="8">
        <f t="shared" si="375"/>
        <v>39.212414217865721</v>
      </c>
    </row>
    <row r="1348" spans="1:45">
      <c r="A1348" s="20">
        <v>43.91053333</v>
      </c>
      <c r="B1348" s="20">
        <v>525.95238840000002</v>
      </c>
      <c r="C1348" s="20">
        <v>-326.29899549999999</v>
      </c>
      <c r="E1348" s="9">
        <f t="shared" si="364"/>
        <v>-434.04761159999998</v>
      </c>
      <c r="F1348" s="9">
        <f t="shared" si="363"/>
        <v>213.70100450000001</v>
      </c>
      <c r="I1348">
        <v>1</v>
      </c>
      <c r="J1348">
        <f t="shared" si="365"/>
        <v>0.31047196423605788</v>
      </c>
      <c r="K1348">
        <f t="shared" si="366"/>
        <v>2.6840880859813363</v>
      </c>
      <c r="O1348">
        <f t="shared" si="367"/>
        <v>-0.27408887111052782</v>
      </c>
      <c r="P1348">
        <f t="shared" si="368"/>
        <v>0.13494617989643345</v>
      </c>
      <c r="Q1348">
        <f t="shared" si="369"/>
        <v>0.95218948705849293</v>
      </c>
      <c r="R1348">
        <f t="shared" si="370"/>
        <v>1</v>
      </c>
      <c r="AG1348" s="8">
        <f t="shared" si="360"/>
        <v>-0.39847388921131888</v>
      </c>
      <c r="AH1348" s="8">
        <f t="shared" si="361"/>
        <v>0.66454126910040767</v>
      </c>
      <c r="AI1348" s="8">
        <f t="shared" si="362"/>
        <v>0.63214196291594593</v>
      </c>
      <c r="AJ1348" s="8"/>
      <c r="AK1348" s="8"/>
      <c r="AL1348" s="8"/>
      <c r="AN1348" s="8">
        <f t="shared" si="371"/>
        <v>1</v>
      </c>
      <c r="AO1348" s="8">
        <f t="shared" si="372"/>
        <v>2.1109381985412878</v>
      </c>
      <c r="AP1348" s="8">
        <f t="shared" si="373"/>
        <v>0.8864818729139593</v>
      </c>
      <c r="AQ1348" s="8"/>
      <c r="AR1348" s="8">
        <f t="shared" si="374"/>
        <v>120.94784958936482</v>
      </c>
      <c r="AS1348" s="8">
        <f t="shared" si="375"/>
        <v>39.208330067177521</v>
      </c>
    </row>
    <row r="1349" spans="1:45">
      <c r="A1349" s="20">
        <v>43.943899999999999</v>
      </c>
      <c r="B1349" s="20">
        <v>525.18523130000005</v>
      </c>
      <c r="C1349" s="20">
        <v>-326.31298800000002</v>
      </c>
      <c r="E1349" s="9">
        <f t="shared" si="364"/>
        <v>-434.81476869999995</v>
      </c>
      <c r="F1349" s="9">
        <f t="shared" si="363"/>
        <v>213.68701199999998</v>
      </c>
      <c r="I1349">
        <v>1</v>
      </c>
      <c r="J1349">
        <f t="shared" si="365"/>
        <v>0.31088621245142839</v>
      </c>
      <c r="K1349">
        <f t="shared" si="366"/>
        <v>2.6848134227181588</v>
      </c>
      <c r="O1349">
        <f t="shared" si="367"/>
        <v>-0.27454066050106662</v>
      </c>
      <c r="P1349">
        <f t="shared" si="368"/>
        <v>0.13492129899445929</v>
      </c>
      <c r="Q1349">
        <f t="shared" si="369"/>
        <v>0.95206284919079043</v>
      </c>
      <c r="R1349">
        <f t="shared" si="370"/>
        <v>1</v>
      </c>
      <c r="AG1349" s="8">
        <f t="shared" si="360"/>
        <v>-0.39819446428045407</v>
      </c>
      <c r="AH1349" s="8">
        <f t="shared" si="361"/>
        <v>0.6648757086046535</v>
      </c>
      <c r="AI1349" s="8">
        <f t="shared" si="362"/>
        <v>0.63196634461327306</v>
      </c>
      <c r="AJ1349" s="8"/>
      <c r="AK1349" s="8"/>
      <c r="AL1349" s="8"/>
      <c r="AN1349" s="8">
        <f t="shared" si="371"/>
        <v>1.0000000000000002</v>
      </c>
      <c r="AO1349" s="8">
        <f t="shared" si="372"/>
        <v>2.1104070564525212</v>
      </c>
      <c r="AP1349" s="8">
        <f t="shared" si="373"/>
        <v>0.88670849933660967</v>
      </c>
      <c r="AQ1349" s="8"/>
      <c r="AR1349" s="8">
        <f t="shared" si="374"/>
        <v>120.91741738935674</v>
      </c>
      <c r="AS1349" s="8">
        <f t="shared" si="375"/>
        <v>39.195345329633511</v>
      </c>
    </row>
    <row r="1350" spans="1:45">
      <c r="A1350" s="20">
        <v>43.977266669999999</v>
      </c>
      <c r="B1350" s="20">
        <v>524.46576010000001</v>
      </c>
      <c r="C1350" s="20">
        <v>-326.28757539999998</v>
      </c>
      <c r="E1350" s="9">
        <f t="shared" si="364"/>
        <v>-435.53423989999999</v>
      </c>
      <c r="F1350" s="9">
        <f t="shared" si="363"/>
        <v>213.71242460000002</v>
      </c>
      <c r="I1350">
        <v>1</v>
      </c>
      <c r="J1350">
        <f t="shared" si="365"/>
        <v>0.3112850598779317</v>
      </c>
      <c r="K1350">
        <f t="shared" si="366"/>
        <v>2.6854205077066893</v>
      </c>
      <c r="O1350">
        <f t="shared" si="367"/>
        <v>-0.27496339560979743</v>
      </c>
      <c r="P1350">
        <f t="shared" si="368"/>
        <v>0.13492186966864195</v>
      </c>
      <c r="Q1350">
        <f t="shared" si="369"/>
        <v>0.9519407650478301</v>
      </c>
      <c r="R1350">
        <f t="shared" si="370"/>
        <v>1</v>
      </c>
      <c r="AG1350" s="8">
        <f t="shared" si="360"/>
        <v>-0.39791626292142418</v>
      </c>
      <c r="AH1350" s="8">
        <f t="shared" si="361"/>
        <v>0.66518282272504947</v>
      </c>
      <c r="AI1350" s="8">
        <f t="shared" si="362"/>
        <v>0.63181837584402656</v>
      </c>
      <c r="AJ1350" s="8"/>
      <c r="AK1350" s="8"/>
      <c r="AL1350" s="8"/>
      <c r="AN1350" s="8">
        <f t="shared" si="371"/>
        <v>1</v>
      </c>
      <c r="AO1350" s="8">
        <f t="shared" si="372"/>
        <v>2.1098955626497959</v>
      </c>
      <c r="AP1350" s="8">
        <f t="shared" si="373"/>
        <v>0.88689941294816887</v>
      </c>
      <c r="AQ1350" s="8"/>
      <c r="AR1350" s="8">
        <f t="shared" si="374"/>
        <v>120.88811095321348</v>
      </c>
      <c r="AS1350" s="8">
        <f t="shared" si="375"/>
        <v>39.184406785439563</v>
      </c>
    </row>
    <row r="1351" spans="1:45">
      <c r="A1351" s="20">
        <v>44.010633329999997</v>
      </c>
      <c r="B1351" s="20">
        <v>523.95860259999995</v>
      </c>
      <c r="C1351" s="20">
        <v>-326.2944435</v>
      </c>
      <c r="E1351" s="9">
        <f t="shared" si="364"/>
        <v>-436.04139740000005</v>
      </c>
      <c r="F1351" s="9">
        <f t="shared" si="363"/>
        <v>213.7055565</v>
      </c>
      <c r="I1351">
        <v>1</v>
      </c>
      <c r="J1351">
        <f t="shared" si="365"/>
        <v>0.3115595963622545</v>
      </c>
      <c r="K1351">
        <f t="shared" si="366"/>
        <v>2.685893281140832</v>
      </c>
      <c r="O1351">
        <f t="shared" si="367"/>
        <v>-0.27526181536270561</v>
      </c>
      <c r="P1351">
        <f t="shared" si="368"/>
        <v>0.1349068684442466</v>
      </c>
      <c r="Q1351">
        <f t="shared" si="369"/>
        <v>0.95185664353924349</v>
      </c>
      <c r="R1351">
        <f t="shared" si="370"/>
        <v>1</v>
      </c>
      <c r="AG1351" s="8">
        <f t="shared" si="360"/>
        <v>-0.39773052337743819</v>
      </c>
      <c r="AH1351" s="8">
        <f t="shared" si="361"/>
        <v>0.66540325776286635</v>
      </c>
      <c r="AI1351" s="8">
        <f t="shared" si="362"/>
        <v>0.63170320193305463</v>
      </c>
      <c r="AJ1351" s="8"/>
      <c r="AK1351" s="8"/>
      <c r="AL1351" s="8"/>
      <c r="AN1351" s="8">
        <f t="shared" si="371"/>
        <v>1</v>
      </c>
      <c r="AO1351" s="8">
        <f t="shared" si="372"/>
        <v>2.1095439682492056</v>
      </c>
      <c r="AP1351" s="8">
        <f t="shared" si="373"/>
        <v>0.88704799311905125</v>
      </c>
      <c r="AQ1351" s="8"/>
      <c r="AR1351" s="8">
        <f t="shared" si="374"/>
        <v>120.86796607795922</v>
      </c>
      <c r="AS1351" s="8">
        <f t="shared" si="375"/>
        <v>39.175893768728677</v>
      </c>
    </row>
    <row r="1352" spans="1:45">
      <c r="A1352" s="20">
        <v>44.043999999999997</v>
      </c>
      <c r="B1352" s="20">
        <v>523.4541749</v>
      </c>
      <c r="C1352" s="20">
        <v>-326.27617190000001</v>
      </c>
      <c r="E1352" s="9">
        <f t="shared" si="364"/>
        <v>-436.5458251</v>
      </c>
      <c r="F1352" s="9">
        <f t="shared" si="363"/>
        <v>213.72382809999999</v>
      </c>
      <c r="I1352">
        <v>1</v>
      </c>
      <c r="J1352">
        <f t="shared" si="365"/>
        <v>0.31183937212231139</v>
      </c>
      <c r="K1352">
        <f t="shared" si="366"/>
        <v>2.6863162507010241</v>
      </c>
      <c r="O1352">
        <f t="shared" si="367"/>
        <v>-0.27555802177680927</v>
      </c>
      <c r="P1352">
        <f t="shared" si="368"/>
        <v>0.13490752148256624</v>
      </c>
      <c r="Q1352">
        <f t="shared" si="369"/>
        <v>0.95177084284079772</v>
      </c>
      <c r="R1352">
        <f t="shared" si="370"/>
        <v>1</v>
      </c>
      <c r="AG1352" s="8">
        <f t="shared" si="360"/>
        <v>-0.39753527213051593</v>
      </c>
      <c r="AH1352" s="8">
        <f t="shared" si="361"/>
        <v>0.66561828395816347</v>
      </c>
      <c r="AI1352" s="8">
        <f t="shared" si="362"/>
        <v>0.63159956259698791</v>
      </c>
      <c r="AJ1352" s="8"/>
      <c r="AK1352" s="8"/>
      <c r="AL1352" s="8"/>
      <c r="AN1352" s="8">
        <f t="shared" si="371"/>
        <v>1</v>
      </c>
      <c r="AO1352" s="8">
        <f t="shared" si="372"/>
        <v>2.1091855033940474</v>
      </c>
      <c r="AP1352" s="8">
        <f t="shared" si="373"/>
        <v>0.88718167772931689</v>
      </c>
      <c r="AQ1352" s="8"/>
      <c r="AR1352" s="8">
        <f t="shared" si="374"/>
        <v>120.84742755465489</v>
      </c>
      <c r="AS1352" s="8">
        <f t="shared" si="375"/>
        <v>39.168234204774599</v>
      </c>
    </row>
    <row r="1353" spans="1:45">
      <c r="A1353" s="20">
        <v>44.077366670000004</v>
      </c>
      <c r="B1353" s="20">
        <v>522.85147900000004</v>
      </c>
      <c r="C1353" s="20">
        <v>-326.20915639999998</v>
      </c>
      <c r="E1353" s="9">
        <f t="shared" si="364"/>
        <v>-437.14852099999996</v>
      </c>
      <c r="F1353" s="9">
        <f t="shared" si="363"/>
        <v>213.79084360000002</v>
      </c>
      <c r="I1353">
        <v>1</v>
      </c>
      <c r="J1353">
        <f t="shared" si="365"/>
        <v>0.31218569949658337</v>
      </c>
      <c r="K1353">
        <f t="shared" si="366"/>
        <v>2.6867371535869395</v>
      </c>
      <c r="O1353">
        <f t="shared" si="367"/>
        <v>-0.27591087338519465</v>
      </c>
      <c r="P1353">
        <f t="shared" si="368"/>
        <v>0.13493633295269364</v>
      </c>
      <c r="Q1353">
        <f t="shared" si="369"/>
        <v>0.95166452912625621</v>
      </c>
      <c r="R1353">
        <f t="shared" si="370"/>
        <v>1</v>
      </c>
      <c r="AG1353" s="8">
        <f t="shared" si="360"/>
        <v>-0.39728307321580247</v>
      </c>
      <c r="AH1353" s="8">
        <f t="shared" si="361"/>
        <v>0.66586764737665094</v>
      </c>
      <c r="AI1353" s="8">
        <f t="shared" si="362"/>
        <v>0.63149539658915299</v>
      </c>
      <c r="AJ1353" s="8"/>
      <c r="AK1353" s="8"/>
      <c r="AL1353" s="8"/>
      <c r="AN1353" s="8">
        <f t="shared" si="371"/>
        <v>1.0000000000000002</v>
      </c>
      <c r="AO1353" s="8">
        <f t="shared" si="372"/>
        <v>2.1087413547449669</v>
      </c>
      <c r="AP1353" s="8">
        <f t="shared" si="373"/>
        <v>0.88731602702590084</v>
      </c>
      <c r="AQ1353" s="8"/>
      <c r="AR1353" s="8">
        <f t="shared" si="374"/>
        <v>120.82197971158614</v>
      </c>
      <c r="AS1353" s="8">
        <f t="shared" si="375"/>
        <v>39.160536557099789</v>
      </c>
    </row>
    <row r="1354" spans="1:45">
      <c r="A1354" s="20">
        <v>44.110733330000002</v>
      </c>
      <c r="B1354" s="20">
        <v>522.15567510000005</v>
      </c>
      <c r="C1354" s="20">
        <v>-326.12941310000002</v>
      </c>
      <c r="E1354" s="9">
        <f t="shared" si="364"/>
        <v>-437.84432489999995</v>
      </c>
      <c r="F1354" s="9">
        <f t="shared" si="363"/>
        <v>213.87058689999998</v>
      </c>
      <c r="I1354">
        <v>1</v>
      </c>
      <c r="J1354">
        <f t="shared" si="365"/>
        <v>0.31258613538222851</v>
      </c>
      <c r="K1354">
        <f t="shared" si="366"/>
        <v>2.6872174744015385</v>
      </c>
      <c r="O1354">
        <f t="shared" si="367"/>
        <v>-0.27631804659878639</v>
      </c>
      <c r="P1354">
        <f t="shared" si="368"/>
        <v>0.13497103750434844</v>
      </c>
      <c r="Q1354">
        <f t="shared" si="369"/>
        <v>0.95154146318425381</v>
      </c>
      <c r="R1354">
        <f t="shared" si="370"/>
        <v>1</v>
      </c>
      <c r="AG1354" s="8">
        <f t="shared" si="360"/>
        <v>-0.3969909187047812</v>
      </c>
      <c r="AH1354" s="8">
        <f t="shared" si="361"/>
        <v>0.66615496628690973</v>
      </c>
      <c r="AI1354" s="8">
        <f t="shared" si="362"/>
        <v>0.631376093431815</v>
      </c>
      <c r="AJ1354" s="8"/>
      <c r="AK1354" s="8"/>
      <c r="AL1354" s="8"/>
      <c r="AN1354" s="8">
        <f t="shared" si="371"/>
        <v>1</v>
      </c>
      <c r="AO1354" s="8">
        <f t="shared" si="372"/>
        <v>2.108227985556824</v>
      </c>
      <c r="AP1354" s="8">
        <f t="shared" si="373"/>
        <v>0.88746988157624884</v>
      </c>
      <c r="AQ1354" s="8"/>
      <c r="AR1354" s="8">
        <f t="shared" si="374"/>
        <v>120.79256582377349</v>
      </c>
      <c r="AS1354" s="8">
        <f t="shared" si="375"/>
        <v>39.151721340705969</v>
      </c>
    </row>
    <row r="1355" spans="1:45">
      <c r="A1355" s="20">
        <v>44.144100000000002</v>
      </c>
      <c r="B1355" s="20">
        <v>521.62929510000004</v>
      </c>
      <c r="C1355" s="20">
        <v>-325.82515430000001</v>
      </c>
      <c r="E1355" s="9">
        <f t="shared" si="364"/>
        <v>-438.37070489999996</v>
      </c>
      <c r="F1355" s="9">
        <f t="shared" si="363"/>
        <v>214.17484569999999</v>
      </c>
      <c r="I1355">
        <v>1</v>
      </c>
      <c r="J1355">
        <f t="shared" si="365"/>
        <v>0.31295395031703371</v>
      </c>
      <c r="K1355">
        <f t="shared" si="366"/>
        <v>2.6871306549467273</v>
      </c>
      <c r="O1355">
        <f t="shared" si="367"/>
        <v>-0.27662077487171227</v>
      </c>
      <c r="P1355">
        <f t="shared" si="368"/>
        <v>0.13514865640731694</v>
      </c>
      <c r="Q1355">
        <f t="shared" si="369"/>
        <v>0.95142828819657788</v>
      </c>
      <c r="R1355">
        <f t="shared" si="370"/>
        <v>1</v>
      </c>
      <c r="AG1355" s="8">
        <f t="shared" si="360"/>
        <v>-0.39666786812831034</v>
      </c>
      <c r="AH1355" s="8">
        <f t="shared" si="361"/>
        <v>0.6663321105569826</v>
      </c>
      <c r="AI1355" s="8">
        <f t="shared" si="362"/>
        <v>0.631392208405535</v>
      </c>
      <c r="AJ1355" s="8"/>
      <c r="AK1355" s="8"/>
      <c r="AL1355" s="8"/>
      <c r="AN1355" s="8">
        <f t="shared" si="371"/>
        <v>1</v>
      </c>
      <c r="AO1355" s="8">
        <f t="shared" si="372"/>
        <v>2.1077531797060729</v>
      </c>
      <c r="AP1355" s="8">
        <f t="shared" si="373"/>
        <v>0.88744910067014271</v>
      </c>
      <c r="AQ1355" s="8"/>
      <c r="AR1355" s="8">
        <f t="shared" si="374"/>
        <v>120.76536145243733</v>
      </c>
      <c r="AS1355" s="8">
        <f t="shared" si="375"/>
        <v>39.152911998920302</v>
      </c>
    </row>
    <row r="1356" spans="1:45">
      <c r="A1356" s="20">
        <v>44.177466670000001</v>
      </c>
      <c r="B1356" s="20">
        <v>520.97038090000001</v>
      </c>
      <c r="C1356" s="20">
        <v>-325.5401908</v>
      </c>
      <c r="E1356" s="9">
        <f t="shared" si="364"/>
        <v>-439.02961909999999</v>
      </c>
      <c r="F1356" s="9">
        <f t="shared" si="363"/>
        <v>214.4598092</v>
      </c>
      <c r="I1356">
        <v>1</v>
      </c>
      <c r="J1356">
        <f t="shared" si="365"/>
        <v>0.31338873946127505</v>
      </c>
      <c r="K1356">
        <f t="shared" si="366"/>
        <v>2.687198624335303</v>
      </c>
      <c r="O1356">
        <f t="shared" si="367"/>
        <v>-0.27700162839852976</v>
      </c>
      <c r="P1356">
        <f t="shared" si="368"/>
        <v>0.13531140904847902</v>
      </c>
      <c r="Q1356">
        <f t="shared" si="369"/>
        <v>0.95129433954264542</v>
      </c>
      <c r="R1356">
        <f t="shared" si="370"/>
        <v>1</v>
      </c>
      <c r="AG1356" s="8">
        <f t="shared" si="360"/>
        <v>-0.39630361726654884</v>
      </c>
      <c r="AH1356" s="8">
        <f t="shared" si="361"/>
        <v>0.66656944380693217</v>
      </c>
      <c r="AI1356" s="8">
        <f t="shared" si="362"/>
        <v>0.63137042971964252</v>
      </c>
      <c r="AJ1356" s="8"/>
      <c r="AK1356" s="8"/>
      <c r="AL1356" s="8"/>
      <c r="AN1356" s="8">
        <f t="shared" si="371"/>
        <v>1.0000000000000002</v>
      </c>
      <c r="AO1356" s="8">
        <f t="shared" si="372"/>
        <v>2.1071930229527807</v>
      </c>
      <c r="AP1356" s="8">
        <f t="shared" si="373"/>
        <v>0.88747718507716034</v>
      </c>
      <c r="AQ1356" s="8"/>
      <c r="AR1356" s="8">
        <f t="shared" si="374"/>
        <v>120.73326683460795</v>
      </c>
      <c r="AS1356" s="8">
        <f t="shared" si="375"/>
        <v>39.151302880928071</v>
      </c>
    </row>
    <row r="1357" spans="1:45">
      <c r="A1357" s="20">
        <v>44.21083333</v>
      </c>
      <c r="B1357" s="20">
        <v>520.32636409999998</v>
      </c>
      <c r="C1357" s="20">
        <v>-325.54310900000002</v>
      </c>
      <c r="E1357" s="9">
        <f t="shared" si="364"/>
        <v>-439.67363590000002</v>
      </c>
      <c r="F1357" s="9">
        <f t="shared" si="363"/>
        <v>214.45689099999998</v>
      </c>
      <c r="I1357">
        <v>1</v>
      </c>
      <c r="J1357">
        <f t="shared" si="365"/>
        <v>0.31373877060827371</v>
      </c>
      <c r="K1357">
        <f t="shared" si="366"/>
        <v>2.687781820873774</v>
      </c>
      <c r="O1357">
        <f t="shared" si="367"/>
        <v>-0.27737975659222697</v>
      </c>
      <c r="P1357">
        <f t="shared" si="368"/>
        <v>0.13529580890912302</v>
      </c>
      <c r="Q1357">
        <f t="shared" si="369"/>
        <v>0.95118637223441282</v>
      </c>
      <c r="R1357">
        <f t="shared" si="370"/>
        <v>1</v>
      </c>
      <c r="AG1357" s="8">
        <f t="shared" si="360"/>
        <v>-0.39606532056489485</v>
      </c>
      <c r="AH1357" s="8">
        <f t="shared" si="361"/>
        <v>0.66684751690587729</v>
      </c>
      <c r="AI1357" s="8">
        <f t="shared" si="362"/>
        <v>0.63122630731164309</v>
      </c>
      <c r="AJ1357" s="8"/>
      <c r="AK1357" s="8"/>
      <c r="AL1357" s="8"/>
      <c r="AN1357" s="8">
        <f t="shared" si="371"/>
        <v>1</v>
      </c>
      <c r="AO1357" s="8">
        <f t="shared" si="372"/>
        <v>2.1067457087022272</v>
      </c>
      <c r="AP1357" s="8">
        <f t="shared" si="373"/>
        <v>0.88766301997830876</v>
      </c>
      <c r="AQ1357" s="8"/>
      <c r="AR1357" s="8">
        <f t="shared" si="374"/>
        <v>120.70763761593517</v>
      </c>
      <c r="AS1357" s="8">
        <f t="shared" si="375"/>
        <v>39.14065532540603</v>
      </c>
    </row>
    <row r="1358" spans="1:45">
      <c r="A1358" s="20">
        <v>44.244199999999999</v>
      </c>
      <c r="B1358" s="20">
        <v>519.75322979999999</v>
      </c>
      <c r="C1358" s="20">
        <v>-325.50434560000002</v>
      </c>
      <c r="E1358" s="9">
        <f t="shared" si="364"/>
        <v>-440.24677020000001</v>
      </c>
      <c r="F1358" s="9">
        <f t="shared" si="363"/>
        <v>214.49565439999998</v>
      </c>
      <c r="I1358">
        <v>1</v>
      </c>
      <c r="J1358">
        <f t="shared" si="365"/>
        <v>0.3140612740748423</v>
      </c>
      <c r="K1358">
        <f t="shared" si="366"/>
        <v>2.6882237442004313</v>
      </c>
      <c r="O1358">
        <f t="shared" si="367"/>
        <v>-0.27771527632985477</v>
      </c>
      <c r="P1358">
        <f t="shared" si="368"/>
        <v>0.135307568312625</v>
      </c>
      <c r="Q1358">
        <f t="shared" si="369"/>
        <v>0.95108679270104302</v>
      </c>
      <c r="R1358">
        <f t="shared" si="370"/>
        <v>1</v>
      </c>
      <c r="AG1358" s="8">
        <f t="shared" si="360"/>
        <v>-0.39583594920839316</v>
      </c>
      <c r="AH1358" s="8">
        <f t="shared" si="361"/>
        <v>0.66708804707198122</v>
      </c>
      <c r="AI1358" s="8">
        <f t="shared" si="362"/>
        <v>0.63111602639132913</v>
      </c>
      <c r="AJ1358" s="8"/>
      <c r="AK1358" s="8"/>
      <c r="AL1358" s="8"/>
      <c r="AN1358" s="8">
        <f t="shared" si="371"/>
        <v>1.0000000000000002</v>
      </c>
      <c r="AO1358" s="8">
        <f t="shared" si="372"/>
        <v>2.1063331224079751</v>
      </c>
      <c r="AP1358" s="8">
        <f t="shared" si="373"/>
        <v>0.88780519987110862</v>
      </c>
      <c r="AQ1358" s="8"/>
      <c r="AR1358" s="8">
        <f t="shared" si="374"/>
        <v>120.68399816258957</v>
      </c>
      <c r="AS1358" s="8">
        <f t="shared" si="375"/>
        <v>39.132509017616975</v>
      </c>
    </row>
    <row r="1359" spans="1:45">
      <c r="A1359" s="20">
        <v>44.277566669999999</v>
      </c>
      <c r="B1359" s="20">
        <v>519.14918450000005</v>
      </c>
      <c r="C1359" s="20">
        <v>-325.41724570000002</v>
      </c>
      <c r="E1359" s="9">
        <f t="shared" si="364"/>
        <v>-440.85081549999995</v>
      </c>
      <c r="F1359" s="9">
        <f t="shared" si="363"/>
        <v>214.58275429999998</v>
      </c>
      <c r="I1359">
        <v>1</v>
      </c>
      <c r="J1359">
        <f t="shared" si="365"/>
        <v>0.31441342527275318</v>
      </c>
      <c r="K1359">
        <f t="shared" si="366"/>
        <v>2.6886036515587821</v>
      </c>
      <c r="O1359">
        <f t="shared" si="367"/>
        <v>-0.27806779007476884</v>
      </c>
      <c r="P1359">
        <f t="shared" si="368"/>
        <v>0.13534862628910832</v>
      </c>
      <c r="Q1359">
        <f t="shared" si="369"/>
        <v>0.95097794584553097</v>
      </c>
      <c r="R1359">
        <f t="shared" si="370"/>
        <v>1</v>
      </c>
      <c r="AG1359" s="8">
        <f t="shared" si="360"/>
        <v>-0.3955748700294342</v>
      </c>
      <c r="AH1359" s="8">
        <f t="shared" si="361"/>
        <v>0.66733380480402227</v>
      </c>
      <c r="AI1359" s="8">
        <f t="shared" si="362"/>
        <v>0.63101990076936842</v>
      </c>
      <c r="AJ1359" s="8"/>
      <c r="AK1359" s="8"/>
      <c r="AL1359" s="8"/>
      <c r="AN1359" s="8">
        <f t="shared" si="371"/>
        <v>1.0000000000000002</v>
      </c>
      <c r="AO1359" s="8">
        <f t="shared" si="372"/>
        <v>2.1058820362401645</v>
      </c>
      <c r="AP1359" s="8">
        <f t="shared" si="373"/>
        <v>0.88792911660277862</v>
      </c>
      <c r="AQ1359" s="8"/>
      <c r="AR1359" s="8">
        <f t="shared" si="374"/>
        <v>120.65815282897731</v>
      </c>
      <c r="AS1359" s="8">
        <f t="shared" si="375"/>
        <v>39.125409111881233</v>
      </c>
    </row>
    <row r="1360" spans="1:45">
      <c r="A1360" s="20">
        <v>44.310933329999997</v>
      </c>
      <c r="B1360" s="20">
        <v>518.62219600000003</v>
      </c>
      <c r="C1360" s="20">
        <v>-325.31370570000001</v>
      </c>
      <c r="E1360" s="9">
        <f t="shared" si="364"/>
        <v>-441.37780399999997</v>
      </c>
      <c r="F1360" s="9">
        <f t="shared" si="363"/>
        <v>214.68629429999999</v>
      </c>
      <c r="I1360">
        <v>1</v>
      </c>
      <c r="J1360">
        <f t="shared" si="365"/>
        <v>0.31472792483629086</v>
      </c>
      <c r="K1360">
        <f t="shared" si="366"/>
        <v>2.6888838801943176</v>
      </c>
      <c r="O1360">
        <f t="shared" si="367"/>
        <v>-0.27837464824019842</v>
      </c>
      <c r="P1360">
        <f t="shared" si="368"/>
        <v>0.13540151116831925</v>
      </c>
      <c r="Q1360">
        <f t="shared" si="369"/>
        <v>0.95088063708884163</v>
      </c>
      <c r="R1360">
        <f t="shared" si="370"/>
        <v>1</v>
      </c>
      <c r="AG1360" s="8">
        <f t="shared" si="360"/>
        <v>-0.39533558105479799</v>
      </c>
      <c r="AH1360" s="8">
        <f t="shared" si="361"/>
        <v>0.66754356176567387</v>
      </c>
      <c r="AI1360" s="8">
        <f t="shared" si="362"/>
        <v>0.63094799428896131</v>
      </c>
      <c r="AJ1360" s="8"/>
      <c r="AK1360" s="8"/>
      <c r="AL1360" s="8"/>
      <c r="AN1360" s="8">
        <f t="shared" si="371"/>
        <v>0.99999999999999989</v>
      </c>
      <c r="AO1360" s="8">
        <f t="shared" si="372"/>
        <v>2.1054788519253762</v>
      </c>
      <c r="AP1360" s="8">
        <f t="shared" si="373"/>
        <v>0.88802180397288211</v>
      </c>
      <c r="AQ1360" s="8"/>
      <c r="AR1360" s="8">
        <f t="shared" si="374"/>
        <v>120.63505206937405</v>
      </c>
      <c r="AS1360" s="8">
        <f t="shared" si="375"/>
        <v>39.120098516760137</v>
      </c>
    </row>
    <row r="1361" spans="1:45">
      <c r="A1361" s="20">
        <v>44.344299999999997</v>
      </c>
      <c r="B1361" s="20">
        <v>517.86930540000003</v>
      </c>
      <c r="C1361" s="20">
        <v>-325.31371890000003</v>
      </c>
      <c r="E1361" s="9">
        <f t="shared" si="364"/>
        <v>-442.13069459999997</v>
      </c>
      <c r="F1361" s="9">
        <f t="shared" si="363"/>
        <v>214.68628109999997</v>
      </c>
      <c r="I1361">
        <v>1</v>
      </c>
      <c r="J1361">
        <f t="shared" si="365"/>
        <v>0.31513803304504334</v>
      </c>
      <c r="K1361">
        <f t="shared" si="366"/>
        <v>2.6895539315430441</v>
      </c>
      <c r="O1361">
        <f t="shared" si="367"/>
        <v>-0.27881608365442984</v>
      </c>
      <c r="P1361">
        <f t="shared" si="368"/>
        <v>0.13538528051030285</v>
      </c>
      <c r="Q1361">
        <f t="shared" si="369"/>
        <v>0.95075360494544148</v>
      </c>
      <c r="R1361">
        <f t="shared" si="370"/>
        <v>1</v>
      </c>
      <c r="AG1361" s="8">
        <f t="shared" si="360"/>
        <v>-0.39505555495003558</v>
      </c>
      <c r="AH1361" s="8">
        <f t="shared" si="361"/>
        <v>0.66786738020401959</v>
      </c>
      <c r="AI1361" s="8">
        <f t="shared" si="362"/>
        <v>0.63078068372655405</v>
      </c>
      <c r="AJ1361" s="8"/>
      <c r="AK1361" s="8"/>
      <c r="AL1361" s="8"/>
      <c r="AN1361" s="8">
        <f t="shared" si="371"/>
        <v>1</v>
      </c>
      <c r="AO1361" s="8">
        <f t="shared" si="372"/>
        <v>2.1049556936729843</v>
      </c>
      <c r="AP1361" s="8">
        <f t="shared" si="373"/>
        <v>0.88823744005963334</v>
      </c>
      <c r="AQ1361" s="8"/>
      <c r="AR1361" s="8">
        <f t="shared" si="374"/>
        <v>120.60507730949456</v>
      </c>
      <c r="AS1361" s="8">
        <f t="shared" si="375"/>
        <v>39.107743479078572</v>
      </c>
    </row>
    <row r="1362" spans="1:45">
      <c r="A1362" s="20">
        <v>44.377666670000004</v>
      </c>
      <c r="B1362" s="20">
        <v>517.07566480000003</v>
      </c>
      <c r="C1362" s="20">
        <v>-325.30152220000002</v>
      </c>
      <c r="E1362" s="9">
        <f t="shared" si="364"/>
        <v>-442.92433519999997</v>
      </c>
      <c r="F1362" s="9">
        <f t="shared" si="363"/>
        <v>214.69847779999998</v>
      </c>
      <c r="I1362">
        <v>1</v>
      </c>
      <c r="J1362">
        <f t="shared" si="365"/>
        <v>0.31557359422777614</v>
      </c>
      <c r="K1362">
        <f t="shared" si="366"/>
        <v>2.6902359295730736</v>
      </c>
      <c r="O1362">
        <f t="shared" si="367"/>
        <v>-0.2792809654885568</v>
      </c>
      <c r="P1362">
        <f t="shared" si="368"/>
        <v>0.13537571409760615</v>
      </c>
      <c r="Q1362">
        <f t="shared" si="369"/>
        <v>0.95061851357331706</v>
      </c>
      <c r="R1362">
        <f t="shared" si="370"/>
        <v>1</v>
      </c>
      <c r="AG1362" s="8">
        <f t="shared" si="360"/>
        <v>-0.39475525662403804</v>
      </c>
      <c r="AH1362" s="8">
        <f t="shared" si="361"/>
        <v>0.66820647727744742</v>
      </c>
      <c r="AI1362" s="8">
        <f t="shared" si="362"/>
        <v>0.63060953932854047</v>
      </c>
      <c r="AJ1362" s="8"/>
      <c r="AK1362" s="8"/>
      <c r="AL1362" s="8"/>
      <c r="AN1362" s="8">
        <f t="shared" si="371"/>
        <v>1</v>
      </c>
      <c r="AO1362" s="8">
        <f t="shared" si="372"/>
        <v>2.104400216233953</v>
      </c>
      <c r="AP1362" s="8">
        <f t="shared" si="373"/>
        <v>0.8884579782354215</v>
      </c>
      <c r="AQ1362" s="8"/>
      <c r="AR1362" s="8">
        <f t="shared" si="374"/>
        <v>120.57325079662334</v>
      </c>
      <c r="AS1362" s="8">
        <f t="shared" si="375"/>
        <v>39.0951075723844</v>
      </c>
    </row>
    <row r="1363" spans="1:45">
      <c r="A1363" s="20">
        <v>44.411033330000002</v>
      </c>
      <c r="B1363" s="20">
        <v>516.67277579999995</v>
      </c>
      <c r="C1363" s="20">
        <v>-325.03317429999998</v>
      </c>
      <c r="E1363" s="9">
        <f t="shared" si="364"/>
        <v>-443.32722420000005</v>
      </c>
      <c r="F1363" s="9">
        <f t="shared" si="363"/>
        <v>214.96682570000002</v>
      </c>
      <c r="I1363">
        <v>1</v>
      </c>
      <c r="J1363">
        <f t="shared" si="365"/>
        <v>0.31586391374421147</v>
      </c>
      <c r="K1363">
        <f t="shared" si="366"/>
        <v>2.6901025012711828</v>
      </c>
      <c r="O1363">
        <f t="shared" si="367"/>
        <v>-0.27951121730928657</v>
      </c>
      <c r="P1363">
        <f t="shared" si="368"/>
        <v>0.13553338449030947</v>
      </c>
      <c r="Q1363">
        <f t="shared" si="369"/>
        <v>0.95052836942770036</v>
      </c>
      <c r="R1363">
        <f t="shared" si="370"/>
        <v>1</v>
      </c>
      <c r="AG1363" s="8">
        <f t="shared" si="360"/>
        <v>-0.39449327114045174</v>
      </c>
      <c r="AH1363" s="8">
        <f t="shared" si="361"/>
        <v>0.66833538905587031</v>
      </c>
      <c r="AI1363" s="8">
        <f t="shared" si="362"/>
        <v>0.63063687393019185</v>
      </c>
      <c r="AJ1363" s="8"/>
      <c r="AK1363" s="8"/>
      <c r="AL1363" s="8"/>
      <c r="AN1363" s="8">
        <f t="shared" si="371"/>
        <v>1.0000000000000002</v>
      </c>
      <c r="AO1363" s="8">
        <f t="shared" si="372"/>
        <v>2.1040250815609292</v>
      </c>
      <c r="AP1363" s="8">
        <f t="shared" si="373"/>
        <v>0.88842275727968667</v>
      </c>
      <c r="AQ1363" s="8"/>
      <c r="AR1363" s="8">
        <f t="shared" si="374"/>
        <v>120.55175716311005</v>
      </c>
      <c r="AS1363" s="8">
        <f t="shared" si="375"/>
        <v>39.097125584498421</v>
      </c>
    </row>
    <row r="1364" spans="1:45">
      <c r="A1364" s="20">
        <v>44.444400000000002</v>
      </c>
      <c r="B1364" s="20">
        <v>512.75</v>
      </c>
      <c r="C1364" s="20">
        <v>-315.75</v>
      </c>
      <c r="E1364" s="9">
        <f t="shared" si="364"/>
        <v>-447.25</v>
      </c>
      <c r="F1364" s="9">
        <f t="shared" si="363"/>
        <v>224.25</v>
      </c>
      <c r="I1364">
        <v>1</v>
      </c>
      <c r="J1364">
        <f t="shared" si="365"/>
        <v>0.32047205459028749</v>
      </c>
      <c r="K1364">
        <f t="shared" si="366"/>
        <v>2.6768277266181864</v>
      </c>
      <c r="O1364">
        <f t="shared" si="367"/>
        <v>-0.28160005627211637</v>
      </c>
      <c r="P1364">
        <f t="shared" si="368"/>
        <v>0.14119354414538196</v>
      </c>
      <c r="Q1364">
        <f t="shared" si="369"/>
        <v>0.9490868197373763</v>
      </c>
      <c r="R1364">
        <f t="shared" si="370"/>
        <v>1</v>
      </c>
      <c r="AG1364" s="8">
        <f t="shared" si="360"/>
        <v>-0.38915510932145092</v>
      </c>
      <c r="AH1364" s="8">
        <f t="shared" si="361"/>
        <v>0.66847928226631437</v>
      </c>
      <c r="AI1364" s="8">
        <f t="shared" si="362"/>
        <v>0.63379314454301472</v>
      </c>
      <c r="AJ1364" s="8"/>
      <c r="AK1364" s="8"/>
      <c r="AL1364" s="8"/>
      <c r="AN1364" s="8">
        <f t="shared" si="371"/>
        <v>0.99999999999999989</v>
      </c>
      <c r="AO1364" s="8">
        <f t="shared" si="372"/>
        <v>2.0979873017978186</v>
      </c>
      <c r="AP1364" s="8">
        <f t="shared" si="373"/>
        <v>0.88434905348667214</v>
      </c>
      <c r="AQ1364" s="8"/>
      <c r="AR1364" s="8">
        <f t="shared" si="374"/>
        <v>120.20581786505431</v>
      </c>
      <c r="AS1364" s="8">
        <f t="shared" si="375"/>
        <v>39.330531618824587</v>
      </c>
    </row>
    <row r="1365" spans="1:45">
      <c r="A1365" s="20">
        <v>44.477766670000001</v>
      </c>
      <c r="B1365" s="20">
        <v>512.03613419999999</v>
      </c>
      <c r="C1365" s="20">
        <v>-315.7157866</v>
      </c>
      <c r="E1365" s="9">
        <f t="shared" si="364"/>
        <v>-447.96386580000001</v>
      </c>
      <c r="F1365" s="9">
        <f t="shared" si="363"/>
        <v>224.2842134</v>
      </c>
      <c r="I1365">
        <v>1</v>
      </c>
      <c r="J1365">
        <f t="shared" si="365"/>
        <v>0.32086645983111117</v>
      </c>
      <c r="K1365">
        <f t="shared" si="366"/>
        <v>2.6774053601622998</v>
      </c>
      <c r="O1365">
        <f t="shared" si="367"/>
        <v>-0.2820162613980528</v>
      </c>
      <c r="P1365">
        <f t="shared" si="368"/>
        <v>0.14119843179920852</v>
      </c>
      <c r="Q1365">
        <f t="shared" si="369"/>
        <v>0.94896250250708503</v>
      </c>
      <c r="R1365">
        <f t="shared" si="370"/>
        <v>1</v>
      </c>
      <c r="AG1365" s="8">
        <f t="shared" si="360"/>
        <v>-0.38887594780571122</v>
      </c>
      <c r="AH1365" s="8">
        <f t="shared" si="361"/>
        <v>0.6687789542517556</v>
      </c>
      <c r="AI1365" s="8">
        <f t="shared" si="362"/>
        <v>0.63364833114917773</v>
      </c>
      <c r="AJ1365" s="8"/>
      <c r="AK1365" s="8"/>
      <c r="AL1365" s="8"/>
      <c r="AN1365" s="8">
        <f t="shared" si="371"/>
        <v>1</v>
      </c>
      <c r="AO1365" s="8">
        <f t="shared" si="372"/>
        <v>2.0974805611674299</v>
      </c>
      <c r="AP1365" s="8">
        <f t="shared" si="373"/>
        <v>0.8845362568544517</v>
      </c>
      <c r="AQ1365" s="8"/>
      <c r="AR1365" s="8">
        <f t="shared" si="374"/>
        <v>120.17678376562525</v>
      </c>
      <c r="AS1365" s="8">
        <f t="shared" si="375"/>
        <v>39.319805655940186</v>
      </c>
    </row>
    <row r="1366" spans="1:45">
      <c r="A1366" s="20">
        <v>44.51113333</v>
      </c>
      <c r="B1366" s="20">
        <v>511.60114019999997</v>
      </c>
      <c r="C1366" s="20">
        <v>-315.65111039999999</v>
      </c>
      <c r="E1366" s="9">
        <f t="shared" si="364"/>
        <v>-448.39885980000003</v>
      </c>
      <c r="F1366" s="9">
        <f t="shared" si="363"/>
        <v>224.34888960000001</v>
      </c>
      <c r="I1366">
        <v>1</v>
      </c>
      <c r="J1366">
        <f t="shared" si="365"/>
        <v>0.32111862222178678</v>
      </c>
      <c r="K1366">
        <f t="shared" si="366"/>
        <v>2.677678425227644</v>
      </c>
      <c r="O1366">
        <f t="shared" si="367"/>
        <v>-0.28226879958861006</v>
      </c>
      <c r="P1366">
        <f t="shared" si="368"/>
        <v>0.14122848524787793</v>
      </c>
      <c r="Q1366">
        <f t="shared" si="369"/>
        <v>0.94888294311437327</v>
      </c>
      <c r="R1366">
        <f t="shared" si="370"/>
        <v>1</v>
      </c>
      <c r="AG1366" s="8">
        <f t="shared" si="360"/>
        <v>-0.38868751194122575</v>
      </c>
      <c r="AH1366" s="8">
        <f t="shared" si="361"/>
        <v>0.66895415310956619</v>
      </c>
      <c r="AI1366" s="8">
        <f t="shared" si="362"/>
        <v>0.63357900777914256</v>
      </c>
      <c r="AJ1366" s="8"/>
      <c r="AK1366" s="8"/>
      <c r="AL1366" s="8"/>
      <c r="AN1366" s="8">
        <f t="shared" si="371"/>
        <v>1.0000000000000002</v>
      </c>
      <c r="AO1366" s="8">
        <f t="shared" si="372"/>
        <v>2.0971561808346246</v>
      </c>
      <c r="AP1366" s="8">
        <f t="shared" si="373"/>
        <v>0.88462586249669295</v>
      </c>
      <c r="AQ1366" s="8"/>
      <c r="AR1366" s="8">
        <f t="shared" si="374"/>
        <v>120.15819814159845</v>
      </c>
      <c r="AS1366" s="8">
        <f t="shared" si="375"/>
        <v>39.314671630819198</v>
      </c>
    </row>
    <row r="1367" spans="1:45">
      <c r="A1367" s="20">
        <v>44.544499999999999</v>
      </c>
      <c r="B1367" s="20">
        <v>510.7950768</v>
      </c>
      <c r="C1367" s="20">
        <v>-315.6478123</v>
      </c>
      <c r="E1367" s="9">
        <f t="shared" si="364"/>
        <v>-449.2049232</v>
      </c>
      <c r="F1367" s="9">
        <f t="shared" si="363"/>
        <v>224.3521877</v>
      </c>
      <c r="I1367">
        <v>1</v>
      </c>
      <c r="J1367">
        <f t="shared" si="365"/>
        <v>0.32155442860086675</v>
      </c>
      <c r="K1367">
        <f t="shared" si="366"/>
        <v>2.6783908628048114</v>
      </c>
      <c r="O1367">
        <f t="shared" si="367"/>
        <v>-0.28273927180544511</v>
      </c>
      <c r="P1367">
        <f t="shared" si="368"/>
        <v>0.1412121081095413</v>
      </c>
      <c r="Q1367">
        <f t="shared" si="369"/>
        <v>0.94874530022666559</v>
      </c>
      <c r="R1367">
        <f t="shared" si="370"/>
        <v>1</v>
      </c>
      <c r="AG1367" s="8">
        <f t="shared" si="360"/>
        <v>-0.38838706454552141</v>
      </c>
      <c r="AH1367" s="8">
        <f t="shared" si="361"/>
        <v>0.6692980444220995</v>
      </c>
      <c r="AI1367" s="8">
        <f t="shared" si="362"/>
        <v>0.63340004406888573</v>
      </c>
      <c r="AJ1367" s="8"/>
      <c r="AK1367" s="8"/>
      <c r="AL1367" s="8"/>
      <c r="AN1367" s="8">
        <f t="shared" si="371"/>
        <v>1.0000000000000002</v>
      </c>
      <c r="AO1367" s="8">
        <f t="shared" si="372"/>
        <v>2.0965972083292534</v>
      </c>
      <c r="AP1367" s="8">
        <f t="shared" si="373"/>
        <v>0.88485715609126936</v>
      </c>
      <c r="AQ1367" s="8"/>
      <c r="AR1367" s="8">
        <f t="shared" si="374"/>
        <v>120.12617137617683</v>
      </c>
      <c r="AS1367" s="8">
        <f t="shared" si="375"/>
        <v>39.301419484021565</v>
      </c>
    </row>
    <row r="1368" spans="1:45">
      <c r="A1368" s="20">
        <v>44.577866669999999</v>
      </c>
      <c r="B1368" s="20">
        <v>510.1787405</v>
      </c>
      <c r="C1368" s="20">
        <v>-315.62406809999999</v>
      </c>
      <c r="E1368" s="9">
        <f t="shared" si="364"/>
        <v>-449.8212595</v>
      </c>
      <c r="F1368" s="9">
        <f t="shared" si="363"/>
        <v>224.37593190000001</v>
      </c>
      <c r="I1368">
        <v>1</v>
      </c>
      <c r="J1368">
        <f t="shared" si="365"/>
        <v>0.32189339136888256</v>
      </c>
      <c r="K1368">
        <f t="shared" si="366"/>
        <v>2.6788964483461783</v>
      </c>
      <c r="O1368">
        <f t="shared" si="367"/>
        <v>-0.28309838915742158</v>
      </c>
      <c r="P1368">
        <f t="shared" si="368"/>
        <v>0.14121267846964744</v>
      </c>
      <c r="Q1368">
        <f t="shared" si="369"/>
        <v>0.94863811935632292</v>
      </c>
      <c r="R1368">
        <f t="shared" si="370"/>
        <v>1</v>
      </c>
      <c r="AG1368" s="8">
        <f t="shared" si="360"/>
        <v>-0.38814845674953791</v>
      </c>
      <c r="AH1368" s="8">
        <f t="shared" si="361"/>
        <v>0.6695572821948752</v>
      </c>
      <c r="AI1368" s="8">
        <f t="shared" si="362"/>
        <v>0.63327231218707525</v>
      </c>
      <c r="AJ1368" s="8"/>
      <c r="AK1368" s="8"/>
      <c r="AL1368" s="8"/>
      <c r="AN1368" s="8">
        <f t="shared" si="371"/>
        <v>1.0000000000000002</v>
      </c>
      <c r="AO1368" s="8">
        <f t="shared" si="372"/>
        <v>2.096162426664899</v>
      </c>
      <c r="AP1368" s="8">
        <f t="shared" si="373"/>
        <v>0.88502221063737296</v>
      </c>
      <c r="AQ1368" s="8"/>
      <c r="AR1368" s="8">
        <f t="shared" si="374"/>
        <v>120.10126022179965</v>
      </c>
      <c r="AS1368" s="8">
        <f t="shared" si="375"/>
        <v>39.29196255514038</v>
      </c>
    </row>
    <row r="1369" spans="1:45">
      <c r="A1369" s="20">
        <v>44.611233329999997</v>
      </c>
      <c r="B1369" s="20">
        <v>509.73201510000001</v>
      </c>
      <c r="C1369" s="20">
        <v>-315.50652539999999</v>
      </c>
      <c r="E1369" s="9">
        <f t="shared" si="364"/>
        <v>-450.26798489999999</v>
      </c>
      <c r="F1369" s="9">
        <f t="shared" si="363"/>
        <v>224.49347460000001</v>
      </c>
      <c r="I1369">
        <v>1</v>
      </c>
      <c r="J1369">
        <f t="shared" si="365"/>
        <v>0.32216606298975281</v>
      </c>
      <c r="K1369">
        <f t="shared" si="366"/>
        <v>2.6790837126947222</v>
      </c>
      <c r="O1369">
        <f t="shared" si="367"/>
        <v>-0.28335630786011679</v>
      </c>
      <c r="P1369">
        <f t="shared" si="368"/>
        <v>0.1412750722560753</v>
      </c>
      <c r="Q1369">
        <f t="shared" si="369"/>
        <v>0.94855182080628753</v>
      </c>
      <c r="R1369">
        <f t="shared" si="370"/>
        <v>1</v>
      </c>
      <c r="AG1369" s="8">
        <f t="shared" si="360"/>
        <v>-0.38793357521273725</v>
      </c>
      <c r="AH1369" s="8">
        <f t="shared" si="361"/>
        <v>0.6697283525411476</v>
      </c>
      <c r="AI1369" s="8">
        <f t="shared" si="362"/>
        <v>0.6332230847222674</v>
      </c>
      <c r="AJ1369" s="8"/>
      <c r="AK1369" s="8"/>
      <c r="AL1369" s="8"/>
      <c r="AN1369" s="8">
        <f t="shared" si="371"/>
        <v>1</v>
      </c>
      <c r="AO1369" s="8">
        <f t="shared" si="372"/>
        <v>2.0958113797151112</v>
      </c>
      <c r="AP1369" s="8">
        <f t="shared" si="373"/>
        <v>0.88508581618837912</v>
      </c>
      <c r="AQ1369" s="8"/>
      <c r="AR1369" s="8">
        <f t="shared" si="374"/>
        <v>120.08114671316586</v>
      </c>
      <c r="AS1369" s="8">
        <f t="shared" si="375"/>
        <v>39.288318225514118</v>
      </c>
    </row>
    <row r="1370" spans="1:45">
      <c r="A1370" s="20">
        <v>44.644599999999997</v>
      </c>
      <c r="B1370" s="20">
        <v>509.1102783</v>
      </c>
      <c r="C1370" s="20">
        <v>-315.35170429999999</v>
      </c>
      <c r="E1370" s="9">
        <f t="shared" si="364"/>
        <v>-450.8897217</v>
      </c>
      <c r="F1370" s="9">
        <f t="shared" si="363"/>
        <v>224.64829570000001</v>
      </c>
      <c r="I1370">
        <v>1</v>
      </c>
      <c r="J1370">
        <f t="shared" si="365"/>
        <v>0.32254313937936785</v>
      </c>
      <c r="K1370">
        <f t="shared" si="366"/>
        <v>2.6793593645515137</v>
      </c>
      <c r="O1370">
        <f t="shared" si="367"/>
        <v>-0.2837153611702749</v>
      </c>
      <c r="P1370">
        <f t="shared" si="368"/>
        <v>0.14135645432436625</v>
      </c>
      <c r="Q1370">
        <f t="shared" si="369"/>
        <v>0.94843236272117148</v>
      </c>
      <c r="R1370">
        <f t="shared" si="370"/>
        <v>1</v>
      </c>
      <c r="AG1370" s="8">
        <f t="shared" si="360"/>
        <v>-0.38763818770764102</v>
      </c>
      <c r="AH1370" s="8">
        <f t="shared" si="361"/>
        <v>0.66996777011534658</v>
      </c>
      <c r="AI1370" s="8">
        <f t="shared" si="362"/>
        <v>0.6331507106822245</v>
      </c>
      <c r="AJ1370" s="8"/>
      <c r="AK1370" s="8"/>
      <c r="AL1370" s="8"/>
      <c r="AN1370" s="8">
        <f t="shared" si="371"/>
        <v>1.0000000000000002</v>
      </c>
      <c r="AO1370" s="8">
        <f t="shared" si="372"/>
        <v>2.0953261185545875</v>
      </c>
      <c r="AP1370" s="8">
        <f t="shared" si="373"/>
        <v>0.88517932282873379</v>
      </c>
      <c r="AQ1370" s="8"/>
      <c r="AR1370" s="8">
        <f t="shared" si="374"/>
        <v>120.05334329670623</v>
      </c>
      <c r="AS1370" s="8">
        <f t="shared" si="375"/>
        <v>39.282960689665352</v>
      </c>
    </row>
    <row r="1371" spans="1:45">
      <c r="A1371" s="20">
        <v>44.677966670000004</v>
      </c>
      <c r="B1371" s="20">
        <v>508.69364430000002</v>
      </c>
      <c r="C1371" s="20">
        <v>-315.23371400000002</v>
      </c>
      <c r="E1371" s="9">
        <f t="shared" si="364"/>
        <v>-451.30635569999998</v>
      </c>
      <c r="F1371" s="9">
        <f t="shared" si="363"/>
        <v>224.76628599999998</v>
      </c>
      <c r="I1371">
        <v>1</v>
      </c>
      <c r="J1371">
        <f t="shared" si="365"/>
        <v>0.32279961200252355</v>
      </c>
      <c r="K1371">
        <f t="shared" si="366"/>
        <v>2.6795184127645788</v>
      </c>
      <c r="O1371">
        <f t="shared" si="367"/>
        <v>-0.2839555682994177</v>
      </c>
      <c r="P1371">
        <f t="shared" si="368"/>
        <v>0.14141976435648834</v>
      </c>
      <c r="Q1371">
        <f t="shared" si="369"/>
        <v>0.94835103494492479</v>
      </c>
      <c r="R1371">
        <f t="shared" si="370"/>
        <v>1</v>
      </c>
      <c r="AG1371" s="8">
        <f t="shared" si="360"/>
        <v>-0.38743430029880027</v>
      </c>
      <c r="AH1371" s="8">
        <f t="shared" si="361"/>
        <v>0.6701257425093079</v>
      </c>
      <c r="AI1371" s="8">
        <f t="shared" si="362"/>
        <v>0.63310832578503318</v>
      </c>
      <c r="AJ1371" s="8"/>
      <c r="AK1371" s="8"/>
      <c r="AL1371" s="8"/>
      <c r="AN1371" s="8">
        <f t="shared" si="371"/>
        <v>0.99999999999999989</v>
      </c>
      <c r="AO1371" s="8">
        <f t="shared" si="372"/>
        <v>2.0949959255889858</v>
      </c>
      <c r="AP1371" s="8">
        <f t="shared" si="373"/>
        <v>0.88523408043251228</v>
      </c>
      <c r="AQ1371" s="8"/>
      <c r="AR1371" s="8">
        <f t="shared" si="374"/>
        <v>120.03442463335236</v>
      </c>
      <c r="AS1371" s="8">
        <f t="shared" si="375"/>
        <v>39.279823310072594</v>
      </c>
    </row>
    <row r="1372" spans="1:45">
      <c r="A1372" s="20">
        <v>44.711333330000002</v>
      </c>
      <c r="B1372" s="20">
        <v>507.86975580000001</v>
      </c>
      <c r="C1372" s="20">
        <v>-315.32062350000001</v>
      </c>
      <c r="E1372" s="9">
        <f t="shared" si="364"/>
        <v>-452.13024419999999</v>
      </c>
      <c r="F1372" s="9">
        <f t="shared" si="363"/>
        <v>224.67937649999999</v>
      </c>
      <c r="I1372">
        <v>1</v>
      </c>
      <c r="J1372">
        <f t="shared" si="365"/>
        <v>0.32322077499504731</v>
      </c>
      <c r="K1372">
        <f t="shared" si="366"/>
        <v>2.6803999899040258</v>
      </c>
      <c r="O1372">
        <f t="shared" si="367"/>
        <v>-0.28443778608302833</v>
      </c>
      <c r="P1372">
        <f t="shared" si="368"/>
        <v>0.141347112364166</v>
      </c>
      <c r="Q1372">
        <f t="shared" si="369"/>
        <v>0.9482173483302746</v>
      </c>
      <c r="R1372">
        <f t="shared" si="370"/>
        <v>1</v>
      </c>
      <c r="AG1372" s="8">
        <f t="shared" si="360"/>
        <v>-0.38716492443662187</v>
      </c>
      <c r="AH1372" s="8">
        <f t="shared" si="361"/>
        <v>0.67049136421878019</v>
      </c>
      <c r="AI1372" s="8">
        <f t="shared" si="362"/>
        <v>0.63288597060925911</v>
      </c>
      <c r="AJ1372" s="8"/>
      <c r="AK1372" s="8"/>
      <c r="AL1372" s="8"/>
      <c r="AN1372" s="8">
        <f t="shared" si="371"/>
        <v>1</v>
      </c>
      <c r="AO1372" s="8">
        <f t="shared" si="372"/>
        <v>2.0944583613175523</v>
      </c>
      <c r="AP1372" s="8">
        <f t="shared" si="373"/>
        <v>0.88552130382987349</v>
      </c>
      <c r="AQ1372" s="8"/>
      <c r="AR1372" s="8">
        <f t="shared" si="374"/>
        <v>120.00362446938219</v>
      </c>
      <c r="AS1372" s="8">
        <f t="shared" si="375"/>
        <v>39.263366621626389</v>
      </c>
    </row>
    <row r="1373" spans="1:45">
      <c r="A1373" s="20">
        <v>44.744700000000002</v>
      </c>
      <c r="B1373" s="20">
        <v>507.49288680000001</v>
      </c>
      <c r="C1373" s="20">
        <v>-314.89021880000001</v>
      </c>
      <c r="E1373" s="9">
        <f t="shared" si="364"/>
        <v>-452.50711319999999</v>
      </c>
      <c r="F1373" s="9">
        <f t="shared" si="363"/>
        <v>225.10978119999999</v>
      </c>
      <c r="I1373">
        <v>1</v>
      </c>
      <c r="J1373">
        <f t="shared" si="365"/>
        <v>0.32353950956726657</v>
      </c>
      <c r="K1373">
        <f t="shared" si="366"/>
        <v>2.6799692009297287</v>
      </c>
      <c r="O1373">
        <f t="shared" si="367"/>
        <v>-0.28464744991587748</v>
      </c>
      <c r="P1373">
        <f t="shared" si="368"/>
        <v>0.14160423847609291</v>
      </c>
      <c r="Q1373">
        <f t="shared" si="369"/>
        <v>0.94811606299123197</v>
      </c>
      <c r="R1373">
        <f t="shared" si="370"/>
        <v>1</v>
      </c>
      <c r="AG1373" s="8">
        <f t="shared" si="360"/>
        <v>-0.38684528848114175</v>
      </c>
      <c r="AH1373" s="8">
        <f t="shared" si="361"/>
        <v>0.67058005252726949</v>
      </c>
      <c r="AI1373" s="8">
        <f t="shared" si="362"/>
        <v>0.63298745321883487</v>
      </c>
      <c r="AJ1373" s="8"/>
      <c r="AK1373" s="8"/>
      <c r="AL1373" s="8"/>
      <c r="AN1373" s="8">
        <f t="shared" si="371"/>
        <v>0.99999999999999989</v>
      </c>
      <c r="AO1373" s="8">
        <f t="shared" si="372"/>
        <v>2.0940435234062731</v>
      </c>
      <c r="AP1373" s="8">
        <f t="shared" si="373"/>
        <v>0.88539022381696442</v>
      </c>
      <c r="AQ1373" s="8"/>
      <c r="AR1373" s="8">
        <f t="shared" si="374"/>
        <v>119.97985600788387</v>
      </c>
      <c r="AS1373" s="8">
        <f t="shared" si="375"/>
        <v>39.270876953144601</v>
      </c>
    </row>
    <row r="1374" spans="1:45">
      <c r="A1374" s="20">
        <v>44.778066670000001</v>
      </c>
      <c r="B1374" s="20">
        <v>506.74740409999998</v>
      </c>
      <c r="C1374" s="20">
        <v>-314.74957239999998</v>
      </c>
      <c r="E1374" s="9">
        <f t="shared" si="364"/>
        <v>-453.25259590000002</v>
      </c>
      <c r="F1374" s="9">
        <f t="shared" si="363"/>
        <v>225.25042760000002</v>
      </c>
      <c r="I1374">
        <v>1</v>
      </c>
      <c r="J1374">
        <f t="shared" si="365"/>
        <v>0.32397926352954676</v>
      </c>
      <c r="K1374">
        <f t="shared" si="366"/>
        <v>2.6803764310388489</v>
      </c>
      <c r="O1374">
        <f t="shared" si="367"/>
        <v>-0.28507843703600549</v>
      </c>
      <c r="P1374">
        <f t="shared" si="368"/>
        <v>0.14167384902538391</v>
      </c>
      <c r="Q1374">
        <f t="shared" si="369"/>
        <v>0.94797616280128105</v>
      </c>
      <c r="R1374">
        <f t="shared" si="370"/>
        <v>1</v>
      </c>
      <c r="AG1374" s="8">
        <f t="shared" si="360"/>
        <v>-0.3865099630820833</v>
      </c>
      <c r="AH1374" s="8">
        <f t="shared" si="361"/>
        <v>0.67087393536606599</v>
      </c>
      <c r="AI1374" s="8">
        <f t="shared" si="362"/>
        <v>0.63288088238209095</v>
      </c>
      <c r="AJ1374" s="8"/>
      <c r="AK1374" s="8"/>
      <c r="AL1374" s="8"/>
      <c r="AN1374" s="8">
        <f t="shared" si="371"/>
        <v>1</v>
      </c>
      <c r="AO1374" s="8">
        <f t="shared" si="372"/>
        <v>2.0934787036960119</v>
      </c>
      <c r="AP1374" s="8">
        <f t="shared" si="373"/>
        <v>0.88552787566873814</v>
      </c>
      <c r="AQ1374" s="8"/>
      <c r="AR1374" s="8">
        <f t="shared" si="374"/>
        <v>119.94749422230009</v>
      </c>
      <c r="AS1374" s="8">
        <f t="shared" si="375"/>
        <v>39.262990082995806</v>
      </c>
    </row>
    <row r="1375" spans="1:45">
      <c r="A1375" s="20">
        <v>44.81143333</v>
      </c>
      <c r="B1375" s="20">
        <v>506.0428829</v>
      </c>
      <c r="C1375" s="20">
        <v>-314.6846367</v>
      </c>
      <c r="E1375" s="9">
        <f t="shared" si="364"/>
        <v>-453.9571171</v>
      </c>
      <c r="F1375" s="9">
        <f t="shared" si="363"/>
        <v>225.3153633</v>
      </c>
      <c r="I1375">
        <v>1</v>
      </c>
      <c r="J1375">
        <f t="shared" si="365"/>
        <v>0.32437658889488913</v>
      </c>
      <c r="K1375">
        <f t="shared" si="366"/>
        <v>2.6808803552743812</v>
      </c>
      <c r="O1375">
        <f t="shared" si="367"/>
        <v>-0.2854871546443738</v>
      </c>
      <c r="P1375">
        <f t="shared" si="368"/>
        <v>0.14169761755714613</v>
      </c>
      <c r="Q1375">
        <f t="shared" si="369"/>
        <v>0.94784960289683517</v>
      </c>
      <c r="R1375">
        <f t="shared" si="370"/>
        <v>1</v>
      </c>
      <c r="AG1375" s="8">
        <f t="shared" si="360"/>
        <v>-0.38622146599844653</v>
      </c>
      <c r="AH1375" s="8">
        <f t="shared" si="361"/>
        <v>0.67116282007491768</v>
      </c>
      <c r="AI1375" s="8">
        <f t="shared" si="362"/>
        <v>0.63275069984243759</v>
      </c>
      <c r="AJ1375" s="8"/>
      <c r="AK1375" s="8"/>
      <c r="AL1375" s="8"/>
      <c r="AN1375" s="8">
        <f t="shared" si="371"/>
        <v>1</v>
      </c>
      <c r="AO1375" s="8">
        <f t="shared" si="372"/>
        <v>2.0929696469439238</v>
      </c>
      <c r="AP1375" s="8">
        <f t="shared" si="373"/>
        <v>0.88569600448197938</v>
      </c>
      <c r="AQ1375" s="8"/>
      <c r="AR1375" s="8">
        <f t="shared" si="374"/>
        <v>119.91832741887282</v>
      </c>
      <c r="AS1375" s="8">
        <f t="shared" si="375"/>
        <v>39.253357011582537</v>
      </c>
    </row>
    <row r="1376" spans="1:45">
      <c r="A1376" s="20">
        <v>44.844799999999999</v>
      </c>
      <c r="B1376" s="20">
        <v>505.66123700000003</v>
      </c>
      <c r="C1376" s="20">
        <v>-314.5680749</v>
      </c>
      <c r="E1376" s="9">
        <f t="shared" si="364"/>
        <v>-454.33876299999997</v>
      </c>
      <c r="F1376" s="9">
        <f t="shared" si="363"/>
        <v>225.4319251</v>
      </c>
      <c r="I1376">
        <v>1</v>
      </c>
      <c r="J1376">
        <f t="shared" si="365"/>
        <v>0.32461358593786122</v>
      </c>
      <c r="K1376">
        <f t="shared" si="366"/>
        <v>2.6810090362719858</v>
      </c>
      <c r="O1376">
        <f t="shared" si="367"/>
        <v>-0.28570660685502824</v>
      </c>
      <c r="P1376">
        <f t="shared" si="368"/>
        <v>0.14176072050695324</v>
      </c>
      <c r="Q1376">
        <f t="shared" si="369"/>
        <v>0.94777404106713947</v>
      </c>
      <c r="R1376">
        <f t="shared" si="370"/>
        <v>1</v>
      </c>
      <c r="AG1376" s="8">
        <f t="shared" ref="AG1376:AG1439" si="376">$O1376*$Z$27+$P1376*$Z$31+$Q1376*$Z$35</f>
        <v>-0.38603119985350554</v>
      </c>
      <c r="AH1376" s="8">
        <f t="shared" ref="AH1376:AH1439" si="377">$O1376*$AA$27+$P1376*$AA$31+$Q1376*$AA$35</f>
        <v>0.6713056370518099</v>
      </c>
      <c r="AI1376" s="8">
        <f t="shared" ref="AI1376:AI1439" si="378">$AB$27*$O1376+$P1376*$AB$31+$AB$35*$Q1376</f>
        <v>0.6327153028038176</v>
      </c>
      <c r="AJ1376" s="8"/>
      <c r="AK1376" s="8"/>
      <c r="AL1376" s="8"/>
      <c r="AN1376" s="8">
        <f t="shared" si="371"/>
        <v>1</v>
      </c>
      <c r="AO1376" s="8">
        <f t="shared" si="372"/>
        <v>2.0926647042804891</v>
      </c>
      <c r="AP1376" s="8">
        <f t="shared" si="373"/>
        <v>0.88574171523664513</v>
      </c>
      <c r="AQ1376" s="8"/>
      <c r="AR1376" s="8">
        <f t="shared" si="374"/>
        <v>119.90085549126452</v>
      </c>
      <c r="AS1376" s="8">
        <f t="shared" si="375"/>
        <v>39.250737978261832</v>
      </c>
    </row>
    <row r="1377" spans="1:45">
      <c r="A1377" s="20">
        <v>44.878166669999999</v>
      </c>
      <c r="B1377" s="20">
        <v>504.91163970000002</v>
      </c>
      <c r="C1377" s="20">
        <v>-314.60940790000001</v>
      </c>
      <c r="E1377" s="9">
        <f t="shared" si="364"/>
        <v>-455.08836029999998</v>
      </c>
      <c r="F1377" s="9">
        <f t="shared" ref="F1377:F1440" si="379">(($C$15/2)+C1377)</f>
        <v>225.39059209999999</v>
      </c>
      <c r="I1377">
        <v>1</v>
      </c>
      <c r="J1377">
        <f t="shared" si="365"/>
        <v>0.32500676460579053</v>
      </c>
      <c r="K1377">
        <f t="shared" si="366"/>
        <v>2.6817379993497821</v>
      </c>
      <c r="O1377">
        <f t="shared" si="367"/>
        <v>-0.28614378027436682</v>
      </c>
      <c r="P1377">
        <f t="shared" si="368"/>
        <v>0.14171778864934395</v>
      </c>
      <c r="Q1377">
        <f t="shared" si="369"/>
        <v>0.94764856639507178</v>
      </c>
      <c r="R1377">
        <f t="shared" si="370"/>
        <v>1</v>
      </c>
      <c r="AG1377" s="8">
        <f t="shared" si="376"/>
        <v>-0.38577035754482764</v>
      </c>
      <c r="AH1377" s="8">
        <f t="shared" si="377"/>
        <v>0.67163112154152738</v>
      </c>
      <c r="AI1377" s="8">
        <f t="shared" si="378"/>
        <v>0.63252894622823874</v>
      </c>
      <c r="AJ1377" s="8"/>
      <c r="AK1377" s="8"/>
      <c r="AL1377" s="8"/>
      <c r="AN1377" s="8">
        <f t="shared" si="371"/>
        <v>1.0000000000000002</v>
      </c>
      <c r="AO1377" s="8">
        <f t="shared" si="372"/>
        <v>2.0921632746461967</v>
      </c>
      <c r="AP1377" s="8">
        <f t="shared" si="373"/>
        <v>0.88598234280736077</v>
      </c>
      <c r="AQ1377" s="8"/>
      <c r="AR1377" s="8">
        <f t="shared" si="374"/>
        <v>119.87212568949678</v>
      </c>
      <c r="AS1377" s="8">
        <f t="shared" si="375"/>
        <v>39.236951034025338</v>
      </c>
    </row>
    <row r="1378" spans="1:45">
      <c r="A1378" s="20">
        <v>44.911533329999997</v>
      </c>
      <c r="B1378" s="20">
        <v>504.42816160000001</v>
      </c>
      <c r="C1378" s="20">
        <v>-314.52178259999999</v>
      </c>
      <c r="E1378" s="9">
        <f t="shared" si="364"/>
        <v>-455.57183839999999</v>
      </c>
      <c r="F1378" s="9">
        <f t="shared" si="379"/>
        <v>225.47821740000001</v>
      </c>
      <c r="I1378">
        <v>1</v>
      </c>
      <c r="J1378">
        <f t="shared" si="365"/>
        <v>0.32529088842956444</v>
      </c>
      <c r="K1378">
        <f t="shared" si="366"/>
        <v>2.6820056545916744</v>
      </c>
      <c r="O1378">
        <f t="shared" si="367"/>
        <v>-0.28642300104313784</v>
      </c>
      <c r="P1378">
        <f t="shared" si="368"/>
        <v>0.14176062314207594</v>
      </c>
      <c r="Q1378">
        <f t="shared" si="369"/>
        <v>0.94755780309161775</v>
      </c>
      <c r="R1378">
        <f t="shared" si="370"/>
        <v>1</v>
      </c>
      <c r="AG1378" s="8">
        <f t="shared" si="376"/>
        <v>-0.38555440224033377</v>
      </c>
      <c r="AH1378" s="8">
        <f t="shared" si="377"/>
        <v>0.67182184795236655</v>
      </c>
      <c r="AI1378" s="8">
        <f t="shared" si="378"/>
        <v>0.63245806780130998</v>
      </c>
      <c r="AJ1378" s="8"/>
      <c r="AK1378" s="8"/>
      <c r="AL1378" s="8"/>
      <c r="AN1378" s="8">
        <f t="shared" si="371"/>
        <v>1.0000000000000002</v>
      </c>
      <c r="AO1378" s="8">
        <f t="shared" si="372"/>
        <v>2.0917988806309449</v>
      </c>
      <c r="AP1378" s="8">
        <f t="shared" si="373"/>
        <v>0.88607385012629969</v>
      </c>
      <c r="AQ1378" s="8"/>
      <c r="AR1378" s="8">
        <f t="shared" si="374"/>
        <v>119.85124745034302</v>
      </c>
      <c r="AS1378" s="8">
        <f t="shared" si="375"/>
        <v>39.23170805085558</v>
      </c>
    </row>
    <row r="1379" spans="1:45">
      <c r="A1379" s="20">
        <v>44.944899999999997</v>
      </c>
      <c r="B1379" s="20">
        <v>503.68089639999999</v>
      </c>
      <c r="C1379" s="20">
        <v>-314.576324</v>
      </c>
      <c r="E1379" s="9">
        <f t="shared" si="364"/>
        <v>-456.31910360000001</v>
      </c>
      <c r="F1379" s="9">
        <f t="shared" si="379"/>
        <v>225.423676</v>
      </c>
      <c r="I1379">
        <v>1</v>
      </c>
      <c r="J1379">
        <f t="shared" si="365"/>
        <v>0.32567934065547988</v>
      </c>
      <c r="K1379">
        <f t="shared" si="366"/>
        <v>2.6827529636651652</v>
      </c>
      <c r="O1379">
        <f t="shared" si="367"/>
        <v>-0.28685884765402248</v>
      </c>
      <c r="P1379">
        <f t="shared" si="368"/>
        <v>0.14170955241877742</v>
      </c>
      <c r="Q1379">
        <f t="shared" si="369"/>
        <v>0.94743358831945368</v>
      </c>
      <c r="R1379">
        <f t="shared" si="370"/>
        <v>1</v>
      </c>
      <c r="AG1379" s="8">
        <f t="shared" si="376"/>
        <v>-0.38529992321730916</v>
      </c>
      <c r="AH1379" s="8">
        <f t="shared" si="377"/>
        <v>0.67214818836241741</v>
      </c>
      <c r="AI1379" s="8">
        <f t="shared" si="378"/>
        <v>0.63226638535498303</v>
      </c>
      <c r="AJ1379" s="8"/>
      <c r="AK1379" s="8"/>
      <c r="AL1379" s="8"/>
      <c r="AN1379" s="8">
        <f t="shared" si="371"/>
        <v>1</v>
      </c>
      <c r="AO1379" s="8">
        <f t="shared" si="372"/>
        <v>2.0913043336171708</v>
      </c>
      <c r="AP1379" s="8">
        <f t="shared" si="373"/>
        <v>0.8863212867692789</v>
      </c>
      <c r="AQ1379" s="8"/>
      <c r="AR1379" s="8">
        <f t="shared" si="374"/>
        <v>119.82291199368298</v>
      </c>
      <c r="AS1379" s="8">
        <f t="shared" si="375"/>
        <v>39.217530975515984</v>
      </c>
    </row>
    <row r="1380" spans="1:45">
      <c r="A1380" s="20">
        <v>44.978266669999996</v>
      </c>
      <c r="B1380" s="20">
        <v>502.82213410000003</v>
      </c>
      <c r="C1380" s="20">
        <v>-314.59915699999999</v>
      </c>
      <c r="E1380" s="9">
        <f t="shared" si="364"/>
        <v>-457.17786589999997</v>
      </c>
      <c r="F1380" s="9">
        <f t="shared" si="379"/>
        <v>225.40084300000001</v>
      </c>
      <c r="I1380">
        <v>1</v>
      </c>
      <c r="J1380">
        <f t="shared" si="365"/>
        <v>0.32613643892628241</v>
      </c>
      <c r="K1380">
        <f t="shared" si="366"/>
        <v>2.6835393210552771</v>
      </c>
      <c r="O1380">
        <f t="shared" si="367"/>
        <v>-0.28735859052818963</v>
      </c>
      <c r="P1380">
        <f t="shared" si="368"/>
        <v>0.14167542521079379</v>
      </c>
      <c r="Q1380">
        <f t="shared" si="369"/>
        <v>0.9472872396168931</v>
      </c>
      <c r="R1380">
        <f t="shared" si="370"/>
        <v>1</v>
      </c>
      <c r="AG1380" s="8">
        <f t="shared" si="376"/>
        <v>-0.38499082655221861</v>
      </c>
      <c r="AH1380" s="8">
        <f t="shared" si="377"/>
        <v>0.67251629540261137</v>
      </c>
      <c r="AI1380" s="8">
        <f t="shared" si="378"/>
        <v>0.63206320561205509</v>
      </c>
      <c r="AJ1380" s="8"/>
      <c r="AK1380" s="8"/>
      <c r="AL1380" s="8"/>
      <c r="AN1380" s="8">
        <f t="shared" si="371"/>
        <v>1</v>
      </c>
      <c r="AO1380" s="8">
        <f t="shared" si="372"/>
        <v>2.0907220397525279</v>
      </c>
      <c r="AP1380" s="8">
        <f t="shared" si="373"/>
        <v>0.88658351036063276</v>
      </c>
      <c r="AQ1380" s="8"/>
      <c r="AR1380" s="8">
        <f t="shared" si="374"/>
        <v>119.78954901280258</v>
      </c>
      <c r="AS1380" s="8">
        <f t="shared" si="375"/>
        <v>39.202506670442645</v>
      </c>
    </row>
    <row r="1381" spans="1:45">
      <c r="A1381" s="20">
        <v>45.011633330000002</v>
      </c>
      <c r="B1381" s="20">
        <v>502.50793069999997</v>
      </c>
      <c r="C1381" s="20">
        <v>-314.19708580000002</v>
      </c>
      <c r="E1381" s="9">
        <f t="shared" si="364"/>
        <v>-457.49206930000003</v>
      </c>
      <c r="F1381" s="9">
        <f t="shared" si="379"/>
        <v>225.80291419999998</v>
      </c>
      <c r="I1381">
        <v>1</v>
      </c>
      <c r="J1381">
        <f t="shared" si="365"/>
        <v>0.32641283963092993</v>
      </c>
      <c r="K1381">
        <f t="shared" si="366"/>
        <v>2.6831048056931581</v>
      </c>
      <c r="O1381">
        <f t="shared" si="367"/>
        <v>-0.28753178197664908</v>
      </c>
      <c r="P1381">
        <f t="shared" si="368"/>
        <v>0.14191615254618009</v>
      </c>
      <c r="Q1381">
        <f t="shared" si="369"/>
        <v>0.94719864864759074</v>
      </c>
      <c r="R1381">
        <f t="shared" si="370"/>
        <v>1</v>
      </c>
      <c r="AG1381" s="8">
        <f t="shared" si="376"/>
        <v>-0.38470648006031088</v>
      </c>
      <c r="AH1381" s="8">
        <f t="shared" si="377"/>
        <v>0.67258233270167356</v>
      </c>
      <c r="AI1381" s="8">
        <f t="shared" si="378"/>
        <v>0.6321660619941416</v>
      </c>
      <c r="AJ1381" s="8"/>
      <c r="AK1381" s="8"/>
      <c r="AL1381" s="8"/>
      <c r="AN1381" s="8">
        <f t="shared" si="371"/>
        <v>1</v>
      </c>
      <c r="AO1381" s="8">
        <f t="shared" si="372"/>
        <v>2.0903612133157754</v>
      </c>
      <c r="AP1381" s="8">
        <f t="shared" si="373"/>
        <v>0.88645077101896042</v>
      </c>
      <c r="AQ1381" s="8"/>
      <c r="AR1381" s="8">
        <f t="shared" si="374"/>
        <v>119.76887518083991</v>
      </c>
      <c r="AS1381" s="8">
        <f t="shared" si="375"/>
        <v>39.210112074495818</v>
      </c>
    </row>
    <row r="1382" spans="1:45">
      <c r="A1382" s="20">
        <v>45.045000000000002</v>
      </c>
      <c r="B1382" s="20">
        <v>501.74582759999998</v>
      </c>
      <c r="C1382" s="20">
        <v>-313.82892099999998</v>
      </c>
      <c r="E1382" s="9">
        <f t="shared" si="364"/>
        <v>-458.25417240000002</v>
      </c>
      <c r="F1382" s="9">
        <f t="shared" si="379"/>
        <v>226.17107900000002</v>
      </c>
      <c r="I1382">
        <v>1</v>
      </c>
      <c r="J1382">
        <f t="shared" si="365"/>
        <v>0.32692163075892949</v>
      </c>
      <c r="K1382">
        <f t="shared" si="366"/>
        <v>2.6831188155749879</v>
      </c>
      <c r="O1382">
        <f t="shared" si="367"/>
        <v>-0.28796589019818053</v>
      </c>
      <c r="P1382">
        <f t="shared" si="368"/>
        <v>0.14212539682992326</v>
      </c>
      <c r="Q1382">
        <f t="shared" si="369"/>
        <v>0.94703538353025984</v>
      </c>
      <c r="R1382">
        <f t="shared" si="370"/>
        <v>1</v>
      </c>
      <c r="AG1382" s="8">
        <f t="shared" si="376"/>
        <v>-0.38427014156424166</v>
      </c>
      <c r="AH1382" s="8">
        <f t="shared" si="377"/>
        <v>0.67284373997294289</v>
      </c>
      <c r="AI1382" s="8">
        <f t="shared" si="378"/>
        <v>0.63215327245963115</v>
      </c>
      <c r="AJ1382" s="8"/>
      <c r="AK1382" s="8"/>
      <c r="AL1382" s="8"/>
      <c r="AN1382" s="8">
        <f t="shared" si="371"/>
        <v>1</v>
      </c>
      <c r="AO1382" s="8">
        <f t="shared" si="372"/>
        <v>2.0897048914876124</v>
      </c>
      <c r="AP1382" s="8">
        <f t="shared" si="373"/>
        <v>0.88646727709129158</v>
      </c>
      <c r="AQ1382" s="8"/>
      <c r="AR1382" s="8">
        <f t="shared" si="374"/>
        <v>119.73127071008386</v>
      </c>
      <c r="AS1382" s="8">
        <f t="shared" si="375"/>
        <v>39.209166346214907</v>
      </c>
    </row>
    <row r="1383" spans="1:45">
      <c r="A1383" s="20">
        <v>45.078366670000001</v>
      </c>
      <c r="B1383" s="20">
        <v>501.22055069999999</v>
      </c>
      <c r="C1383" s="20">
        <v>-313.7805108</v>
      </c>
      <c r="E1383" s="9">
        <f t="shared" si="364"/>
        <v>-458.77944930000001</v>
      </c>
      <c r="F1383" s="9">
        <f t="shared" si="379"/>
        <v>226.2194892</v>
      </c>
      <c r="I1383">
        <v>1</v>
      </c>
      <c r="J1383">
        <f t="shared" si="365"/>
        <v>0.32721762229955947</v>
      </c>
      <c r="K1383">
        <f t="shared" si="366"/>
        <v>2.6834884313339753</v>
      </c>
      <c r="O1383">
        <f t="shared" si="367"/>
        <v>-0.28826980163524896</v>
      </c>
      <c r="P1383">
        <f t="shared" si="368"/>
        <v>0.14214291284670974</v>
      </c>
      <c r="Q1383">
        <f t="shared" si="369"/>
        <v>0.94694029051077289</v>
      </c>
      <c r="R1383">
        <f t="shared" si="370"/>
        <v>1</v>
      </c>
      <c r="AG1383" s="8">
        <f t="shared" si="376"/>
        <v>-0.38405508672166855</v>
      </c>
      <c r="AH1383" s="8">
        <f t="shared" si="377"/>
        <v>0.67305810670476462</v>
      </c>
      <c r="AI1383" s="8">
        <f t="shared" si="378"/>
        <v>0.63205575336532571</v>
      </c>
      <c r="AJ1383" s="8"/>
      <c r="AK1383" s="8"/>
      <c r="AL1383" s="8"/>
      <c r="AN1383" s="8">
        <f t="shared" si="371"/>
        <v>1</v>
      </c>
      <c r="AO1383" s="8">
        <f t="shared" si="372"/>
        <v>2.0893267161872502</v>
      </c>
      <c r="AP1383" s="8">
        <f t="shared" si="373"/>
        <v>0.88659312715710314</v>
      </c>
      <c r="AQ1383" s="8"/>
      <c r="AR1383" s="8">
        <f t="shared" si="374"/>
        <v>119.70960286145701</v>
      </c>
      <c r="AS1383" s="8">
        <f t="shared" si="375"/>
        <v>39.201955668592461</v>
      </c>
    </row>
    <row r="1384" spans="1:45">
      <c r="A1384" s="20">
        <v>45.11173333</v>
      </c>
      <c r="B1384" s="20">
        <v>500.73303370000002</v>
      </c>
      <c r="C1384" s="20">
        <v>-313.69127450000002</v>
      </c>
      <c r="E1384" s="9">
        <f t="shared" si="364"/>
        <v>-459.26696629999998</v>
      </c>
      <c r="F1384" s="9">
        <f t="shared" si="379"/>
        <v>226.30872549999998</v>
      </c>
      <c r="I1384">
        <v>1</v>
      </c>
      <c r="J1384">
        <f t="shared" si="365"/>
        <v>0.32750408896348426</v>
      </c>
      <c r="K1384">
        <f t="shared" si="366"/>
        <v>2.6837532143661607</v>
      </c>
      <c r="O1384">
        <f t="shared" si="367"/>
        <v>-0.28855074567016631</v>
      </c>
      <c r="P1384">
        <f t="shared" si="368"/>
        <v>0.14218647602892048</v>
      </c>
      <c r="Q1384">
        <f t="shared" si="369"/>
        <v>0.9468481785416647</v>
      </c>
      <c r="R1384">
        <f t="shared" si="370"/>
        <v>1</v>
      </c>
      <c r="AG1384" s="8">
        <f t="shared" si="376"/>
        <v>-0.38383701248098318</v>
      </c>
      <c r="AH1384" s="8">
        <f t="shared" si="377"/>
        <v>0.67324955649115414</v>
      </c>
      <c r="AI1384" s="8">
        <f t="shared" si="378"/>
        <v>0.63198432143063321</v>
      </c>
      <c r="AJ1384" s="8"/>
      <c r="AK1384" s="8"/>
      <c r="AL1384" s="8"/>
      <c r="AN1384" s="8">
        <f t="shared" si="371"/>
        <v>1</v>
      </c>
      <c r="AO1384" s="8">
        <f t="shared" si="372"/>
        <v>2.0889598796885926</v>
      </c>
      <c r="AP1384" s="8">
        <f t="shared" si="373"/>
        <v>0.88668530309910198</v>
      </c>
      <c r="AQ1384" s="8"/>
      <c r="AR1384" s="8">
        <f t="shared" si="374"/>
        <v>119.68858467831258</v>
      </c>
      <c r="AS1384" s="8">
        <f t="shared" si="375"/>
        <v>39.196674376143285</v>
      </c>
    </row>
    <row r="1385" spans="1:45">
      <c r="A1385" s="20">
        <v>45.145099999999999</v>
      </c>
      <c r="B1385" s="20">
        <v>499.99187260000002</v>
      </c>
      <c r="C1385" s="20">
        <v>-313.61947980000002</v>
      </c>
      <c r="E1385" s="9">
        <f t="shared" si="364"/>
        <v>-460.00812739999998</v>
      </c>
      <c r="F1385" s="9">
        <f t="shared" si="379"/>
        <v>226.38052019999998</v>
      </c>
      <c r="I1385">
        <v>1</v>
      </c>
      <c r="J1385">
        <f t="shared" si="365"/>
        <v>0.32792259545589442</v>
      </c>
      <c r="K1385">
        <f t="shared" si="366"/>
        <v>2.6842665823167087</v>
      </c>
      <c r="O1385">
        <f t="shared" si="367"/>
        <v>-0.28897921711770197</v>
      </c>
      <c r="P1385">
        <f t="shared" si="368"/>
        <v>0.14221328189971047</v>
      </c>
      <c r="Q1385">
        <f t="shared" si="369"/>
        <v>0.94671347012987705</v>
      </c>
      <c r="R1385">
        <f t="shared" si="370"/>
        <v>1</v>
      </c>
      <c r="AG1385" s="8">
        <f t="shared" si="376"/>
        <v>-0.38353212713455842</v>
      </c>
      <c r="AH1385" s="8">
        <f t="shared" si="377"/>
        <v>0.67355111478626828</v>
      </c>
      <c r="AI1385" s="8">
        <f t="shared" si="378"/>
        <v>0.63184808555998351</v>
      </c>
      <c r="AJ1385" s="8"/>
      <c r="AK1385" s="8"/>
      <c r="AL1385" s="8"/>
      <c r="AN1385" s="8">
        <f t="shared" si="371"/>
        <v>1.0000000000000002</v>
      </c>
      <c r="AO1385" s="8">
        <f t="shared" si="372"/>
        <v>2.0884254650939154</v>
      </c>
      <c r="AP1385" s="8">
        <f t="shared" si="373"/>
        <v>0.88686108299222588</v>
      </c>
      <c r="AQ1385" s="8"/>
      <c r="AR1385" s="8">
        <f t="shared" si="374"/>
        <v>119.65796497752737</v>
      </c>
      <c r="AS1385" s="8">
        <f t="shared" si="375"/>
        <v>39.186602930144019</v>
      </c>
    </row>
    <row r="1386" spans="1:45">
      <c r="A1386" s="20">
        <v>45.178466669999999</v>
      </c>
      <c r="B1386" s="20">
        <v>499.53783049999998</v>
      </c>
      <c r="C1386" s="20">
        <v>-313.45602769999999</v>
      </c>
      <c r="E1386" s="9">
        <f t="shared" si="364"/>
        <v>-460.46216950000002</v>
      </c>
      <c r="F1386" s="9">
        <f t="shared" si="379"/>
        <v>226.54397230000001</v>
      </c>
      <c r="I1386">
        <v>1</v>
      </c>
      <c r="J1386">
        <f t="shared" si="365"/>
        <v>0.32821062821552671</v>
      </c>
      <c r="K1386">
        <f t="shared" si="366"/>
        <v>2.6843714733723321</v>
      </c>
      <c r="O1386">
        <f t="shared" si="367"/>
        <v>-0.28923879551320347</v>
      </c>
      <c r="P1386">
        <f t="shared" si="368"/>
        <v>0.14230334220502897</v>
      </c>
      <c r="Q1386">
        <f t="shared" si="369"/>
        <v>0.94662066212783968</v>
      </c>
      <c r="R1386">
        <f t="shared" si="370"/>
        <v>1</v>
      </c>
      <c r="AG1386" s="8">
        <f t="shared" si="376"/>
        <v>-0.38329553559822616</v>
      </c>
      <c r="AH1386" s="8">
        <f t="shared" si="377"/>
        <v>0.67371575901538994</v>
      </c>
      <c r="AI1386" s="8">
        <f t="shared" si="378"/>
        <v>0.63181611917138192</v>
      </c>
      <c r="AJ1386" s="8"/>
      <c r="AK1386" s="8"/>
      <c r="AL1386" s="8"/>
      <c r="AN1386" s="8">
        <f t="shared" si="371"/>
        <v>0.99999999999999989</v>
      </c>
      <c r="AO1386" s="8">
        <f t="shared" si="372"/>
        <v>2.0880551135260346</v>
      </c>
      <c r="AP1386" s="8">
        <f t="shared" si="373"/>
        <v>0.88690232434285343</v>
      </c>
      <c r="AQ1386" s="8"/>
      <c r="AR1386" s="8">
        <f t="shared" si="374"/>
        <v>119.63674539575176</v>
      </c>
      <c r="AS1386" s="8">
        <f t="shared" si="375"/>
        <v>39.184239974811646</v>
      </c>
    </row>
    <row r="1387" spans="1:45">
      <c r="A1387" s="20">
        <v>45.211833329999997</v>
      </c>
      <c r="B1387" s="20">
        <v>498.80161770000001</v>
      </c>
      <c r="C1387" s="20">
        <v>-313.49896230000002</v>
      </c>
      <c r="E1387" s="9">
        <f t="shared" si="364"/>
        <v>-461.19838229999999</v>
      </c>
      <c r="F1387" s="9">
        <f t="shared" si="379"/>
        <v>226.50103769999998</v>
      </c>
      <c r="I1387">
        <v>1</v>
      </c>
      <c r="J1387">
        <f t="shared" si="365"/>
        <v>0.32859600206384681</v>
      </c>
      <c r="K1387">
        <f t="shared" si="366"/>
        <v>2.6850789844729084</v>
      </c>
      <c r="O1387">
        <f t="shared" si="367"/>
        <v>-0.28966682795170512</v>
      </c>
      <c r="P1387">
        <f t="shared" si="368"/>
        <v>0.14225946932235925</v>
      </c>
      <c r="Q1387">
        <f t="shared" si="369"/>
        <v>0.94649636669800163</v>
      </c>
      <c r="R1387">
        <f t="shared" si="370"/>
        <v>1</v>
      </c>
      <c r="AG1387" s="8">
        <f t="shared" si="376"/>
        <v>-0.38304033623590017</v>
      </c>
      <c r="AH1387" s="8">
        <f t="shared" si="377"/>
        <v>0.67403407089583178</v>
      </c>
      <c r="AI1387" s="8">
        <f t="shared" si="378"/>
        <v>0.63163135774586221</v>
      </c>
      <c r="AJ1387" s="8"/>
      <c r="AK1387" s="8"/>
      <c r="AL1387" s="8"/>
      <c r="AN1387" s="8">
        <f t="shared" si="371"/>
        <v>1</v>
      </c>
      <c r="AO1387" s="8">
        <f t="shared" si="372"/>
        <v>2.0875659687602459</v>
      </c>
      <c r="AP1387" s="8">
        <f t="shared" si="373"/>
        <v>0.88714066664432178</v>
      </c>
      <c r="AQ1387" s="8"/>
      <c r="AR1387" s="8">
        <f t="shared" si="374"/>
        <v>119.60871946510115</v>
      </c>
      <c r="AS1387" s="8">
        <f t="shared" si="375"/>
        <v>39.170583966858075</v>
      </c>
    </row>
    <row r="1388" spans="1:45">
      <c r="A1388" s="20">
        <v>45.245199999999997</v>
      </c>
      <c r="B1388" s="20">
        <v>498.1820419</v>
      </c>
      <c r="C1388" s="20">
        <v>-313.50603580000001</v>
      </c>
      <c r="E1388" s="9">
        <f t="shared" si="364"/>
        <v>-461.8179581</v>
      </c>
      <c r="F1388" s="9">
        <f t="shared" si="379"/>
        <v>226.49396419999999</v>
      </c>
      <c r="I1388">
        <v>1</v>
      </c>
      <c r="J1388">
        <f t="shared" si="365"/>
        <v>0.3289280470767228</v>
      </c>
      <c r="K1388">
        <f t="shared" si="366"/>
        <v>2.6856223133634107</v>
      </c>
      <c r="O1388">
        <f t="shared" si="367"/>
        <v>-0.29002623367892633</v>
      </c>
      <c r="P1388">
        <f t="shared" si="368"/>
        <v>0.14224044395803145</v>
      </c>
      <c r="Q1388">
        <f t="shared" si="369"/>
        <v>0.94638915879285035</v>
      </c>
      <c r="R1388">
        <f t="shared" si="370"/>
        <v>1</v>
      </c>
      <c r="AG1388" s="8">
        <f t="shared" si="376"/>
        <v>-0.38281344434598008</v>
      </c>
      <c r="AH1388" s="8">
        <f t="shared" si="377"/>
        <v>0.67429692709081934</v>
      </c>
      <c r="AI1388" s="8">
        <f t="shared" si="378"/>
        <v>0.63148833793178283</v>
      </c>
      <c r="AJ1388" s="8"/>
      <c r="AK1388" s="8"/>
      <c r="AL1388" s="8"/>
      <c r="AN1388" s="8">
        <f t="shared" si="371"/>
        <v>1</v>
      </c>
      <c r="AO1388" s="8">
        <f t="shared" si="372"/>
        <v>2.0871440691855141</v>
      </c>
      <c r="AP1388" s="8">
        <f t="shared" si="373"/>
        <v>0.88732513047789852</v>
      </c>
      <c r="AQ1388" s="8"/>
      <c r="AR1388" s="8">
        <f t="shared" si="374"/>
        <v>119.58454640009066</v>
      </c>
      <c r="AS1388" s="8">
        <f t="shared" si="375"/>
        <v>39.160014967721324</v>
      </c>
    </row>
    <row r="1389" spans="1:45">
      <c r="A1389" s="20">
        <v>45.278566669999996</v>
      </c>
      <c r="B1389" s="20">
        <v>497.66761930000001</v>
      </c>
      <c r="C1389" s="20">
        <v>-313.33635390000001</v>
      </c>
      <c r="E1389" s="9">
        <f t="shared" si="364"/>
        <v>-462.33238069999999</v>
      </c>
      <c r="F1389" s="9">
        <f t="shared" si="379"/>
        <v>226.66364609999999</v>
      </c>
      <c r="I1389">
        <v>1</v>
      </c>
      <c r="J1389">
        <f t="shared" si="365"/>
        <v>0.32925011925916758</v>
      </c>
      <c r="K1389">
        <f t="shared" si="366"/>
        <v>2.6857663619627399</v>
      </c>
      <c r="O1389">
        <f t="shared" si="367"/>
        <v>-0.29032038939402238</v>
      </c>
      <c r="P1389">
        <f t="shared" si="368"/>
        <v>0.14233283400480828</v>
      </c>
      <c r="Q1389">
        <f t="shared" si="369"/>
        <v>0.94628507114202265</v>
      </c>
      <c r="R1389">
        <f t="shared" si="370"/>
        <v>1</v>
      </c>
      <c r="AG1389" s="8">
        <f t="shared" si="376"/>
        <v>-0.38255188618383379</v>
      </c>
      <c r="AH1389" s="8">
        <f t="shared" si="377"/>
        <v>0.67448568442340917</v>
      </c>
      <c r="AI1389" s="8">
        <f t="shared" si="378"/>
        <v>0.63144525961089959</v>
      </c>
      <c r="AJ1389" s="8"/>
      <c r="AK1389" s="8"/>
      <c r="AL1389" s="8"/>
      <c r="AN1389" s="8">
        <f t="shared" si="371"/>
        <v>1</v>
      </c>
      <c r="AO1389" s="8">
        <f t="shared" si="372"/>
        <v>2.0867305525973476</v>
      </c>
      <c r="AP1389" s="8">
        <f t="shared" si="373"/>
        <v>0.88738068652497315</v>
      </c>
      <c r="AQ1389" s="8"/>
      <c r="AR1389" s="8">
        <f t="shared" si="374"/>
        <v>119.56085364483006</v>
      </c>
      <c r="AS1389" s="8">
        <f t="shared" si="375"/>
        <v>39.156831840697514</v>
      </c>
    </row>
    <row r="1390" spans="1:45">
      <c r="A1390" s="20">
        <v>45.311933330000002</v>
      </c>
      <c r="B1390" s="20">
        <v>497.09315809999998</v>
      </c>
      <c r="C1390" s="20">
        <v>-313.2424815</v>
      </c>
      <c r="E1390" s="9">
        <f t="shared" si="364"/>
        <v>-462.90684190000002</v>
      </c>
      <c r="F1390" s="9">
        <f t="shared" si="379"/>
        <v>226.7575185</v>
      </c>
      <c r="I1390">
        <v>1</v>
      </c>
      <c r="J1390">
        <f t="shared" si="365"/>
        <v>0.3295844664135395</v>
      </c>
      <c r="K1390">
        <f t="shared" si="366"/>
        <v>2.6860934323156767</v>
      </c>
      <c r="O1390">
        <f t="shared" si="367"/>
        <v>-0.29065103979184231</v>
      </c>
      <c r="P1390">
        <f t="shared" si="368"/>
        <v>0.1423770455889711</v>
      </c>
      <c r="Q1390">
        <f t="shared" si="369"/>
        <v>0.94617691261057357</v>
      </c>
      <c r="R1390">
        <f t="shared" si="370"/>
        <v>1</v>
      </c>
      <c r="AG1390" s="8">
        <f t="shared" si="376"/>
        <v>-0.38229966504902269</v>
      </c>
      <c r="AH1390" s="8">
        <f t="shared" si="377"/>
        <v>0.67471234374874944</v>
      </c>
      <c r="AI1390" s="8">
        <f t="shared" si="378"/>
        <v>0.63135585789352944</v>
      </c>
      <c r="AJ1390" s="8"/>
      <c r="AK1390" s="8"/>
      <c r="AL1390" s="8"/>
      <c r="AN1390" s="8">
        <f t="shared" si="371"/>
        <v>1</v>
      </c>
      <c r="AO1390" s="8">
        <f t="shared" si="372"/>
        <v>2.0863034541940717</v>
      </c>
      <c r="AP1390" s="8">
        <f t="shared" si="373"/>
        <v>0.88749597561798832</v>
      </c>
      <c r="AQ1390" s="8"/>
      <c r="AR1390" s="8">
        <f t="shared" si="374"/>
        <v>119.53638270888558</v>
      </c>
      <c r="AS1390" s="8">
        <f t="shared" si="375"/>
        <v>39.150226262243855</v>
      </c>
    </row>
    <row r="1391" spans="1:45">
      <c r="A1391" s="20">
        <v>45.345300000000002</v>
      </c>
      <c r="B1391" s="20">
        <v>496.6016621</v>
      </c>
      <c r="C1391" s="20">
        <v>-312.96815700000002</v>
      </c>
      <c r="E1391" s="9">
        <f t="shared" si="364"/>
        <v>-463.3983379</v>
      </c>
      <c r="F1391" s="9">
        <f t="shared" si="379"/>
        <v>227.03184299999998</v>
      </c>
      <c r="I1391">
        <v>1</v>
      </c>
      <c r="J1391">
        <f t="shared" si="365"/>
        <v>0.32992168323827631</v>
      </c>
      <c r="K1391">
        <f t="shared" si="366"/>
        <v>2.6860350233882713</v>
      </c>
      <c r="O1391">
        <f t="shared" si="367"/>
        <v>-0.29092923368917867</v>
      </c>
      <c r="P1391">
        <f t="shared" si="368"/>
        <v>0.14253439148347877</v>
      </c>
      <c r="Q1391">
        <f t="shared" si="369"/>
        <v>0.94606771862772154</v>
      </c>
      <c r="R1391">
        <f t="shared" si="370"/>
        <v>1</v>
      </c>
      <c r="AG1391" s="8">
        <f t="shared" si="376"/>
        <v>-0.3820030323759297</v>
      </c>
      <c r="AH1391" s="8">
        <f t="shared" si="377"/>
        <v>0.67487368649395396</v>
      </c>
      <c r="AI1391" s="8">
        <f t="shared" si="378"/>
        <v>0.63136296259256042</v>
      </c>
      <c r="AJ1391" s="8"/>
      <c r="AK1391" s="8"/>
      <c r="AL1391" s="8"/>
      <c r="AN1391" s="8">
        <f t="shared" si="371"/>
        <v>1.0000000000000002</v>
      </c>
      <c r="AO1391" s="8">
        <f t="shared" si="372"/>
        <v>2.0858680876928233</v>
      </c>
      <c r="AP1391" s="8">
        <f t="shared" si="373"/>
        <v>0.88748681406109842</v>
      </c>
      <c r="AQ1391" s="8"/>
      <c r="AR1391" s="8">
        <f t="shared" si="374"/>
        <v>119.51143804582267</v>
      </c>
      <c r="AS1391" s="8">
        <f t="shared" si="375"/>
        <v>39.150751180787417</v>
      </c>
    </row>
    <row r="1392" spans="1:45">
      <c r="A1392" s="20">
        <v>45.378666670000001</v>
      </c>
      <c r="B1392" s="20">
        <v>495.83971780000002</v>
      </c>
      <c r="C1392" s="20">
        <v>-312.77068989999998</v>
      </c>
      <c r="E1392" s="9">
        <f t="shared" si="364"/>
        <v>-464.16028219999998</v>
      </c>
      <c r="F1392" s="9">
        <f t="shared" si="379"/>
        <v>227.22931010000002</v>
      </c>
      <c r="I1392">
        <v>1</v>
      </c>
      <c r="J1392">
        <f t="shared" si="365"/>
        <v>0.33038421799320228</v>
      </c>
      <c r="K1392">
        <f t="shared" si="366"/>
        <v>2.686340557646131</v>
      </c>
      <c r="O1392">
        <f t="shared" si="367"/>
        <v>-0.29136575894310468</v>
      </c>
      <c r="P1392">
        <f t="shared" si="368"/>
        <v>0.14263788378790465</v>
      </c>
      <c r="Q1392">
        <f t="shared" si="369"/>
        <v>0.94591777054034498</v>
      </c>
      <c r="R1392">
        <f t="shared" si="370"/>
        <v>1</v>
      </c>
      <c r="AG1392" s="8">
        <f t="shared" si="376"/>
        <v>-0.38163813461578333</v>
      </c>
      <c r="AH1392" s="8">
        <f t="shared" si="377"/>
        <v>0.67516174322748412</v>
      </c>
      <c r="AI1392" s="8">
        <f t="shared" si="378"/>
        <v>0.63127565665801655</v>
      </c>
      <c r="AJ1392" s="8"/>
      <c r="AK1392" s="8"/>
      <c r="AL1392" s="8"/>
      <c r="AN1392" s="8">
        <f t="shared" si="371"/>
        <v>1</v>
      </c>
      <c r="AO1392" s="8">
        <f t="shared" si="372"/>
        <v>2.0852756746885452</v>
      </c>
      <c r="AP1392" s="8">
        <f t="shared" si="373"/>
        <v>0.88759939090828799</v>
      </c>
      <c r="AQ1392" s="8"/>
      <c r="AR1392" s="8">
        <f t="shared" si="374"/>
        <v>119.47749528094887</v>
      </c>
      <c r="AS1392" s="8">
        <f t="shared" si="375"/>
        <v>39.144301002572568</v>
      </c>
    </row>
    <row r="1393" spans="1:45">
      <c r="A1393" s="20">
        <v>45.41203333</v>
      </c>
      <c r="B1393" s="20">
        <v>495.21877380000001</v>
      </c>
      <c r="C1393" s="20">
        <v>-312.67874940000002</v>
      </c>
      <c r="E1393" s="9">
        <f t="shared" si="364"/>
        <v>-464.78122619999999</v>
      </c>
      <c r="F1393" s="9">
        <f t="shared" si="379"/>
        <v>227.32125059999998</v>
      </c>
      <c r="I1393">
        <v>1</v>
      </c>
      <c r="J1393">
        <f t="shared" si="365"/>
        <v>0.33074290250964883</v>
      </c>
      <c r="K1393">
        <f t="shared" si="366"/>
        <v>2.6867086440923207</v>
      </c>
      <c r="O1393">
        <f t="shared" si="367"/>
        <v>-0.29172300825869507</v>
      </c>
      <c r="P1393">
        <f t="shared" si="368"/>
        <v>0.14267968525394953</v>
      </c>
      <c r="Q1393">
        <f t="shared" si="369"/>
        <v>0.94580135010917132</v>
      </c>
      <c r="R1393">
        <f t="shared" si="370"/>
        <v>1</v>
      </c>
      <c r="AG1393" s="8">
        <f t="shared" si="376"/>
        <v>-0.38136951884047698</v>
      </c>
      <c r="AH1393" s="8">
        <f t="shared" si="377"/>
        <v>0.67540787374783517</v>
      </c>
      <c r="AI1393" s="8">
        <f t="shared" si="378"/>
        <v>0.63117469386756286</v>
      </c>
      <c r="AJ1393" s="8"/>
      <c r="AK1393" s="8"/>
      <c r="AL1393" s="8"/>
      <c r="AN1393" s="8">
        <f t="shared" si="371"/>
        <v>1.0000000000000002</v>
      </c>
      <c r="AO1393" s="8">
        <f t="shared" si="372"/>
        <v>2.0848180407205197</v>
      </c>
      <c r="AP1393" s="8">
        <f t="shared" si="373"/>
        <v>0.88772956476014131</v>
      </c>
      <c r="AQ1393" s="8"/>
      <c r="AR1393" s="8">
        <f t="shared" si="374"/>
        <v>119.45127478601918</v>
      </c>
      <c r="AS1393" s="8">
        <f t="shared" si="375"/>
        <v>39.136842590258411</v>
      </c>
    </row>
    <row r="1394" spans="1:45">
      <c r="A1394" s="20">
        <v>45.445399999999999</v>
      </c>
      <c r="B1394" s="20">
        <v>494.62502979999999</v>
      </c>
      <c r="C1394" s="20">
        <v>-312.6377329</v>
      </c>
      <c r="E1394" s="9">
        <f t="shared" si="364"/>
        <v>-465.37497020000001</v>
      </c>
      <c r="F1394" s="9">
        <f t="shared" si="379"/>
        <v>227.3622671</v>
      </c>
      <c r="I1394">
        <v>1</v>
      </c>
      <c r="J1394">
        <f t="shared" si="365"/>
        <v>0.33107349432897054</v>
      </c>
      <c r="K1394">
        <f t="shared" si="366"/>
        <v>2.6871411619415255</v>
      </c>
      <c r="O1394">
        <f t="shared" si="367"/>
        <v>-0.29206561489698274</v>
      </c>
      <c r="P1394">
        <f t="shared" si="368"/>
        <v>0.14269074315792152</v>
      </c>
      <c r="Q1394">
        <f t="shared" si="369"/>
        <v>0.94569394013702313</v>
      </c>
      <c r="R1394">
        <f t="shared" si="370"/>
        <v>1</v>
      </c>
      <c r="AG1394" s="8">
        <f t="shared" si="376"/>
        <v>-0.38113221098317501</v>
      </c>
      <c r="AH1394" s="8">
        <f t="shared" si="377"/>
        <v>0.67565093491045369</v>
      </c>
      <c r="AI1394" s="8">
        <f t="shared" si="378"/>
        <v>0.6310578831658048</v>
      </c>
      <c r="AJ1394" s="8"/>
      <c r="AK1394" s="8"/>
      <c r="AL1394" s="8"/>
      <c r="AN1394" s="8">
        <f t="shared" si="371"/>
        <v>1</v>
      </c>
      <c r="AO1394" s="8">
        <f t="shared" si="372"/>
        <v>2.0843976003159765</v>
      </c>
      <c r="AP1394" s="8">
        <f t="shared" si="373"/>
        <v>0.8878801545171463</v>
      </c>
      <c r="AQ1394" s="8"/>
      <c r="AR1394" s="8">
        <f t="shared" si="374"/>
        <v>119.42718532530209</v>
      </c>
      <c r="AS1394" s="8">
        <f t="shared" si="375"/>
        <v>39.128214432744123</v>
      </c>
    </row>
    <row r="1395" spans="1:45">
      <c r="A1395" s="20">
        <v>45.478766669999999</v>
      </c>
      <c r="B1395" s="20">
        <v>494.06227319999999</v>
      </c>
      <c r="C1395" s="20">
        <v>-312.6583258</v>
      </c>
      <c r="E1395" s="9">
        <f t="shared" si="364"/>
        <v>-465.93772680000001</v>
      </c>
      <c r="F1395" s="9">
        <f t="shared" si="379"/>
        <v>227.3416742</v>
      </c>
      <c r="I1395">
        <v>1</v>
      </c>
      <c r="J1395">
        <f t="shared" si="365"/>
        <v>0.3313711894103672</v>
      </c>
      <c r="K1395">
        <f t="shared" si="366"/>
        <v>2.6876533421537188</v>
      </c>
      <c r="O1395">
        <f t="shared" si="367"/>
        <v>-0.29239166411991052</v>
      </c>
      <c r="P1395">
        <f t="shared" si="368"/>
        <v>0.14266458073629537</v>
      </c>
      <c r="Q1395">
        <f t="shared" si="369"/>
        <v>0.94559712994304634</v>
      </c>
      <c r="R1395">
        <f t="shared" si="370"/>
        <v>1</v>
      </c>
      <c r="AG1395" s="8">
        <f t="shared" si="376"/>
        <v>-0.38093205621220505</v>
      </c>
      <c r="AH1395" s="8">
        <f t="shared" si="377"/>
        <v>0.67589114412532103</v>
      </c>
      <c r="AI1395" s="8">
        <f t="shared" si="378"/>
        <v>0.63092149261449804</v>
      </c>
      <c r="AJ1395" s="8"/>
      <c r="AK1395" s="8"/>
      <c r="AL1395" s="8"/>
      <c r="AN1395" s="8">
        <f t="shared" si="371"/>
        <v>1</v>
      </c>
      <c r="AO1395" s="8">
        <f t="shared" si="372"/>
        <v>2.0840207863624793</v>
      </c>
      <c r="AP1395" s="8">
        <f t="shared" si="373"/>
        <v>0.88805596283861665</v>
      </c>
      <c r="AQ1395" s="8"/>
      <c r="AR1395" s="8">
        <f t="shared" si="374"/>
        <v>119.40559547610506</v>
      </c>
      <c r="AS1395" s="8">
        <f t="shared" si="375"/>
        <v>39.118141357920592</v>
      </c>
    </row>
    <row r="1396" spans="1:45">
      <c r="A1396" s="20">
        <v>45.512133329999997</v>
      </c>
      <c r="B1396" s="20">
        <v>493.06240650000001</v>
      </c>
      <c r="C1396" s="20">
        <v>-312.65720210000001</v>
      </c>
      <c r="E1396" s="9">
        <f t="shared" si="364"/>
        <v>-466.93759349999999</v>
      </c>
      <c r="F1396" s="9">
        <f t="shared" si="379"/>
        <v>227.34279789999999</v>
      </c>
      <c r="I1396">
        <v>1</v>
      </c>
      <c r="J1396">
        <f t="shared" si="365"/>
        <v>0.33191006016292907</v>
      </c>
      <c r="K1396">
        <f t="shared" si="366"/>
        <v>2.6884956416733949</v>
      </c>
      <c r="O1396">
        <f t="shared" si="367"/>
        <v>-0.29296982257938564</v>
      </c>
      <c r="P1396">
        <f t="shared" si="368"/>
        <v>0.14264128674288065</v>
      </c>
      <c r="Q1396">
        <f t="shared" si="369"/>
        <v>0.94542167648840092</v>
      </c>
      <c r="R1396">
        <f t="shared" si="370"/>
        <v>1</v>
      </c>
      <c r="AG1396" s="8">
        <f t="shared" si="376"/>
        <v>-0.38056072118539369</v>
      </c>
      <c r="AH1396" s="8">
        <f t="shared" si="377"/>
        <v>0.67631130793840732</v>
      </c>
      <c r="AI1396" s="8">
        <f t="shared" si="378"/>
        <v>0.63069529270916069</v>
      </c>
      <c r="AJ1396" s="8"/>
      <c r="AK1396" s="8"/>
      <c r="AL1396" s="8"/>
      <c r="AN1396" s="8">
        <f t="shared" si="371"/>
        <v>1</v>
      </c>
      <c r="AO1396" s="8">
        <f t="shared" si="372"/>
        <v>2.0833380939516228</v>
      </c>
      <c r="AP1396" s="8">
        <f t="shared" si="373"/>
        <v>0.88834748061632407</v>
      </c>
      <c r="AQ1396" s="8"/>
      <c r="AR1396" s="8">
        <f t="shared" si="374"/>
        <v>119.36648008225737</v>
      </c>
      <c r="AS1396" s="8">
        <f t="shared" si="375"/>
        <v>39.10143861960492</v>
      </c>
    </row>
    <row r="1397" spans="1:45">
      <c r="A1397" s="20">
        <v>45.545499999999997</v>
      </c>
      <c r="B1397" s="20">
        <v>492.62670000000003</v>
      </c>
      <c r="C1397" s="20">
        <v>-312.64326990000001</v>
      </c>
      <c r="E1397" s="9">
        <f t="shared" si="364"/>
        <v>-467.37329999999997</v>
      </c>
      <c r="F1397" s="9">
        <f t="shared" si="379"/>
        <v>227.35673009999999</v>
      </c>
      <c r="I1397">
        <v>1</v>
      </c>
      <c r="J1397">
        <f t="shared" si="365"/>
        <v>0.33214841254611893</v>
      </c>
      <c r="K1397">
        <f t="shared" si="366"/>
        <v>2.6888385156743335</v>
      </c>
      <c r="O1397">
        <f t="shared" si="367"/>
        <v>-0.29322134421031115</v>
      </c>
      <c r="P1397">
        <f t="shared" si="368"/>
        <v>0.14263939770453923</v>
      </c>
      <c r="Q1397">
        <f t="shared" si="369"/>
        <v>0.94534398264440467</v>
      </c>
      <c r="R1397">
        <f t="shared" si="370"/>
        <v>1</v>
      </c>
      <c r="AG1397" s="8">
        <f t="shared" si="376"/>
        <v>-0.38039330807368588</v>
      </c>
      <c r="AH1397" s="8">
        <f t="shared" si="377"/>
        <v>0.67649202606853331</v>
      </c>
      <c r="AI1397" s="8">
        <f t="shared" si="378"/>
        <v>0.63060246577257284</v>
      </c>
      <c r="AJ1397" s="8"/>
      <c r="AK1397" s="8"/>
      <c r="AL1397" s="8"/>
      <c r="AN1397" s="8">
        <f t="shared" si="371"/>
        <v>1</v>
      </c>
      <c r="AO1397" s="8">
        <f t="shared" si="372"/>
        <v>2.0830359138940366</v>
      </c>
      <c r="AP1397" s="8">
        <f t="shared" si="373"/>
        <v>0.88846709243131583</v>
      </c>
      <c r="AQ1397" s="8"/>
      <c r="AR1397" s="8">
        <f t="shared" si="374"/>
        <v>119.34916644030466</v>
      </c>
      <c r="AS1397" s="8">
        <f t="shared" si="375"/>
        <v>39.094585367425999</v>
      </c>
    </row>
    <row r="1398" spans="1:45">
      <c r="A1398" s="20">
        <v>45.578866669999996</v>
      </c>
      <c r="B1398" s="20">
        <v>492.00599030000001</v>
      </c>
      <c r="C1398" s="20">
        <v>-312.66025339999999</v>
      </c>
      <c r="E1398" s="9">
        <f t="shared" si="364"/>
        <v>-467.99400969999999</v>
      </c>
      <c r="F1398" s="9">
        <f t="shared" si="379"/>
        <v>227.33974660000001</v>
      </c>
      <c r="I1398">
        <v>1</v>
      </c>
      <c r="J1398">
        <f t="shared" si="365"/>
        <v>0.33247833030386525</v>
      </c>
      <c r="K1398">
        <f t="shared" si="366"/>
        <v>2.6893897427792108</v>
      </c>
      <c r="O1398">
        <f t="shared" si="367"/>
        <v>-0.29358044750152734</v>
      </c>
      <c r="P1398">
        <f t="shared" si="368"/>
        <v>0.14261401462060611</v>
      </c>
      <c r="Q1398">
        <f t="shared" si="369"/>
        <v>0.94523635334163725</v>
      </c>
      <c r="R1398">
        <f t="shared" si="370"/>
        <v>1</v>
      </c>
      <c r="AG1398" s="8">
        <f t="shared" si="376"/>
        <v>-0.38017014019466205</v>
      </c>
      <c r="AH1398" s="8">
        <f t="shared" si="377"/>
        <v>0.67675551877365392</v>
      </c>
      <c r="AI1398" s="8">
        <f t="shared" si="378"/>
        <v>0.63045430628537513</v>
      </c>
      <c r="AJ1398" s="8"/>
      <c r="AK1398" s="8"/>
      <c r="AL1398" s="8"/>
      <c r="AN1398" s="8">
        <f t="shared" si="371"/>
        <v>1</v>
      </c>
      <c r="AO1398" s="8">
        <f t="shared" si="372"/>
        <v>2.082618935131241</v>
      </c>
      <c r="AP1398" s="8">
        <f t="shared" si="373"/>
        <v>0.8886579787257558</v>
      </c>
      <c r="AQ1398" s="8"/>
      <c r="AR1398" s="8">
        <f t="shared" si="374"/>
        <v>119.32527531704989</v>
      </c>
      <c r="AS1398" s="8">
        <f t="shared" si="375"/>
        <v>39.083648388387694</v>
      </c>
    </row>
    <row r="1399" spans="1:45">
      <c r="A1399" s="20">
        <v>45.612233330000002</v>
      </c>
      <c r="B1399" s="20">
        <v>491.64182369999997</v>
      </c>
      <c r="C1399" s="20">
        <v>-312.35281789999999</v>
      </c>
      <c r="E1399" s="9">
        <f t="shared" si="364"/>
        <v>-468.35817630000003</v>
      </c>
      <c r="F1399" s="9">
        <f t="shared" si="379"/>
        <v>227.64718210000001</v>
      </c>
      <c r="I1399">
        <v>1</v>
      </c>
      <c r="J1399">
        <f t="shared" si="365"/>
        <v>0.33275493914495469</v>
      </c>
      <c r="K1399">
        <f t="shared" si="366"/>
        <v>2.6891642760292185</v>
      </c>
      <c r="O1399">
        <f t="shared" si="367"/>
        <v>-0.29378342878243474</v>
      </c>
      <c r="P1399">
        <f t="shared" si="368"/>
        <v>0.14279449595251423</v>
      </c>
      <c r="Q1399">
        <f t="shared" si="369"/>
        <v>0.94514603575241396</v>
      </c>
      <c r="R1399">
        <f t="shared" si="370"/>
        <v>1</v>
      </c>
      <c r="AG1399" s="8">
        <f t="shared" si="376"/>
        <v>-0.37990710839150726</v>
      </c>
      <c r="AH1399" s="8">
        <f t="shared" si="377"/>
        <v>0.67685686159571579</v>
      </c>
      <c r="AI1399" s="8">
        <f t="shared" si="378"/>
        <v>0.63050406652487301</v>
      </c>
      <c r="AJ1399" s="8"/>
      <c r="AK1399" s="8"/>
      <c r="AL1399" s="8"/>
      <c r="AN1399" s="8">
        <f t="shared" si="371"/>
        <v>1</v>
      </c>
      <c r="AO1399" s="8">
        <f t="shared" si="372"/>
        <v>2.0822595373160517</v>
      </c>
      <c r="AP1399" s="8">
        <f t="shared" si="373"/>
        <v>0.88859387173667292</v>
      </c>
      <c r="AQ1399" s="8"/>
      <c r="AR1399" s="8">
        <f t="shared" si="374"/>
        <v>119.30468333907331</v>
      </c>
      <c r="AS1399" s="8">
        <f t="shared" si="375"/>
        <v>39.087321448299434</v>
      </c>
    </row>
    <row r="1400" spans="1:45">
      <c r="A1400" s="20">
        <v>45.645600000000002</v>
      </c>
      <c r="B1400" s="20">
        <v>490.89019339999999</v>
      </c>
      <c r="C1400" s="20">
        <v>-311.88519239999999</v>
      </c>
      <c r="E1400" s="9">
        <f t="shared" si="364"/>
        <v>-469.10980660000001</v>
      </c>
      <c r="F1400" s="9">
        <f t="shared" si="379"/>
        <v>228.11480760000001</v>
      </c>
      <c r="I1400">
        <v>1</v>
      </c>
      <c r="J1400">
        <f t="shared" si="365"/>
        <v>0.33328203909375931</v>
      </c>
      <c r="K1400">
        <f t="shared" si="366"/>
        <v>2.6889879046887772</v>
      </c>
      <c r="O1400">
        <f t="shared" si="367"/>
        <v>-0.29420622309802852</v>
      </c>
      <c r="P1400">
        <f t="shared" si="368"/>
        <v>0.14306415050912613</v>
      </c>
      <c r="Q1400">
        <f t="shared" si="369"/>
        <v>0.94497372827475745</v>
      </c>
      <c r="R1400">
        <f t="shared" si="370"/>
        <v>1</v>
      </c>
      <c r="AG1400" s="8">
        <f t="shared" si="376"/>
        <v>-0.37943373297094346</v>
      </c>
      <c r="AH1400" s="8">
        <f t="shared" si="377"/>
        <v>0.67709378770562478</v>
      </c>
      <c r="AI1400" s="8">
        <f t="shared" si="378"/>
        <v>0.63053472936404154</v>
      </c>
      <c r="AJ1400" s="8"/>
      <c r="AK1400" s="8"/>
      <c r="AL1400" s="8"/>
      <c r="AN1400" s="8">
        <f t="shared" si="371"/>
        <v>1</v>
      </c>
      <c r="AO1400" s="8">
        <f t="shared" si="372"/>
        <v>2.081578284836243</v>
      </c>
      <c r="AP1400" s="8">
        <f t="shared" si="373"/>
        <v>0.88855436660088483</v>
      </c>
      <c r="AQ1400" s="8"/>
      <c r="AR1400" s="8">
        <f t="shared" si="374"/>
        <v>119.26565044719744</v>
      </c>
      <c r="AS1400" s="8">
        <f t="shared" si="375"/>
        <v>39.089584925849181</v>
      </c>
    </row>
    <row r="1401" spans="1:45">
      <c r="A1401" s="20">
        <v>45.678966670000001</v>
      </c>
      <c r="B1401" s="20">
        <v>490.37054899999998</v>
      </c>
      <c r="C1401" s="20">
        <v>-311.70741509999999</v>
      </c>
      <c r="E1401" s="9">
        <f t="shared" ref="E1401:E1464" si="380">(B1401-($B$15/2))</f>
        <v>-469.62945100000002</v>
      </c>
      <c r="F1401" s="9">
        <f t="shared" si="379"/>
        <v>228.29258490000001</v>
      </c>
      <c r="I1401">
        <v>1</v>
      </c>
      <c r="J1401">
        <f t="shared" ref="J1401:J1464" si="381">ATAN((SQRT(E1401^2+F1401^2)^$B$16)/($F$24))</f>
        <v>0.33360826912662894</v>
      </c>
      <c r="K1401">
        <f t="shared" ref="K1401:K1464" si="382">ATAN2(E1401,F1401)</f>
        <v>2.6891169189370401</v>
      </c>
      <c r="O1401">
        <f t="shared" ref="O1401:O1464" si="383">COS(K1401)*SIN(J1401)</f>
        <v>-0.29450191824014343</v>
      </c>
      <c r="P1401">
        <f t="shared" ref="P1401:P1464" si="384">SIN(K1401)*SIN(J1401)</f>
        <v>0.14316096239256265</v>
      </c>
      <c r="Q1401">
        <f t="shared" ref="Q1401:Q1464" si="385">COS(J1401)</f>
        <v>0.94486695306784396</v>
      </c>
      <c r="R1401">
        <f t="shared" ref="R1401:R1464" si="386">SQRT(O1401^2+P1401^2+Q1401^2)</f>
        <v>1</v>
      </c>
      <c r="AG1401" s="8">
        <f t="shared" si="376"/>
        <v>-0.3791670484290447</v>
      </c>
      <c r="AH1401" s="8">
        <f t="shared" si="377"/>
        <v>0.67728183786634599</v>
      </c>
      <c r="AI1401" s="8">
        <f t="shared" si="378"/>
        <v>0.63049318908453822</v>
      </c>
      <c r="AJ1401" s="8"/>
      <c r="AK1401" s="8"/>
      <c r="AL1401" s="8"/>
      <c r="AN1401" s="8">
        <f t="shared" ref="AN1401:AN1464" si="387">AG1401^2+AH1401^2+AI1401^2</f>
        <v>1.0000000000000002</v>
      </c>
      <c r="AO1401" s="8">
        <f t="shared" ref="AO1401:AO1464" si="388">IF(ATAN2(AG1401,AH1401)&gt;=0,ATAN2(AG1401,AH1401),ATAN2(AG1401,AH1401)+2*PI())</f>
        <v>2.0811601221157905</v>
      </c>
      <c r="AP1401" s="8">
        <f t="shared" ref="AP1401:AP1464" si="389">ACOS(AI1401/AN1401)</f>
        <v>0.88860788561889448</v>
      </c>
      <c r="AQ1401" s="8"/>
      <c r="AR1401" s="8">
        <f t="shared" ref="AR1401:AR1464" si="390">DEGREES(AO1401)</f>
        <v>119.24169148816581</v>
      </c>
      <c r="AS1401" s="8">
        <f t="shared" ref="AS1401:AS1464" si="391">90-DEGREES(AP1401)</f>
        <v>39.086518511993546</v>
      </c>
    </row>
    <row r="1402" spans="1:45">
      <c r="A1402" s="20">
        <v>45.71233333</v>
      </c>
      <c r="B1402" s="20">
        <v>489.69177150000002</v>
      </c>
      <c r="C1402" s="20">
        <v>-311.51205929999998</v>
      </c>
      <c r="E1402" s="9">
        <f t="shared" si="380"/>
        <v>-470.30822849999998</v>
      </c>
      <c r="F1402" s="9">
        <f t="shared" si="379"/>
        <v>228.48794070000002</v>
      </c>
      <c r="I1402">
        <v>1</v>
      </c>
      <c r="J1402">
        <f t="shared" si="381"/>
        <v>0.33402466585957846</v>
      </c>
      <c r="K1402">
        <f t="shared" si="382"/>
        <v>2.6893484480994232</v>
      </c>
      <c r="O1402">
        <f t="shared" si="383"/>
        <v>-0.29488891725990007</v>
      </c>
      <c r="P1402">
        <f t="shared" si="384"/>
        <v>0.14326468761744676</v>
      </c>
      <c r="Q1402">
        <f t="shared" si="385"/>
        <v>0.94473052017978076</v>
      </c>
      <c r="R1402">
        <f t="shared" si="386"/>
        <v>1</v>
      </c>
      <c r="AG1402" s="8">
        <f t="shared" si="376"/>
        <v>-0.37883405782392254</v>
      </c>
      <c r="AH1402" s="8">
        <f t="shared" si="377"/>
        <v>0.6775334891517687</v>
      </c>
      <c r="AI1402" s="8">
        <f t="shared" si="378"/>
        <v>0.63042297524002955</v>
      </c>
      <c r="AJ1402" s="8"/>
      <c r="AK1402" s="8"/>
      <c r="AL1402" s="8"/>
      <c r="AN1402" s="8">
        <f t="shared" si="387"/>
        <v>0.99999999999999989</v>
      </c>
      <c r="AO1402" s="8">
        <f t="shared" si="388"/>
        <v>2.0806274510137905</v>
      </c>
      <c r="AP1402" s="8">
        <f t="shared" si="389"/>
        <v>0.88869834134840042</v>
      </c>
      <c r="AQ1402" s="8"/>
      <c r="AR1402" s="8">
        <f t="shared" si="390"/>
        <v>119.21117168215264</v>
      </c>
      <c r="AS1402" s="8">
        <f t="shared" si="391"/>
        <v>39.08133578046008</v>
      </c>
    </row>
    <row r="1403" spans="1:45">
      <c r="A1403" s="20">
        <v>45.745699999999999</v>
      </c>
      <c r="B1403" s="20">
        <v>488.95752110000001</v>
      </c>
      <c r="C1403" s="20">
        <v>-311.5433865</v>
      </c>
      <c r="E1403" s="9">
        <f t="shared" si="380"/>
        <v>-471.04247889999999</v>
      </c>
      <c r="F1403" s="9">
        <f t="shared" si="379"/>
        <v>228.4566135</v>
      </c>
      <c r="I1403">
        <v>1</v>
      </c>
      <c r="J1403">
        <f t="shared" si="381"/>
        <v>0.33441162153378157</v>
      </c>
      <c r="K1403">
        <f t="shared" si="382"/>
        <v>2.6900151547735978</v>
      </c>
      <c r="O1403">
        <f t="shared" si="383"/>
        <v>-0.29531326929580548</v>
      </c>
      <c r="P1403">
        <f t="shared" si="384"/>
        <v>0.14322756958668267</v>
      </c>
      <c r="Q1403">
        <f t="shared" si="385"/>
        <v>0.94460358684906287</v>
      </c>
      <c r="R1403">
        <f t="shared" si="386"/>
        <v>1</v>
      </c>
      <c r="AG1403" s="8">
        <f t="shared" si="376"/>
        <v>-0.37857481640238733</v>
      </c>
      <c r="AH1403" s="8">
        <f t="shared" si="377"/>
        <v>0.67784620709619114</v>
      </c>
      <c r="AI1403" s="8">
        <f t="shared" si="378"/>
        <v>0.6302425151568295</v>
      </c>
      <c r="AJ1403" s="8"/>
      <c r="AK1403" s="8"/>
      <c r="AL1403" s="8"/>
      <c r="AN1403" s="8">
        <f t="shared" si="387"/>
        <v>1.0000000000000002</v>
      </c>
      <c r="AO1403" s="8">
        <f t="shared" si="388"/>
        <v>2.0801394430062503</v>
      </c>
      <c r="AP1403" s="8">
        <f t="shared" si="389"/>
        <v>0.88893079562430277</v>
      </c>
      <c r="AQ1403" s="8"/>
      <c r="AR1403" s="8">
        <f t="shared" si="390"/>
        <v>119.183210882952</v>
      </c>
      <c r="AS1403" s="8">
        <f t="shared" si="391"/>
        <v>39.068017131521103</v>
      </c>
    </row>
    <row r="1404" spans="1:45">
      <c r="A1404" s="20">
        <v>45.779066669999999</v>
      </c>
      <c r="B1404" s="20">
        <v>488.48065989999998</v>
      </c>
      <c r="C1404" s="20">
        <v>-311.47776169999997</v>
      </c>
      <c r="E1404" s="9">
        <f t="shared" si="380"/>
        <v>-471.51934010000002</v>
      </c>
      <c r="F1404" s="9">
        <f t="shared" si="379"/>
        <v>228.52223830000003</v>
      </c>
      <c r="I1404">
        <v>1</v>
      </c>
      <c r="J1404">
        <f t="shared" si="381"/>
        <v>0.33468537132796805</v>
      </c>
      <c r="K1404">
        <f t="shared" si="382"/>
        <v>2.6902996108821511</v>
      </c>
      <c r="O1404">
        <f t="shared" si="383"/>
        <v>-0.29558668475237487</v>
      </c>
      <c r="P1404">
        <f t="shared" si="384"/>
        <v>0.14325633132452964</v>
      </c>
      <c r="Q1404">
        <f t="shared" si="385"/>
        <v>0.94451370309410376</v>
      </c>
      <c r="R1404">
        <f t="shared" si="386"/>
        <v>1</v>
      </c>
      <c r="AG1404" s="8">
        <f t="shared" si="376"/>
        <v>-0.37837069058798406</v>
      </c>
      <c r="AH1404" s="8">
        <f t="shared" si="377"/>
        <v>0.67803476596455992</v>
      </c>
      <c r="AI1404" s="8">
        <f t="shared" si="378"/>
        <v>0.63016226215741977</v>
      </c>
      <c r="AJ1404" s="8"/>
      <c r="AK1404" s="8"/>
      <c r="AL1404" s="8"/>
      <c r="AN1404" s="8">
        <f t="shared" si="387"/>
        <v>1.0000000000000002</v>
      </c>
      <c r="AO1404" s="8">
        <f t="shared" si="388"/>
        <v>2.0797915101691244</v>
      </c>
      <c r="AP1404" s="8">
        <f t="shared" si="389"/>
        <v>0.88903415704263344</v>
      </c>
      <c r="AQ1404" s="8"/>
      <c r="AR1404" s="8">
        <f t="shared" si="390"/>
        <v>119.16327579983067</v>
      </c>
      <c r="AS1404" s="8">
        <f t="shared" si="391"/>
        <v>39.06209495848627</v>
      </c>
    </row>
    <row r="1405" spans="1:45">
      <c r="A1405" s="20">
        <v>45.812433329999998</v>
      </c>
      <c r="B1405" s="20">
        <v>487.8588226</v>
      </c>
      <c r="C1405" s="20">
        <v>-311.5394331</v>
      </c>
      <c r="E1405" s="9">
        <f t="shared" si="380"/>
        <v>-472.1411774</v>
      </c>
      <c r="F1405" s="9">
        <f t="shared" si="379"/>
        <v>228.4605669</v>
      </c>
      <c r="I1405">
        <v>1</v>
      </c>
      <c r="J1405">
        <f t="shared" si="381"/>
        <v>0.3350039540431004</v>
      </c>
      <c r="K1405">
        <f t="shared" si="382"/>
        <v>2.6909224745845686</v>
      </c>
      <c r="O1405">
        <f t="shared" si="383"/>
        <v>-0.29594670349373647</v>
      </c>
      <c r="P1405">
        <f t="shared" si="384"/>
        <v>0.14320325124932698</v>
      </c>
      <c r="Q1405">
        <f t="shared" si="385"/>
        <v>0.94440900965779262</v>
      </c>
      <c r="R1405">
        <f t="shared" si="386"/>
        <v>1</v>
      </c>
      <c r="AG1405" s="8">
        <f t="shared" si="376"/>
        <v>-0.37816574660339519</v>
      </c>
      <c r="AH1405" s="8">
        <f t="shared" si="377"/>
        <v>0.67830522068214982</v>
      </c>
      <c r="AI1405" s="8">
        <f t="shared" si="378"/>
        <v>0.62999420290288144</v>
      </c>
      <c r="AJ1405" s="8"/>
      <c r="AK1405" s="8"/>
      <c r="AL1405" s="8"/>
      <c r="AN1405" s="8">
        <f t="shared" si="387"/>
        <v>1.0000000000000004</v>
      </c>
      <c r="AO1405" s="8">
        <f t="shared" si="388"/>
        <v>2.0793913597059261</v>
      </c>
      <c r="AP1405" s="8">
        <f t="shared" si="389"/>
        <v>0.88925057997025525</v>
      </c>
      <c r="AQ1405" s="8"/>
      <c r="AR1405" s="8">
        <f t="shared" si="390"/>
        <v>119.1403488671192</v>
      </c>
      <c r="AS1405" s="8">
        <f t="shared" si="391"/>
        <v>39.049694838143672</v>
      </c>
    </row>
    <row r="1406" spans="1:45">
      <c r="A1406" s="20">
        <v>45.845799999999997</v>
      </c>
      <c r="B1406" s="20">
        <v>487.48076739999999</v>
      </c>
      <c r="C1406" s="20">
        <v>-311.47776119999997</v>
      </c>
      <c r="E1406" s="9">
        <f t="shared" si="380"/>
        <v>-472.51923260000001</v>
      </c>
      <c r="F1406" s="9">
        <f t="shared" si="379"/>
        <v>228.52223880000003</v>
      </c>
      <c r="I1406">
        <v>1</v>
      </c>
      <c r="J1406">
        <f t="shared" si="381"/>
        <v>0.33522347348716414</v>
      </c>
      <c r="K1406">
        <f t="shared" si="382"/>
        <v>2.6911304368326485</v>
      </c>
      <c r="O1406">
        <f t="shared" si="383"/>
        <v>-0.29616310634883269</v>
      </c>
      <c r="P1406">
        <f t="shared" si="384"/>
        <v>0.14323196061331653</v>
      </c>
      <c r="Q1406">
        <f t="shared" si="385"/>
        <v>0.94433681485827681</v>
      </c>
      <c r="R1406">
        <f t="shared" si="386"/>
        <v>1</v>
      </c>
      <c r="AG1406" s="8">
        <f t="shared" si="376"/>
        <v>-0.37799990949624451</v>
      </c>
      <c r="AH1406" s="8">
        <f t="shared" si="377"/>
        <v>0.67845293594897371</v>
      </c>
      <c r="AI1406" s="8">
        <f t="shared" si="378"/>
        <v>0.62993466496379513</v>
      </c>
      <c r="AJ1406" s="8"/>
      <c r="AK1406" s="8"/>
      <c r="AL1406" s="8"/>
      <c r="AN1406" s="8">
        <f t="shared" si="387"/>
        <v>1</v>
      </c>
      <c r="AO1406" s="8">
        <f t="shared" si="388"/>
        <v>2.0791122409451552</v>
      </c>
      <c r="AP1406" s="8">
        <f t="shared" si="389"/>
        <v>0.889327242474096</v>
      </c>
      <c r="AQ1406" s="8"/>
      <c r="AR1406" s="8">
        <f t="shared" si="390"/>
        <v>119.12435654014411</v>
      </c>
      <c r="AS1406" s="8">
        <f t="shared" si="391"/>
        <v>39.045302400226696</v>
      </c>
    </row>
    <row r="1407" spans="1:45">
      <c r="A1407" s="20">
        <v>45.879166669999996</v>
      </c>
      <c r="B1407" s="20">
        <v>486.81944370000002</v>
      </c>
      <c r="C1407" s="20">
        <v>-311.15358620000001</v>
      </c>
      <c r="E1407" s="9">
        <f t="shared" si="380"/>
        <v>-473.18055629999998</v>
      </c>
      <c r="F1407" s="9">
        <f t="shared" si="379"/>
        <v>228.84641379999999</v>
      </c>
      <c r="I1407">
        <v>1</v>
      </c>
      <c r="J1407">
        <f t="shared" si="381"/>
        <v>0.33566368895908816</v>
      </c>
      <c r="K1407">
        <f t="shared" si="382"/>
        <v>2.6911229998151556</v>
      </c>
      <c r="O1407">
        <f t="shared" si="383"/>
        <v>-0.29653625382380999</v>
      </c>
      <c r="P1407">
        <f t="shared" si="384"/>
        <v>0.14341514533036076</v>
      </c>
      <c r="Q1407">
        <f t="shared" si="385"/>
        <v>0.94419190118217622</v>
      </c>
      <c r="R1407">
        <f t="shared" si="386"/>
        <v>1</v>
      </c>
      <c r="AG1407" s="8">
        <f t="shared" si="376"/>
        <v>-0.37761990182514549</v>
      </c>
      <c r="AH1407" s="8">
        <f t="shared" si="377"/>
        <v>0.67867489287310301</v>
      </c>
      <c r="AI1407" s="8">
        <f t="shared" si="378"/>
        <v>0.62992348704366452</v>
      </c>
      <c r="AJ1407" s="8"/>
      <c r="AK1407" s="8"/>
      <c r="AL1407" s="8"/>
      <c r="AN1407" s="8">
        <f t="shared" si="387"/>
        <v>1.0000000000000002</v>
      </c>
      <c r="AO1407" s="8">
        <f t="shared" si="388"/>
        <v>2.078545723929432</v>
      </c>
      <c r="AP1407" s="8">
        <f t="shared" si="389"/>
        <v>0.88934163490543772</v>
      </c>
      <c r="AQ1407" s="8"/>
      <c r="AR1407" s="8">
        <f t="shared" si="390"/>
        <v>119.09189750612082</v>
      </c>
      <c r="AS1407" s="8">
        <f t="shared" si="391"/>
        <v>39.044477774653885</v>
      </c>
    </row>
    <row r="1408" spans="1:45">
      <c r="A1408" s="20">
        <v>45.912533330000002</v>
      </c>
      <c r="B1408" s="20">
        <v>486.19836140000001</v>
      </c>
      <c r="C1408" s="20">
        <v>-310.92657930000001</v>
      </c>
      <c r="E1408" s="9">
        <f t="shared" si="380"/>
        <v>-473.80163859999999</v>
      </c>
      <c r="F1408" s="9">
        <f t="shared" si="379"/>
        <v>229.07342069999999</v>
      </c>
      <c r="I1408">
        <v>1</v>
      </c>
      <c r="J1408">
        <f t="shared" si="381"/>
        <v>0.33605685731053359</v>
      </c>
      <c r="K1408">
        <f t="shared" si="382"/>
        <v>2.6912485065147793</v>
      </c>
      <c r="O1408">
        <f t="shared" si="383"/>
        <v>-0.29688844224297278</v>
      </c>
      <c r="P1408">
        <f t="shared" si="384"/>
        <v>0.14353950153453973</v>
      </c>
      <c r="Q1408">
        <f t="shared" si="385"/>
        <v>0.94406232016840752</v>
      </c>
      <c r="R1408">
        <f t="shared" si="386"/>
        <v>1</v>
      </c>
      <c r="AG1408" s="8">
        <f t="shared" si="376"/>
        <v>-0.37729524528777381</v>
      </c>
      <c r="AH1408" s="8">
        <f t="shared" si="377"/>
        <v>0.67889616875213565</v>
      </c>
      <c r="AI1408" s="8">
        <f t="shared" si="378"/>
        <v>0.62987958368001595</v>
      </c>
      <c r="AJ1408" s="8"/>
      <c r="AK1408" s="8"/>
      <c r="AL1408" s="8"/>
      <c r="AN1408" s="8">
        <f t="shared" si="387"/>
        <v>0.99999999999999978</v>
      </c>
      <c r="AO1408" s="8">
        <f t="shared" si="388"/>
        <v>2.0780419402574144</v>
      </c>
      <c r="AP1408" s="8">
        <f t="shared" si="389"/>
        <v>0.88939816223496593</v>
      </c>
      <c r="AQ1408" s="8"/>
      <c r="AR1408" s="8">
        <f t="shared" si="390"/>
        <v>119.06303282792661</v>
      </c>
      <c r="AS1408" s="8">
        <f t="shared" si="391"/>
        <v>39.041238997244768</v>
      </c>
    </row>
    <row r="1409" spans="1:45">
      <c r="A1409" s="20">
        <v>45.945900000000002</v>
      </c>
      <c r="B1409" s="20">
        <v>485.64063829999998</v>
      </c>
      <c r="C1409" s="20">
        <v>-310.87452880000001</v>
      </c>
      <c r="E1409" s="9">
        <f t="shared" si="380"/>
        <v>-474.35936170000002</v>
      </c>
      <c r="F1409" s="9">
        <f t="shared" si="379"/>
        <v>229.12547119999999</v>
      </c>
      <c r="I1409">
        <v>1</v>
      </c>
      <c r="J1409">
        <f t="shared" si="381"/>
        <v>0.33637038429701782</v>
      </c>
      <c r="K1409">
        <f t="shared" si="382"/>
        <v>2.6916203805886973</v>
      </c>
      <c r="O1409">
        <f t="shared" si="383"/>
        <v>-0.29720831175347517</v>
      </c>
      <c r="P1409">
        <f t="shared" si="384"/>
        <v>0.14355781707569393</v>
      </c>
      <c r="Q1409">
        <f t="shared" si="385"/>
        <v>0.9439588828869141</v>
      </c>
      <c r="R1409">
        <f t="shared" si="386"/>
        <v>1</v>
      </c>
      <c r="AG1409" s="8">
        <f t="shared" si="376"/>
        <v>-0.37706682531135594</v>
      </c>
      <c r="AH1409" s="8">
        <f t="shared" si="377"/>
        <v>0.67912022471179179</v>
      </c>
      <c r="AI1409" s="8">
        <f t="shared" si="378"/>
        <v>0.62977482455002987</v>
      </c>
      <c r="AJ1409" s="8"/>
      <c r="AK1409" s="8"/>
      <c r="AL1409" s="8"/>
      <c r="AN1409" s="8">
        <f t="shared" si="387"/>
        <v>1</v>
      </c>
      <c r="AO1409" s="8">
        <f t="shared" si="388"/>
        <v>2.0776447884637044</v>
      </c>
      <c r="AP1409" s="8">
        <f t="shared" si="389"/>
        <v>0.88953303332053912</v>
      </c>
      <c r="AQ1409" s="8"/>
      <c r="AR1409" s="8">
        <f t="shared" si="390"/>
        <v>119.04027770632096</v>
      </c>
      <c r="AS1409" s="8">
        <f t="shared" si="391"/>
        <v>39.033511453263081</v>
      </c>
    </row>
    <row r="1410" spans="1:45">
      <c r="A1410" s="20">
        <v>45.979266670000001</v>
      </c>
      <c r="B1410" s="20">
        <v>484.8917707</v>
      </c>
      <c r="C1410" s="20">
        <v>-310.89023370000001</v>
      </c>
      <c r="E1410" s="9">
        <f t="shared" si="380"/>
        <v>-475.1082293</v>
      </c>
      <c r="F1410" s="9">
        <f t="shared" si="379"/>
        <v>229.10976629999999</v>
      </c>
      <c r="I1410">
        <v>1</v>
      </c>
      <c r="J1410">
        <f t="shared" si="381"/>
        <v>0.33676912327519176</v>
      </c>
      <c r="K1410">
        <f t="shared" si="382"/>
        <v>2.6922646976004936</v>
      </c>
      <c r="O1410">
        <f t="shared" si="383"/>
        <v>-0.29763975527114178</v>
      </c>
      <c r="P1410">
        <f t="shared" si="384"/>
        <v>0.14352976977946971</v>
      </c>
      <c r="Q1410">
        <f t="shared" si="385"/>
        <v>0.94382719883948418</v>
      </c>
      <c r="R1410">
        <f t="shared" si="386"/>
        <v>1</v>
      </c>
      <c r="AG1410" s="8">
        <f t="shared" si="376"/>
        <v>-0.37679569796476731</v>
      </c>
      <c r="AH1410" s="8">
        <f t="shared" si="377"/>
        <v>0.67943525008493388</v>
      </c>
      <c r="AI1410" s="8">
        <f t="shared" si="378"/>
        <v>0.62959728631663214</v>
      </c>
      <c r="AJ1410" s="8"/>
      <c r="AK1410" s="8"/>
      <c r="AL1410" s="8"/>
      <c r="AN1410" s="8">
        <f t="shared" si="387"/>
        <v>1.0000000000000002</v>
      </c>
      <c r="AO1410" s="8">
        <f t="shared" si="388"/>
        <v>2.0771428564393331</v>
      </c>
      <c r="AP1410" s="8">
        <f t="shared" si="389"/>
        <v>0.88976156946119744</v>
      </c>
      <c r="AQ1410" s="8"/>
      <c r="AR1410" s="8">
        <f t="shared" si="390"/>
        <v>119.01151911972204</v>
      </c>
      <c r="AS1410" s="8">
        <f t="shared" si="391"/>
        <v>39.020417296937147</v>
      </c>
    </row>
    <row r="1411" spans="1:45">
      <c r="A1411" s="20">
        <v>46.01263333</v>
      </c>
      <c r="B1411" s="20">
        <v>484.3093629</v>
      </c>
      <c r="C1411" s="20">
        <v>-310.80582049999998</v>
      </c>
      <c r="E1411" s="9">
        <f t="shared" si="380"/>
        <v>-475.6906371</v>
      </c>
      <c r="F1411" s="9">
        <f t="shared" si="379"/>
        <v>229.19417950000002</v>
      </c>
      <c r="I1411">
        <v>1</v>
      </c>
      <c r="J1411">
        <f t="shared" si="381"/>
        <v>0.33710428402434867</v>
      </c>
      <c r="K1411">
        <f t="shared" si="382"/>
        <v>2.6925997957153527</v>
      </c>
      <c r="O1411">
        <f t="shared" si="383"/>
        <v>-0.29797279870312504</v>
      </c>
      <c r="P1411">
        <f t="shared" si="384"/>
        <v>0.14356732251117379</v>
      </c>
      <c r="Q1411">
        <f t="shared" si="385"/>
        <v>0.9437163955023774</v>
      </c>
      <c r="R1411">
        <f t="shared" si="386"/>
        <v>1</v>
      </c>
      <c r="AG1411" s="8">
        <f t="shared" si="376"/>
        <v>-0.37654468635383403</v>
      </c>
      <c r="AH1411" s="8">
        <f t="shared" si="377"/>
        <v>0.67966387214692803</v>
      </c>
      <c r="AI1411" s="8">
        <f t="shared" si="378"/>
        <v>0.62950069108535311</v>
      </c>
      <c r="AJ1411" s="8"/>
      <c r="AK1411" s="8"/>
      <c r="AL1411" s="8"/>
      <c r="AN1411" s="8">
        <f t="shared" si="387"/>
        <v>1.0000000000000002</v>
      </c>
      <c r="AO1411" s="8">
        <f t="shared" si="388"/>
        <v>2.076717639389595</v>
      </c>
      <c r="AP1411" s="8">
        <f t="shared" si="389"/>
        <v>0.88988589392206696</v>
      </c>
      <c r="AQ1411" s="8"/>
      <c r="AR1411" s="8">
        <f t="shared" si="390"/>
        <v>118.98715597739503</v>
      </c>
      <c r="AS1411" s="8">
        <f t="shared" si="391"/>
        <v>39.013294030039084</v>
      </c>
    </row>
    <row r="1412" spans="1:45">
      <c r="A1412" s="20">
        <v>46.045999999999999</v>
      </c>
      <c r="B1412" s="20">
        <v>483.71303360000002</v>
      </c>
      <c r="C1412" s="20">
        <v>-310.72526390000002</v>
      </c>
      <c r="E1412" s="9">
        <f t="shared" si="380"/>
        <v>-476.28696639999998</v>
      </c>
      <c r="F1412" s="9">
        <f t="shared" si="379"/>
        <v>229.27473609999998</v>
      </c>
      <c r="I1412">
        <v>1</v>
      </c>
      <c r="J1412">
        <f t="shared" si="381"/>
        <v>0.33744589401944752</v>
      </c>
      <c r="K1412">
        <f t="shared" si="382"/>
        <v>2.6929521796552445</v>
      </c>
      <c r="O1412">
        <f t="shared" si="383"/>
        <v>-0.29831383279354784</v>
      </c>
      <c r="P1412">
        <f t="shared" si="384"/>
        <v>0.14360213508609718</v>
      </c>
      <c r="Q1412">
        <f t="shared" si="385"/>
        <v>0.94360335097048986</v>
      </c>
      <c r="R1412">
        <f t="shared" si="386"/>
        <v>1</v>
      </c>
      <c r="AG1412" s="8">
        <f t="shared" si="376"/>
        <v>-0.37629012495483061</v>
      </c>
      <c r="AH1412" s="8">
        <f t="shared" si="377"/>
        <v>0.67989880567208949</v>
      </c>
      <c r="AI1412" s="8">
        <f t="shared" si="378"/>
        <v>0.62939920234072766</v>
      </c>
      <c r="AJ1412" s="8"/>
      <c r="AK1412" s="8"/>
      <c r="AL1412" s="8"/>
      <c r="AN1412" s="8">
        <f t="shared" si="387"/>
        <v>1</v>
      </c>
      <c r="AO1412" s="8">
        <f t="shared" si="388"/>
        <v>2.0762845782752839</v>
      </c>
      <c r="AP1412" s="8">
        <f t="shared" si="389"/>
        <v>0.89001650317013692</v>
      </c>
      <c r="AQ1412" s="8"/>
      <c r="AR1412" s="8">
        <f t="shared" si="390"/>
        <v>118.96234340327378</v>
      </c>
      <c r="AS1412" s="8">
        <f t="shared" si="391"/>
        <v>39.005810671359299</v>
      </c>
    </row>
    <row r="1413" spans="1:45">
      <c r="A1413" s="20">
        <v>46.079366669999999</v>
      </c>
      <c r="B1413" s="20">
        <v>482.8810426</v>
      </c>
      <c r="C1413" s="20">
        <v>-310.60864789999999</v>
      </c>
      <c r="E1413" s="9">
        <f t="shared" si="380"/>
        <v>-477.1189574</v>
      </c>
      <c r="F1413" s="9">
        <f t="shared" si="379"/>
        <v>229.39135210000001</v>
      </c>
      <c r="I1413">
        <v>1</v>
      </c>
      <c r="J1413">
        <f t="shared" si="381"/>
        <v>0.33792353084630378</v>
      </c>
      <c r="K1413">
        <f t="shared" si="382"/>
        <v>2.6934353565439682</v>
      </c>
      <c r="O1413">
        <f t="shared" si="383"/>
        <v>-0.29878934095034454</v>
      </c>
      <c r="P1413">
        <f t="shared" si="384"/>
        <v>0.14365325428938291</v>
      </c>
      <c r="Q1413">
        <f t="shared" si="385"/>
        <v>0.9434451082424079</v>
      </c>
      <c r="R1413">
        <f t="shared" si="386"/>
        <v>1</v>
      </c>
      <c r="AG1413" s="8">
        <f t="shared" si="376"/>
        <v>-0.37593322517230976</v>
      </c>
      <c r="AH1413" s="8">
        <f t="shared" si="377"/>
        <v>0.68022563591313889</v>
      </c>
      <c r="AI1413" s="8">
        <f t="shared" si="378"/>
        <v>0.6292593221066427</v>
      </c>
      <c r="AJ1413" s="8"/>
      <c r="AK1413" s="8"/>
      <c r="AL1413" s="8"/>
      <c r="AN1413" s="8">
        <f t="shared" si="387"/>
        <v>1.0000000000000004</v>
      </c>
      <c r="AO1413" s="8">
        <f t="shared" si="388"/>
        <v>2.0756791606441816</v>
      </c>
      <c r="AP1413" s="8">
        <f t="shared" si="389"/>
        <v>0.89019649706398274</v>
      </c>
      <c r="AQ1413" s="8"/>
      <c r="AR1413" s="8">
        <f t="shared" si="390"/>
        <v>118.92765552816881</v>
      </c>
      <c r="AS1413" s="8">
        <f t="shared" si="391"/>
        <v>38.995497780903811</v>
      </c>
    </row>
    <row r="1414" spans="1:45">
      <c r="A1414" s="20">
        <v>46.112733329999998</v>
      </c>
      <c r="B1414" s="20">
        <v>482.46942560000002</v>
      </c>
      <c r="C1414" s="20">
        <v>-310.4437312</v>
      </c>
      <c r="E1414" s="9">
        <f t="shared" si="380"/>
        <v>-477.53057439999998</v>
      </c>
      <c r="F1414" s="9">
        <f t="shared" si="379"/>
        <v>229.5562688</v>
      </c>
      <c r="I1414">
        <v>1</v>
      </c>
      <c r="J1414">
        <f t="shared" si="381"/>
        <v>0.33818751710341344</v>
      </c>
      <c r="K1414">
        <f t="shared" si="382"/>
        <v>2.6934914587121841</v>
      </c>
      <c r="O1414">
        <f t="shared" si="383"/>
        <v>-0.29902185686261096</v>
      </c>
      <c r="P1414">
        <f t="shared" si="384"/>
        <v>0.14374439131415895</v>
      </c>
      <c r="Q1414">
        <f t="shared" si="385"/>
        <v>0.94335755632960194</v>
      </c>
      <c r="R1414">
        <f t="shared" si="386"/>
        <v>1</v>
      </c>
      <c r="AG1414" s="8">
        <f t="shared" si="376"/>
        <v>-0.37571213030079459</v>
      </c>
      <c r="AH1414" s="8">
        <f t="shared" si="377"/>
        <v>0.68036921464048761</v>
      </c>
      <c r="AI1414" s="8">
        <f t="shared" si="378"/>
        <v>0.6292361455879063</v>
      </c>
      <c r="AJ1414" s="8"/>
      <c r="AK1414" s="8"/>
      <c r="AL1414" s="8"/>
      <c r="AN1414" s="8">
        <f t="shared" si="387"/>
        <v>1</v>
      </c>
      <c r="AO1414" s="8">
        <f t="shared" si="388"/>
        <v>2.0753408255151511</v>
      </c>
      <c r="AP1414" s="8">
        <f t="shared" si="389"/>
        <v>0.89022631741373226</v>
      </c>
      <c r="AQ1414" s="8"/>
      <c r="AR1414" s="8">
        <f t="shared" si="390"/>
        <v>118.90827035321435</v>
      </c>
      <c r="AS1414" s="8">
        <f t="shared" si="391"/>
        <v>38.993789200719561</v>
      </c>
    </row>
    <row r="1415" spans="1:45">
      <c r="A1415" s="20">
        <v>46.146099999999997</v>
      </c>
      <c r="B1415" s="20">
        <v>481.71241400000002</v>
      </c>
      <c r="C1415" s="20">
        <v>-310.38696809999999</v>
      </c>
      <c r="E1415" s="9">
        <f t="shared" si="380"/>
        <v>-478.28758599999998</v>
      </c>
      <c r="F1415" s="9">
        <f t="shared" si="379"/>
        <v>229.61303190000001</v>
      </c>
      <c r="I1415">
        <v>1</v>
      </c>
      <c r="J1415">
        <f t="shared" si="381"/>
        <v>0.33860923229316636</v>
      </c>
      <c r="K1415">
        <f t="shared" si="382"/>
        <v>2.6940132213205081</v>
      </c>
      <c r="O1415">
        <f t="shared" si="383"/>
        <v>-0.29945543106727146</v>
      </c>
      <c r="P1415">
        <f t="shared" si="384"/>
        <v>0.14376051450826846</v>
      </c>
      <c r="Q1415">
        <f t="shared" si="385"/>
        <v>0.9432175567029234</v>
      </c>
      <c r="R1415">
        <f t="shared" si="386"/>
        <v>1</v>
      </c>
      <c r="AG1415" s="8">
        <f t="shared" si="376"/>
        <v>-0.37540791730475764</v>
      </c>
      <c r="AH1415" s="8">
        <f t="shared" si="377"/>
        <v>0.68067451632428855</v>
      </c>
      <c r="AI1415" s="8">
        <f t="shared" si="378"/>
        <v>0.62908751255417572</v>
      </c>
      <c r="AJ1415" s="8"/>
      <c r="AK1415" s="8"/>
      <c r="AL1415" s="8"/>
      <c r="AN1415" s="8">
        <f t="shared" si="387"/>
        <v>1</v>
      </c>
      <c r="AO1415" s="8">
        <f t="shared" si="388"/>
        <v>2.0748083752068225</v>
      </c>
      <c r="AP1415" s="8">
        <f t="shared" si="389"/>
        <v>0.89041754080499513</v>
      </c>
      <c r="AQ1415" s="8"/>
      <c r="AR1415" s="8">
        <f t="shared" si="390"/>
        <v>118.87776319774669</v>
      </c>
      <c r="AS1415" s="8">
        <f t="shared" si="391"/>
        <v>38.982832907456014</v>
      </c>
    </row>
    <row r="1416" spans="1:45">
      <c r="A1416" s="20">
        <v>46.179466669999996</v>
      </c>
      <c r="B1416" s="20">
        <v>481.4317537</v>
      </c>
      <c r="C1416" s="20">
        <v>-310.19861020000002</v>
      </c>
      <c r="E1416" s="9">
        <f t="shared" si="380"/>
        <v>-478.5682463</v>
      </c>
      <c r="F1416" s="9">
        <f t="shared" si="379"/>
        <v>229.80138979999998</v>
      </c>
      <c r="I1416">
        <v>1</v>
      </c>
      <c r="J1416">
        <f t="shared" si="381"/>
        <v>0.3388087534256905</v>
      </c>
      <c r="K1416">
        <f t="shared" si="382"/>
        <v>2.6939221679008716</v>
      </c>
      <c r="O1416">
        <f t="shared" si="383"/>
        <v>-0.29961198099778685</v>
      </c>
      <c r="P1416">
        <f t="shared" si="384"/>
        <v>0.1438692394790895</v>
      </c>
      <c r="Q1416">
        <f t="shared" si="385"/>
        <v>0.94315126187387899</v>
      </c>
      <c r="R1416">
        <f t="shared" si="386"/>
        <v>1</v>
      </c>
      <c r="AG1416" s="8">
        <f t="shared" si="376"/>
        <v>-0.37522566371559951</v>
      </c>
      <c r="AH1416" s="8">
        <f t="shared" si="377"/>
        <v>0.68075953000414546</v>
      </c>
      <c r="AI1416" s="8">
        <f t="shared" si="378"/>
        <v>0.62910425495121469</v>
      </c>
      <c r="AJ1416" s="8"/>
      <c r="AK1416" s="8"/>
      <c r="AL1416" s="8"/>
      <c r="AN1416" s="8">
        <f t="shared" si="387"/>
        <v>1</v>
      </c>
      <c r="AO1416" s="8">
        <f t="shared" si="388"/>
        <v>2.0745502482954743</v>
      </c>
      <c r="AP1416" s="8">
        <f t="shared" si="389"/>
        <v>0.89039600240256822</v>
      </c>
      <c r="AQ1416" s="8"/>
      <c r="AR1416" s="8">
        <f t="shared" si="390"/>
        <v>118.86297361514768</v>
      </c>
      <c r="AS1416" s="8">
        <f t="shared" si="391"/>
        <v>38.984066967012531</v>
      </c>
    </row>
    <row r="1417" spans="1:45">
      <c r="A1417" s="20">
        <v>46.212833330000002</v>
      </c>
      <c r="B1417" s="20">
        <v>480.7687444</v>
      </c>
      <c r="C1417" s="20">
        <v>-310.04823320000003</v>
      </c>
      <c r="E1417" s="9">
        <f t="shared" si="380"/>
        <v>-479.2312556</v>
      </c>
      <c r="F1417" s="9">
        <f t="shared" si="379"/>
        <v>229.95176679999997</v>
      </c>
      <c r="I1417">
        <v>1</v>
      </c>
      <c r="J1417">
        <f t="shared" si="381"/>
        <v>0.33920397078017678</v>
      </c>
      <c r="K1417">
        <f t="shared" si="382"/>
        <v>2.6942070658113426</v>
      </c>
      <c r="O1417">
        <f t="shared" si="383"/>
        <v>-0.29998899763743347</v>
      </c>
      <c r="P1417">
        <f t="shared" si="384"/>
        <v>0.1439451188151778</v>
      </c>
      <c r="Q1417">
        <f t="shared" si="385"/>
        <v>0.94301983227595609</v>
      </c>
      <c r="R1417">
        <f t="shared" si="386"/>
        <v>1</v>
      </c>
      <c r="AG1417" s="8">
        <f t="shared" si="376"/>
        <v>-0.37491745872232879</v>
      </c>
      <c r="AH1417" s="8">
        <f t="shared" si="377"/>
        <v>0.68100973764992223</v>
      </c>
      <c r="AI1417" s="8">
        <f t="shared" si="378"/>
        <v>0.62901719878805784</v>
      </c>
      <c r="AJ1417" s="8"/>
      <c r="AK1417" s="8"/>
      <c r="AL1417" s="8"/>
      <c r="AN1417" s="8">
        <f t="shared" si="387"/>
        <v>1</v>
      </c>
      <c r="AO1417" s="8">
        <f t="shared" si="388"/>
        <v>2.0740476724636672</v>
      </c>
      <c r="AP1417" s="8">
        <f t="shared" si="389"/>
        <v>0.89050799246271939</v>
      </c>
      <c r="AQ1417" s="8"/>
      <c r="AR1417" s="8">
        <f t="shared" si="390"/>
        <v>118.83417814109985</v>
      </c>
      <c r="AS1417" s="8">
        <f t="shared" si="391"/>
        <v>38.977650409218455</v>
      </c>
    </row>
    <row r="1418" spans="1:45">
      <c r="A1418" s="20">
        <v>46.246200000000002</v>
      </c>
      <c r="B1418" s="20">
        <v>480.06160260000001</v>
      </c>
      <c r="C1418" s="20">
        <v>-309.94017680000002</v>
      </c>
      <c r="E1418" s="9">
        <f t="shared" si="380"/>
        <v>-479.93839739999999</v>
      </c>
      <c r="F1418" s="9">
        <f t="shared" si="379"/>
        <v>230.05982319999998</v>
      </c>
      <c r="I1418">
        <v>1</v>
      </c>
      <c r="J1418">
        <f t="shared" si="381"/>
        <v>0.33961192369422177</v>
      </c>
      <c r="K1418">
        <f t="shared" si="382"/>
        <v>2.6945988044934164</v>
      </c>
      <c r="O1418">
        <f t="shared" si="383"/>
        <v>-0.30039224890231131</v>
      </c>
      <c r="P1418">
        <f t="shared" si="384"/>
        <v>0.14399387097906777</v>
      </c>
      <c r="Q1418">
        <f t="shared" si="385"/>
        <v>0.9428840129728977</v>
      </c>
      <c r="R1418">
        <f t="shared" si="386"/>
        <v>1</v>
      </c>
      <c r="AG1418" s="8">
        <f t="shared" si="376"/>
        <v>-0.3746104820228528</v>
      </c>
      <c r="AH1418" s="8">
        <f t="shared" si="377"/>
        <v>0.68128520266643533</v>
      </c>
      <c r="AI1418" s="8">
        <f t="shared" si="378"/>
        <v>0.62890178834724275</v>
      </c>
      <c r="AJ1418" s="8"/>
      <c r="AK1418" s="8"/>
      <c r="AL1418" s="8"/>
      <c r="AN1418" s="8">
        <f t="shared" si="387"/>
        <v>1</v>
      </c>
      <c r="AO1418" s="8">
        <f t="shared" si="388"/>
        <v>2.0735309192557003</v>
      </c>
      <c r="AP1418" s="8">
        <f t="shared" si="389"/>
        <v>0.89065644215320749</v>
      </c>
      <c r="AQ1418" s="8"/>
      <c r="AR1418" s="8">
        <f t="shared" si="390"/>
        <v>118.80457036323351</v>
      </c>
      <c r="AS1418" s="8">
        <f t="shared" si="391"/>
        <v>38.969144868483461</v>
      </c>
    </row>
    <row r="1419" spans="1:45">
      <c r="A1419" s="20">
        <v>46.279566670000001</v>
      </c>
      <c r="B1419" s="20">
        <v>479.5791772</v>
      </c>
      <c r="C1419" s="20">
        <v>-309.826593</v>
      </c>
      <c r="E1419" s="9">
        <f t="shared" si="380"/>
        <v>-480.4208228</v>
      </c>
      <c r="F1419" s="9">
        <f t="shared" si="379"/>
        <v>230.173407</v>
      </c>
      <c r="I1419">
        <v>1</v>
      </c>
      <c r="J1419">
        <f t="shared" si="381"/>
        <v>0.33990046455783385</v>
      </c>
      <c r="K1419">
        <f t="shared" si="382"/>
        <v>2.6947979871573229</v>
      </c>
      <c r="O1419">
        <f t="shared" si="383"/>
        <v>-0.30066626571670874</v>
      </c>
      <c r="P1419">
        <f t="shared" si="384"/>
        <v>0.14405158033458612</v>
      </c>
      <c r="Q1419">
        <f t="shared" si="385"/>
        <v>0.94278785464338566</v>
      </c>
      <c r="R1419">
        <f t="shared" si="386"/>
        <v>1</v>
      </c>
      <c r="AG1419" s="8">
        <f t="shared" si="376"/>
        <v>-0.37438452054004362</v>
      </c>
      <c r="AH1419" s="8">
        <f t="shared" si="377"/>
        <v>0.68146631165345994</v>
      </c>
      <c r="AI1419" s="8">
        <f t="shared" si="378"/>
        <v>0.6288401202701932</v>
      </c>
      <c r="AJ1419" s="8"/>
      <c r="AK1419" s="8"/>
      <c r="AL1419" s="8"/>
      <c r="AN1419" s="8">
        <f t="shared" si="387"/>
        <v>1</v>
      </c>
      <c r="AO1419" s="8">
        <f t="shared" si="388"/>
        <v>2.0731640346861337</v>
      </c>
      <c r="AP1419" s="8">
        <f t="shared" si="389"/>
        <v>0.8907357570191784</v>
      </c>
      <c r="AQ1419" s="8"/>
      <c r="AR1419" s="8">
        <f t="shared" si="390"/>
        <v>118.78354942582887</v>
      </c>
      <c r="AS1419" s="8">
        <f t="shared" si="391"/>
        <v>38.964600461410683</v>
      </c>
    </row>
    <row r="1420" spans="1:45">
      <c r="A1420" s="20">
        <v>46.31293333</v>
      </c>
      <c r="B1420" s="20">
        <v>478.7799344</v>
      </c>
      <c r="C1420" s="20">
        <v>-309.67068870000003</v>
      </c>
      <c r="E1420" s="9">
        <f t="shared" si="380"/>
        <v>-481.2200656</v>
      </c>
      <c r="F1420" s="9">
        <f t="shared" si="379"/>
        <v>230.32931129999997</v>
      </c>
      <c r="I1420">
        <v>1</v>
      </c>
      <c r="J1420">
        <f t="shared" si="381"/>
        <v>0.34037009835100507</v>
      </c>
      <c r="K1420">
        <f t="shared" si="382"/>
        <v>2.6951817425903872</v>
      </c>
      <c r="O1420">
        <f t="shared" si="383"/>
        <v>-0.30112086611346139</v>
      </c>
      <c r="P1420">
        <f t="shared" si="384"/>
        <v>0.14412732690914856</v>
      </c>
      <c r="Q1420">
        <f t="shared" si="385"/>
        <v>0.94263117794241369</v>
      </c>
      <c r="R1420">
        <f t="shared" si="386"/>
        <v>1</v>
      </c>
      <c r="AG1420" s="8">
        <f t="shared" si="376"/>
        <v>-0.37402358241207068</v>
      </c>
      <c r="AH1420" s="8">
        <f t="shared" si="377"/>
        <v>0.68177157819039103</v>
      </c>
      <c r="AI1420" s="8">
        <f t="shared" si="378"/>
        <v>0.62872400540413964</v>
      </c>
      <c r="AJ1420" s="8"/>
      <c r="AK1420" s="8"/>
      <c r="AL1420" s="8"/>
      <c r="AN1420" s="8">
        <f t="shared" si="387"/>
        <v>1</v>
      </c>
      <c r="AO1420" s="8">
        <f t="shared" si="388"/>
        <v>2.072568211770681</v>
      </c>
      <c r="AP1420" s="8">
        <f t="shared" si="389"/>
        <v>0.89088508522985788</v>
      </c>
      <c r="AQ1420" s="8"/>
      <c r="AR1420" s="8">
        <f t="shared" si="390"/>
        <v>118.74941128743625</v>
      </c>
      <c r="AS1420" s="8">
        <f t="shared" si="391"/>
        <v>38.956044585176507</v>
      </c>
    </row>
    <row r="1421" spans="1:45">
      <c r="A1421" s="20">
        <v>46.346299999999999</v>
      </c>
      <c r="B1421" s="20">
        <v>478.1879318</v>
      </c>
      <c r="C1421" s="20">
        <v>-309.7827441</v>
      </c>
      <c r="E1421" s="9">
        <f t="shared" si="380"/>
        <v>-481.8120682</v>
      </c>
      <c r="F1421" s="9">
        <f t="shared" si="379"/>
        <v>230.2172559</v>
      </c>
      <c r="I1421">
        <v>1</v>
      </c>
      <c r="J1421">
        <f t="shared" si="381"/>
        <v>0.34065944062242554</v>
      </c>
      <c r="K1421">
        <f t="shared" si="382"/>
        <v>2.6958496608277782</v>
      </c>
      <c r="O1421">
        <f t="shared" si="383"/>
        <v>-0.30146314508079947</v>
      </c>
      <c r="P1421">
        <f t="shared" si="384"/>
        <v>0.14404375190261223</v>
      </c>
      <c r="Q1421">
        <f t="shared" si="385"/>
        <v>0.94253454562462136</v>
      </c>
      <c r="R1421">
        <f t="shared" si="386"/>
        <v>1</v>
      </c>
      <c r="AG1421" s="8">
        <f t="shared" si="376"/>
        <v>-0.37385065085025754</v>
      </c>
      <c r="AH1421" s="8">
        <f t="shared" si="377"/>
        <v>0.68203579632890055</v>
      </c>
      <c r="AI1421" s="8">
        <f t="shared" si="378"/>
        <v>0.62854026393290119</v>
      </c>
      <c r="AJ1421" s="8"/>
      <c r="AK1421" s="8"/>
      <c r="AL1421" s="8"/>
      <c r="AN1421" s="8">
        <f t="shared" si="387"/>
        <v>0.99999999999999978</v>
      </c>
      <c r="AO1421" s="8">
        <f t="shared" si="388"/>
        <v>2.0722098852227111</v>
      </c>
      <c r="AP1421" s="8">
        <f t="shared" si="389"/>
        <v>0.89112134704271795</v>
      </c>
      <c r="AQ1421" s="8"/>
      <c r="AR1421" s="8">
        <f t="shared" si="390"/>
        <v>118.72888068855008</v>
      </c>
      <c r="AS1421" s="8">
        <f t="shared" si="391"/>
        <v>38.94250778043952</v>
      </c>
    </row>
    <row r="1422" spans="1:45">
      <c r="A1422" s="20">
        <v>46.379666669999999</v>
      </c>
      <c r="B1422" s="20">
        <v>477.67391600000002</v>
      </c>
      <c r="C1422" s="20">
        <v>-309.84634649999998</v>
      </c>
      <c r="E1422" s="9">
        <f t="shared" si="380"/>
        <v>-482.32608399999998</v>
      </c>
      <c r="F1422" s="9">
        <f t="shared" si="379"/>
        <v>230.15365350000002</v>
      </c>
      <c r="I1422">
        <v>1</v>
      </c>
      <c r="J1422">
        <f t="shared" si="381"/>
        <v>0.34091937583772136</v>
      </c>
      <c r="K1422">
        <f t="shared" si="382"/>
        <v>2.6963717081087641</v>
      </c>
      <c r="O1422">
        <f t="shared" si="383"/>
        <v>-0.30175940588665684</v>
      </c>
      <c r="P1422">
        <f t="shared" si="384"/>
        <v>0.14399185954621424</v>
      </c>
      <c r="Q1422">
        <f t="shared" si="385"/>
        <v>0.94244766716425965</v>
      </c>
      <c r="R1422">
        <f t="shared" si="386"/>
        <v>1</v>
      </c>
      <c r="AG1422" s="8">
        <f t="shared" si="376"/>
        <v>-0.37368651138651332</v>
      </c>
      <c r="AH1422" s="8">
        <f t="shared" si="377"/>
        <v>0.68225942814136242</v>
      </c>
      <c r="AI1422" s="8">
        <f t="shared" si="378"/>
        <v>0.62839514950387576</v>
      </c>
      <c r="AJ1422" s="8"/>
      <c r="AK1422" s="8"/>
      <c r="AL1422" s="8"/>
      <c r="AN1422" s="8">
        <f t="shared" si="387"/>
        <v>1</v>
      </c>
      <c r="AO1422" s="8">
        <f t="shared" si="388"/>
        <v>2.0718866707840116</v>
      </c>
      <c r="AP1422" s="8">
        <f t="shared" si="389"/>
        <v>0.89130790884978772</v>
      </c>
      <c r="AQ1422" s="8"/>
      <c r="AR1422" s="8">
        <f t="shared" si="390"/>
        <v>118.7103618653349</v>
      </c>
      <c r="AS1422" s="8">
        <f t="shared" si="391"/>
        <v>38.931818576276086</v>
      </c>
    </row>
    <row r="1423" spans="1:45">
      <c r="A1423" s="20">
        <v>46.413033329999998</v>
      </c>
      <c r="B1423" s="20">
        <v>476.90562119999998</v>
      </c>
      <c r="C1423" s="20">
        <v>-309.78278</v>
      </c>
      <c r="E1423" s="9">
        <f t="shared" si="380"/>
        <v>-483.09437880000002</v>
      </c>
      <c r="F1423" s="9">
        <f t="shared" si="379"/>
        <v>230.21722</v>
      </c>
      <c r="I1423">
        <v>1</v>
      </c>
      <c r="J1423">
        <f t="shared" si="381"/>
        <v>0.34134859222160419</v>
      </c>
      <c r="K1423">
        <f t="shared" si="382"/>
        <v>2.6968827883426507</v>
      </c>
      <c r="O1423">
        <f t="shared" si="383"/>
        <v>-0.30219809918950008</v>
      </c>
      <c r="P1423">
        <f t="shared" si="384"/>
        <v>0.14401162451425106</v>
      </c>
      <c r="Q1423">
        <f t="shared" si="385"/>
        <v>0.94230407027191565</v>
      </c>
      <c r="R1423">
        <f t="shared" si="386"/>
        <v>1</v>
      </c>
      <c r="AG1423" s="8">
        <f t="shared" si="376"/>
        <v>-0.37337537110839991</v>
      </c>
      <c r="AH1423" s="8">
        <f t="shared" si="377"/>
        <v>0.68256681752221826</v>
      </c>
      <c r="AI1423" s="8">
        <f t="shared" si="378"/>
        <v>0.62824626689480245</v>
      </c>
      <c r="AJ1423" s="8"/>
      <c r="AK1423" s="8"/>
      <c r="AL1423" s="8"/>
      <c r="AN1423" s="8">
        <f t="shared" si="387"/>
        <v>1</v>
      </c>
      <c r="AO1423" s="8">
        <f t="shared" si="388"/>
        <v>2.071346124515105</v>
      </c>
      <c r="AP1423" s="8">
        <f t="shared" si="389"/>
        <v>0.89149928588284699</v>
      </c>
      <c r="AQ1423" s="8"/>
      <c r="AR1423" s="8">
        <f t="shared" si="390"/>
        <v>118.67939084549502</v>
      </c>
      <c r="AS1423" s="8">
        <f t="shared" si="391"/>
        <v>38.920853479986057</v>
      </c>
    </row>
    <row r="1424" spans="1:45">
      <c r="A1424" s="20">
        <v>46.446399999999997</v>
      </c>
      <c r="B1424" s="20">
        <v>476.35697699999997</v>
      </c>
      <c r="C1424" s="20">
        <v>-309.64973250000003</v>
      </c>
      <c r="E1424" s="9">
        <f t="shared" si="380"/>
        <v>-483.64302300000003</v>
      </c>
      <c r="F1424" s="9">
        <f t="shared" si="379"/>
        <v>230.35026749999997</v>
      </c>
      <c r="I1424">
        <v>1</v>
      </c>
      <c r="J1424">
        <f t="shared" si="381"/>
        <v>0.34167750386518975</v>
      </c>
      <c r="K1424">
        <f t="shared" si="382"/>
        <v>2.6970991750658251</v>
      </c>
      <c r="O1424">
        <f t="shared" si="383"/>
        <v>-0.30250905594434818</v>
      </c>
      <c r="P1424">
        <f t="shared" si="384"/>
        <v>0.14407949385006025</v>
      </c>
      <c r="Q1424">
        <f t="shared" si="385"/>
        <v>0.94219391344009951</v>
      </c>
      <c r="R1424">
        <f t="shared" si="386"/>
        <v>1</v>
      </c>
      <c r="AG1424" s="8">
        <f t="shared" si="376"/>
        <v>-0.3731168432094128</v>
      </c>
      <c r="AH1424" s="8">
        <f t="shared" si="377"/>
        <v>0.68277144019923974</v>
      </c>
      <c r="AI1424" s="8">
        <f t="shared" si="378"/>
        <v>0.62817750816285878</v>
      </c>
      <c r="AJ1424" s="8"/>
      <c r="AK1424" s="8"/>
      <c r="AL1424" s="8"/>
      <c r="AN1424" s="8">
        <f t="shared" si="387"/>
        <v>1</v>
      </c>
      <c r="AO1424" s="8">
        <f t="shared" si="388"/>
        <v>2.0709284096145062</v>
      </c>
      <c r="AP1424" s="8">
        <f t="shared" si="389"/>
        <v>0.89158765991057687</v>
      </c>
      <c r="AQ1424" s="8"/>
      <c r="AR1424" s="8">
        <f t="shared" si="390"/>
        <v>118.65545754465099</v>
      </c>
      <c r="AS1424" s="8">
        <f t="shared" si="391"/>
        <v>38.915790021178559</v>
      </c>
    </row>
    <row r="1425" spans="1:45">
      <c r="A1425" s="20">
        <v>46.479766669999997</v>
      </c>
      <c r="B1425" s="20">
        <v>475.82294880000001</v>
      </c>
      <c r="C1425" s="20">
        <v>-309.24789879999997</v>
      </c>
      <c r="E1425" s="9">
        <f t="shared" si="380"/>
        <v>-484.17705119999999</v>
      </c>
      <c r="F1425" s="9">
        <f t="shared" si="379"/>
        <v>230.75210120000003</v>
      </c>
      <c r="I1425">
        <v>1</v>
      </c>
      <c r="J1425">
        <f t="shared" si="381"/>
        <v>0.34206728414146714</v>
      </c>
      <c r="K1425">
        <f t="shared" si="382"/>
        <v>2.696850915756976</v>
      </c>
      <c r="O1425">
        <f t="shared" si="383"/>
        <v>-0.30280477788441029</v>
      </c>
      <c r="P1425">
        <f t="shared" si="384"/>
        <v>0.14431257858473862</v>
      </c>
      <c r="Q1425">
        <f t="shared" si="385"/>
        <v>0.94206323893494359</v>
      </c>
      <c r="R1425">
        <f t="shared" si="386"/>
        <v>1</v>
      </c>
      <c r="AG1425" s="8">
        <f t="shared" si="376"/>
        <v>-0.37275230079797927</v>
      </c>
      <c r="AH1425" s="8">
        <f t="shared" si="377"/>
        <v>0.6829246695920187</v>
      </c>
      <c r="AI1425" s="8">
        <f t="shared" si="378"/>
        <v>0.62822736163943471</v>
      </c>
      <c r="AJ1425" s="8"/>
      <c r="AK1425" s="8"/>
      <c r="AL1425" s="8"/>
      <c r="AN1425" s="8">
        <f t="shared" si="387"/>
        <v>1.0000000000000002</v>
      </c>
      <c r="AO1425" s="8">
        <f t="shared" si="388"/>
        <v>2.0704228083715526</v>
      </c>
      <c r="AP1425" s="8">
        <f t="shared" si="389"/>
        <v>0.89152358500435069</v>
      </c>
      <c r="AQ1425" s="8"/>
      <c r="AR1425" s="8">
        <f t="shared" si="390"/>
        <v>118.62648872731317</v>
      </c>
      <c r="AS1425" s="8">
        <f t="shared" si="391"/>
        <v>38.919461242878015</v>
      </c>
    </row>
    <row r="1426" spans="1:45">
      <c r="A1426" s="20">
        <v>46.513133330000002</v>
      </c>
      <c r="B1426" s="20">
        <v>475.47432520000001</v>
      </c>
      <c r="C1426" s="20">
        <v>-308.83300860000003</v>
      </c>
      <c r="E1426" s="9">
        <f t="shared" si="380"/>
        <v>-484.52567479999999</v>
      </c>
      <c r="F1426" s="9">
        <f t="shared" si="379"/>
        <v>231.16699139999997</v>
      </c>
      <c r="I1426">
        <v>1</v>
      </c>
      <c r="J1426">
        <f t="shared" si="381"/>
        <v>0.34236076946794514</v>
      </c>
      <c r="K1426">
        <f t="shared" si="382"/>
        <v>2.6964326504464466</v>
      </c>
      <c r="O1426">
        <f t="shared" si="383"/>
        <v>-0.30299391373068746</v>
      </c>
      <c r="P1426">
        <f t="shared" si="384"/>
        <v>0.14455826614048026</v>
      </c>
      <c r="Q1426">
        <f t="shared" si="385"/>
        <v>0.94196475302031279</v>
      </c>
      <c r="R1426">
        <f t="shared" si="386"/>
        <v>1</v>
      </c>
      <c r="AG1426" s="8">
        <f t="shared" si="376"/>
        <v>-0.37245108253747383</v>
      </c>
      <c r="AH1426" s="8">
        <f t="shared" si="377"/>
        <v>0.68299893147248769</v>
      </c>
      <c r="AI1426" s="8">
        <f t="shared" si="378"/>
        <v>0.62832527461825383</v>
      </c>
      <c r="AJ1426" s="8"/>
      <c r="AK1426" s="8"/>
      <c r="AL1426" s="8"/>
      <c r="AN1426" s="8">
        <f t="shared" si="387"/>
        <v>1.0000000000000002</v>
      </c>
      <c r="AO1426" s="8">
        <f t="shared" si="388"/>
        <v>2.0700372100233486</v>
      </c>
      <c r="AP1426" s="8">
        <f t="shared" si="389"/>
        <v>0.89139773127307698</v>
      </c>
      <c r="AQ1426" s="8"/>
      <c r="AR1426" s="8">
        <f t="shared" si="390"/>
        <v>118.60439556937386</v>
      </c>
      <c r="AS1426" s="8">
        <f t="shared" si="391"/>
        <v>38.926672130515975</v>
      </c>
    </row>
    <row r="1427" spans="1:45">
      <c r="A1427" s="20">
        <v>46.546500000000002</v>
      </c>
      <c r="B1427" s="20">
        <v>474.66285269999997</v>
      </c>
      <c r="C1427" s="20">
        <v>-308.90074179999999</v>
      </c>
      <c r="E1427" s="9">
        <f t="shared" si="380"/>
        <v>-485.33714730000003</v>
      </c>
      <c r="F1427" s="9">
        <f t="shared" si="379"/>
        <v>231.09925820000001</v>
      </c>
      <c r="I1427">
        <v>1</v>
      </c>
      <c r="J1427">
        <f t="shared" si="381"/>
        <v>0.34277917778048794</v>
      </c>
      <c r="K1427">
        <f t="shared" si="382"/>
        <v>2.6971964021091885</v>
      </c>
      <c r="O1427">
        <f t="shared" si="383"/>
        <v>-0.30346005001264181</v>
      </c>
      <c r="P1427">
        <f t="shared" si="384"/>
        <v>0.14449623904000811</v>
      </c>
      <c r="Q1427">
        <f t="shared" si="385"/>
        <v>0.94182420596925509</v>
      </c>
      <c r="R1427">
        <f t="shared" si="386"/>
        <v>1</v>
      </c>
      <c r="AG1427" s="8">
        <f t="shared" si="376"/>
        <v>-0.37217847465770781</v>
      </c>
      <c r="AH1427" s="8">
        <f t="shared" si="377"/>
        <v>0.6833455816267181</v>
      </c>
      <c r="AI1427" s="8">
        <f t="shared" si="378"/>
        <v>0.62810986226352505</v>
      </c>
      <c r="AJ1427" s="8"/>
      <c r="AK1427" s="8"/>
      <c r="AL1427" s="8"/>
      <c r="AN1427" s="8">
        <f t="shared" si="387"/>
        <v>1</v>
      </c>
      <c r="AO1427" s="8">
        <f t="shared" si="388"/>
        <v>2.069516346137652</v>
      </c>
      <c r="AP1427" s="8">
        <f t="shared" si="389"/>
        <v>0.89167459748724343</v>
      </c>
      <c r="AQ1427" s="8"/>
      <c r="AR1427" s="8">
        <f t="shared" si="390"/>
        <v>118.57455226702267</v>
      </c>
      <c r="AS1427" s="8">
        <f t="shared" si="391"/>
        <v>38.910808864954468</v>
      </c>
    </row>
    <row r="1428" spans="1:45">
      <c r="A1428" s="20">
        <v>46.579866670000001</v>
      </c>
      <c r="B1428" s="20">
        <v>474.10808980000002</v>
      </c>
      <c r="C1428" s="20">
        <v>-309.0059832</v>
      </c>
      <c r="E1428" s="9">
        <f t="shared" si="380"/>
        <v>-485.89191019999998</v>
      </c>
      <c r="F1428" s="9">
        <f t="shared" si="379"/>
        <v>230.9940168</v>
      </c>
      <c r="I1428">
        <v>1</v>
      </c>
      <c r="J1428">
        <f t="shared" si="381"/>
        <v>0.34305021194104052</v>
      </c>
      <c r="K1428">
        <f t="shared" si="382"/>
        <v>2.6978163204714694</v>
      </c>
      <c r="O1428">
        <f t="shared" si="383"/>
        <v>-0.30378009699803948</v>
      </c>
      <c r="P1428">
        <f t="shared" si="384"/>
        <v>0.1444176849962108</v>
      </c>
      <c r="Q1428">
        <f t="shared" si="385"/>
        <v>0.94173307520135285</v>
      </c>
      <c r="R1428">
        <f t="shared" si="386"/>
        <v>1</v>
      </c>
      <c r="AG1428" s="8">
        <f t="shared" si="376"/>
        <v>-0.37201652607405222</v>
      </c>
      <c r="AH1428" s="8">
        <f t="shared" si="377"/>
        <v>0.68359234119630119</v>
      </c>
      <c r="AI1428" s="8">
        <f t="shared" si="378"/>
        <v>0.62793727026316404</v>
      </c>
      <c r="AJ1428" s="8"/>
      <c r="AK1428" s="8"/>
      <c r="AL1428" s="8"/>
      <c r="AN1428" s="8">
        <f t="shared" si="387"/>
        <v>1.0000000000000002</v>
      </c>
      <c r="AO1428" s="8">
        <f t="shared" si="388"/>
        <v>2.0691819504861946</v>
      </c>
      <c r="AP1428" s="8">
        <f t="shared" si="389"/>
        <v>0.89189638271092553</v>
      </c>
      <c r="AQ1428" s="8"/>
      <c r="AR1428" s="8">
        <f t="shared" si="390"/>
        <v>118.55539280750664</v>
      </c>
      <c r="AS1428" s="8">
        <f t="shared" si="391"/>
        <v>38.898101507679122</v>
      </c>
    </row>
    <row r="1429" spans="1:45">
      <c r="A1429" s="20">
        <v>46.61323333</v>
      </c>
      <c r="B1429" s="20">
        <v>473.58858989999999</v>
      </c>
      <c r="C1429" s="20">
        <v>-308.95326949999998</v>
      </c>
      <c r="E1429" s="9">
        <f t="shared" si="380"/>
        <v>-486.41141010000001</v>
      </c>
      <c r="F1429" s="9">
        <f t="shared" si="379"/>
        <v>231.04673050000002</v>
      </c>
      <c r="I1429">
        <v>1</v>
      </c>
      <c r="J1429">
        <f t="shared" si="381"/>
        <v>0.34334266085282555</v>
      </c>
      <c r="K1429">
        <f t="shared" si="382"/>
        <v>2.6981421185898711</v>
      </c>
      <c r="O1429">
        <f t="shared" si="383"/>
        <v>-0.30407588921431855</v>
      </c>
      <c r="P1429">
        <f t="shared" si="384"/>
        <v>0.14443686675114148</v>
      </c>
      <c r="Q1429">
        <f t="shared" si="385"/>
        <v>0.94163466648251348</v>
      </c>
      <c r="R1429">
        <f t="shared" si="386"/>
        <v>1</v>
      </c>
      <c r="AG1429" s="8">
        <f t="shared" si="376"/>
        <v>-0.37180217448280578</v>
      </c>
      <c r="AH1429" s="8">
        <f t="shared" si="377"/>
        <v>0.68379783806389416</v>
      </c>
      <c r="AI1429" s="8">
        <f t="shared" si="378"/>
        <v>0.62784047313708735</v>
      </c>
      <c r="AJ1429" s="8"/>
      <c r="AK1429" s="8"/>
      <c r="AL1429" s="8"/>
      <c r="AN1429" s="8">
        <f t="shared" si="387"/>
        <v>1</v>
      </c>
      <c r="AO1429" s="8">
        <f t="shared" si="388"/>
        <v>2.0688138525984008</v>
      </c>
      <c r="AP1429" s="8">
        <f t="shared" si="389"/>
        <v>0.8920207521735416</v>
      </c>
      <c r="AQ1429" s="8"/>
      <c r="AR1429" s="8">
        <f t="shared" si="390"/>
        <v>118.53430235208836</v>
      </c>
      <c r="AS1429" s="8">
        <f t="shared" si="391"/>
        <v>38.890975662370913</v>
      </c>
    </row>
    <row r="1430" spans="1:45">
      <c r="A1430" s="20">
        <v>46.646599999999999</v>
      </c>
      <c r="B1430" s="20">
        <v>472.84828959999999</v>
      </c>
      <c r="C1430" s="20">
        <v>-308.97172110000002</v>
      </c>
      <c r="E1430" s="9">
        <f t="shared" si="380"/>
        <v>-487.15171040000001</v>
      </c>
      <c r="F1430" s="9">
        <f t="shared" si="379"/>
        <v>231.02827889999998</v>
      </c>
      <c r="I1430">
        <v>1</v>
      </c>
      <c r="J1430">
        <f t="shared" si="381"/>
        <v>0.34373553014579139</v>
      </c>
      <c r="K1430">
        <f t="shared" si="382"/>
        <v>2.6987621586564248</v>
      </c>
      <c r="O1430">
        <f t="shared" si="383"/>
        <v>-0.30449961981212625</v>
      </c>
      <c r="P1430">
        <f t="shared" si="384"/>
        <v>0.14440680713845216</v>
      </c>
      <c r="Q1430">
        <f t="shared" si="385"/>
        <v>0.94150233966058117</v>
      </c>
      <c r="R1430">
        <f t="shared" si="386"/>
        <v>1</v>
      </c>
      <c r="AG1430" s="8">
        <f t="shared" si="376"/>
        <v>-0.37153549778285827</v>
      </c>
      <c r="AH1430" s="8">
        <f t="shared" si="377"/>
        <v>0.68410624568114908</v>
      </c>
      <c r="AI1430" s="8">
        <f t="shared" si="378"/>
        <v>0.62766234434390522</v>
      </c>
      <c r="AJ1430" s="8"/>
      <c r="AK1430" s="8"/>
      <c r="AL1430" s="8"/>
      <c r="AN1430" s="8">
        <f t="shared" si="387"/>
        <v>1</v>
      </c>
      <c r="AO1430" s="8">
        <f t="shared" si="388"/>
        <v>2.0683236631506547</v>
      </c>
      <c r="AP1430" s="8">
        <f t="shared" si="389"/>
        <v>0.89224958775685959</v>
      </c>
      <c r="AQ1430" s="8"/>
      <c r="AR1430" s="8">
        <f t="shared" si="390"/>
        <v>118.50621656557067</v>
      </c>
      <c r="AS1430" s="8">
        <f t="shared" si="391"/>
        <v>38.877864349244376</v>
      </c>
    </row>
    <row r="1431" spans="1:45">
      <c r="A1431" s="20">
        <v>46.679966669999999</v>
      </c>
      <c r="B1431" s="20">
        <v>472.26705479999998</v>
      </c>
      <c r="C1431" s="20">
        <v>-308.86393650000002</v>
      </c>
      <c r="E1431" s="9">
        <f t="shared" si="380"/>
        <v>-487.73294520000002</v>
      </c>
      <c r="F1431" s="9">
        <f t="shared" si="379"/>
        <v>231.13606349999998</v>
      </c>
      <c r="I1431">
        <v>1</v>
      </c>
      <c r="J1431">
        <f t="shared" si="381"/>
        <v>0.34407510668043695</v>
      </c>
      <c r="K1431">
        <f t="shared" si="382"/>
        <v>2.6990431707824567</v>
      </c>
      <c r="O1431">
        <f t="shared" si="383"/>
        <v>-0.30482908222122868</v>
      </c>
      <c r="P1431">
        <f t="shared" si="384"/>
        <v>0.14445814005047578</v>
      </c>
      <c r="Q1431">
        <f t="shared" si="385"/>
        <v>0.94138784589844826</v>
      </c>
      <c r="R1431">
        <f t="shared" si="386"/>
        <v>1</v>
      </c>
      <c r="AG1431" s="8">
        <f t="shared" si="376"/>
        <v>-0.3712754678914067</v>
      </c>
      <c r="AH1431" s="8">
        <f t="shared" si="377"/>
        <v>0.68432764838241211</v>
      </c>
      <c r="AI1431" s="8">
        <f t="shared" si="378"/>
        <v>0.62757485338516783</v>
      </c>
      <c r="AJ1431" s="8"/>
      <c r="AK1431" s="8"/>
      <c r="AL1431" s="8"/>
      <c r="AN1431" s="8">
        <f t="shared" si="387"/>
        <v>1.0000000000000002</v>
      </c>
      <c r="AO1431" s="8">
        <f t="shared" si="388"/>
        <v>2.0678944448088936</v>
      </c>
      <c r="AP1431" s="8">
        <f t="shared" si="389"/>
        <v>0.8923619687494142</v>
      </c>
      <c r="AQ1431" s="8"/>
      <c r="AR1431" s="8">
        <f t="shared" si="390"/>
        <v>118.48162416609816</v>
      </c>
      <c r="AS1431" s="8">
        <f t="shared" si="391"/>
        <v>38.871425392673508</v>
      </c>
    </row>
    <row r="1432" spans="1:45">
      <c r="A1432" s="20">
        <v>46.713333329999998</v>
      </c>
      <c r="B1432" s="20">
        <v>471.68477619999999</v>
      </c>
      <c r="C1432" s="20">
        <v>-308.77029119999997</v>
      </c>
      <c r="E1432" s="9">
        <f t="shared" si="380"/>
        <v>-488.31522380000001</v>
      </c>
      <c r="F1432" s="9">
        <f t="shared" si="379"/>
        <v>231.22970880000003</v>
      </c>
      <c r="I1432">
        <v>1</v>
      </c>
      <c r="J1432">
        <f t="shared" si="381"/>
        <v>0.34441159478595446</v>
      </c>
      <c r="K1432">
        <f t="shared" si="382"/>
        <v>2.6993480669939145</v>
      </c>
      <c r="O1432">
        <f t="shared" si="383"/>
        <v>-0.30515938635433937</v>
      </c>
      <c r="P1432">
        <f t="shared" si="384"/>
        <v>0.14450074993607157</v>
      </c>
      <c r="Q1432">
        <f t="shared" si="385"/>
        <v>0.94127428637340138</v>
      </c>
      <c r="R1432">
        <f t="shared" si="386"/>
        <v>1</v>
      </c>
      <c r="AG1432" s="8">
        <f t="shared" si="376"/>
        <v>-0.37102092225919725</v>
      </c>
      <c r="AH1432" s="8">
        <f t="shared" si="377"/>
        <v>0.68455172618131321</v>
      </c>
      <c r="AI1432" s="8">
        <f t="shared" si="378"/>
        <v>0.62748100324083056</v>
      </c>
      <c r="AJ1432" s="8"/>
      <c r="AK1432" s="8"/>
      <c r="AL1432" s="8"/>
      <c r="AN1432" s="8">
        <f t="shared" si="387"/>
        <v>1.0000000000000002</v>
      </c>
      <c r="AO1432" s="8">
        <f t="shared" si="388"/>
        <v>2.0674698596557031</v>
      </c>
      <c r="AP1432" s="8">
        <f t="shared" si="389"/>
        <v>0.89248250671673757</v>
      </c>
      <c r="AQ1432" s="8"/>
      <c r="AR1432" s="8">
        <f t="shared" si="390"/>
        <v>118.45729722877641</v>
      </c>
      <c r="AS1432" s="8">
        <f t="shared" si="391"/>
        <v>38.864519075874789</v>
      </c>
    </row>
    <row r="1433" spans="1:45">
      <c r="A1433" s="20">
        <v>46.746699999999997</v>
      </c>
      <c r="B1433" s="20">
        <v>471.038836</v>
      </c>
      <c r="C1433" s="20">
        <v>-308.62802779999998</v>
      </c>
      <c r="E1433" s="9">
        <f t="shared" si="380"/>
        <v>-488.961164</v>
      </c>
      <c r="F1433" s="9">
        <f t="shared" si="379"/>
        <v>231.37197220000002</v>
      </c>
      <c r="I1433">
        <v>1</v>
      </c>
      <c r="J1433">
        <f t="shared" si="381"/>
        <v>0.34479456525521696</v>
      </c>
      <c r="K1433">
        <f t="shared" si="382"/>
        <v>2.6996214167354942</v>
      </c>
      <c r="O1433">
        <f t="shared" si="383"/>
        <v>-0.30552469361434503</v>
      </c>
      <c r="P1433">
        <f t="shared" si="384"/>
        <v>0.14457150408238106</v>
      </c>
      <c r="Q1433">
        <f t="shared" si="385"/>
        <v>0.94114491009579315</v>
      </c>
      <c r="R1433">
        <f t="shared" si="386"/>
        <v>1</v>
      </c>
      <c r="AG1433" s="8">
        <f t="shared" si="376"/>
        <v>-0.37072266751896277</v>
      </c>
      <c r="AH1433" s="8">
        <f t="shared" si="377"/>
        <v>0.68479367957788617</v>
      </c>
      <c r="AI1433" s="8">
        <f t="shared" si="378"/>
        <v>0.62739327395008304</v>
      </c>
      <c r="AJ1433" s="8"/>
      <c r="AK1433" s="8"/>
      <c r="AL1433" s="8"/>
      <c r="AN1433" s="8">
        <f t="shared" si="387"/>
        <v>1</v>
      </c>
      <c r="AO1433" s="8">
        <f t="shared" si="388"/>
        <v>2.0669850672938876</v>
      </c>
      <c r="AP1433" s="8">
        <f t="shared" si="389"/>
        <v>0.89259517267827271</v>
      </c>
      <c r="AQ1433" s="8"/>
      <c r="AR1433" s="8">
        <f t="shared" si="390"/>
        <v>118.42952067250421</v>
      </c>
      <c r="AS1433" s="8">
        <f t="shared" si="391"/>
        <v>38.858063791784048</v>
      </c>
    </row>
    <row r="1434" spans="1:45">
      <c r="A1434" s="20">
        <v>46.780066669999997</v>
      </c>
      <c r="B1434" s="20">
        <v>470.66064970000002</v>
      </c>
      <c r="C1434" s="20">
        <v>-308.34421780000002</v>
      </c>
      <c r="E1434" s="9">
        <f t="shared" si="380"/>
        <v>-489.33935029999998</v>
      </c>
      <c r="F1434" s="9">
        <f t="shared" si="379"/>
        <v>231.65578219999998</v>
      </c>
      <c r="I1434">
        <v>1</v>
      </c>
      <c r="J1434">
        <f t="shared" si="381"/>
        <v>0.34506968451350939</v>
      </c>
      <c r="K1434">
        <f t="shared" si="382"/>
        <v>2.6994463528720263</v>
      </c>
      <c r="O1434">
        <f t="shared" si="383"/>
        <v>-0.30573339558793089</v>
      </c>
      <c r="P1434">
        <f t="shared" si="384"/>
        <v>0.14473577253937059</v>
      </c>
      <c r="Q1434">
        <f t="shared" si="385"/>
        <v>0.94105188325070865</v>
      </c>
      <c r="R1434">
        <f t="shared" si="386"/>
        <v>1</v>
      </c>
      <c r="AG1434" s="8">
        <f t="shared" si="376"/>
        <v>-0.37046501911964907</v>
      </c>
      <c r="AH1434" s="8">
        <f t="shared" si="377"/>
        <v>0.68490147723440986</v>
      </c>
      <c r="AI1434" s="8">
        <f t="shared" si="378"/>
        <v>0.62742779352751121</v>
      </c>
      <c r="AJ1434" s="8"/>
      <c r="AK1434" s="8"/>
      <c r="AL1434" s="8"/>
      <c r="AN1434" s="8">
        <f t="shared" si="387"/>
        <v>1</v>
      </c>
      <c r="AO1434" s="8">
        <f t="shared" si="388"/>
        <v>2.0666281828446302</v>
      </c>
      <c r="AP1434" s="8">
        <f t="shared" si="389"/>
        <v>0.89255084228101544</v>
      </c>
      <c r="AQ1434" s="8"/>
      <c r="AR1434" s="8">
        <f t="shared" si="390"/>
        <v>118.40907269978791</v>
      </c>
      <c r="AS1434" s="8">
        <f t="shared" si="391"/>
        <v>38.860603736451026</v>
      </c>
    </row>
    <row r="1435" spans="1:45">
      <c r="A1435" s="20">
        <v>46.813433330000002</v>
      </c>
      <c r="B1435" s="20">
        <v>469.97070070000001</v>
      </c>
      <c r="C1435" s="20">
        <v>-308.00873300000001</v>
      </c>
      <c r="E1435" s="9">
        <f t="shared" si="380"/>
        <v>-490.02929929999999</v>
      </c>
      <c r="F1435" s="9">
        <f t="shared" si="379"/>
        <v>231.99126699999999</v>
      </c>
      <c r="I1435">
        <v>1</v>
      </c>
      <c r="J1435">
        <f t="shared" si="381"/>
        <v>0.34552517427710683</v>
      </c>
      <c r="K1435">
        <f t="shared" si="382"/>
        <v>2.6994315836887557</v>
      </c>
      <c r="O1435">
        <f t="shared" si="383"/>
        <v>-0.30611864303577468</v>
      </c>
      <c r="P1435">
        <f t="shared" si="384"/>
        <v>0.14492368507686518</v>
      </c>
      <c r="Q1435">
        <f t="shared" si="385"/>
        <v>0.94089771064110772</v>
      </c>
      <c r="R1435">
        <f t="shared" si="386"/>
        <v>1</v>
      </c>
      <c r="AG1435" s="8">
        <f t="shared" si="376"/>
        <v>-0.37007050365974559</v>
      </c>
      <c r="AH1435" s="8">
        <f t="shared" si="377"/>
        <v>0.6851286803150205</v>
      </c>
      <c r="AI1435" s="8">
        <f t="shared" si="378"/>
        <v>0.62741255464871026</v>
      </c>
      <c r="AJ1435" s="8"/>
      <c r="AK1435" s="8"/>
      <c r="AL1435" s="8"/>
      <c r="AN1435" s="8">
        <f t="shared" si="387"/>
        <v>1</v>
      </c>
      <c r="AO1435" s="8">
        <f t="shared" si="388"/>
        <v>2.0660437372512348</v>
      </c>
      <c r="AP1435" s="8">
        <f t="shared" si="389"/>
        <v>0.89257041240150881</v>
      </c>
      <c r="AQ1435" s="8"/>
      <c r="AR1435" s="8">
        <f t="shared" si="390"/>
        <v>118.37558643393133</v>
      </c>
      <c r="AS1435" s="8">
        <f t="shared" si="391"/>
        <v>38.859482451142192</v>
      </c>
    </row>
    <row r="1436" spans="1:45">
      <c r="A1436" s="20">
        <v>46.846800000000002</v>
      </c>
      <c r="B1436" s="20">
        <v>469.00041640000001</v>
      </c>
      <c r="C1436" s="20">
        <v>-307.78401480000002</v>
      </c>
      <c r="E1436" s="9">
        <f t="shared" si="380"/>
        <v>-490.99958359999999</v>
      </c>
      <c r="F1436" s="9">
        <f t="shared" si="379"/>
        <v>232.21598519999998</v>
      </c>
      <c r="I1436">
        <v>1</v>
      </c>
      <c r="J1436">
        <f t="shared" si="381"/>
        <v>0.34610278188176768</v>
      </c>
      <c r="K1436">
        <f t="shared" si="382"/>
        <v>2.6998220361319833</v>
      </c>
      <c r="O1436">
        <f t="shared" si="383"/>
        <v>-0.30666644885305405</v>
      </c>
      <c r="P1436">
        <f t="shared" si="384"/>
        <v>0.14503648053235818</v>
      </c>
      <c r="Q1436">
        <f t="shared" si="385"/>
        <v>0.94070192327997504</v>
      </c>
      <c r="R1436">
        <f t="shared" si="386"/>
        <v>1</v>
      </c>
      <c r="AG1436" s="8">
        <f t="shared" si="376"/>
        <v>-0.36961805497440714</v>
      </c>
      <c r="AH1436" s="8">
        <f t="shared" si="377"/>
        <v>0.68548950993412694</v>
      </c>
      <c r="AI1436" s="8">
        <f t="shared" si="378"/>
        <v>0.62728512273702686</v>
      </c>
      <c r="AJ1436" s="8"/>
      <c r="AK1436" s="8"/>
      <c r="AL1436" s="8"/>
      <c r="AN1436" s="8">
        <f t="shared" si="387"/>
        <v>1.0000000000000002</v>
      </c>
      <c r="AO1436" s="8">
        <f t="shared" si="388"/>
        <v>2.065312382430347</v>
      </c>
      <c r="AP1436" s="8">
        <f t="shared" si="389"/>
        <v>0.89273405133149641</v>
      </c>
      <c r="AQ1436" s="8"/>
      <c r="AR1436" s="8">
        <f t="shared" si="390"/>
        <v>118.33368288936792</v>
      </c>
      <c r="AS1436" s="8">
        <f t="shared" si="391"/>
        <v>38.850106631089865</v>
      </c>
    </row>
    <row r="1437" spans="1:45">
      <c r="A1437" s="20">
        <v>46.880166670000001</v>
      </c>
      <c r="B1437" s="20">
        <v>468.60299429999998</v>
      </c>
      <c r="C1437" s="20">
        <v>-307.7514127</v>
      </c>
      <c r="E1437" s="9">
        <f t="shared" si="380"/>
        <v>-491.39700570000002</v>
      </c>
      <c r="F1437" s="9">
        <f t="shared" si="379"/>
        <v>232.2485873</v>
      </c>
      <c r="I1437">
        <v>1</v>
      </c>
      <c r="J1437">
        <f t="shared" si="381"/>
        <v>0.3463242422112694</v>
      </c>
      <c r="K1437">
        <f t="shared" si="382"/>
        <v>2.7000804310909374</v>
      </c>
      <c r="O1437">
        <f t="shared" si="383"/>
        <v>-0.30689225863223085</v>
      </c>
      <c r="P1437">
        <f t="shared" si="384"/>
        <v>0.14504625118565687</v>
      </c>
      <c r="Q1437">
        <f t="shared" si="385"/>
        <v>0.94062677327864497</v>
      </c>
      <c r="R1437">
        <f t="shared" si="386"/>
        <v>1</v>
      </c>
      <c r="AG1437" s="8">
        <f t="shared" si="376"/>
        <v>-0.36945735362354731</v>
      </c>
      <c r="AH1437" s="8">
        <f t="shared" si="377"/>
        <v>0.68564721725091071</v>
      </c>
      <c r="AI1437" s="8">
        <f t="shared" si="378"/>
        <v>0.62720742767410509</v>
      </c>
      <c r="AJ1437" s="8"/>
      <c r="AK1437" s="8"/>
      <c r="AL1437" s="8"/>
      <c r="AN1437" s="8">
        <f t="shared" si="387"/>
        <v>1.0000000000000002</v>
      </c>
      <c r="AO1437" s="8">
        <f t="shared" si="388"/>
        <v>2.0650346688009997</v>
      </c>
      <c r="AP1437" s="8">
        <f t="shared" si="389"/>
        <v>0.8928338111807631</v>
      </c>
      <c r="AQ1437" s="8"/>
      <c r="AR1437" s="8">
        <f t="shared" si="390"/>
        <v>118.31777107049307</v>
      </c>
      <c r="AS1437" s="8">
        <f t="shared" si="391"/>
        <v>38.844390812762022</v>
      </c>
    </row>
    <row r="1438" spans="1:45">
      <c r="A1438" s="20">
        <v>46.91353333</v>
      </c>
      <c r="B1438" s="20">
        <v>468.00212599999998</v>
      </c>
      <c r="C1438" s="20">
        <v>-307.78420990000001</v>
      </c>
      <c r="E1438" s="9">
        <f t="shared" si="380"/>
        <v>-491.99787400000002</v>
      </c>
      <c r="F1438" s="9">
        <f t="shared" si="379"/>
        <v>232.21579009999999</v>
      </c>
      <c r="I1438">
        <v>1</v>
      </c>
      <c r="J1438">
        <f t="shared" si="381"/>
        <v>0.34663826054105334</v>
      </c>
      <c r="K1438">
        <f t="shared" si="382"/>
        <v>2.7006068709308799</v>
      </c>
      <c r="O1438">
        <f t="shared" si="383"/>
        <v>-0.30723567509785732</v>
      </c>
      <c r="P1438">
        <f t="shared" si="384"/>
        <v>0.14501073848086554</v>
      </c>
      <c r="Q1438">
        <f t="shared" si="385"/>
        <v>0.940520135708108</v>
      </c>
      <c r="R1438">
        <f t="shared" si="386"/>
        <v>1</v>
      </c>
      <c r="AG1438" s="8">
        <f t="shared" si="376"/>
        <v>-0.36924836633894076</v>
      </c>
      <c r="AH1438" s="8">
        <f t="shared" si="377"/>
        <v>0.68589938174589271</v>
      </c>
      <c r="AI1438" s="8">
        <f t="shared" si="378"/>
        <v>0.62705476800406001</v>
      </c>
      <c r="AJ1438" s="8"/>
      <c r="AK1438" s="8"/>
      <c r="AL1438" s="8"/>
      <c r="AN1438" s="8">
        <f t="shared" si="387"/>
        <v>1</v>
      </c>
      <c r="AO1438" s="8">
        <f t="shared" si="388"/>
        <v>2.0646449324873775</v>
      </c>
      <c r="AP1438" s="8">
        <f t="shared" si="389"/>
        <v>0.89302980165631574</v>
      </c>
      <c r="AQ1438" s="8"/>
      <c r="AR1438" s="8">
        <f t="shared" si="390"/>
        <v>118.29544082459952</v>
      </c>
      <c r="AS1438" s="8">
        <f t="shared" si="391"/>
        <v>38.833161385688094</v>
      </c>
    </row>
    <row r="1439" spans="1:45">
      <c r="A1439" s="20">
        <v>46.946899999999999</v>
      </c>
      <c r="B1439" s="20">
        <v>467.61360389999999</v>
      </c>
      <c r="C1439" s="20">
        <v>-307.75161980000001</v>
      </c>
      <c r="E1439" s="9">
        <f t="shared" si="380"/>
        <v>-492.38639610000001</v>
      </c>
      <c r="F1439" s="9">
        <f t="shared" si="379"/>
        <v>232.24838019999999</v>
      </c>
      <c r="I1439">
        <v>1</v>
      </c>
      <c r="J1439">
        <f t="shared" si="381"/>
        <v>0.34685492693210468</v>
      </c>
      <c r="K1439">
        <f t="shared" si="382"/>
        <v>2.7008573453126292</v>
      </c>
      <c r="O1439">
        <f t="shared" si="383"/>
        <v>-0.30745628533121155</v>
      </c>
      <c r="P1439">
        <f t="shared" si="384"/>
        <v>0.14502070897178249</v>
      </c>
      <c r="Q1439">
        <f t="shared" si="385"/>
        <v>0.94044650383722206</v>
      </c>
      <c r="R1439">
        <f t="shared" si="386"/>
        <v>1</v>
      </c>
      <c r="AG1439" s="8">
        <f t="shared" si="376"/>
        <v>-0.3690909720849897</v>
      </c>
      <c r="AH1439" s="8">
        <f t="shared" si="377"/>
        <v>0.68605328375407226</v>
      </c>
      <c r="AI1439" s="8">
        <f t="shared" si="378"/>
        <v>0.62697906358634636</v>
      </c>
      <c r="AJ1439" s="8"/>
      <c r="AK1439" s="8"/>
      <c r="AL1439" s="8"/>
      <c r="AN1439" s="8">
        <f t="shared" si="387"/>
        <v>1</v>
      </c>
      <c r="AO1439" s="8">
        <f t="shared" si="388"/>
        <v>2.0643733913367717</v>
      </c>
      <c r="AP1439" s="8">
        <f t="shared" si="389"/>
        <v>0.89312698249032307</v>
      </c>
      <c r="AQ1439" s="8"/>
      <c r="AR1439" s="8">
        <f t="shared" si="390"/>
        <v>118.27988266270567</v>
      </c>
      <c r="AS1439" s="8">
        <f t="shared" si="391"/>
        <v>38.827593334049915</v>
      </c>
    </row>
    <row r="1440" spans="1:45">
      <c r="A1440" s="20">
        <v>46.980266669999999</v>
      </c>
      <c r="B1440" s="20">
        <v>467.03697369999998</v>
      </c>
      <c r="C1440" s="20">
        <v>-307.78184149999998</v>
      </c>
      <c r="E1440" s="9">
        <f t="shared" si="380"/>
        <v>-492.96302630000002</v>
      </c>
      <c r="F1440" s="9">
        <f t="shared" si="379"/>
        <v>232.21815850000002</v>
      </c>
      <c r="I1440">
        <v>1</v>
      </c>
      <c r="J1440">
        <f t="shared" si="381"/>
        <v>0.34715661010756915</v>
      </c>
      <c r="K1440">
        <f t="shared" si="382"/>
        <v>2.7013589359582286</v>
      </c>
      <c r="O1440">
        <f t="shared" si="383"/>
        <v>-0.30778563875889414</v>
      </c>
      <c r="P1440">
        <f t="shared" si="384"/>
        <v>0.14498737315410837</v>
      </c>
      <c r="Q1440">
        <f t="shared" si="385"/>
        <v>0.94034390634472176</v>
      </c>
      <c r="R1440">
        <f t="shared" si="386"/>
        <v>1</v>
      </c>
      <c r="AG1440" s="8">
        <f t="shared" ref="AG1440:AG1503" si="392">$O1440*$Z$27+$P1440*$Z$31+$Q1440*$Z$35</f>
        <v>-0.36888989597319222</v>
      </c>
      <c r="AH1440" s="8">
        <f t="shared" ref="AH1440:AH1503" si="393">$O1440*$AA$27+$P1440*$AA$31+$Q1440*$AA$35</f>
        <v>0.68629484246727746</v>
      </c>
      <c r="AI1440" s="8">
        <f t="shared" ref="AI1440:AI1503" si="394">$AB$27*$O1440+$P1440*$AB$31+$AB$35*$Q1440</f>
        <v>0.62683301911410361</v>
      </c>
      <c r="AJ1440" s="8"/>
      <c r="AK1440" s="8"/>
      <c r="AL1440" s="8"/>
      <c r="AN1440" s="8">
        <f t="shared" si="387"/>
        <v>1</v>
      </c>
      <c r="AO1440" s="8">
        <f t="shared" si="388"/>
        <v>2.0639992393405544</v>
      </c>
      <c r="AP1440" s="8">
        <f t="shared" si="389"/>
        <v>0.89331443652016318</v>
      </c>
      <c r="AQ1440" s="8"/>
      <c r="AR1440" s="8">
        <f t="shared" si="390"/>
        <v>118.25844533242604</v>
      </c>
      <c r="AS1440" s="8">
        <f t="shared" si="391"/>
        <v>38.816853009287357</v>
      </c>
    </row>
    <row r="1441" spans="1:45">
      <c r="A1441" s="20">
        <v>47.013633329999998</v>
      </c>
      <c r="B1441" s="20">
        <v>466.53878479999997</v>
      </c>
      <c r="C1441" s="20">
        <v>-307.51756920000003</v>
      </c>
      <c r="E1441" s="9">
        <f t="shared" si="380"/>
        <v>-493.46121520000003</v>
      </c>
      <c r="F1441" s="9">
        <f t="shared" ref="F1441:F1504" si="395">(($C$15/2)+C1441)</f>
        <v>232.48243079999997</v>
      </c>
      <c r="I1441">
        <v>1</v>
      </c>
      <c r="J1441">
        <f t="shared" si="381"/>
        <v>0.34749060350735989</v>
      </c>
      <c r="K1441">
        <f t="shared" si="382"/>
        <v>2.7013098586825297</v>
      </c>
      <c r="O1441">
        <f t="shared" si="383"/>
        <v>-0.30806262192995953</v>
      </c>
      <c r="P1441">
        <f t="shared" si="384"/>
        <v>0.14513632475831179</v>
      </c>
      <c r="Q1441">
        <f t="shared" si="385"/>
        <v>0.94023022085300401</v>
      </c>
      <c r="R1441">
        <f t="shared" si="386"/>
        <v>1</v>
      </c>
      <c r="AG1441" s="8">
        <f t="shared" si="392"/>
        <v>-0.36859604386288014</v>
      </c>
      <c r="AH1441" s="8">
        <f t="shared" si="393"/>
        <v>0.68645446047849901</v>
      </c>
      <c r="AI1441" s="8">
        <f t="shared" si="394"/>
        <v>0.62683110176331125</v>
      </c>
      <c r="AJ1441" s="8"/>
      <c r="AK1441" s="8"/>
      <c r="AL1441" s="8"/>
      <c r="AN1441" s="8">
        <f t="shared" si="387"/>
        <v>1</v>
      </c>
      <c r="AO1441" s="8">
        <f t="shared" si="388"/>
        <v>2.0635700537400661</v>
      </c>
      <c r="AP1441" s="8">
        <f t="shared" si="389"/>
        <v>0.89331689732999719</v>
      </c>
      <c r="AQ1441" s="8"/>
      <c r="AR1441" s="8">
        <f t="shared" si="390"/>
        <v>118.23385480889027</v>
      </c>
      <c r="AS1441" s="8">
        <f t="shared" si="391"/>
        <v>38.81671201526968</v>
      </c>
    </row>
    <row r="1442" spans="1:45">
      <c r="A1442" s="20">
        <v>47.046999999999997</v>
      </c>
      <c r="B1442" s="20">
        <v>465.88513940000001</v>
      </c>
      <c r="C1442" s="20">
        <v>-307.1224631</v>
      </c>
      <c r="E1442" s="9">
        <f t="shared" si="380"/>
        <v>-494.11486059999999</v>
      </c>
      <c r="F1442" s="9">
        <f t="shared" si="395"/>
        <v>232.8775369</v>
      </c>
      <c r="I1442">
        <v>1</v>
      </c>
      <c r="J1442">
        <f t="shared" si="381"/>
        <v>0.34794092150992123</v>
      </c>
      <c r="K1442">
        <f t="shared" si="382"/>
        <v>2.7011655187285344</v>
      </c>
      <c r="O1442">
        <f t="shared" si="383"/>
        <v>-0.30842463564018369</v>
      </c>
      <c r="P1442">
        <f t="shared" si="384"/>
        <v>0.1453612817472221</v>
      </c>
      <c r="Q1442">
        <f t="shared" si="385"/>
        <v>0.94007677447058791</v>
      </c>
      <c r="R1442">
        <f t="shared" si="386"/>
        <v>1</v>
      </c>
      <c r="AG1442" s="8">
        <f t="shared" si="392"/>
        <v>-0.36819052983119172</v>
      </c>
      <c r="AH1442" s="8">
        <f t="shared" si="393"/>
        <v>0.68665555017521096</v>
      </c>
      <c r="AI1442" s="8">
        <f t="shared" si="394"/>
        <v>0.62684917576415833</v>
      </c>
      <c r="AJ1442" s="8"/>
      <c r="AK1442" s="8"/>
      <c r="AL1442" s="8"/>
      <c r="AN1442" s="8">
        <f t="shared" si="387"/>
        <v>1</v>
      </c>
      <c r="AO1442" s="8">
        <f t="shared" si="388"/>
        <v>2.0629894172960732</v>
      </c>
      <c r="AP1442" s="8">
        <f t="shared" si="389"/>
        <v>0.89329370019246823</v>
      </c>
      <c r="AQ1442" s="8"/>
      <c r="AR1442" s="8">
        <f t="shared" si="390"/>
        <v>118.20058679121799</v>
      </c>
      <c r="AS1442" s="8">
        <f t="shared" si="391"/>
        <v>38.818041113346879</v>
      </c>
    </row>
    <row r="1443" spans="1:45">
      <c r="A1443" s="20">
        <v>47.080366669999997</v>
      </c>
      <c r="B1443" s="20">
        <v>465.34123570000003</v>
      </c>
      <c r="C1443" s="20">
        <v>-307.09472729999999</v>
      </c>
      <c r="E1443" s="9">
        <f t="shared" si="380"/>
        <v>-494.65876429999997</v>
      </c>
      <c r="F1443" s="9">
        <f t="shared" si="395"/>
        <v>232.90527270000001</v>
      </c>
      <c r="I1443">
        <v>1</v>
      </c>
      <c r="J1443">
        <f t="shared" si="381"/>
        <v>0.34823950976724588</v>
      </c>
      <c r="K1443">
        <f t="shared" si="382"/>
        <v>2.7015437399288493</v>
      </c>
      <c r="O1443">
        <f t="shared" si="383"/>
        <v>-0.30873353276323046</v>
      </c>
      <c r="P1443">
        <f t="shared" si="384"/>
        <v>0.1453641840180665</v>
      </c>
      <c r="Q1443">
        <f t="shared" si="385"/>
        <v>0.93997492506571523</v>
      </c>
      <c r="R1443">
        <f t="shared" si="386"/>
        <v>1</v>
      </c>
      <c r="AG1443" s="8">
        <f t="shared" si="392"/>
        <v>-0.36797764560635415</v>
      </c>
      <c r="AH1443" s="8">
        <f t="shared" si="393"/>
        <v>0.68687354350778429</v>
      </c>
      <c r="AI1443" s="8">
        <f t="shared" si="394"/>
        <v>0.62673534092395367</v>
      </c>
      <c r="AJ1443" s="8"/>
      <c r="AK1443" s="8"/>
      <c r="AL1443" s="8"/>
      <c r="AN1443" s="8">
        <f t="shared" si="387"/>
        <v>1</v>
      </c>
      <c r="AO1443" s="8">
        <f t="shared" si="388"/>
        <v>2.0626164482831495</v>
      </c>
      <c r="AP1443" s="8">
        <f t="shared" si="389"/>
        <v>0.89343979468119039</v>
      </c>
      <c r="AQ1443" s="8"/>
      <c r="AR1443" s="8">
        <f t="shared" si="390"/>
        <v>118.17921724088831</v>
      </c>
      <c r="AS1443" s="8">
        <f t="shared" si="391"/>
        <v>38.809670515732975</v>
      </c>
    </row>
    <row r="1444" spans="1:45">
      <c r="A1444" s="20">
        <v>47.113733330000002</v>
      </c>
      <c r="B1444" s="20">
        <v>464.66146120000002</v>
      </c>
      <c r="C1444" s="20">
        <v>-307.1251489</v>
      </c>
      <c r="E1444" s="9">
        <f t="shared" si="380"/>
        <v>-495.33853879999998</v>
      </c>
      <c r="F1444" s="9">
        <f t="shared" si="395"/>
        <v>232.8748511</v>
      </c>
      <c r="I1444">
        <v>1</v>
      </c>
      <c r="J1444">
        <f t="shared" si="381"/>
        <v>0.34859625932366511</v>
      </c>
      <c r="K1444">
        <f t="shared" si="382"/>
        <v>2.702123070899682</v>
      </c>
      <c r="O1444">
        <f t="shared" si="383"/>
        <v>-0.30912114645910033</v>
      </c>
      <c r="P1444">
        <f t="shared" si="384"/>
        <v>0.14532796323079933</v>
      </c>
      <c r="Q1444">
        <f t="shared" si="385"/>
        <v>0.93985312677832744</v>
      </c>
      <c r="R1444">
        <f t="shared" si="386"/>
        <v>1</v>
      </c>
      <c r="AG1444" s="8">
        <f t="shared" si="392"/>
        <v>-0.36773850260174423</v>
      </c>
      <c r="AH1444" s="8">
        <f t="shared" si="393"/>
        <v>0.68715681393435846</v>
      </c>
      <c r="AI1444" s="8">
        <f t="shared" si="394"/>
        <v>0.62656516561951348</v>
      </c>
      <c r="AJ1444" s="8"/>
      <c r="AK1444" s="8"/>
      <c r="AL1444" s="8"/>
      <c r="AN1444" s="8">
        <f t="shared" si="387"/>
        <v>1</v>
      </c>
      <c r="AO1444" s="8">
        <f t="shared" si="388"/>
        <v>2.0621743372650263</v>
      </c>
      <c r="AP1444" s="8">
        <f t="shared" si="389"/>
        <v>0.8936581639478669</v>
      </c>
      <c r="AQ1444" s="8"/>
      <c r="AR1444" s="8">
        <f t="shared" si="390"/>
        <v>118.15388614547361</v>
      </c>
      <c r="AS1444" s="8">
        <f t="shared" si="391"/>
        <v>38.797158878377047</v>
      </c>
    </row>
    <row r="1445" spans="1:45">
      <c r="A1445" s="20">
        <v>47.147100000000002</v>
      </c>
      <c r="B1445" s="20">
        <v>463.75162779999999</v>
      </c>
      <c r="C1445" s="20">
        <v>-306.89236090000003</v>
      </c>
      <c r="E1445" s="9">
        <f t="shared" si="380"/>
        <v>-496.24837220000001</v>
      </c>
      <c r="F1445" s="9">
        <f t="shared" si="395"/>
        <v>233.10763909999997</v>
      </c>
      <c r="I1445">
        <v>1</v>
      </c>
      <c r="J1445">
        <f t="shared" si="381"/>
        <v>0.34914260521954216</v>
      </c>
      <c r="K1445">
        <f t="shared" si="382"/>
        <v>2.7024448629082904</v>
      </c>
      <c r="O1445">
        <f t="shared" si="383"/>
        <v>-0.30963261220218857</v>
      </c>
      <c r="P1445">
        <f t="shared" si="384"/>
        <v>0.14544677879513265</v>
      </c>
      <c r="Q1445">
        <f t="shared" si="385"/>
        <v>0.93966636632315881</v>
      </c>
      <c r="R1445">
        <f t="shared" si="386"/>
        <v>1</v>
      </c>
      <c r="AG1445" s="8">
        <f t="shared" si="392"/>
        <v>-0.36730535315110946</v>
      </c>
      <c r="AH1445" s="8">
        <f t="shared" si="393"/>
        <v>0.68748949970055584</v>
      </c>
      <c r="AI1445" s="8">
        <f t="shared" si="394"/>
        <v>0.62645428033338424</v>
      </c>
      <c r="AJ1445" s="8"/>
      <c r="AK1445" s="8"/>
      <c r="AL1445" s="8"/>
      <c r="AN1445" s="8">
        <f t="shared" si="387"/>
        <v>1.0000000000000002</v>
      </c>
      <c r="AO1445" s="8">
        <f t="shared" si="388"/>
        <v>2.0614829907984031</v>
      </c>
      <c r="AP1445" s="8">
        <f t="shared" si="389"/>
        <v>0.89380043152666144</v>
      </c>
      <c r="AQ1445" s="8"/>
      <c r="AR1445" s="8">
        <f t="shared" si="390"/>
        <v>118.11427491075482</v>
      </c>
      <c r="AS1445" s="8">
        <f t="shared" si="391"/>
        <v>38.789007546550572</v>
      </c>
    </row>
    <row r="1446" spans="1:45">
      <c r="A1446" s="20">
        <v>47.180466670000001</v>
      </c>
      <c r="B1446" s="20">
        <v>463.31122010000001</v>
      </c>
      <c r="C1446" s="20">
        <v>-306.81737650000002</v>
      </c>
      <c r="E1446" s="9">
        <f t="shared" si="380"/>
        <v>-496.68877989999999</v>
      </c>
      <c r="F1446" s="9">
        <f t="shared" si="395"/>
        <v>233.18262349999998</v>
      </c>
      <c r="I1446">
        <v>1</v>
      </c>
      <c r="J1446">
        <f t="shared" si="381"/>
        <v>0.34939751741408082</v>
      </c>
      <c r="K1446">
        <f t="shared" si="382"/>
        <v>2.7026624271388808</v>
      </c>
      <c r="O1446">
        <f t="shared" si="383"/>
        <v>-0.30988106519938324</v>
      </c>
      <c r="P1446">
        <f t="shared" si="384"/>
        <v>0.14548120005995488</v>
      </c>
      <c r="Q1446">
        <f t="shared" si="385"/>
        <v>0.93957913230340051</v>
      </c>
      <c r="R1446">
        <f t="shared" si="386"/>
        <v>1</v>
      </c>
      <c r="AG1446" s="8">
        <f t="shared" si="392"/>
        <v>-0.36711128730567599</v>
      </c>
      <c r="AH1446" s="8">
        <f t="shared" si="393"/>
        <v>0.68765678069160185</v>
      </c>
      <c r="AI1446" s="8">
        <f t="shared" si="394"/>
        <v>0.6263844304431837</v>
      </c>
      <c r="AJ1446" s="8"/>
      <c r="AK1446" s="8"/>
      <c r="AL1446" s="8"/>
      <c r="AN1446" s="8">
        <f t="shared" si="387"/>
        <v>1</v>
      </c>
      <c r="AO1446" s="8">
        <f t="shared" si="388"/>
        <v>2.0611622833817025</v>
      </c>
      <c r="AP1446" s="8">
        <f t="shared" si="389"/>
        <v>0.89389004169178798</v>
      </c>
      <c r="AQ1446" s="8"/>
      <c r="AR1446" s="8">
        <f t="shared" si="390"/>
        <v>118.09589972931933</v>
      </c>
      <c r="AS1446" s="8">
        <f t="shared" si="391"/>
        <v>38.783873262287351</v>
      </c>
    </row>
    <row r="1447" spans="1:45">
      <c r="A1447" s="20">
        <v>47.21383333</v>
      </c>
      <c r="B1447" s="20">
        <v>462.7218287</v>
      </c>
      <c r="C1447" s="20">
        <v>-306.8290667</v>
      </c>
      <c r="E1447" s="9">
        <f t="shared" si="380"/>
        <v>-497.2781713</v>
      </c>
      <c r="F1447" s="9">
        <f t="shared" si="395"/>
        <v>233.1709333</v>
      </c>
      <c r="I1447">
        <v>1</v>
      </c>
      <c r="J1447">
        <f t="shared" si="381"/>
        <v>0.34971045489909885</v>
      </c>
      <c r="K1447">
        <f t="shared" si="382"/>
        <v>2.7031377402543511</v>
      </c>
      <c r="O1447">
        <f t="shared" si="383"/>
        <v>-0.31021638102766252</v>
      </c>
      <c r="P1447">
        <f t="shared" si="384"/>
        <v>0.14545871358091628</v>
      </c>
      <c r="Q1447">
        <f t="shared" si="385"/>
        <v>0.93947195784945337</v>
      </c>
      <c r="R1447">
        <f t="shared" si="386"/>
        <v>1</v>
      </c>
      <c r="AG1447" s="8">
        <f t="shared" si="392"/>
        <v>-0.36689789253504734</v>
      </c>
      <c r="AH1447" s="8">
        <f t="shared" si="393"/>
        <v>0.68789944714778395</v>
      </c>
      <c r="AI1447" s="8">
        <f t="shared" si="394"/>
        <v>0.62624299362716551</v>
      </c>
      <c r="AJ1447" s="8"/>
      <c r="AK1447" s="8"/>
      <c r="AL1447" s="8"/>
      <c r="AN1447" s="8">
        <f t="shared" si="387"/>
        <v>1</v>
      </c>
      <c r="AO1447" s="8">
        <f t="shared" si="388"/>
        <v>2.0607742368373883</v>
      </c>
      <c r="AP1447" s="8">
        <f t="shared" si="389"/>
        <v>0.89407147070142245</v>
      </c>
      <c r="AQ1447" s="8"/>
      <c r="AR1447" s="8">
        <f t="shared" si="390"/>
        <v>118.07366630007549</v>
      </c>
      <c r="AS1447" s="8">
        <f t="shared" si="391"/>
        <v>38.773478145754055</v>
      </c>
    </row>
    <row r="1448" spans="1:45">
      <c r="A1448" s="20">
        <v>47.247199999999999</v>
      </c>
      <c r="B1448" s="20">
        <v>462.12174329999999</v>
      </c>
      <c r="C1448" s="20">
        <v>-306.85474840000001</v>
      </c>
      <c r="E1448" s="9">
        <f t="shared" si="380"/>
        <v>-497.87825670000001</v>
      </c>
      <c r="F1448" s="9">
        <f t="shared" si="395"/>
        <v>233.14525159999999</v>
      </c>
      <c r="I1448">
        <v>1</v>
      </c>
      <c r="J1448">
        <f t="shared" si="381"/>
        <v>0.3500256170606495</v>
      </c>
      <c r="K1448">
        <f t="shared" si="382"/>
        <v>2.7036434368431648</v>
      </c>
      <c r="O1448">
        <f t="shared" si="383"/>
        <v>-0.31055802630270313</v>
      </c>
      <c r="P1448">
        <f t="shared" si="384"/>
        <v>0.14542737748511747</v>
      </c>
      <c r="Q1448">
        <f t="shared" si="385"/>
        <v>0.93936392850522565</v>
      </c>
      <c r="R1448">
        <f t="shared" si="386"/>
        <v>1</v>
      </c>
      <c r="AG1448" s="8">
        <f t="shared" si="392"/>
        <v>-0.36668632091648701</v>
      </c>
      <c r="AH1448" s="8">
        <f t="shared" si="393"/>
        <v>0.68814870182791277</v>
      </c>
      <c r="AI1448" s="8">
        <f t="shared" si="394"/>
        <v>0.6260930491750325</v>
      </c>
      <c r="AJ1448" s="8"/>
      <c r="AK1448" s="8"/>
      <c r="AL1448" s="8"/>
      <c r="AN1448" s="8">
        <f t="shared" si="387"/>
        <v>1.0000000000000002</v>
      </c>
      <c r="AO1448" s="8">
        <f t="shared" si="388"/>
        <v>2.0603843935705068</v>
      </c>
      <c r="AP1448" s="8">
        <f t="shared" si="389"/>
        <v>0.89426378406810869</v>
      </c>
      <c r="AQ1448" s="8"/>
      <c r="AR1448" s="8">
        <f t="shared" si="390"/>
        <v>118.05132992621159</v>
      </c>
      <c r="AS1448" s="8">
        <f t="shared" si="391"/>
        <v>38.762459401498987</v>
      </c>
    </row>
    <row r="1449" spans="1:45">
      <c r="A1449" s="20">
        <v>47.280566669999999</v>
      </c>
      <c r="B1449" s="20">
        <v>461.48068540000003</v>
      </c>
      <c r="C1449" s="20">
        <v>-306.82150569999999</v>
      </c>
      <c r="E1449" s="9">
        <f t="shared" si="380"/>
        <v>-498.51931459999997</v>
      </c>
      <c r="F1449" s="9">
        <f t="shared" si="395"/>
        <v>233.17849430000001</v>
      </c>
      <c r="I1449">
        <v>1</v>
      </c>
      <c r="J1449">
        <f t="shared" si="381"/>
        <v>0.35037752167386499</v>
      </c>
      <c r="K1449">
        <f t="shared" si="382"/>
        <v>2.7040827083070824</v>
      </c>
      <c r="O1449">
        <f t="shared" si="383"/>
        <v>-0.31092128946173903</v>
      </c>
      <c r="P1449">
        <f t="shared" si="384"/>
        <v>0.1454309913361635</v>
      </c>
      <c r="Q1449">
        <f t="shared" si="385"/>
        <v>0.93924319455529204</v>
      </c>
      <c r="R1449">
        <f t="shared" si="386"/>
        <v>1</v>
      </c>
      <c r="AG1449" s="8">
        <f t="shared" si="392"/>
        <v>-0.36643523330916322</v>
      </c>
      <c r="AH1449" s="8">
        <f t="shared" si="393"/>
        <v>0.68840457306322411</v>
      </c>
      <c r="AI1449" s="8">
        <f t="shared" si="394"/>
        <v>0.6259587554905669</v>
      </c>
      <c r="AJ1449" s="8"/>
      <c r="AK1449" s="8"/>
      <c r="AL1449" s="8"/>
      <c r="AN1449" s="8">
        <f t="shared" si="387"/>
        <v>1</v>
      </c>
      <c r="AO1449" s="8">
        <f t="shared" si="388"/>
        <v>2.0599459561388422</v>
      </c>
      <c r="AP1449" s="8">
        <f t="shared" si="389"/>
        <v>0.89443599911710125</v>
      </c>
      <c r="AQ1449" s="8"/>
      <c r="AR1449" s="8">
        <f t="shared" si="390"/>
        <v>118.02620931179665</v>
      </c>
      <c r="AS1449" s="8">
        <f t="shared" si="391"/>
        <v>38.752592206023074</v>
      </c>
    </row>
    <row r="1450" spans="1:45">
      <c r="A1450" s="20">
        <v>47.313933329999998</v>
      </c>
      <c r="B1450" s="20">
        <v>460.76705120000003</v>
      </c>
      <c r="C1450" s="20">
        <v>-306.8259147</v>
      </c>
      <c r="E1450" s="9">
        <f t="shared" si="380"/>
        <v>-499.23294879999997</v>
      </c>
      <c r="F1450" s="9">
        <f t="shared" si="395"/>
        <v>233.1740853</v>
      </c>
      <c r="I1450">
        <v>1</v>
      </c>
      <c r="J1450">
        <f t="shared" si="381"/>
        <v>0.35075887095582231</v>
      </c>
      <c r="K1450">
        <f t="shared" si="382"/>
        <v>2.704638694999693</v>
      </c>
      <c r="O1450">
        <f t="shared" si="383"/>
        <v>-0.31132660337947887</v>
      </c>
      <c r="P1450">
        <f t="shared" si="384"/>
        <v>0.14540966526159288</v>
      </c>
      <c r="Q1450">
        <f t="shared" si="385"/>
        <v>0.93911222720008714</v>
      </c>
      <c r="R1450">
        <f t="shared" si="386"/>
        <v>1</v>
      </c>
      <c r="AG1450" s="8">
        <f t="shared" si="392"/>
        <v>-0.36617283644434073</v>
      </c>
      <c r="AH1450" s="8">
        <f t="shared" si="393"/>
        <v>0.68869621355609156</v>
      </c>
      <c r="AI1450" s="8">
        <f t="shared" si="394"/>
        <v>0.62579148227169756</v>
      </c>
      <c r="AJ1450" s="8"/>
      <c r="AK1450" s="8"/>
      <c r="AL1450" s="8"/>
      <c r="AN1450" s="8">
        <f t="shared" si="387"/>
        <v>1</v>
      </c>
      <c r="AO1450" s="8">
        <f t="shared" si="388"/>
        <v>2.0594733079942178</v>
      </c>
      <c r="AP1450" s="8">
        <f t="shared" si="389"/>
        <v>0.89465047305617695</v>
      </c>
      <c r="AQ1450" s="8"/>
      <c r="AR1450" s="8">
        <f t="shared" si="390"/>
        <v>117.99912856791498</v>
      </c>
      <c r="AS1450" s="8">
        <f t="shared" si="391"/>
        <v>38.740303754498491</v>
      </c>
    </row>
    <row r="1451" spans="1:45">
      <c r="A1451" s="20">
        <v>47.347299999999997</v>
      </c>
      <c r="B1451" s="20">
        <v>460.51038990000001</v>
      </c>
      <c r="C1451" s="20">
        <v>-306.58015230000001</v>
      </c>
      <c r="E1451" s="9">
        <f t="shared" si="380"/>
        <v>-499.48961009999999</v>
      </c>
      <c r="F1451" s="9">
        <f t="shared" si="395"/>
        <v>233.41984769999999</v>
      </c>
      <c r="I1451">
        <v>1</v>
      </c>
      <c r="J1451">
        <f t="shared" si="381"/>
        <v>0.35095793132077213</v>
      </c>
      <c r="K1451">
        <f t="shared" si="382"/>
        <v>2.7044318214923608</v>
      </c>
      <c r="O1451">
        <f t="shared" si="383"/>
        <v>-0.31146586882526006</v>
      </c>
      <c r="P1451">
        <f t="shared" si="384"/>
        <v>0.14555320910556088</v>
      </c>
      <c r="Q1451">
        <f t="shared" si="385"/>
        <v>0.93904380934863674</v>
      </c>
      <c r="R1451">
        <f t="shared" si="386"/>
        <v>1</v>
      </c>
      <c r="AG1451" s="8">
        <f t="shared" si="392"/>
        <v>-0.36597629776264556</v>
      </c>
      <c r="AH1451" s="8">
        <f t="shared" si="393"/>
        <v>0.68875928553897536</v>
      </c>
      <c r="AI1451" s="8">
        <f t="shared" si="394"/>
        <v>0.62583703634395726</v>
      </c>
      <c r="AJ1451" s="8"/>
      <c r="AK1451" s="8"/>
      <c r="AL1451" s="8"/>
      <c r="AN1451" s="8">
        <f t="shared" si="387"/>
        <v>1</v>
      </c>
      <c r="AO1451" s="8">
        <f t="shared" si="388"/>
        <v>2.0592128510228074</v>
      </c>
      <c r="AP1451" s="8">
        <f t="shared" si="389"/>
        <v>0.89459206831204807</v>
      </c>
      <c r="AQ1451" s="8"/>
      <c r="AR1451" s="8">
        <f t="shared" si="390"/>
        <v>117.9842054827084</v>
      </c>
      <c r="AS1451" s="8">
        <f t="shared" si="391"/>
        <v>38.743650099840615</v>
      </c>
    </row>
    <row r="1452" spans="1:45">
      <c r="A1452" s="20">
        <v>47.380666669999997</v>
      </c>
      <c r="B1452" s="20">
        <v>459.84415330000002</v>
      </c>
      <c r="C1452" s="20">
        <v>-305.86087420000001</v>
      </c>
      <c r="E1452" s="9">
        <f t="shared" si="380"/>
        <v>-500.15584669999998</v>
      </c>
      <c r="F1452" s="9">
        <f t="shared" si="395"/>
        <v>234.13912579999999</v>
      </c>
      <c r="I1452">
        <v>1</v>
      </c>
      <c r="J1452">
        <f t="shared" si="381"/>
        <v>0.35149496698668842</v>
      </c>
      <c r="K1452">
        <f t="shared" si="382"/>
        <v>2.7037626078775525</v>
      </c>
      <c r="O1452">
        <f t="shared" si="383"/>
        <v>-0.31182507929035869</v>
      </c>
      <c r="P1452">
        <f t="shared" si="384"/>
        <v>0.14597540336532927</v>
      </c>
      <c r="Q1452">
        <f t="shared" si="385"/>
        <v>0.93885904242217899</v>
      </c>
      <c r="R1452">
        <f t="shared" si="386"/>
        <v>1</v>
      </c>
      <c r="AG1452" s="8">
        <f t="shared" si="392"/>
        <v>-0.3654325837863252</v>
      </c>
      <c r="AH1452" s="8">
        <f t="shared" si="393"/>
        <v>0.68890907202505813</v>
      </c>
      <c r="AI1452" s="8">
        <f t="shared" si="394"/>
        <v>0.62598986987715988</v>
      </c>
      <c r="AJ1452" s="8"/>
      <c r="AK1452" s="8"/>
      <c r="AL1452" s="8"/>
      <c r="AN1452" s="8">
        <f t="shared" si="387"/>
        <v>0.99999999999999978</v>
      </c>
      <c r="AO1452" s="8">
        <f t="shared" si="388"/>
        <v>2.0585070247063824</v>
      </c>
      <c r="AP1452" s="8">
        <f t="shared" si="389"/>
        <v>0.89439610088167976</v>
      </c>
      <c r="AQ1452" s="8"/>
      <c r="AR1452" s="8">
        <f t="shared" si="390"/>
        <v>117.94376461370798</v>
      </c>
      <c r="AS1452" s="8">
        <f t="shared" si="391"/>
        <v>38.75487820652274</v>
      </c>
    </row>
    <row r="1453" spans="1:45">
      <c r="A1453" s="20">
        <v>47.414033330000002</v>
      </c>
      <c r="B1453" s="20">
        <v>459.46138389999999</v>
      </c>
      <c r="C1453" s="20">
        <v>-305.85789720000002</v>
      </c>
      <c r="E1453" s="9">
        <f t="shared" si="380"/>
        <v>-500.53861610000001</v>
      </c>
      <c r="F1453" s="9">
        <f t="shared" si="395"/>
        <v>234.14210279999998</v>
      </c>
      <c r="I1453">
        <v>1</v>
      </c>
      <c r="J1453">
        <f t="shared" si="381"/>
        <v>0.35170065652199062</v>
      </c>
      <c r="K1453">
        <f t="shared" si="382"/>
        <v>2.704051406166728</v>
      </c>
      <c r="O1453">
        <f t="shared" si="383"/>
        <v>-0.31204213859208507</v>
      </c>
      <c r="P1453">
        <f t="shared" si="384"/>
        <v>0.1459671644546264</v>
      </c>
      <c r="Q1453">
        <f t="shared" si="385"/>
        <v>0.93878820329398793</v>
      </c>
      <c r="R1453">
        <f t="shared" si="386"/>
        <v>1</v>
      </c>
      <c r="AG1453" s="8">
        <f t="shared" si="392"/>
        <v>-0.36528968477161422</v>
      </c>
      <c r="AH1453" s="8">
        <f t="shared" si="393"/>
        <v>0.68906437371569251</v>
      </c>
      <c r="AI1453" s="8">
        <f t="shared" si="394"/>
        <v>0.62590233669100104</v>
      </c>
      <c r="AJ1453" s="8"/>
      <c r="AK1453" s="8"/>
      <c r="AL1453" s="8"/>
      <c r="AN1453" s="8">
        <f t="shared" si="387"/>
        <v>1</v>
      </c>
      <c r="AO1453" s="8">
        <f t="shared" si="388"/>
        <v>2.0582518472915798</v>
      </c>
      <c r="AP1453" s="8">
        <f t="shared" si="389"/>
        <v>0.89450834215193531</v>
      </c>
      <c r="AQ1453" s="8"/>
      <c r="AR1453" s="8">
        <f t="shared" si="390"/>
        <v>117.92914402481274</v>
      </c>
      <c r="AS1453" s="8">
        <f t="shared" si="391"/>
        <v>38.748447255449911</v>
      </c>
    </row>
    <row r="1454" spans="1:45">
      <c r="A1454" s="20">
        <v>47.447400000000002</v>
      </c>
      <c r="B1454" s="20">
        <v>458.52376390000001</v>
      </c>
      <c r="C1454" s="20">
        <v>-305.82023140000001</v>
      </c>
      <c r="E1454" s="9">
        <f t="shared" si="380"/>
        <v>-501.47623609999999</v>
      </c>
      <c r="F1454" s="9">
        <f t="shared" si="395"/>
        <v>234.17976859999999</v>
      </c>
      <c r="I1454">
        <v>1</v>
      </c>
      <c r="J1454">
        <f t="shared" si="381"/>
        <v>0.35221208980840746</v>
      </c>
      <c r="K1454">
        <f t="shared" si="382"/>
        <v>2.7047075773276776</v>
      </c>
      <c r="O1454">
        <f t="shared" si="383"/>
        <v>-0.31257284110814176</v>
      </c>
      <c r="P1454">
        <f t="shared" si="384"/>
        <v>0.14596551208610542</v>
      </c>
      <c r="Q1454">
        <f t="shared" si="385"/>
        <v>0.93861189438607984</v>
      </c>
      <c r="R1454">
        <f t="shared" si="386"/>
        <v>1</v>
      </c>
      <c r="AG1454" s="8">
        <f t="shared" si="392"/>
        <v>-0.36492710990771488</v>
      </c>
      <c r="AH1454" s="8">
        <f t="shared" si="393"/>
        <v>0.68943941603966497</v>
      </c>
      <c r="AI1454" s="8">
        <f t="shared" si="394"/>
        <v>0.62570080395128835</v>
      </c>
      <c r="AJ1454" s="8"/>
      <c r="AK1454" s="8"/>
      <c r="AL1454" s="8"/>
      <c r="AN1454" s="8">
        <f t="shared" si="387"/>
        <v>1.0000000000000002</v>
      </c>
      <c r="AO1454" s="8">
        <f t="shared" si="388"/>
        <v>2.0576159924137158</v>
      </c>
      <c r="AP1454" s="8">
        <f t="shared" si="389"/>
        <v>0.89476672332329965</v>
      </c>
      <c r="AQ1454" s="8"/>
      <c r="AR1454" s="8">
        <f t="shared" si="390"/>
        <v>117.89271222392833</v>
      </c>
      <c r="AS1454" s="8">
        <f t="shared" si="391"/>
        <v>38.733643104825092</v>
      </c>
    </row>
    <row r="1455" spans="1:45">
      <c r="A1455" s="20">
        <v>47.480766670000001</v>
      </c>
      <c r="B1455" s="20">
        <v>458.13680779999999</v>
      </c>
      <c r="C1455" s="20">
        <v>-305.8413797</v>
      </c>
      <c r="E1455" s="9">
        <f t="shared" si="380"/>
        <v>-501.86319220000001</v>
      </c>
      <c r="F1455" s="9">
        <f t="shared" si="395"/>
        <v>234.1586203</v>
      </c>
      <c r="I1455">
        <v>1</v>
      </c>
      <c r="J1455">
        <f t="shared" si="381"/>
        <v>0.35241397909690608</v>
      </c>
      <c r="K1455">
        <f t="shared" si="382"/>
        <v>2.7050378224211196</v>
      </c>
      <c r="O1455">
        <f t="shared" si="383"/>
        <v>-0.31279274567704063</v>
      </c>
      <c r="P1455">
        <f t="shared" si="384"/>
        <v>0.14594239805974082</v>
      </c>
      <c r="Q1455">
        <f t="shared" si="385"/>
        <v>0.93854222851206348</v>
      </c>
      <c r="R1455">
        <f t="shared" si="386"/>
        <v>1</v>
      </c>
      <c r="AG1455" s="8">
        <f t="shared" si="392"/>
        <v>-0.36479262820435288</v>
      </c>
      <c r="AH1455" s="8">
        <f t="shared" si="393"/>
        <v>0.68960029808885892</v>
      </c>
      <c r="AI1455" s="8">
        <f t="shared" si="394"/>
        <v>0.62560192397683523</v>
      </c>
      <c r="AJ1455" s="8"/>
      <c r="AK1455" s="8"/>
      <c r="AL1455" s="8"/>
      <c r="AN1455" s="8">
        <f t="shared" si="387"/>
        <v>1.0000000000000002</v>
      </c>
      <c r="AO1455" s="8">
        <f t="shared" si="388"/>
        <v>2.0573671638364557</v>
      </c>
      <c r="AP1455" s="8">
        <f t="shared" si="389"/>
        <v>0.89489347581704859</v>
      </c>
      <c r="AQ1455" s="8"/>
      <c r="AR1455" s="8">
        <f t="shared" si="390"/>
        <v>117.87845539662908</v>
      </c>
      <c r="AS1455" s="8">
        <f t="shared" si="391"/>
        <v>38.726380721890514</v>
      </c>
    </row>
    <row r="1456" spans="1:45">
      <c r="A1456" s="20">
        <v>47.51413333</v>
      </c>
      <c r="B1456" s="20">
        <v>457.74284419999998</v>
      </c>
      <c r="C1456" s="20">
        <v>-305.833437</v>
      </c>
      <c r="E1456" s="9">
        <f t="shared" si="380"/>
        <v>-502.25715580000002</v>
      </c>
      <c r="F1456" s="9">
        <f t="shared" si="395"/>
        <v>234.166563</v>
      </c>
      <c r="I1456">
        <v>1</v>
      </c>
      <c r="J1456">
        <f t="shared" si="381"/>
        <v>0.35262688830719496</v>
      </c>
      <c r="K1456">
        <f t="shared" si="382"/>
        <v>2.7053254236878375</v>
      </c>
      <c r="O1456">
        <f t="shared" si="383"/>
        <v>-0.3130158066680499</v>
      </c>
      <c r="P1456">
        <f t="shared" si="384"/>
        <v>0.14593686673389505</v>
      </c>
      <c r="Q1456">
        <f t="shared" si="385"/>
        <v>0.93846871855371039</v>
      </c>
      <c r="R1456">
        <f t="shared" si="386"/>
        <v>1</v>
      </c>
      <c r="AG1456" s="8">
        <f t="shared" si="392"/>
        <v>-0.36464354404735311</v>
      </c>
      <c r="AH1456" s="8">
        <f t="shared" si="393"/>
        <v>0.68975904982308855</v>
      </c>
      <c r="AI1456" s="8">
        <f t="shared" si="394"/>
        <v>0.62551381996862065</v>
      </c>
      <c r="AJ1456" s="8"/>
      <c r="AK1456" s="8"/>
      <c r="AL1456" s="8"/>
      <c r="AN1456" s="8">
        <f t="shared" si="387"/>
        <v>0.99999999999999978</v>
      </c>
      <c r="AO1456" s="8">
        <f t="shared" si="388"/>
        <v>2.0571031159877537</v>
      </c>
      <c r="AP1456" s="8">
        <f t="shared" si="389"/>
        <v>0.89500640393680286</v>
      </c>
      <c r="AQ1456" s="8"/>
      <c r="AR1456" s="8">
        <f t="shared" si="390"/>
        <v>117.86332656930895</v>
      </c>
      <c r="AS1456" s="8">
        <f t="shared" si="391"/>
        <v>38.71991041724025</v>
      </c>
    </row>
    <row r="1457" spans="1:45">
      <c r="A1457" s="20">
        <v>47.547499999999999</v>
      </c>
      <c r="B1457" s="20">
        <v>456.68876949999998</v>
      </c>
      <c r="C1457" s="20">
        <v>-305.8038004</v>
      </c>
      <c r="E1457" s="9">
        <f t="shared" si="380"/>
        <v>-503.31123050000002</v>
      </c>
      <c r="F1457" s="9">
        <f t="shared" si="395"/>
        <v>234.1961996</v>
      </c>
      <c r="I1457">
        <v>1</v>
      </c>
      <c r="J1457">
        <f t="shared" si="381"/>
        <v>0.35319860482534193</v>
      </c>
      <c r="K1457">
        <f t="shared" si="382"/>
        <v>2.7060793874148419</v>
      </c>
      <c r="O1457">
        <f t="shared" si="383"/>
        <v>-0.31361215177789037</v>
      </c>
      <c r="P1457">
        <f t="shared" si="384"/>
        <v>0.14592715132105583</v>
      </c>
      <c r="Q1457">
        <f t="shared" si="385"/>
        <v>0.93827111474486047</v>
      </c>
      <c r="R1457">
        <f t="shared" si="386"/>
        <v>1</v>
      </c>
      <c r="AG1457" s="8">
        <f t="shared" si="392"/>
        <v>-0.36424121072347171</v>
      </c>
      <c r="AH1457" s="8">
        <f t="shared" si="393"/>
        <v>0.69018208046626905</v>
      </c>
      <c r="AI1457" s="8">
        <f t="shared" si="394"/>
        <v>0.62528156554783565</v>
      </c>
      <c r="AJ1457" s="8"/>
      <c r="AK1457" s="8"/>
      <c r="AL1457" s="8"/>
      <c r="AN1457" s="8">
        <f t="shared" si="387"/>
        <v>1.0000000000000004</v>
      </c>
      <c r="AO1457" s="8">
        <f t="shared" si="388"/>
        <v>2.0563939941331739</v>
      </c>
      <c r="AP1457" s="8">
        <f t="shared" si="389"/>
        <v>0.89530404918285922</v>
      </c>
      <c r="AQ1457" s="8"/>
      <c r="AR1457" s="8">
        <f t="shared" si="390"/>
        <v>117.82269687988104</v>
      </c>
      <c r="AS1457" s="8">
        <f t="shared" si="391"/>
        <v>38.702856600849088</v>
      </c>
    </row>
    <row r="1458" spans="1:45">
      <c r="A1458" s="20">
        <v>47.580866669999999</v>
      </c>
      <c r="B1458" s="20">
        <v>455.90608600000002</v>
      </c>
      <c r="C1458" s="20">
        <v>-305.72541200000001</v>
      </c>
      <c r="E1458" s="9">
        <f t="shared" si="380"/>
        <v>-504.09391399999998</v>
      </c>
      <c r="F1458" s="9">
        <f t="shared" si="395"/>
        <v>234.27458799999999</v>
      </c>
      <c r="I1458">
        <v>1</v>
      </c>
      <c r="J1458">
        <f t="shared" si="381"/>
        <v>0.3536371186525884</v>
      </c>
      <c r="K1458">
        <f t="shared" si="382"/>
        <v>2.7065455441163735</v>
      </c>
      <c r="O1458">
        <f t="shared" si="383"/>
        <v>-0.31405323129599816</v>
      </c>
      <c r="P1458">
        <f t="shared" si="384"/>
        <v>0.14595433376316988</v>
      </c>
      <c r="Q1458">
        <f t="shared" si="385"/>
        <v>0.9381193422844939</v>
      </c>
      <c r="R1458">
        <f t="shared" si="386"/>
        <v>1</v>
      </c>
      <c r="AG1458" s="8">
        <f t="shared" si="392"/>
        <v>-0.36391921561514112</v>
      </c>
      <c r="AH1458" s="8">
        <f t="shared" si="393"/>
        <v>0.69048637669215029</v>
      </c>
      <c r="AI1458" s="8">
        <f t="shared" si="394"/>
        <v>0.62513308031858816</v>
      </c>
      <c r="AJ1458" s="8"/>
      <c r="AK1458" s="8"/>
      <c r="AL1458" s="8"/>
      <c r="AN1458" s="8">
        <f t="shared" si="387"/>
        <v>1</v>
      </c>
      <c r="AO1458" s="8">
        <f t="shared" si="388"/>
        <v>2.0558471810294101</v>
      </c>
      <c r="AP1458" s="8">
        <f t="shared" si="389"/>
        <v>0.89549430297508337</v>
      </c>
      <c r="AQ1458" s="8"/>
      <c r="AR1458" s="8">
        <f t="shared" si="390"/>
        <v>117.79136679685293</v>
      </c>
      <c r="AS1458" s="8">
        <f t="shared" si="391"/>
        <v>38.691955861518281</v>
      </c>
    </row>
    <row r="1459" spans="1:45">
      <c r="A1459" s="20">
        <v>47.614233329999998</v>
      </c>
      <c r="B1459" s="20">
        <v>455.57668130000002</v>
      </c>
      <c r="C1459" s="20">
        <v>-305.70259229999999</v>
      </c>
      <c r="E1459" s="9">
        <f t="shared" si="380"/>
        <v>-504.42331869999998</v>
      </c>
      <c r="F1459" s="9">
        <f t="shared" si="395"/>
        <v>234.29740770000001</v>
      </c>
      <c r="I1459">
        <v>1</v>
      </c>
      <c r="J1459">
        <f t="shared" si="381"/>
        <v>0.35381912570889301</v>
      </c>
      <c r="K1459">
        <f t="shared" si="382"/>
        <v>2.7067579469635632</v>
      </c>
      <c r="O1459">
        <f t="shared" si="383"/>
        <v>-0.31423907494254971</v>
      </c>
      <c r="P1459">
        <f t="shared" si="384"/>
        <v>0.14595955009937459</v>
      </c>
      <c r="Q1459">
        <f t="shared" si="385"/>
        <v>0.93805629549299374</v>
      </c>
      <c r="R1459">
        <f t="shared" si="386"/>
        <v>1</v>
      </c>
      <c r="AG1459" s="8">
        <f t="shared" si="392"/>
        <v>-0.36378790116517085</v>
      </c>
      <c r="AH1459" s="8">
        <f t="shared" si="393"/>
        <v>0.6906160915225168</v>
      </c>
      <c r="AI1459" s="8">
        <f t="shared" si="394"/>
        <v>0.62506621816892549</v>
      </c>
      <c r="AJ1459" s="8"/>
      <c r="AK1459" s="8"/>
      <c r="AL1459" s="8"/>
      <c r="AN1459" s="8">
        <f t="shared" si="387"/>
        <v>1.0000000000000002</v>
      </c>
      <c r="AO1459" s="8">
        <f t="shared" si="388"/>
        <v>2.0556208757969658</v>
      </c>
      <c r="AP1459" s="8">
        <f t="shared" si="389"/>
        <v>0.89557996383189731</v>
      </c>
      <c r="AQ1459" s="8"/>
      <c r="AR1459" s="8">
        <f t="shared" si="390"/>
        <v>117.77840046215213</v>
      </c>
      <c r="AS1459" s="8">
        <f t="shared" si="391"/>
        <v>38.687047855953374</v>
      </c>
    </row>
    <row r="1460" spans="1:45">
      <c r="A1460" s="20">
        <v>47.647599999999997</v>
      </c>
      <c r="B1460" s="20">
        <v>454.90745559999999</v>
      </c>
      <c r="C1460" s="20">
        <v>-305.68582880000002</v>
      </c>
      <c r="E1460" s="9">
        <f t="shared" si="380"/>
        <v>-505.09254440000001</v>
      </c>
      <c r="F1460" s="9">
        <f t="shared" si="395"/>
        <v>234.31417119999998</v>
      </c>
      <c r="I1460">
        <v>1</v>
      </c>
      <c r="J1460">
        <f t="shared" si="381"/>
        <v>0.35418151851840018</v>
      </c>
      <c r="K1460">
        <f t="shared" si="382"/>
        <v>2.707236964328918</v>
      </c>
      <c r="O1460">
        <f t="shared" si="383"/>
        <v>-0.31461731344499416</v>
      </c>
      <c r="P1460">
        <f t="shared" si="384"/>
        <v>0.14595205544482093</v>
      </c>
      <c r="Q1460">
        <f t="shared" si="385"/>
        <v>0.93793067099444305</v>
      </c>
      <c r="R1460">
        <f t="shared" si="386"/>
        <v>1</v>
      </c>
      <c r="AG1460" s="8">
        <f t="shared" si="392"/>
        <v>-0.36353333691019968</v>
      </c>
      <c r="AH1460" s="8">
        <f t="shared" si="393"/>
        <v>0.69088449500701365</v>
      </c>
      <c r="AI1460" s="8">
        <f t="shared" si="394"/>
        <v>0.62491769659199048</v>
      </c>
      <c r="AJ1460" s="8"/>
      <c r="AK1460" s="8"/>
      <c r="AL1460" s="8"/>
      <c r="AN1460" s="8">
        <f t="shared" si="387"/>
        <v>1</v>
      </c>
      <c r="AO1460" s="8">
        <f t="shared" si="388"/>
        <v>2.0551721478137575</v>
      </c>
      <c r="AP1460" s="8">
        <f t="shared" si="389"/>
        <v>0.8957702221506606</v>
      </c>
      <c r="AQ1460" s="8"/>
      <c r="AR1460" s="8">
        <f t="shared" si="390"/>
        <v>117.75269024256488</v>
      </c>
      <c r="AS1460" s="8">
        <f t="shared" si="391"/>
        <v>38.676146857270979</v>
      </c>
    </row>
    <row r="1461" spans="1:45">
      <c r="A1461" s="20">
        <v>47.680966669999997</v>
      </c>
      <c r="B1461" s="20">
        <v>454.1373481</v>
      </c>
      <c r="C1461" s="20">
        <v>-305.59974319999998</v>
      </c>
      <c r="E1461" s="9">
        <f t="shared" si="380"/>
        <v>-505.8626519</v>
      </c>
      <c r="F1461" s="9">
        <f t="shared" si="395"/>
        <v>234.40025680000002</v>
      </c>
      <c r="I1461">
        <v>1</v>
      </c>
      <c r="J1461">
        <f t="shared" si="381"/>
        <v>0.35461508135308872</v>
      </c>
      <c r="K1461">
        <f t="shared" si="382"/>
        <v>2.7076781767229265</v>
      </c>
      <c r="O1461">
        <f t="shared" si="383"/>
        <v>-0.31505061530162248</v>
      </c>
      <c r="P1461">
        <f t="shared" si="384"/>
        <v>0.14598418138664393</v>
      </c>
      <c r="Q1461">
        <f t="shared" si="385"/>
        <v>0.93778021336715167</v>
      </c>
      <c r="R1461">
        <f t="shared" si="386"/>
        <v>1</v>
      </c>
      <c r="AG1461" s="8">
        <f t="shared" si="392"/>
        <v>-0.36321286323260804</v>
      </c>
      <c r="AH1461" s="8">
        <f t="shared" si="393"/>
        <v>0.69118184450489195</v>
      </c>
      <c r="AI1461" s="8">
        <f t="shared" si="394"/>
        <v>0.62477521862601604</v>
      </c>
      <c r="AJ1461" s="8"/>
      <c r="AK1461" s="8"/>
      <c r="AL1461" s="8"/>
      <c r="AN1461" s="8">
        <f t="shared" si="387"/>
        <v>1</v>
      </c>
      <c r="AO1461" s="8">
        <f t="shared" si="388"/>
        <v>2.0546315889841735</v>
      </c>
      <c r="AP1461" s="8">
        <f t="shared" si="389"/>
        <v>0.89595271128811227</v>
      </c>
      <c r="AQ1461" s="8"/>
      <c r="AR1461" s="8">
        <f t="shared" si="390"/>
        <v>117.72171850305119</v>
      </c>
      <c r="AS1461" s="8">
        <f t="shared" si="391"/>
        <v>38.665690999888014</v>
      </c>
    </row>
    <row r="1462" spans="1:45">
      <c r="A1462" s="20">
        <v>47.714333330000002</v>
      </c>
      <c r="B1462" s="20">
        <v>454</v>
      </c>
      <c r="C1462" s="20">
        <v>-306.25</v>
      </c>
      <c r="E1462" s="9">
        <f t="shared" si="380"/>
        <v>-506</v>
      </c>
      <c r="F1462" s="9">
        <f t="shared" si="395"/>
        <v>233.75</v>
      </c>
      <c r="I1462">
        <v>1</v>
      </c>
      <c r="J1462">
        <f t="shared" si="381"/>
        <v>0.35452754581182605</v>
      </c>
      <c r="K1462">
        <f t="shared" si="382"/>
        <v>2.7088402880949207</v>
      </c>
      <c r="O1462">
        <f t="shared" si="383"/>
        <v>-0.31514552948576957</v>
      </c>
      <c r="P1462">
        <f t="shared" si="384"/>
        <v>0.14558353264288268</v>
      </c>
      <c r="Q1462">
        <f t="shared" si="385"/>
        <v>0.93781060468964239</v>
      </c>
      <c r="R1462">
        <f t="shared" si="386"/>
        <v>1</v>
      </c>
      <c r="AG1462" s="8">
        <f t="shared" si="392"/>
        <v>-0.36343016761522162</v>
      </c>
      <c r="AH1462" s="8">
        <f t="shared" si="393"/>
        <v>0.69134735901759925</v>
      </c>
      <c r="AI1462" s="8">
        <f t="shared" si="394"/>
        <v>0.62446564552949013</v>
      </c>
      <c r="AJ1462" s="8"/>
      <c r="AK1462" s="8"/>
      <c r="AL1462" s="8"/>
      <c r="AN1462" s="8">
        <f t="shared" si="387"/>
        <v>1.0000000000000002</v>
      </c>
      <c r="AO1462" s="8">
        <f t="shared" si="388"/>
        <v>2.0547792973606249</v>
      </c>
      <c r="AP1462" s="8">
        <f t="shared" si="389"/>
        <v>0.89634912799468347</v>
      </c>
      <c r="AQ1462" s="8"/>
      <c r="AR1462" s="8">
        <f t="shared" si="390"/>
        <v>117.73018156962058</v>
      </c>
      <c r="AS1462" s="8">
        <f t="shared" si="391"/>
        <v>38.642977995673007</v>
      </c>
    </row>
    <row r="1463" spans="1:45">
      <c r="A1463" s="20">
        <v>47.747700000000002</v>
      </c>
      <c r="B1463" s="20">
        <v>453.38964479999999</v>
      </c>
      <c r="C1463" s="20">
        <v>-306.0820617</v>
      </c>
      <c r="E1463" s="9">
        <f t="shared" si="380"/>
        <v>-506.61035520000001</v>
      </c>
      <c r="F1463" s="9">
        <f t="shared" si="395"/>
        <v>233.9179383</v>
      </c>
      <c r="I1463">
        <v>1</v>
      </c>
      <c r="J1463">
        <f t="shared" si="381"/>
        <v>0.35489592236843132</v>
      </c>
      <c r="K1463">
        <f t="shared" si="382"/>
        <v>2.7090257847246404</v>
      </c>
      <c r="O1463">
        <f t="shared" si="383"/>
        <v>-0.3154861552959019</v>
      </c>
      <c r="P1463">
        <f t="shared" si="384"/>
        <v>0.14566988268504105</v>
      </c>
      <c r="Q1463">
        <f t="shared" si="385"/>
        <v>0.93768266012288848</v>
      </c>
      <c r="R1463">
        <f t="shared" si="386"/>
        <v>1</v>
      </c>
      <c r="AG1463" s="8">
        <f t="shared" si="392"/>
        <v>-0.36313504159531251</v>
      </c>
      <c r="AH1463" s="8">
        <f t="shared" si="393"/>
        <v>0.69156598510381539</v>
      </c>
      <c r="AI1463" s="8">
        <f t="shared" si="394"/>
        <v>0.62439525127355033</v>
      </c>
      <c r="AJ1463" s="8"/>
      <c r="AK1463" s="8"/>
      <c r="AL1463" s="8"/>
      <c r="AN1463" s="8">
        <f t="shared" si="387"/>
        <v>1</v>
      </c>
      <c r="AO1463" s="8">
        <f t="shared" si="388"/>
        <v>2.0543146257646701</v>
      </c>
      <c r="AP1463" s="8">
        <f t="shared" si="389"/>
        <v>0.89643925220549903</v>
      </c>
      <c r="AQ1463" s="8"/>
      <c r="AR1463" s="8">
        <f t="shared" si="390"/>
        <v>117.70355784831276</v>
      </c>
      <c r="AS1463" s="8">
        <f t="shared" si="391"/>
        <v>38.637814258761331</v>
      </c>
    </row>
    <row r="1464" spans="1:45">
      <c r="A1464" s="20">
        <v>47.781066670000001</v>
      </c>
      <c r="B1464" s="20">
        <v>452.34247110000001</v>
      </c>
      <c r="C1464" s="20">
        <v>-305.88540990000001</v>
      </c>
      <c r="E1464" s="9">
        <f t="shared" si="380"/>
        <v>-507.65752889999999</v>
      </c>
      <c r="F1464" s="9">
        <f t="shared" si="395"/>
        <v>234.11459009999999</v>
      </c>
      <c r="I1464">
        <v>1</v>
      </c>
      <c r="J1464">
        <f t="shared" si="381"/>
        <v>0.35550515306513414</v>
      </c>
      <c r="K1464">
        <f t="shared" si="382"/>
        <v>2.7094916533569684</v>
      </c>
      <c r="O1464">
        <f t="shared" si="383"/>
        <v>-0.31607268438210007</v>
      </c>
      <c r="P1464">
        <f t="shared" si="384"/>
        <v>0.14576209892180725</v>
      </c>
      <c r="Q1464">
        <f t="shared" si="385"/>
        <v>0.93747078285427254</v>
      </c>
      <c r="R1464">
        <f t="shared" si="386"/>
        <v>1</v>
      </c>
      <c r="AG1464" s="8">
        <f t="shared" si="392"/>
        <v>-0.36266646420242815</v>
      </c>
      <c r="AH1464" s="8">
        <f t="shared" si="393"/>
        <v>0.69195618307701456</v>
      </c>
      <c r="AI1464" s="8">
        <f t="shared" si="394"/>
        <v>0.62423527330999007</v>
      </c>
      <c r="AJ1464" s="8"/>
      <c r="AK1464" s="8"/>
      <c r="AL1464" s="8"/>
      <c r="AN1464" s="8">
        <f t="shared" si="387"/>
        <v>1</v>
      </c>
      <c r="AO1464" s="8">
        <f t="shared" si="388"/>
        <v>2.0535513947633661</v>
      </c>
      <c r="AP1464" s="8">
        <f t="shared" si="389"/>
        <v>0.89664404431888245</v>
      </c>
      <c r="AQ1464" s="8"/>
      <c r="AR1464" s="8">
        <f t="shared" si="390"/>
        <v>117.6598279331445</v>
      </c>
      <c r="AS1464" s="8">
        <f t="shared" si="391"/>
        <v>38.626080534986897</v>
      </c>
    </row>
    <row r="1465" spans="1:45">
      <c r="A1465" s="20">
        <v>47.81443333</v>
      </c>
      <c r="B1465" s="20">
        <v>451.62158529999999</v>
      </c>
      <c r="C1465" s="20">
        <v>-305.86381069999999</v>
      </c>
      <c r="E1465" s="9">
        <f t="shared" ref="E1465:E1528" si="396">(B1465-($B$15/2))</f>
        <v>-508.37841470000001</v>
      </c>
      <c r="F1465" s="9">
        <f t="shared" si="395"/>
        <v>234.13618930000001</v>
      </c>
      <c r="I1465">
        <v>1</v>
      </c>
      <c r="J1465">
        <f t="shared" ref="J1465:J1528" si="397">ATAN((SQRT(E1465^2+F1465^2)^$B$16)/($F$24))</f>
        <v>0.35589638601661638</v>
      </c>
      <c r="K1465">
        <f t="shared" ref="K1465:K1528" si="398">ATAN2(E1465,F1465)</f>
        <v>2.7099959885234157</v>
      </c>
      <c r="O1465">
        <f t="shared" ref="O1465:O1528" si="399">COS(K1465)*SIN(J1465)</f>
        <v>-0.31647926926119813</v>
      </c>
      <c r="P1465">
        <f t="shared" ref="P1465:P1528" si="400">SIN(K1465)*SIN(J1465)</f>
        <v>0.14575609025609873</v>
      </c>
      <c r="Q1465">
        <f t="shared" ref="Q1465:Q1528" si="401">COS(J1465)</f>
        <v>0.93733453701501579</v>
      </c>
      <c r="R1465">
        <f t="shared" ref="R1465:R1528" si="402">SQRT(O1465^2+P1465^2+Q1465^2)</f>
        <v>1</v>
      </c>
      <c r="AG1465" s="8">
        <f t="shared" si="392"/>
        <v>-0.36239080919348021</v>
      </c>
      <c r="AH1465" s="8">
        <f t="shared" si="393"/>
        <v>0.69224377643123503</v>
      </c>
      <c r="AI1465" s="8">
        <f t="shared" si="394"/>
        <v>0.62407648201507859</v>
      </c>
      <c r="AJ1465" s="8"/>
      <c r="AK1465" s="8"/>
      <c r="AL1465" s="8"/>
      <c r="AN1465" s="8">
        <f t="shared" ref="AN1465:AN1528" si="403">AG1465^2+AH1465^2+AI1465^2</f>
        <v>0.99999999999999978</v>
      </c>
      <c r="AO1465" s="8">
        <f t="shared" ref="AO1465:AO1528" si="404">IF(ATAN2(AG1465,AH1465)&gt;=0,ATAN2(AG1465,AH1465),ATAN2(AG1465,AH1465)+2*PI())</f>
        <v>2.0530680601604665</v>
      </c>
      <c r="AP1465" s="8">
        <f t="shared" ref="AP1465:AP1528" si="405">ACOS(AI1465/AN1465)</f>
        <v>0.8968472842115931</v>
      </c>
      <c r="AQ1465" s="8"/>
      <c r="AR1465" s="8">
        <f t="shared" ref="AR1465:AR1528" si="406">DEGREES(AO1465)</f>
        <v>117.63213490030573</v>
      </c>
      <c r="AS1465" s="8">
        <f t="shared" ref="AS1465:AS1528" si="407">90-DEGREES(AP1465)</f>
        <v>38.614435746905883</v>
      </c>
    </row>
    <row r="1466" spans="1:45">
      <c r="A1466" s="20">
        <v>47.847799999999999</v>
      </c>
      <c r="B1466" s="20">
        <v>451.26238050000001</v>
      </c>
      <c r="C1466" s="20">
        <v>-305.88208709999998</v>
      </c>
      <c r="E1466" s="9">
        <f t="shared" si="396"/>
        <v>-508.73761949999999</v>
      </c>
      <c r="F1466" s="9">
        <f t="shared" si="395"/>
        <v>234.11791290000002</v>
      </c>
      <c r="I1466">
        <v>1</v>
      </c>
      <c r="J1466">
        <f t="shared" si="397"/>
        <v>0.35608416713110314</v>
      </c>
      <c r="K1466">
        <f t="shared" si="398"/>
        <v>2.7102939472111416</v>
      </c>
      <c r="O1466">
        <f t="shared" si="399"/>
        <v>-0.31668257394315052</v>
      </c>
      <c r="P1466">
        <f t="shared" si="400"/>
        <v>0.14573536617213018</v>
      </c>
      <c r="Q1466">
        <f t="shared" si="401"/>
        <v>0.93726909178069884</v>
      </c>
      <c r="R1466">
        <f t="shared" si="402"/>
        <v>1</v>
      </c>
      <c r="AG1466" s="8">
        <f t="shared" si="392"/>
        <v>-0.36226542354620872</v>
      </c>
      <c r="AH1466" s="8">
        <f t="shared" si="393"/>
        <v>0.69239191076381434</v>
      </c>
      <c r="AI1466" s="8">
        <f t="shared" si="394"/>
        <v>0.6239849395712368</v>
      </c>
      <c r="AJ1466" s="8"/>
      <c r="AK1466" s="8"/>
      <c r="AL1466" s="8"/>
      <c r="AN1466" s="8">
        <f t="shared" si="403"/>
        <v>0.99999999999999978</v>
      </c>
      <c r="AO1466" s="8">
        <f t="shared" si="404"/>
        <v>2.0528379860473462</v>
      </c>
      <c r="AP1466" s="8">
        <f t="shared" si="405"/>
        <v>0.8969644360743837</v>
      </c>
      <c r="AQ1466" s="8"/>
      <c r="AR1466" s="8">
        <f t="shared" si="406"/>
        <v>117.61895262464871</v>
      </c>
      <c r="AS1466" s="8">
        <f t="shared" si="407"/>
        <v>38.607723439605891</v>
      </c>
    </row>
    <row r="1467" spans="1:45">
      <c r="A1467" s="20">
        <v>47.881166669999999</v>
      </c>
      <c r="B1467" s="20">
        <v>450.37159680000002</v>
      </c>
      <c r="C1467" s="20">
        <v>-305.87175910000002</v>
      </c>
      <c r="E1467" s="9">
        <f t="shared" si="396"/>
        <v>-509.62840319999998</v>
      </c>
      <c r="F1467" s="9">
        <f t="shared" si="395"/>
        <v>234.12824089999998</v>
      </c>
      <c r="I1467">
        <v>1</v>
      </c>
      <c r="J1467">
        <f t="shared" si="397"/>
        <v>0.35656354293380993</v>
      </c>
      <c r="K1467">
        <f t="shared" si="398"/>
        <v>2.7109412143436256</v>
      </c>
      <c r="O1467">
        <f t="shared" si="399"/>
        <v>-0.31718508085464425</v>
      </c>
      <c r="P1467">
        <f t="shared" si="400"/>
        <v>0.14571790848768409</v>
      </c>
      <c r="Q1467">
        <f t="shared" si="401"/>
        <v>0.93710187046510995</v>
      </c>
      <c r="R1467">
        <f t="shared" si="402"/>
        <v>1</v>
      </c>
      <c r="AG1467" s="8">
        <f t="shared" si="392"/>
        <v>-0.36193155960273971</v>
      </c>
      <c r="AH1467" s="8">
        <f t="shared" si="393"/>
        <v>0.69274963823913294</v>
      </c>
      <c r="AI1467" s="8">
        <f t="shared" si="394"/>
        <v>0.62378160030821594</v>
      </c>
      <c r="AJ1467" s="8"/>
      <c r="AK1467" s="8"/>
      <c r="AL1467" s="8"/>
      <c r="AN1467" s="8">
        <f t="shared" si="403"/>
        <v>0.99999999999999989</v>
      </c>
      <c r="AO1467" s="8">
        <f t="shared" si="404"/>
        <v>2.0522473263529273</v>
      </c>
      <c r="AP1467" s="8">
        <f t="shared" si="405"/>
        <v>0.89722462123243407</v>
      </c>
      <c r="AQ1467" s="8"/>
      <c r="AR1467" s="8">
        <f t="shared" si="406"/>
        <v>117.58511031703003</v>
      </c>
      <c r="AS1467" s="8">
        <f t="shared" si="407"/>
        <v>38.592815928157655</v>
      </c>
    </row>
    <row r="1468" spans="1:45">
      <c r="A1468" s="20">
        <v>47.914533329999998</v>
      </c>
      <c r="B1468" s="20">
        <v>449.56046379999998</v>
      </c>
      <c r="C1468" s="20">
        <v>-305.85825119999998</v>
      </c>
      <c r="E1468" s="9">
        <f t="shared" si="396"/>
        <v>-510.43953620000002</v>
      </c>
      <c r="F1468" s="9">
        <f t="shared" si="395"/>
        <v>234.14174880000002</v>
      </c>
      <c r="I1468">
        <v>1</v>
      </c>
      <c r="J1468">
        <f t="shared" si="397"/>
        <v>0.3570010393649039</v>
      </c>
      <c r="K1468">
        <f t="shared" si="398"/>
        <v>2.7115223318953432</v>
      </c>
      <c r="O1468">
        <f t="shared" si="399"/>
        <v>-0.31764232075133347</v>
      </c>
      <c r="P1468">
        <f t="shared" si="400"/>
        <v>0.14570448250792792</v>
      </c>
      <c r="Q1468">
        <f t="shared" si="401"/>
        <v>0.93694907003785644</v>
      </c>
      <c r="R1468">
        <f t="shared" si="402"/>
        <v>1</v>
      </c>
      <c r="AG1468" s="8">
        <f t="shared" si="392"/>
        <v>-0.36162586983021949</v>
      </c>
      <c r="AH1468" s="8">
        <f t="shared" si="393"/>
        <v>0.69307441178376994</v>
      </c>
      <c r="AI1468" s="8">
        <f t="shared" si="394"/>
        <v>0.62359809974062508</v>
      </c>
      <c r="AJ1468" s="8"/>
      <c r="AK1468" s="8"/>
      <c r="AL1468" s="8"/>
      <c r="AN1468" s="8">
        <f t="shared" si="403"/>
        <v>1</v>
      </c>
      <c r="AO1468" s="8">
        <f t="shared" si="404"/>
        <v>2.0517083633608459</v>
      </c>
      <c r="AP1468" s="8">
        <f t="shared" si="405"/>
        <v>0.89745937518362018</v>
      </c>
      <c r="AQ1468" s="8"/>
      <c r="AR1468" s="8">
        <f t="shared" si="406"/>
        <v>117.55423001227003</v>
      </c>
      <c r="AS1468" s="8">
        <f t="shared" si="407"/>
        <v>38.579365517530675</v>
      </c>
    </row>
    <row r="1469" spans="1:45">
      <c r="A1469" s="20">
        <v>47.947899999999997</v>
      </c>
      <c r="B1469" s="20">
        <v>449.28132299999999</v>
      </c>
      <c r="C1469" s="20">
        <v>-305.14605069999999</v>
      </c>
      <c r="E1469" s="9">
        <f t="shared" si="396"/>
        <v>-510.71867700000001</v>
      </c>
      <c r="F1469" s="9">
        <f t="shared" si="395"/>
        <v>234.85394930000001</v>
      </c>
      <c r="I1469">
        <v>1</v>
      </c>
      <c r="J1469">
        <f t="shared" si="397"/>
        <v>0.35732542685275798</v>
      </c>
      <c r="K1469">
        <f t="shared" si="398"/>
        <v>2.7105777786238878</v>
      </c>
      <c r="O1469">
        <f t="shared" si="399"/>
        <v>-0.31778067409141492</v>
      </c>
      <c r="P1469">
        <f t="shared" si="400"/>
        <v>0.1461314216272239</v>
      </c>
      <c r="Q1469">
        <f t="shared" si="401"/>
        <v>0.93683565836661686</v>
      </c>
      <c r="R1469">
        <f t="shared" si="402"/>
        <v>1</v>
      </c>
      <c r="AG1469" s="8">
        <f t="shared" si="392"/>
        <v>-0.36122929570649354</v>
      </c>
      <c r="AH1469" s="8">
        <f t="shared" si="393"/>
        <v>0.69306646455455567</v>
      </c>
      <c r="AI1469" s="8">
        <f t="shared" si="394"/>
        <v>0.62383673475777257</v>
      </c>
      <c r="AJ1469" s="8"/>
      <c r="AK1469" s="8"/>
      <c r="AL1469" s="8"/>
      <c r="AN1469" s="8">
        <f t="shared" si="403"/>
        <v>1</v>
      </c>
      <c r="AO1469" s="8">
        <f t="shared" si="404"/>
        <v>2.0512632047661885</v>
      </c>
      <c r="AP1469" s="8">
        <f t="shared" si="405"/>
        <v>0.89715407863528607</v>
      </c>
      <c r="AQ1469" s="8"/>
      <c r="AR1469" s="8">
        <f t="shared" si="406"/>
        <v>117.52872430358218</v>
      </c>
      <c r="AS1469" s="8">
        <f t="shared" si="407"/>
        <v>38.596857721250132</v>
      </c>
    </row>
    <row r="1470" spans="1:45">
      <c r="A1470" s="20">
        <v>47.981266669999997</v>
      </c>
      <c r="B1470" s="20">
        <v>448.7410471</v>
      </c>
      <c r="C1470" s="20">
        <v>-305.12910840000001</v>
      </c>
      <c r="E1470" s="9">
        <f t="shared" si="396"/>
        <v>-511.2589529</v>
      </c>
      <c r="F1470" s="9">
        <f t="shared" si="395"/>
        <v>234.87089159999999</v>
      </c>
      <c r="I1470">
        <v>1</v>
      </c>
      <c r="J1470">
        <f t="shared" si="397"/>
        <v>0.35761858219085535</v>
      </c>
      <c r="K1470">
        <f t="shared" si="398"/>
        <v>2.710951614996036</v>
      </c>
      <c r="O1470">
        <f t="shared" si="399"/>
        <v>-0.31808483089688666</v>
      </c>
      <c r="P1470">
        <f t="shared" si="400"/>
        <v>0.14612725589139897</v>
      </c>
      <c r="Q1470">
        <f t="shared" si="401"/>
        <v>0.93673308121307886</v>
      </c>
      <c r="R1470">
        <f t="shared" si="402"/>
        <v>1</v>
      </c>
      <c r="AG1470" s="8">
        <f t="shared" si="392"/>
        <v>-0.36102246587355025</v>
      </c>
      <c r="AH1470" s="8">
        <f t="shared" si="393"/>
        <v>0.69328123948625531</v>
      </c>
      <c r="AI1470" s="8">
        <f t="shared" si="394"/>
        <v>0.62371780647259278</v>
      </c>
      <c r="AJ1470" s="8"/>
      <c r="AK1470" s="8"/>
      <c r="AL1470" s="8"/>
      <c r="AN1470" s="8">
        <f t="shared" si="403"/>
        <v>0.99999999999999989</v>
      </c>
      <c r="AO1470" s="8">
        <f t="shared" si="404"/>
        <v>2.0509015594347648</v>
      </c>
      <c r="AP1470" s="8">
        <f t="shared" si="405"/>
        <v>0.89730623825501643</v>
      </c>
      <c r="AQ1470" s="8"/>
      <c r="AR1470" s="8">
        <f t="shared" si="406"/>
        <v>117.50800355241098</v>
      </c>
      <c r="AS1470" s="8">
        <f t="shared" si="407"/>
        <v>38.588139617227263</v>
      </c>
    </row>
    <row r="1471" spans="1:45">
      <c r="A1471" s="20">
        <v>48.014633330000002</v>
      </c>
      <c r="B1471" s="20">
        <v>448.16176039999999</v>
      </c>
      <c r="C1471" s="20">
        <v>-304.84950750000002</v>
      </c>
      <c r="E1471" s="9">
        <f t="shared" si="396"/>
        <v>-511.83823960000001</v>
      </c>
      <c r="F1471" s="9">
        <f t="shared" si="395"/>
        <v>235.15049249999998</v>
      </c>
      <c r="I1471">
        <v>1</v>
      </c>
      <c r="J1471">
        <f t="shared" si="397"/>
        <v>0.35799708622308468</v>
      </c>
      <c r="K1471">
        <f t="shared" si="398"/>
        <v>2.7109298711615604</v>
      </c>
      <c r="O1471">
        <f t="shared" si="399"/>
        <v>-0.3184038130241163</v>
      </c>
      <c r="P1471">
        <f t="shared" si="400"/>
        <v>0.1462821799031892</v>
      </c>
      <c r="Q1471">
        <f t="shared" si="401"/>
        <v>0.93660052087027723</v>
      </c>
      <c r="R1471">
        <f t="shared" si="402"/>
        <v>1</v>
      </c>
      <c r="AG1471" s="8">
        <f t="shared" si="392"/>
        <v>-0.3606930718110522</v>
      </c>
      <c r="AH1471" s="8">
        <f t="shared" si="393"/>
        <v>0.69346715231550093</v>
      </c>
      <c r="AI1471" s="8">
        <f t="shared" si="394"/>
        <v>0.62370170482926934</v>
      </c>
      <c r="AJ1471" s="8"/>
      <c r="AK1471" s="8"/>
      <c r="AL1471" s="8"/>
      <c r="AN1471" s="8">
        <f t="shared" si="403"/>
        <v>1</v>
      </c>
      <c r="AO1471" s="8">
        <f t="shared" si="404"/>
        <v>2.0504179454476659</v>
      </c>
      <c r="AP1471" s="8">
        <f t="shared" si="405"/>
        <v>0.89732683765272947</v>
      </c>
      <c r="AQ1471" s="8"/>
      <c r="AR1471" s="8">
        <f t="shared" si="406"/>
        <v>117.48029451203672</v>
      </c>
      <c r="AS1471" s="8">
        <f t="shared" si="407"/>
        <v>38.586959358677795</v>
      </c>
    </row>
    <row r="1472" spans="1:45">
      <c r="A1472" s="20">
        <v>48.048000000000002</v>
      </c>
      <c r="B1472" s="20">
        <v>447.28500869999999</v>
      </c>
      <c r="C1472" s="20">
        <v>-304.31201579999998</v>
      </c>
      <c r="E1472" s="9">
        <f t="shared" si="396"/>
        <v>-512.71499130000007</v>
      </c>
      <c r="F1472" s="9">
        <f t="shared" si="395"/>
        <v>235.68798420000002</v>
      </c>
      <c r="I1472">
        <v>1</v>
      </c>
      <c r="J1472">
        <f t="shared" si="397"/>
        <v>0.35859783699993381</v>
      </c>
      <c r="K1472">
        <f t="shared" si="398"/>
        <v>2.7107129752494576</v>
      </c>
      <c r="O1472">
        <f t="shared" si="399"/>
        <v>-0.31888325535486545</v>
      </c>
      <c r="P1472">
        <f t="shared" si="400"/>
        <v>0.14658621831821231</v>
      </c>
      <c r="Q1472">
        <f t="shared" si="401"/>
        <v>0.93638984939684666</v>
      </c>
      <c r="R1472">
        <f t="shared" si="402"/>
        <v>1</v>
      </c>
      <c r="AG1472" s="8">
        <f t="shared" si="392"/>
        <v>-0.36014754664092574</v>
      </c>
      <c r="AH1472" s="8">
        <f t="shared" si="393"/>
        <v>0.69372888589232773</v>
      </c>
      <c r="AI1472" s="8">
        <f t="shared" si="394"/>
        <v>0.62372588332304446</v>
      </c>
      <c r="AJ1472" s="8"/>
      <c r="AK1472" s="8"/>
      <c r="AL1472" s="8"/>
      <c r="AN1472" s="8">
        <f t="shared" si="403"/>
        <v>1.0000000000000002</v>
      </c>
      <c r="AO1472" s="8">
        <f t="shared" si="404"/>
        <v>2.0496442565085142</v>
      </c>
      <c r="AP1472" s="8">
        <f t="shared" si="405"/>
        <v>0.89729590512909252</v>
      </c>
      <c r="AQ1472" s="8"/>
      <c r="AR1472" s="8">
        <f t="shared" si="406"/>
        <v>117.43596540116738</v>
      </c>
      <c r="AS1472" s="8">
        <f t="shared" si="407"/>
        <v>38.588731661731885</v>
      </c>
    </row>
    <row r="1473" spans="1:45">
      <c r="A1473" s="20">
        <v>48.081366670000001</v>
      </c>
      <c r="B1473" s="20">
        <v>446.9812561</v>
      </c>
      <c r="C1473" s="20">
        <v>-304.4768608</v>
      </c>
      <c r="E1473" s="9">
        <f t="shared" si="396"/>
        <v>-513.0187439</v>
      </c>
      <c r="F1473" s="9">
        <f t="shared" si="395"/>
        <v>235.5231392</v>
      </c>
      <c r="I1473">
        <v>1</v>
      </c>
      <c r="J1473">
        <f t="shared" si="397"/>
        <v>0.35871971276933295</v>
      </c>
      <c r="K1473">
        <f t="shared" si="398"/>
        <v>2.7112030492258539</v>
      </c>
      <c r="O1473">
        <f t="shared" si="399"/>
        <v>-0.31905876834750191</v>
      </c>
      <c r="P1473">
        <f t="shared" si="400"/>
        <v>0.1464775383044036</v>
      </c>
      <c r="Q1473">
        <f t="shared" si="401"/>
        <v>0.93634706872657913</v>
      </c>
      <c r="R1473">
        <f t="shared" si="402"/>
        <v>1</v>
      </c>
      <c r="AG1473" s="8">
        <f t="shared" si="392"/>
        <v>-0.36010307714828865</v>
      </c>
      <c r="AH1473" s="8">
        <f t="shared" si="393"/>
        <v>0.69387893999528427</v>
      </c>
      <c r="AI1473" s="8">
        <f t="shared" si="394"/>
        <v>0.62358462974912598</v>
      </c>
      <c r="AJ1473" s="8"/>
      <c r="AK1473" s="8"/>
      <c r="AL1473" s="8"/>
      <c r="AN1473" s="8">
        <f t="shared" si="403"/>
        <v>1.0000000000000002</v>
      </c>
      <c r="AO1473" s="8">
        <f t="shared" si="404"/>
        <v>2.0495053303683282</v>
      </c>
      <c r="AP1473" s="8">
        <f t="shared" si="405"/>
        <v>0.89747660573464538</v>
      </c>
      <c r="AQ1473" s="8"/>
      <c r="AR1473" s="8">
        <f t="shared" si="406"/>
        <v>117.42800551967068</v>
      </c>
      <c r="AS1473" s="8">
        <f t="shared" si="407"/>
        <v>38.57837827967824</v>
      </c>
    </row>
    <row r="1474" spans="1:45">
      <c r="A1474" s="20">
        <v>48.11473333</v>
      </c>
      <c r="B1474" s="20">
        <v>446.30895149999998</v>
      </c>
      <c r="C1474" s="20">
        <v>-304.76289459999998</v>
      </c>
      <c r="E1474" s="9">
        <f t="shared" si="396"/>
        <v>-513.69104850000008</v>
      </c>
      <c r="F1474" s="9">
        <f t="shared" si="395"/>
        <v>235.23710540000002</v>
      </c>
      <c r="I1474">
        <v>1</v>
      </c>
      <c r="J1474">
        <f t="shared" si="397"/>
        <v>0.35900900495382498</v>
      </c>
      <c r="K1474">
        <f t="shared" si="398"/>
        <v>2.712159614240544</v>
      </c>
      <c r="O1474">
        <f t="shared" si="399"/>
        <v>-0.31944500698802308</v>
      </c>
      <c r="P1474">
        <f t="shared" si="400"/>
        <v>0.14628504623114008</v>
      </c>
      <c r="Q1474">
        <f t="shared" si="401"/>
        <v>0.93624546608225301</v>
      </c>
      <c r="R1474">
        <f t="shared" si="402"/>
        <v>1</v>
      </c>
      <c r="AG1474" s="8">
        <f t="shared" si="392"/>
        <v>-0.35997217081136268</v>
      </c>
      <c r="AH1474" s="8">
        <f t="shared" si="393"/>
        <v>0.69419756383454145</v>
      </c>
      <c r="AI1474" s="8">
        <f t="shared" si="394"/>
        <v>0.62330552589203225</v>
      </c>
      <c r="AJ1474" s="8"/>
      <c r="AK1474" s="8"/>
      <c r="AL1474" s="8"/>
      <c r="AN1474" s="8">
        <f t="shared" si="403"/>
        <v>1</v>
      </c>
      <c r="AO1474" s="8">
        <f t="shared" si="404"/>
        <v>2.0491690549968009</v>
      </c>
      <c r="AP1474" s="8">
        <f t="shared" si="405"/>
        <v>0.89783357668887187</v>
      </c>
      <c r="AQ1474" s="8"/>
      <c r="AR1474" s="8">
        <f t="shared" si="406"/>
        <v>117.40873836012797</v>
      </c>
      <c r="AS1474" s="8">
        <f t="shared" si="407"/>
        <v>38.557925350592306</v>
      </c>
    </row>
    <row r="1475" spans="1:45">
      <c r="A1475" s="20">
        <v>48.148099999999999</v>
      </c>
      <c r="B1475" s="20">
        <v>445.5001517</v>
      </c>
      <c r="C1475" s="20">
        <v>-304.75656620000001</v>
      </c>
      <c r="E1475" s="9">
        <f t="shared" si="396"/>
        <v>-514.49984829999994</v>
      </c>
      <c r="F1475" s="9">
        <f t="shared" si="395"/>
        <v>235.24343379999999</v>
      </c>
      <c r="I1475">
        <v>1</v>
      </c>
      <c r="J1475">
        <f t="shared" si="397"/>
        <v>0.3594429642422729</v>
      </c>
      <c r="K1475">
        <f t="shared" si="398"/>
        <v>2.7127446898547616</v>
      </c>
      <c r="O1475">
        <f t="shared" si="399"/>
        <v>-0.31990001079023311</v>
      </c>
      <c r="P1475">
        <f t="shared" si="400"/>
        <v>0.14626705383802444</v>
      </c>
      <c r="Q1475">
        <f t="shared" si="401"/>
        <v>0.93609290781308307</v>
      </c>
      <c r="R1475">
        <f t="shared" si="402"/>
        <v>1</v>
      </c>
      <c r="AG1475" s="8">
        <f t="shared" si="392"/>
        <v>-0.35967045829432859</v>
      </c>
      <c r="AH1475" s="8">
        <f t="shared" si="393"/>
        <v>0.69452130927833666</v>
      </c>
      <c r="AI1475" s="8">
        <f t="shared" si="394"/>
        <v>0.62311901944063042</v>
      </c>
      <c r="AJ1475" s="8"/>
      <c r="AK1475" s="8"/>
      <c r="AL1475" s="8"/>
      <c r="AN1475" s="8">
        <f t="shared" si="403"/>
        <v>1</v>
      </c>
      <c r="AO1475" s="8">
        <f t="shared" si="404"/>
        <v>2.0486360529929488</v>
      </c>
      <c r="AP1475" s="8">
        <f t="shared" si="405"/>
        <v>0.89807205990995109</v>
      </c>
      <c r="AQ1475" s="8"/>
      <c r="AR1475" s="8">
        <f t="shared" si="406"/>
        <v>117.37819959483522</v>
      </c>
      <c r="AS1475" s="8">
        <f t="shared" si="407"/>
        <v>38.544261268539785</v>
      </c>
    </row>
    <row r="1476" spans="1:45">
      <c r="A1476" s="20">
        <v>48.181466669999999</v>
      </c>
      <c r="B1476" s="20">
        <v>444.92180919999998</v>
      </c>
      <c r="C1476" s="20">
        <v>-304.76688280000002</v>
      </c>
      <c r="E1476" s="9">
        <f t="shared" si="396"/>
        <v>-515.07819080000002</v>
      </c>
      <c r="F1476" s="9">
        <f t="shared" si="395"/>
        <v>235.23311719999998</v>
      </c>
      <c r="I1476">
        <v>1</v>
      </c>
      <c r="J1476">
        <f t="shared" si="397"/>
        <v>0.35974963489543021</v>
      </c>
      <c r="K1476">
        <f t="shared" si="398"/>
        <v>2.7131859618869822</v>
      </c>
      <c r="O1476">
        <f t="shared" si="399"/>
        <v>-0.32022563731462461</v>
      </c>
      <c r="P1476">
        <f t="shared" si="400"/>
        <v>0.14624512592132791</v>
      </c>
      <c r="Q1476">
        <f t="shared" si="401"/>
        <v>0.93598499152000159</v>
      </c>
      <c r="R1476">
        <f t="shared" si="402"/>
        <v>1</v>
      </c>
      <c r="AG1476" s="8">
        <f t="shared" si="392"/>
        <v>-0.35946082709502997</v>
      </c>
      <c r="AH1476" s="8">
        <f t="shared" si="393"/>
        <v>0.69475516059323872</v>
      </c>
      <c r="AI1476" s="8">
        <f t="shared" si="394"/>
        <v>0.62297927783612539</v>
      </c>
      <c r="AJ1476" s="8"/>
      <c r="AK1476" s="8"/>
      <c r="AL1476" s="8"/>
      <c r="AN1476" s="8">
        <f t="shared" si="403"/>
        <v>1.0000000000000002</v>
      </c>
      <c r="AO1476" s="8">
        <f t="shared" si="404"/>
        <v>2.048260604986416</v>
      </c>
      <c r="AP1476" s="8">
        <f t="shared" si="405"/>
        <v>0.89825071587751126</v>
      </c>
      <c r="AQ1476" s="8"/>
      <c r="AR1476" s="8">
        <f t="shared" si="406"/>
        <v>117.35668800863431</v>
      </c>
      <c r="AS1476" s="8">
        <f t="shared" si="407"/>
        <v>38.534025035613759</v>
      </c>
    </row>
    <row r="1477" spans="1:45">
      <c r="A1477" s="20">
        <v>48.214833329999998</v>
      </c>
      <c r="B1477" s="20">
        <v>444.31748920000001</v>
      </c>
      <c r="C1477" s="20">
        <v>-304.68880660000002</v>
      </c>
      <c r="E1477" s="9">
        <f t="shared" si="396"/>
        <v>-515.68251080000005</v>
      </c>
      <c r="F1477" s="9">
        <f t="shared" si="395"/>
        <v>235.31119339999998</v>
      </c>
      <c r="I1477">
        <v>1</v>
      </c>
      <c r="J1477">
        <f t="shared" si="397"/>
        <v>0.36009174773494274</v>
      </c>
      <c r="K1477">
        <f t="shared" si="398"/>
        <v>2.7135035641226022</v>
      </c>
      <c r="O1477">
        <f t="shared" si="399"/>
        <v>-0.32056336692424836</v>
      </c>
      <c r="P1477">
        <f t="shared" si="400"/>
        <v>0.14627633641142082</v>
      </c>
      <c r="Q1477">
        <f t="shared" si="401"/>
        <v>0.93586449937597405</v>
      </c>
      <c r="R1477">
        <f t="shared" si="402"/>
        <v>1</v>
      </c>
      <c r="AG1477" s="8">
        <f t="shared" si="392"/>
        <v>-0.35920523978270036</v>
      </c>
      <c r="AH1477" s="8">
        <f t="shared" si="393"/>
        <v>0.69498433359603529</v>
      </c>
      <c r="AI1477" s="8">
        <f t="shared" si="394"/>
        <v>0.62287107154589183</v>
      </c>
      <c r="AJ1477" s="8"/>
      <c r="AK1477" s="8"/>
      <c r="AL1477" s="8"/>
      <c r="AN1477" s="8">
        <f t="shared" si="403"/>
        <v>1</v>
      </c>
      <c r="AO1477" s="8">
        <f t="shared" si="404"/>
        <v>2.0478358263463634</v>
      </c>
      <c r="AP1477" s="8">
        <f t="shared" si="405"/>
        <v>0.89838903731418185</v>
      </c>
      <c r="AQ1477" s="8"/>
      <c r="AR1477" s="8">
        <f t="shared" si="406"/>
        <v>117.33234998533197</v>
      </c>
      <c r="AS1477" s="8">
        <f t="shared" si="407"/>
        <v>38.526099801076349</v>
      </c>
    </row>
    <row r="1478" spans="1:45">
      <c r="A1478" s="20">
        <v>48.248199999999997</v>
      </c>
      <c r="B1478" s="20">
        <v>443.59107180000001</v>
      </c>
      <c r="C1478" s="20">
        <v>-304.05429550000002</v>
      </c>
      <c r="E1478" s="9">
        <f t="shared" si="396"/>
        <v>-516.40892819999999</v>
      </c>
      <c r="F1478" s="9">
        <f t="shared" si="395"/>
        <v>235.94570449999998</v>
      </c>
      <c r="I1478">
        <v>1</v>
      </c>
      <c r="J1478">
        <f t="shared" si="397"/>
        <v>0.36063476299844771</v>
      </c>
      <c r="K1478">
        <f t="shared" si="398"/>
        <v>2.7130179811439206</v>
      </c>
      <c r="O1478">
        <f t="shared" si="399"/>
        <v>-0.32095448017580636</v>
      </c>
      <c r="P1478">
        <f t="shared" si="400"/>
        <v>0.14664314809867751</v>
      </c>
      <c r="Q1478">
        <f t="shared" si="401"/>
        <v>0.9356730244966921</v>
      </c>
      <c r="R1478">
        <f t="shared" si="402"/>
        <v>1</v>
      </c>
      <c r="AG1478" s="8">
        <f t="shared" si="392"/>
        <v>-0.35867570702396928</v>
      </c>
      <c r="AH1478" s="8">
        <f t="shared" si="393"/>
        <v>0.69516805070905485</v>
      </c>
      <c r="AI1478" s="8">
        <f t="shared" si="394"/>
        <v>0.62297120195417444</v>
      </c>
      <c r="AJ1478" s="8"/>
      <c r="AK1478" s="8"/>
      <c r="AL1478" s="8"/>
      <c r="AN1478" s="8">
        <f t="shared" si="403"/>
        <v>1</v>
      </c>
      <c r="AO1478" s="8">
        <f t="shared" si="404"/>
        <v>2.0471266254245011</v>
      </c>
      <c r="AP1478" s="8">
        <f t="shared" si="405"/>
        <v>0.89826103990325323</v>
      </c>
      <c r="AQ1478" s="8"/>
      <c r="AR1478" s="8">
        <f t="shared" si="406"/>
        <v>117.29171576568248</v>
      </c>
      <c r="AS1478" s="8">
        <f t="shared" si="407"/>
        <v>38.533433512511159</v>
      </c>
    </row>
    <row r="1479" spans="1:45">
      <c r="A1479" s="20">
        <v>48.281566669999997</v>
      </c>
      <c r="B1479" s="20">
        <v>442.78013399999998</v>
      </c>
      <c r="C1479" s="20">
        <v>-304.38471559999999</v>
      </c>
      <c r="E1479" s="9">
        <f t="shared" si="396"/>
        <v>-517.21986600000002</v>
      </c>
      <c r="F1479" s="9">
        <f t="shared" si="395"/>
        <v>235.61528440000001</v>
      </c>
      <c r="I1479">
        <v>1</v>
      </c>
      <c r="J1479">
        <f t="shared" si="397"/>
        <v>0.36098750182972417</v>
      </c>
      <c r="K1479">
        <f t="shared" si="398"/>
        <v>2.7141397070544468</v>
      </c>
      <c r="O1479">
        <f t="shared" si="399"/>
        <v>-0.32141910363977855</v>
      </c>
      <c r="P1479">
        <f t="shared" si="400"/>
        <v>0.14641984674981443</v>
      </c>
      <c r="Q1479">
        <f t="shared" si="401"/>
        <v>0.93554849596007694</v>
      </c>
      <c r="R1479">
        <f t="shared" si="402"/>
        <v>1</v>
      </c>
      <c r="AG1479" s="8">
        <f t="shared" si="392"/>
        <v>-0.35851175665948354</v>
      </c>
      <c r="AH1479" s="8">
        <f t="shared" si="393"/>
        <v>0.69554881971761118</v>
      </c>
      <c r="AI1479" s="8">
        <f t="shared" si="394"/>
        <v>0.62264047389032562</v>
      </c>
      <c r="AJ1479" s="8"/>
      <c r="AK1479" s="8"/>
      <c r="AL1479" s="8"/>
      <c r="AN1479" s="8">
        <f t="shared" si="403"/>
        <v>1</v>
      </c>
      <c r="AO1479" s="8">
        <f t="shared" si="404"/>
        <v>2.046717312557818</v>
      </c>
      <c r="AP1479" s="8">
        <f t="shared" si="405"/>
        <v>0.89868376233660008</v>
      </c>
      <c r="AQ1479" s="8"/>
      <c r="AR1479" s="8">
        <f t="shared" si="406"/>
        <v>117.26826386592114</v>
      </c>
      <c r="AS1479" s="8">
        <f t="shared" si="407"/>
        <v>38.509213301174888</v>
      </c>
    </row>
    <row r="1480" spans="1:45">
      <c r="A1480" s="20">
        <v>48.314933330000002</v>
      </c>
      <c r="B1480" s="20">
        <v>442.35104239999998</v>
      </c>
      <c r="C1480" s="20">
        <v>-304.44738369999999</v>
      </c>
      <c r="E1480" s="9">
        <f t="shared" si="396"/>
        <v>-517.64895760000002</v>
      </c>
      <c r="F1480" s="9">
        <f t="shared" si="395"/>
        <v>235.55261630000001</v>
      </c>
      <c r="I1480">
        <v>1</v>
      </c>
      <c r="J1480">
        <f t="shared" si="397"/>
        <v>0.36120154986506409</v>
      </c>
      <c r="K1480">
        <f t="shared" si="398"/>
        <v>2.7145527577106559</v>
      </c>
      <c r="O1480">
        <f t="shared" si="399"/>
        <v>-0.32166181647476733</v>
      </c>
      <c r="P1480">
        <f t="shared" si="400"/>
        <v>0.14637000871349173</v>
      </c>
      <c r="Q1480">
        <f t="shared" si="401"/>
        <v>0.93547287313495386</v>
      </c>
      <c r="R1480">
        <f t="shared" si="402"/>
        <v>1</v>
      </c>
      <c r="AG1480" s="8">
        <f t="shared" si="392"/>
        <v>-0.35837887404251101</v>
      </c>
      <c r="AH1480" s="8">
        <f t="shared" si="393"/>
        <v>0.69573118814772994</v>
      </c>
      <c r="AI1480" s="8">
        <f t="shared" si="394"/>
        <v>0.62251320988278647</v>
      </c>
      <c r="AJ1480" s="8"/>
      <c r="AK1480" s="8"/>
      <c r="AL1480" s="8"/>
      <c r="AN1480" s="8">
        <f t="shared" si="403"/>
        <v>1</v>
      </c>
      <c r="AO1480" s="8">
        <f t="shared" si="404"/>
        <v>2.0464596246519502</v>
      </c>
      <c r="AP1480" s="8">
        <f t="shared" si="405"/>
        <v>0.89884638785263293</v>
      </c>
      <c r="AQ1480" s="8"/>
      <c r="AR1480" s="8">
        <f t="shared" si="406"/>
        <v>117.25349943648335</v>
      </c>
      <c r="AS1480" s="8">
        <f t="shared" si="407"/>
        <v>38.499895545465066</v>
      </c>
    </row>
    <row r="1481" spans="1:45">
      <c r="A1481" s="20">
        <v>48.348300000000002</v>
      </c>
      <c r="B1481" s="20">
        <v>441.81889050000001</v>
      </c>
      <c r="C1481" s="20">
        <v>-303.64037939999997</v>
      </c>
      <c r="E1481" s="9">
        <f t="shared" si="396"/>
        <v>-518.18110950000005</v>
      </c>
      <c r="F1481" s="9">
        <f t="shared" si="395"/>
        <v>236.35962060000003</v>
      </c>
      <c r="I1481">
        <v>1</v>
      </c>
      <c r="J1481">
        <f t="shared" si="397"/>
        <v>0.36168221102850179</v>
      </c>
      <c r="K1481">
        <f t="shared" si="398"/>
        <v>2.7136500558930132</v>
      </c>
      <c r="O1481">
        <f t="shared" si="399"/>
        <v>-0.3219386169283599</v>
      </c>
      <c r="P1481">
        <f t="shared" si="400"/>
        <v>0.14684689958516503</v>
      </c>
      <c r="Q1481">
        <f t="shared" si="401"/>
        <v>0.93530290014116779</v>
      </c>
      <c r="R1481">
        <f t="shared" si="402"/>
        <v>1</v>
      </c>
      <c r="AG1481" s="8">
        <f t="shared" si="392"/>
        <v>-0.35785042966320868</v>
      </c>
      <c r="AH1481" s="8">
        <f t="shared" si="393"/>
        <v>0.69580737768395307</v>
      </c>
      <c r="AI1481" s="8">
        <f t="shared" si="394"/>
        <v>0.62273201551745982</v>
      </c>
      <c r="AJ1481" s="8"/>
      <c r="AK1481" s="8"/>
      <c r="AL1481" s="8"/>
      <c r="AN1481" s="8">
        <f t="shared" si="403"/>
        <v>1.0000000000000002</v>
      </c>
      <c r="AO1481" s="8">
        <f t="shared" si="404"/>
        <v>2.045814624647087</v>
      </c>
      <c r="AP1481" s="8">
        <f t="shared" si="405"/>
        <v>0.89856677198882851</v>
      </c>
      <c r="AQ1481" s="8"/>
      <c r="AR1481" s="8">
        <f t="shared" si="406"/>
        <v>117.21654365841877</v>
      </c>
      <c r="AS1481" s="8">
        <f t="shared" si="407"/>
        <v>38.515916354345968</v>
      </c>
    </row>
    <row r="1482" spans="1:45">
      <c r="A1482" s="20">
        <v>48.381666670000001</v>
      </c>
      <c r="B1482" s="20">
        <v>441.58196830000003</v>
      </c>
      <c r="C1482" s="20">
        <v>-303.38182849999998</v>
      </c>
      <c r="E1482" s="9">
        <f t="shared" si="396"/>
        <v>-518.41803170000003</v>
      </c>
      <c r="F1482" s="9">
        <f t="shared" si="395"/>
        <v>236.61817150000002</v>
      </c>
      <c r="I1482">
        <v>1</v>
      </c>
      <c r="J1482">
        <f t="shared" si="397"/>
        <v>0.36187169197147867</v>
      </c>
      <c r="K1482">
        <f t="shared" si="398"/>
        <v>2.713409801363317</v>
      </c>
      <c r="O1482">
        <f t="shared" si="399"/>
        <v>-0.32206454400397894</v>
      </c>
      <c r="P1482">
        <f t="shared" si="400"/>
        <v>0.14699782578415818</v>
      </c>
      <c r="Q1482">
        <f t="shared" si="401"/>
        <v>0.93523583587790271</v>
      </c>
      <c r="R1482">
        <f t="shared" si="402"/>
        <v>1</v>
      </c>
      <c r="AG1482" s="8">
        <f t="shared" si="392"/>
        <v>-0.35765658666421857</v>
      </c>
      <c r="AH1482" s="8">
        <f t="shared" si="393"/>
        <v>0.69585829837427959</v>
      </c>
      <c r="AI1482" s="8">
        <f t="shared" si="394"/>
        <v>0.62278647592842962</v>
      </c>
      <c r="AJ1482" s="8"/>
      <c r="AK1482" s="8"/>
      <c r="AL1482" s="8"/>
      <c r="AN1482" s="8">
        <f t="shared" si="403"/>
        <v>1</v>
      </c>
      <c r="AO1482" s="8">
        <f t="shared" si="404"/>
        <v>2.0455645321054954</v>
      </c>
      <c r="AP1482" s="8">
        <f t="shared" si="405"/>
        <v>0.89849716632716592</v>
      </c>
      <c r="AQ1482" s="8"/>
      <c r="AR1482" s="8">
        <f t="shared" si="406"/>
        <v>117.20221441129787</v>
      </c>
      <c r="AS1482" s="8">
        <f t="shared" si="407"/>
        <v>38.519904464989445</v>
      </c>
    </row>
    <row r="1483" spans="1:45">
      <c r="A1483" s="20">
        <v>48.41503333</v>
      </c>
      <c r="B1483" s="20">
        <v>440.67040259999999</v>
      </c>
      <c r="C1483" s="20">
        <v>-303.47570510000003</v>
      </c>
      <c r="E1483" s="9">
        <f t="shared" si="396"/>
        <v>-519.32959740000001</v>
      </c>
      <c r="F1483" s="9">
        <f t="shared" si="395"/>
        <v>236.52429489999997</v>
      </c>
      <c r="I1483">
        <v>1</v>
      </c>
      <c r="J1483">
        <f t="shared" si="397"/>
        <v>0.36233548388960563</v>
      </c>
      <c r="K1483">
        <f t="shared" si="398"/>
        <v>2.7142227278966384</v>
      </c>
      <c r="O1483">
        <f t="shared" si="399"/>
        <v>-0.32257864382240881</v>
      </c>
      <c r="P1483">
        <f t="shared" si="400"/>
        <v>0.14691572878163395</v>
      </c>
      <c r="Q1483">
        <f t="shared" si="401"/>
        <v>0.93507154121289393</v>
      </c>
      <c r="R1483">
        <f t="shared" si="402"/>
        <v>1</v>
      </c>
      <c r="AG1483" s="8">
        <f t="shared" si="392"/>
        <v>-0.35735827358837252</v>
      </c>
      <c r="AH1483" s="8">
        <f t="shared" si="393"/>
        <v>0.69623858028552488</v>
      </c>
      <c r="AI1483" s="8">
        <f t="shared" si="394"/>
        <v>0.62253265265360547</v>
      </c>
      <c r="AJ1483" s="8"/>
      <c r="AK1483" s="8"/>
      <c r="AL1483" s="8"/>
      <c r="AN1483" s="8">
        <f t="shared" si="403"/>
        <v>1</v>
      </c>
      <c r="AO1483" s="8">
        <f t="shared" si="404"/>
        <v>2.0450033745578939</v>
      </c>
      <c r="AP1483" s="8">
        <f t="shared" si="405"/>
        <v>0.89882154408558634</v>
      </c>
      <c r="AQ1483" s="8"/>
      <c r="AR1483" s="8">
        <f t="shared" si="406"/>
        <v>117.1700624521784</v>
      </c>
      <c r="AS1483" s="8">
        <f t="shared" si="407"/>
        <v>38.501318988464043</v>
      </c>
    </row>
    <row r="1484" spans="1:45">
      <c r="A1484" s="20">
        <v>48.448399999999999</v>
      </c>
      <c r="B1484" s="20">
        <v>439.809257</v>
      </c>
      <c r="C1484" s="20">
        <v>-303.70280209999999</v>
      </c>
      <c r="E1484" s="9">
        <f t="shared" si="396"/>
        <v>-520.190743</v>
      </c>
      <c r="F1484" s="9">
        <f t="shared" si="395"/>
        <v>236.29719790000001</v>
      </c>
      <c r="I1484">
        <v>1</v>
      </c>
      <c r="J1484">
        <f t="shared" si="397"/>
        <v>0.362740102529508</v>
      </c>
      <c r="K1484">
        <f t="shared" si="398"/>
        <v>2.7152091696655161</v>
      </c>
      <c r="O1484">
        <f t="shared" si="399"/>
        <v>-0.32306785719735387</v>
      </c>
      <c r="P1484">
        <f t="shared" si="400"/>
        <v>0.14675391750923969</v>
      </c>
      <c r="Q1484">
        <f t="shared" si="401"/>
        <v>0.93492804393792861</v>
      </c>
      <c r="R1484">
        <f t="shared" si="402"/>
        <v>1</v>
      </c>
      <c r="AG1484" s="8">
        <f t="shared" si="392"/>
        <v>-0.35713331668203363</v>
      </c>
      <c r="AH1484" s="8">
        <f t="shared" si="393"/>
        <v>0.69662098365051561</v>
      </c>
      <c r="AI1484" s="8">
        <f t="shared" si="394"/>
        <v>0.62223387825919474</v>
      </c>
      <c r="AJ1484" s="8"/>
      <c r="AK1484" s="8"/>
      <c r="AL1484" s="8"/>
      <c r="AN1484" s="8">
        <f t="shared" si="403"/>
        <v>1</v>
      </c>
      <c r="AO1484" s="8">
        <f t="shared" si="404"/>
        <v>2.0445246608539254</v>
      </c>
      <c r="AP1484" s="8">
        <f t="shared" si="405"/>
        <v>0.89920326067714762</v>
      </c>
      <c r="AQ1484" s="8"/>
      <c r="AR1484" s="8">
        <f t="shared" si="406"/>
        <v>117.14263417734593</v>
      </c>
      <c r="AS1484" s="8">
        <f t="shared" si="407"/>
        <v>38.47944823879746</v>
      </c>
    </row>
    <row r="1485" spans="1:45">
      <c r="A1485" s="20">
        <v>48.481766669999999</v>
      </c>
      <c r="B1485" s="20">
        <v>439.1119999</v>
      </c>
      <c r="C1485" s="20">
        <v>-303.59859280000001</v>
      </c>
      <c r="E1485" s="9">
        <f t="shared" si="396"/>
        <v>-520.8880001</v>
      </c>
      <c r="F1485" s="9">
        <f t="shared" si="395"/>
        <v>236.40140719999999</v>
      </c>
      <c r="I1485">
        <v>1</v>
      </c>
      <c r="J1485">
        <f t="shared" si="397"/>
        <v>0.36313763516566677</v>
      </c>
      <c r="K1485">
        <f t="shared" si="398"/>
        <v>2.7155474306935852</v>
      </c>
      <c r="O1485">
        <f t="shared" si="399"/>
        <v>-0.32345589461725599</v>
      </c>
      <c r="P1485">
        <f t="shared" si="400"/>
        <v>0.14679821504809937</v>
      </c>
      <c r="Q1485">
        <f t="shared" si="401"/>
        <v>0.93478691063581043</v>
      </c>
      <c r="R1485">
        <f t="shared" si="402"/>
        <v>1</v>
      </c>
      <c r="AG1485" s="8">
        <f t="shared" si="392"/>
        <v>-0.35683282218901502</v>
      </c>
      <c r="AH1485" s="8">
        <f t="shared" si="393"/>
        <v>0.69688156178471838</v>
      </c>
      <c r="AI1485" s="8">
        <f t="shared" si="394"/>
        <v>0.62211447970057299</v>
      </c>
      <c r="AJ1485" s="8"/>
      <c r="AK1485" s="8"/>
      <c r="AL1485" s="8"/>
      <c r="AN1485" s="8">
        <f t="shared" si="403"/>
        <v>1</v>
      </c>
      <c r="AO1485" s="8">
        <f t="shared" si="404"/>
        <v>2.0440312813977668</v>
      </c>
      <c r="AP1485" s="8">
        <f t="shared" si="405"/>
        <v>0.89935577285604518</v>
      </c>
      <c r="AQ1485" s="8"/>
      <c r="AR1485" s="8">
        <f t="shared" si="406"/>
        <v>117.11436561680958</v>
      </c>
      <c r="AS1485" s="8">
        <f t="shared" si="407"/>
        <v>38.470709934622285</v>
      </c>
    </row>
    <row r="1486" spans="1:45">
      <c r="A1486" s="20">
        <v>48.515133329999998</v>
      </c>
      <c r="B1486" s="20">
        <v>438.71852280000002</v>
      </c>
      <c r="C1486" s="20">
        <v>-303.45995570000002</v>
      </c>
      <c r="E1486" s="9">
        <f t="shared" si="396"/>
        <v>-521.28147719999993</v>
      </c>
      <c r="F1486" s="9">
        <f t="shared" si="395"/>
        <v>236.54004429999998</v>
      </c>
      <c r="I1486">
        <v>1</v>
      </c>
      <c r="J1486">
        <f t="shared" si="397"/>
        <v>0.36338127078470084</v>
      </c>
      <c r="K1486">
        <f t="shared" si="398"/>
        <v>2.7156109649329383</v>
      </c>
      <c r="O1486">
        <f t="shared" si="399"/>
        <v>-0.32367260548117177</v>
      </c>
      <c r="P1486">
        <f t="shared" si="400"/>
        <v>0.14687176849339403</v>
      </c>
      <c r="Q1486">
        <f t="shared" si="401"/>
        <v>0.93470034132905533</v>
      </c>
      <c r="R1486">
        <f t="shared" si="402"/>
        <v>1</v>
      </c>
      <c r="AG1486" s="8">
        <f t="shared" si="392"/>
        <v>-0.35663047289152494</v>
      </c>
      <c r="AH1486" s="8">
        <f t="shared" si="393"/>
        <v>0.69701499243206744</v>
      </c>
      <c r="AI1486" s="8">
        <f t="shared" si="394"/>
        <v>0.62208102858879433</v>
      </c>
      <c r="AJ1486" s="8"/>
      <c r="AK1486" s="8"/>
      <c r="AL1486" s="8"/>
      <c r="AN1486" s="8">
        <f t="shared" si="403"/>
        <v>1</v>
      </c>
      <c r="AO1486" s="8">
        <f t="shared" si="404"/>
        <v>2.0437235690647877</v>
      </c>
      <c r="AP1486" s="8">
        <f t="shared" si="405"/>
        <v>0.89939849787938708</v>
      </c>
      <c r="AQ1486" s="8"/>
      <c r="AR1486" s="8">
        <f t="shared" si="406"/>
        <v>117.09673499882575</v>
      </c>
      <c r="AS1486" s="8">
        <f t="shared" si="407"/>
        <v>38.4682619711052</v>
      </c>
    </row>
    <row r="1487" spans="1:45">
      <c r="A1487" s="20">
        <v>48.548499999999997</v>
      </c>
      <c r="B1487" s="20">
        <v>438.09809869999998</v>
      </c>
      <c r="C1487" s="20">
        <v>-303.41067620000001</v>
      </c>
      <c r="E1487" s="9">
        <f t="shared" si="396"/>
        <v>-521.90190129999996</v>
      </c>
      <c r="F1487" s="9">
        <f t="shared" si="395"/>
        <v>236.58932379999999</v>
      </c>
      <c r="I1487">
        <v>1</v>
      </c>
      <c r="J1487">
        <f t="shared" si="397"/>
        <v>0.36372436359281629</v>
      </c>
      <c r="K1487">
        <f t="shared" si="398"/>
        <v>2.715980047338443</v>
      </c>
      <c r="O1487">
        <f t="shared" si="399"/>
        <v>-0.32401885117129536</v>
      </c>
      <c r="P1487">
        <f t="shared" si="400"/>
        <v>0.14688469366775542</v>
      </c>
      <c r="Q1487">
        <f t="shared" si="401"/>
        <v>0.93457833853121353</v>
      </c>
      <c r="R1487">
        <f t="shared" si="402"/>
        <v>1</v>
      </c>
      <c r="AG1487" s="8">
        <f t="shared" si="392"/>
        <v>-0.35638097130659602</v>
      </c>
      <c r="AH1487" s="8">
        <f t="shared" si="393"/>
        <v>0.69725395983469984</v>
      </c>
      <c r="AI1487" s="8">
        <f t="shared" si="394"/>
        <v>0.62195620326948908</v>
      </c>
      <c r="AJ1487" s="8"/>
      <c r="AK1487" s="8"/>
      <c r="AL1487" s="8"/>
      <c r="AN1487" s="8">
        <f t="shared" si="403"/>
        <v>1</v>
      </c>
      <c r="AO1487" s="8">
        <f t="shared" si="404"/>
        <v>2.043300909726653</v>
      </c>
      <c r="AP1487" s="8">
        <f t="shared" si="405"/>
        <v>0.89955791668989782</v>
      </c>
      <c r="AQ1487" s="8"/>
      <c r="AR1487" s="8">
        <f t="shared" si="406"/>
        <v>117.07251840257884</v>
      </c>
      <c r="AS1487" s="8">
        <f t="shared" si="407"/>
        <v>38.459127946087939</v>
      </c>
    </row>
    <row r="1488" spans="1:45">
      <c r="A1488" s="20">
        <v>48.581866669999997</v>
      </c>
      <c r="B1488" s="20">
        <v>437.74969119999997</v>
      </c>
      <c r="C1488" s="20">
        <v>-303.29708169999998</v>
      </c>
      <c r="E1488" s="9">
        <f t="shared" si="396"/>
        <v>-522.25030880000008</v>
      </c>
      <c r="F1488" s="9">
        <f t="shared" si="395"/>
        <v>236.70291830000002</v>
      </c>
      <c r="I1488">
        <v>1</v>
      </c>
      <c r="J1488">
        <f t="shared" si="397"/>
        <v>0.36393779411505417</v>
      </c>
      <c r="K1488">
        <f t="shared" si="398"/>
        <v>2.7160504879589413</v>
      </c>
      <c r="O1488">
        <f t="shared" si="399"/>
        <v>-0.32421086767542406</v>
      </c>
      <c r="P1488">
        <f t="shared" si="400"/>
        <v>0.14694420899373151</v>
      </c>
      <c r="Q1488">
        <f t="shared" si="401"/>
        <v>0.93450238775743921</v>
      </c>
      <c r="R1488">
        <f t="shared" si="402"/>
        <v>1</v>
      </c>
      <c r="AG1488" s="8">
        <f t="shared" si="392"/>
        <v>-0.35620558889726339</v>
      </c>
      <c r="AH1488" s="8">
        <f t="shared" si="393"/>
        <v>0.69737351948805948</v>
      </c>
      <c r="AI1488" s="8">
        <f t="shared" si="394"/>
        <v>0.62192262601966097</v>
      </c>
      <c r="AJ1488" s="8"/>
      <c r="AK1488" s="8"/>
      <c r="AL1488" s="8"/>
      <c r="AN1488" s="8">
        <f t="shared" si="403"/>
        <v>1</v>
      </c>
      <c r="AO1488" s="8">
        <f t="shared" si="404"/>
        <v>2.0430319971546762</v>
      </c>
      <c r="AP1488" s="8">
        <f t="shared" si="405"/>
        <v>0.89960079593264475</v>
      </c>
      <c r="AQ1488" s="8"/>
      <c r="AR1488" s="8">
        <f t="shared" si="406"/>
        <v>117.05711084714656</v>
      </c>
      <c r="AS1488" s="8">
        <f t="shared" si="407"/>
        <v>38.456671146449821</v>
      </c>
    </row>
    <row r="1489" spans="1:45">
      <c r="A1489" s="20">
        <v>48.615233330000002</v>
      </c>
      <c r="B1489" s="20">
        <v>436.93651149999999</v>
      </c>
      <c r="C1489" s="20">
        <v>-303.56139830000001</v>
      </c>
      <c r="E1489" s="9">
        <f t="shared" si="396"/>
        <v>-523.06348849999995</v>
      </c>
      <c r="F1489" s="9">
        <f t="shared" si="395"/>
        <v>236.43860169999999</v>
      </c>
      <c r="I1489">
        <v>1</v>
      </c>
      <c r="J1489">
        <f t="shared" si="397"/>
        <v>0.36430795743982225</v>
      </c>
      <c r="K1489">
        <f t="shared" si="398"/>
        <v>2.7170546976123764</v>
      </c>
      <c r="O1489">
        <f t="shared" si="399"/>
        <v>-0.32467345577082701</v>
      </c>
      <c r="P1489">
        <f t="shared" si="400"/>
        <v>0.14676103298990095</v>
      </c>
      <c r="Q1489">
        <f t="shared" si="401"/>
        <v>0.93437056156193521</v>
      </c>
      <c r="R1489">
        <f t="shared" si="402"/>
        <v>1</v>
      </c>
      <c r="AG1489" s="8">
        <f t="shared" si="392"/>
        <v>-0.35601362276418985</v>
      </c>
      <c r="AH1489" s="8">
        <f t="shared" si="393"/>
        <v>0.69774214765853837</v>
      </c>
      <c r="AI1489" s="8">
        <f t="shared" si="394"/>
        <v>0.62161901176457568</v>
      </c>
      <c r="AJ1489" s="8"/>
      <c r="AK1489" s="8"/>
      <c r="AL1489" s="8"/>
      <c r="AN1489" s="8">
        <f t="shared" si="403"/>
        <v>1.0000000000000002</v>
      </c>
      <c r="AO1489" s="8">
        <f t="shared" si="404"/>
        <v>2.0425996869333223</v>
      </c>
      <c r="AP1489" s="8">
        <f t="shared" si="405"/>
        <v>0.89998845496659596</v>
      </c>
      <c r="AQ1489" s="8"/>
      <c r="AR1489" s="8">
        <f t="shared" si="406"/>
        <v>117.03234129602261</v>
      </c>
      <c r="AS1489" s="8">
        <f t="shared" si="407"/>
        <v>38.434459919914296</v>
      </c>
    </row>
    <row r="1490" spans="1:45">
      <c r="A1490" s="20">
        <v>48.648600000000002</v>
      </c>
      <c r="B1490" s="20">
        <v>436.486943</v>
      </c>
      <c r="C1490" s="20">
        <v>-301.8162921</v>
      </c>
      <c r="E1490" s="9">
        <f t="shared" si="396"/>
        <v>-523.513057</v>
      </c>
      <c r="F1490" s="9">
        <f t="shared" si="395"/>
        <v>238.1837079</v>
      </c>
      <c r="I1490">
        <v>1</v>
      </c>
      <c r="J1490">
        <f t="shared" si="397"/>
        <v>0.36496983399650929</v>
      </c>
      <c r="K1490">
        <f t="shared" si="398"/>
        <v>2.7146118285926515</v>
      </c>
      <c r="O1490">
        <f t="shared" si="399"/>
        <v>-0.32487681304547233</v>
      </c>
      <c r="P1490">
        <f t="shared" si="400"/>
        <v>0.14780980704728772</v>
      </c>
      <c r="Q1490">
        <f t="shared" si="401"/>
        <v>0.93413452847331402</v>
      </c>
      <c r="R1490">
        <f t="shared" si="402"/>
        <v>1</v>
      </c>
      <c r="AG1490" s="8">
        <f t="shared" si="392"/>
        <v>-0.35513117389115861</v>
      </c>
      <c r="AH1490" s="8">
        <f t="shared" si="393"/>
        <v>0.6976249095398892</v>
      </c>
      <c r="AI1490" s="8">
        <f t="shared" si="394"/>
        <v>0.62225504009220289</v>
      </c>
      <c r="AJ1490" s="8"/>
      <c r="AK1490" s="8"/>
      <c r="AL1490" s="8"/>
      <c r="AN1490" s="8">
        <f t="shared" si="403"/>
        <v>1</v>
      </c>
      <c r="AO1490" s="8">
        <f t="shared" si="404"/>
        <v>2.0416636318053665</v>
      </c>
      <c r="AP1490" s="8">
        <f t="shared" si="405"/>
        <v>0.89917622795928998</v>
      </c>
      <c r="AQ1490" s="8"/>
      <c r="AR1490" s="8">
        <f t="shared" si="406"/>
        <v>116.97870928779916</v>
      </c>
      <c r="AS1490" s="8">
        <f t="shared" si="407"/>
        <v>38.48099709943947</v>
      </c>
    </row>
    <row r="1491" spans="1:45">
      <c r="A1491" s="20">
        <v>48.681966670000001</v>
      </c>
      <c r="B1491" s="20">
        <v>435.78537089999998</v>
      </c>
      <c r="C1491" s="20">
        <v>-302.5178641</v>
      </c>
      <c r="E1491" s="9">
        <f t="shared" si="396"/>
        <v>-524.21462910000002</v>
      </c>
      <c r="F1491" s="9">
        <f t="shared" si="395"/>
        <v>237.4821359</v>
      </c>
      <c r="I1491">
        <v>1</v>
      </c>
      <c r="J1491">
        <f t="shared" si="397"/>
        <v>0.36517403696728173</v>
      </c>
      <c r="K1491">
        <f t="shared" si="398"/>
        <v>2.7162262956361287</v>
      </c>
      <c r="O1491">
        <f t="shared" si="399"/>
        <v>-0.32528877141500184</v>
      </c>
      <c r="P1491">
        <f t="shared" si="400"/>
        <v>0.14736382376918575</v>
      </c>
      <c r="Q1491">
        <f t="shared" si="401"/>
        <v>0.93406162464552789</v>
      </c>
      <c r="R1491">
        <f t="shared" si="402"/>
        <v>1</v>
      </c>
      <c r="AG1491" s="8">
        <f t="shared" si="392"/>
        <v>-0.35516003773149202</v>
      </c>
      <c r="AH1491" s="8">
        <f t="shared" si="393"/>
        <v>0.6980230934684537</v>
      </c>
      <c r="AI1491" s="8">
        <f t="shared" si="394"/>
        <v>0.62179185310141827</v>
      </c>
      <c r="AJ1491" s="8"/>
      <c r="AK1491" s="8"/>
      <c r="AL1491" s="8"/>
      <c r="AN1491" s="8">
        <f t="shared" si="403"/>
        <v>1.0000000000000002</v>
      </c>
      <c r="AO1491" s="8">
        <f t="shared" si="404"/>
        <v>2.0414658271707564</v>
      </c>
      <c r="AP1491" s="8">
        <f t="shared" si="405"/>
        <v>0.8997677832968759</v>
      </c>
      <c r="AQ1491" s="8"/>
      <c r="AR1491" s="8">
        <f t="shared" si="406"/>
        <v>116.96737591706788</v>
      </c>
      <c r="AS1491" s="8">
        <f t="shared" si="407"/>
        <v>38.44710347524736</v>
      </c>
    </row>
    <row r="1492" spans="1:45">
      <c r="A1492" s="20">
        <v>48.71533333</v>
      </c>
      <c r="B1492" s="20">
        <v>434.94348450000001</v>
      </c>
      <c r="C1492" s="20">
        <v>-302.65817850000002</v>
      </c>
      <c r="E1492" s="9">
        <f t="shared" si="396"/>
        <v>-525.05651549999993</v>
      </c>
      <c r="F1492" s="9">
        <f t="shared" si="395"/>
        <v>237.34182149999998</v>
      </c>
      <c r="I1492">
        <v>1</v>
      </c>
      <c r="J1492">
        <f t="shared" si="397"/>
        <v>0.36558911893685359</v>
      </c>
      <c r="K1492">
        <f t="shared" si="398"/>
        <v>2.7170510308993028</v>
      </c>
      <c r="O1492">
        <f t="shared" si="399"/>
        <v>-0.32576346288694336</v>
      </c>
      <c r="P1492">
        <f t="shared" si="400"/>
        <v>0.14725518373218777</v>
      </c>
      <c r="Q1492">
        <f t="shared" si="401"/>
        <v>0.93391331348894835</v>
      </c>
      <c r="R1492">
        <f t="shared" si="402"/>
        <v>1</v>
      </c>
      <c r="AG1492" s="8">
        <f t="shared" si="392"/>
        <v>-0.3549066515251933</v>
      </c>
      <c r="AH1492" s="8">
        <f t="shared" si="393"/>
        <v>0.69838149826679519</v>
      </c>
      <c r="AI1492" s="8">
        <f t="shared" si="394"/>
        <v>0.62153403091206627</v>
      </c>
      <c r="AJ1492" s="8"/>
      <c r="AK1492" s="8"/>
      <c r="AL1492" s="8"/>
      <c r="AN1492" s="8">
        <f t="shared" si="403"/>
        <v>1</v>
      </c>
      <c r="AO1492" s="8">
        <f t="shared" si="404"/>
        <v>2.0409700764411873</v>
      </c>
      <c r="AP1492" s="8">
        <f t="shared" si="405"/>
        <v>0.90009693837545257</v>
      </c>
      <c r="AQ1492" s="8"/>
      <c r="AR1492" s="8">
        <f t="shared" si="406"/>
        <v>116.93897149257305</v>
      </c>
      <c r="AS1492" s="8">
        <f t="shared" si="407"/>
        <v>38.428244278439621</v>
      </c>
    </row>
    <row r="1493" spans="1:45">
      <c r="A1493" s="20">
        <v>48.748699999999999</v>
      </c>
      <c r="B1493" s="20">
        <v>434.66285570000002</v>
      </c>
      <c r="C1493" s="20">
        <v>-302.79849289999999</v>
      </c>
      <c r="E1493" s="9">
        <f t="shared" si="396"/>
        <v>-525.33714429999998</v>
      </c>
      <c r="F1493" s="9">
        <f t="shared" si="395"/>
        <v>237.20150710000001</v>
      </c>
      <c r="I1493">
        <v>1</v>
      </c>
      <c r="J1493">
        <f t="shared" si="397"/>
        <v>0.36570497264187368</v>
      </c>
      <c r="K1493">
        <f t="shared" si="398"/>
        <v>2.7174733900099546</v>
      </c>
      <c r="O1493">
        <f t="shared" si="399"/>
        <v>-0.3259242374109218</v>
      </c>
      <c r="P1493">
        <f t="shared" si="400"/>
        <v>0.14716210561753132</v>
      </c>
      <c r="Q1493">
        <f t="shared" si="401"/>
        <v>0.93387188957496925</v>
      </c>
      <c r="R1493">
        <f t="shared" si="402"/>
        <v>1</v>
      </c>
      <c r="AG1493" s="8">
        <f t="shared" si="392"/>
        <v>-0.35486056239704067</v>
      </c>
      <c r="AH1493" s="8">
        <f t="shared" si="393"/>
        <v>0.69851677482965591</v>
      </c>
      <c r="AI1493" s="8">
        <f t="shared" si="394"/>
        <v>0.62140831708051003</v>
      </c>
      <c r="AJ1493" s="8"/>
      <c r="AK1493" s="8"/>
      <c r="AL1493" s="8"/>
      <c r="AN1493" s="8">
        <f t="shared" si="403"/>
        <v>0.99999999999999989</v>
      </c>
      <c r="AO1493" s="8">
        <f t="shared" si="404"/>
        <v>2.0408394120555746</v>
      </c>
      <c r="AP1493" s="8">
        <f t="shared" si="405"/>
        <v>0.90025740287628686</v>
      </c>
      <c r="AQ1493" s="8"/>
      <c r="AR1493" s="8">
        <f t="shared" si="406"/>
        <v>116.93148497474476</v>
      </c>
      <c r="AS1493" s="8">
        <f t="shared" si="407"/>
        <v>38.419050339780142</v>
      </c>
    </row>
    <row r="1494" spans="1:45">
      <c r="A1494" s="20">
        <v>48.782066669999999</v>
      </c>
      <c r="B1494" s="20">
        <v>433.40002600000003</v>
      </c>
      <c r="C1494" s="20">
        <v>-302.65817850000002</v>
      </c>
      <c r="E1494" s="9">
        <f t="shared" si="396"/>
        <v>-526.59997399999997</v>
      </c>
      <c r="F1494" s="9">
        <f t="shared" si="395"/>
        <v>237.34182149999998</v>
      </c>
      <c r="I1494">
        <v>1</v>
      </c>
      <c r="J1494">
        <f t="shared" si="397"/>
        <v>0.3664121618391723</v>
      </c>
      <c r="K1494">
        <f t="shared" si="398"/>
        <v>2.7181516877816883</v>
      </c>
      <c r="O1494">
        <f t="shared" si="399"/>
        <v>-0.32662599632959982</v>
      </c>
      <c r="P1494">
        <f t="shared" si="400"/>
        <v>0.14721232955875443</v>
      </c>
      <c r="Q1494">
        <f t="shared" si="401"/>
        <v>0.93361875974488695</v>
      </c>
      <c r="R1494">
        <f t="shared" si="402"/>
        <v>1</v>
      </c>
      <c r="AG1494" s="8">
        <f t="shared" si="392"/>
        <v>-0.35433657588182316</v>
      </c>
      <c r="AH1494" s="8">
        <f t="shared" si="393"/>
        <v>0.6989941828045696</v>
      </c>
      <c r="AI1494" s="8">
        <f t="shared" si="394"/>
        <v>0.62117044633314367</v>
      </c>
      <c r="AJ1494" s="8"/>
      <c r="AK1494" s="8"/>
      <c r="AL1494" s="8"/>
      <c r="AN1494" s="8">
        <f t="shared" si="403"/>
        <v>1</v>
      </c>
      <c r="AO1494" s="8">
        <f t="shared" si="404"/>
        <v>2.0399673808483896</v>
      </c>
      <c r="AP1494" s="8">
        <f t="shared" si="405"/>
        <v>0.90056097160485094</v>
      </c>
      <c r="AQ1494" s="8"/>
      <c r="AR1494" s="8">
        <f t="shared" si="406"/>
        <v>116.88152126696936</v>
      </c>
      <c r="AS1494" s="8">
        <f t="shared" si="407"/>
        <v>38.401657132841272</v>
      </c>
    </row>
    <row r="1495" spans="1:45">
      <c r="A1495" s="20">
        <v>48.815433329999998</v>
      </c>
      <c r="B1495" s="20">
        <v>433.40002600000003</v>
      </c>
      <c r="C1495" s="20">
        <v>-302.65817850000002</v>
      </c>
      <c r="E1495" s="9">
        <f t="shared" si="396"/>
        <v>-526.59997399999997</v>
      </c>
      <c r="F1495" s="9">
        <f t="shared" si="395"/>
        <v>237.34182149999998</v>
      </c>
      <c r="I1495">
        <v>1</v>
      </c>
      <c r="J1495">
        <f t="shared" si="397"/>
        <v>0.3664121618391723</v>
      </c>
      <c r="K1495">
        <f t="shared" si="398"/>
        <v>2.7181516877816883</v>
      </c>
      <c r="O1495">
        <f t="shared" si="399"/>
        <v>-0.32662599632959982</v>
      </c>
      <c r="P1495">
        <f t="shared" si="400"/>
        <v>0.14721232955875443</v>
      </c>
      <c r="Q1495">
        <f t="shared" si="401"/>
        <v>0.93361875974488695</v>
      </c>
      <c r="R1495">
        <f t="shared" si="402"/>
        <v>1</v>
      </c>
      <c r="AG1495" s="8">
        <f t="shared" si="392"/>
        <v>-0.35433657588182316</v>
      </c>
      <c r="AH1495" s="8">
        <f t="shared" si="393"/>
        <v>0.6989941828045696</v>
      </c>
      <c r="AI1495" s="8">
        <f t="shared" si="394"/>
        <v>0.62117044633314367</v>
      </c>
      <c r="AJ1495" s="8"/>
      <c r="AK1495" s="8"/>
      <c r="AL1495" s="8"/>
      <c r="AN1495" s="8">
        <f t="shared" si="403"/>
        <v>1</v>
      </c>
      <c r="AO1495" s="8">
        <f t="shared" si="404"/>
        <v>2.0399673808483896</v>
      </c>
      <c r="AP1495" s="8">
        <f t="shared" si="405"/>
        <v>0.90056097160485094</v>
      </c>
      <c r="AQ1495" s="8"/>
      <c r="AR1495" s="8">
        <f t="shared" si="406"/>
        <v>116.88152126696936</v>
      </c>
      <c r="AS1495" s="8">
        <f t="shared" si="407"/>
        <v>38.401657132841272</v>
      </c>
    </row>
    <row r="1496" spans="1:45">
      <c r="A1496" s="20">
        <v>48.848799999999997</v>
      </c>
      <c r="B1496" s="20">
        <v>433.40002600000003</v>
      </c>
      <c r="C1496" s="20">
        <v>-302.65817850000002</v>
      </c>
      <c r="E1496" s="9">
        <f t="shared" si="396"/>
        <v>-526.59997399999997</v>
      </c>
      <c r="F1496" s="9">
        <f t="shared" si="395"/>
        <v>237.34182149999998</v>
      </c>
      <c r="I1496">
        <v>1</v>
      </c>
      <c r="J1496">
        <f t="shared" si="397"/>
        <v>0.3664121618391723</v>
      </c>
      <c r="K1496">
        <f t="shared" si="398"/>
        <v>2.7181516877816883</v>
      </c>
      <c r="O1496">
        <f t="shared" si="399"/>
        <v>-0.32662599632959982</v>
      </c>
      <c r="P1496">
        <f t="shared" si="400"/>
        <v>0.14721232955875443</v>
      </c>
      <c r="Q1496">
        <f t="shared" si="401"/>
        <v>0.93361875974488695</v>
      </c>
      <c r="R1496">
        <f t="shared" si="402"/>
        <v>1</v>
      </c>
      <c r="AG1496" s="8">
        <f t="shared" si="392"/>
        <v>-0.35433657588182316</v>
      </c>
      <c r="AH1496" s="8">
        <f t="shared" si="393"/>
        <v>0.6989941828045696</v>
      </c>
      <c r="AI1496" s="8">
        <f t="shared" si="394"/>
        <v>0.62117044633314367</v>
      </c>
      <c r="AJ1496" s="8"/>
      <c r="AK1496" s="8"/>
      <c r="AL1496" s="8"/>
      <c r="AN1496" s="8">
        <f t="shared" si="403"/>
        <v>1</v>
      </c>
      <c r="AO1496" s="8">
        <f t="shared" si="404"/>
        <v>2.0399673808483896</v>
      </c>
      <c r="AP1496" s="8">
        <f t="shared" si="405"/>
        <v>0.90056097160485094</v>
      </c>
      <c r="AQ1496" s="8"/>
      <c r="AR1496" s="8">
        <f t="shared" si="406"/>
        <v>116.88152126696936</v>
      </c>
      <c r="AS1496" s="8">
        <f t="shared" si="407"/>
        <v>38.401657132841272</v>
      </c>
    </row>
    <row r="1497" spans="1:45">
      <c r="A1497" s="20">
        <v>48.882166669999997</v>
      </c>
      <c r="B1497" s="20">
        <v>431.99688190000001</v>
      </c>
      <c r="C1497" s="20">
        <v>-302.5178641</v>
      </c>
      <c r="E1497" s="9">
        <f t="shared" si="396"/>
        <v>-528.00311809999994</v>
      </c>
      <c r="F1497" s="9">
        <f t="shared" si="395"/>
        <v>237.4821359</v>
      </c>
      <c r="I1497">
        <v>1</v>
      </c>
      <c r="J1497">
        <f t="shared" si="397"/>
        <v>0.36719393813149936</v>
      </c>
      <c r="K1497">
        <f t="shared" si="398"/>
        <v>2.7189265883239715</v>
      </c>
      <c r="O1497">
        <f t="shared" si="399"/>
        <v>-0.32740552369949738</v>
      </c>
      <c r="P1497">
        <f t="shared" si="400"/>
        <v>0.14725853012649998</v>
      </c>
      <c r="Q1497">
        <f t="shared" si="401"/>
        <v>0.93333838898656718</v>
      </c>
      <c r="R1497">
        <f t="shared" si="402"/>
        <v>1</v>
      </c>
      <c r="AG1497" s="8">
        <f t="shared" si="392"/>
        <v>-0.35376084895446913</v>
      </c>
      <c r="AH1497" s="8">
        <f t="shared" si="393"/>
        <v>0.69952653601746284</v>
      </c>
      <c r="AI1497" s="8">
        <f t="shared" si="394"/>
        <v>0.62089925684801939</v>
      </c>
      <c r="AJ1497" s="8"/>
      <c r="AK1497" s="8"/>
      <c r="AL1497" s="8"/>
      <c r="AN1497" s="8">
        <f t="shared" si="403"/>
        <v>1.0000000000000002</v>
      </c>
      <c r="AO1497" s="8">
        <f t="shared" si="404"/>
        <v>2.039005233688219</v>
      </c>
      <c r="AP1497" s="8">
        <f t="shared" si="405"/>
        <v>0.90090697235536099</v>
      </c>
      <c r="AQ1497" s="8"/>
      <c r="AR1497" s="8">
        <f t="shared" si="406"/>
        <v>116.8263942954211</v>
      </c>
      <c r="AS1497" s="8">
        <f t="shared" si="407"/>
        <v>38.381832750128687</v>
      </c>
    </row>
    <row r="1498" spans="1:45">
      <c r="A1498" s="20">
        <v>48.915533330000002</v>
      </c>
      <c r="B1498" s="20">
        <v>431.94360820000003</v>
      </c>
      <c r="C1498" s="20">
        <v>-301.91916980000002</v>
      </c>
      <c r="E1498" s="9">
        <f t="shared" si="396"/>
        <v>-528.05639180000003</v>
      </c>
      <c r="F1498" s="9">
        <f t="shared" si="395"/>
        <v>238.08083019999998</v>
      </c>
      <c r="I1498">
        <v>1</v>
      </c>
      <c r="J1498">
        <f t="shared" si="397"/>
        <v>0.36736601590294599</v>
      </c>
      <c r="K1498">
        <f t="shared" si="398"/>
        <v>2.7180216950270744</v>
      </c>
      <c r="O1498">
        <f t="shared" si="399"/>
        <v>-0.32741854506002449</v>
      </c>
      <c r="P1498">
        <f t="shared" si="400"/>
        <v>0.14762074702864486</v>
      </c>
      <c r="Q1498">
        <f t="shared" si="401"/>
        <v>0.93327659961957765</v>
      </c>
      <c r="R1498">
        <f t="shared" si="402"/>
        <v>1</v>
      </c>
      <c r="AG1498" s="8">
        <f t="shared" si="392"/>
        <v>-0.3534957342090746</v>
      </c>
      <c r="AH1498" s="8">
        <f t="shared" si="393"/>
        <v>0.69944598696321703</v>
      </c>
      <c r="AI1498" s="8">
        <f t="shared" si="394"/>
        <v>0.62114094794743513</v>
      </c>
      <c r="AJ1498" s="8"/>
      <c r="AK1498" s="8"/>
      <c r="AL1498" s="8"/>
      <c r="AN1498" s="8">
        <f t="shared" si="403"/>
        <v>0.99999999999999978</v>
      </c>
      <c r="AO1498" s="8">
        <f t="shared" si="404"/>
        <v>2.0387497379814512</v>
      </c>
      <c r="AP1498" s="8">
        <f t="shared" si="405"/>
        <v>0.90059861211547132</v>
      </c>
      <c r="AQ1498" s="8"/>
      <c r="AR1498" s="8">
        <f t="shared" si="406"/>
        <v>116.81175546973958</v>
      </c>
      <c r="AS1498" s="8">
        <f t="shared" si="407"/>
        <v>38.399500490444005</v>
      </c>
    </row>
    <row r="1499" spans="1:45">
      <c r="A1499" s="20">
        <v>48.948900000000002</v>
      </c>
      <c r="B1499" s="20">
        <v>431.50460509999999</v>
      </c>
      <c r="C1499" s="20">
        <v>-301.91104130000002</v>
      </c>
      <c r="E1499" s="9">
        <f t="shared" si="396"/>
        <v>-528.49539490000006</v>
      </c>
      <c r="F1499" s="9">
        <f t="shared" si="395"/>
        <v>238.08895869999998</v>
      </c>
      <c r="I1499">
        <v>1</v>
      </c>
      <c r="J1499">
        <f t="shared" si="397"/>
        <v>0.36760186806083639</v>
      </c>
      <c r="K1499">
        <f t="shared" si="398"/>
        <v>2.7183201998410946</v>
      </c>
      <c r="O1499">
        <f t="shared" si="399"/>
        <v>-0.32766327691952779</v>
      </c>
      <c r="P1499">
        <f t="shared" si="400"/>
        <v>0.1476134118836768</v>
      </c>
      <c r="Q1499">
        <f t="shared" si="401"/>
        <v>0.93319186536875509</v>
      </c>
      <c r="R1499">
        <f t="shared" si="402"/>
        <v>1</v>
      </c>
      <c r="AG1499" s="8">
        <f t="shared" si="392"/>
        <v>-0.35333031920151736</v>
      </c>
      <c r="AH1499" s="8">
        <f t="shared" si="393"/>
        <v>0.69961844603578505</v>
      </c>
      <c r="AI1499" s="8">
        <f t="shared" si="394"/>
        <v>0.62104083239302965</v>
      </c>
      <c r="AJ1499" s="8"/>
      <c r="AK1499" s="8"/>
      <c r="AL1499" s="8"/>
      <c r="AN1499" s="8">
        <f t="shared" si="403"/>
        <v>1</v>
      </c>
      <c r="AO1499" s="8">
        <f t="shared" si="404"/>
        <v>2.0384621294610374</v>
      </c>
      <c r="AP1499" s="8">
        <f t="shared" si="405"/>
        <v>0.90072635312719451</v>
      </c>
      <c r="AQ1499" s="8"/>
      <c r="AR1499" s="8">
        <f t="shared" si="406"/>
        <v>116.79527671536788</v>
      </c>
      <c r="AS1499" s="8">
        <f t="shared" si="407"/>
        <v>38.392181469601532</v>
      </c>
    </row>
    <row r="1500" spans="1:45">
      <c r="A1500" s="20">
        <v>48.982266670000001</v>
      </c>
      <c r="B1500" s="20">
        <v>430.73405220000001</v>
      </c>
      <c r="C1500" s="20">
        <v>-302.23723530000001</v>
      </c>
      <c r="E1500" s="9">
        <f t="shared" si="396"/>
        <v>-529.26594780000005</v>
      </c>
      <c r="F1500" s="9">
        <f t="shared" si="395"/>
        <v>237.76276469999999</v>
      </c>
      <c r="I1500">
        <v>1</v>
      </c>
      <c r="J1500">
        <f t="shared" si="397"/>
        <v>0.36793426430419496</v>
      </c>
      <c r="K1500">
        <f t="shared" si="398"/>
        <v>2.7193782651793623</v>
      </c>
      <c r="O1500">
        <f t="shared" si="399"/>
        <v>-0.32810220979808974</v>
      </c>
      <c r="P1500">
        <f t="shared" si="400"/>
        <v>0.14739374189864182</v>
      </c>
      <c r="Q1500">
        <f t="shared" si="401"/>
        <v>0.93307235773798747</v>
      </c>
      <c r="R1500">
        <f t="shared" si="402"/>
        <v>1</v>
      </c>
      <c r="AG1500" s="8">
        <f t="shared" si="392"/>
        <v>-0.35317951948912735</v>
      </c>
      <c r="AH1500" s="8">
        <f t="shared" si="393"/>
        <v>0.6999787818952925</v>
      </c>
      <c r="AI1500" s="8">
        <f t="shared" si="394"/>
        <v>0.62072049419188002</v>
      </c>
      <c r="AJ1500" s="8"/>
      <c r="AK1500" s="8"/>
      <c r="AL1500" s="8"/>
      <c r="AN1500" s="8">
        <f t="shared" si="403"/>
        <v>1</v>
      </c>
      <c r="AO1500" s="8">
        <f t="shared" si="404"/>
        <v>2.0380832569735379</v>
      </c>
      <c r="AP1500" s="8">
        <f t="shared" si="405"/>
        <v>0.90113499724569612</v>
      </c>
      <c r="AQ1500" s="8"/>
      <c r="AR1500" s="8">
        <f t="shared" si="406"/>
        <v>116.77356892086053</v>
      </c>
      <c r="AS1500" s="8">
        <f t="shared" si="407"/>
        <v>38.368767886288552</v>
      </c>
    </row>
    <row r="1501" spans="1:45">
      <c r="A1501" s="20">
        <v>49.01563333</v>
      </c>
      <c r="B1501" s="20">
        <v>430.06626879999999</v>
      </c>
      <c r="C1501" s="20">
        <v>-301.89091250000001</v>
      </c>
      <c r="E1501" s="9">
        <f t="shared" si="396"/>
        <v>-529.93373120000001</v>
      </c>
      <c r="F1501" s="9">
        <f t="shared" si="395"/>
        <v>238.10908749999999</v>
      </c>
      <c r="I1501">
        <v>1</v>
      </c>
      <c r="J1501">
        <f t="shared" si="397"/>
        <v>0.36837297223444077</v>
      </c>
      <c r="K1501">
        <f t="shared" si="398"/>
        <v>2.7193055164043352</v>
      </c>
      <c r="O1501">
        <f t="shared" si="399"/>
        <v>-0.32846484142257132</v>
      </c>
      <c r="P1501">
        <f t="shared" si="400"/>
        <v>0.14758536598502284</v>
      </c>
      <c r="Q1501">
        <f t="shared" si="401"/>
        <v>0.93291446965748792</v>
      </c>
      <c r="R1501">
        <f t="shared" si="402"/>
        <v>1</v>
      </c>
      <c r="AG1501" s="8">
        <f t="shared" si="392"/>
        <v>-0.35279105983145226</v>
      </c>
      <c r="AH1501" s="8">
        <f t="shared" si="393"/>
        <v>0.70018405397154737</v>
      </c>
      <c r="AI1501" s="8">
        <f t="shared" si="394"/>
        <v>0.62070988284944362</v>
      </c>
      <c r="AJ1501" s="8"/>
      <c r="AK1501" s="8"/>
      <c r="AL1501" s="8"/>
      <c r="AN1501" s="8">
        <f t="shared" si="403"/>
        <v>1</v>
      </c>
      <c r="AO1501" s="8">
        <f t="shared" si="404"/>
        <v>2.0375229766105907</v>
      </c>
      <c r="AP1501" s="8">
        <f t="shared" si="405"/>
        <v>0.9011485314975205</v>
      </c>
      <c r="AQ1501" s="8"/>
      <c r="AR1501" s="8">
        <f t="shared" si="406"/>
        <v>116.7414672207196</v>
      </c>
      <c r="AS1501" s="8">
        <f t="shared" si="407"/>
        <v>38.367992430780141</v>
      </c>
    </row>
    <row r="1502" spans="1:45">
      <c r="A1502" s="20">
        <v>49.048999999999999</v>
      </c>
      <c r="B1502" s="20">
        <v>429.71976030000002</v>
      </c>
      <c r="C1502" s="20">
        <v>-301.8205213</v>
      </c>
      <c r="E1502" s="9">
        <f t="shared" si="396"/>
        <v>-530.28023970000004</v>
      </c>
      <c r="F1502" s="9">
        <f t="shared" si="395"/>
        <v>238.1794787</v>
      </c>
      <c r="I1502">
        <v>1</v>
      </c>
      <c r="J1502">
        <f t="shared" si="397"/>
        <v>0.36857440097199712</v>
      </c>
      <c r="K1502">
        <f t="shared" si="398"/>
        <v>2.7194393649677493</v>
      </c>
      <c r="O1502">
        <f t="shared" si="399"/>
        <v>-0.32865600433575448</v>
      </c>
      <c r="P1502">
        <f t="shared" si="400"/>
        <v>0.1476183910390485</v>
      </c>
      <c r="Q1502">
        <f t="shared" si="401"/>
        <v>0.93284191664027361</v>
      </c>
      <c r="R1502">
        <f t="shared" si="402"/>
        <v>1</v>
      </c>
      <c r="AG1502" s="8">
        <f t="shared" si="392"/>
        <v>-0.3526343017691963</v>
      </c>
      <c r="AH1502" s="8">
        <f t="shared" si="393"/>
        <v>0.70030905853386072</v>
      </c>
      <c r="AI1502" s="8">
        <f t="shared" si="394"/>
        <v>0.62065793457521279</v>
      </c>
      <c r="AJ1502" s="8"/>
      <c r="AK1502" s="8"/>
      <c r="AL1502" s="8"/>
      <c r="AN1502" s="8">
        <f t="shared" si="403"/>
        <v>1</v>
      </c>
      <c r="AO1502" s="8">
        <f t="shared" si="404"/>
        <v>2.0372726966305175</v>
      </c>
      <c r="AP1502" s="8">
        <f t="shared" si="405"/>
        <v>0.90121478690530477</v>
      </c>
      <c r="AQ1502" s="8"/>
      <c r="AR1502" s="8">
        <f t="shared" si="406"/>
        <v>116.72712723416478</v>
      </c>
      <c r="AS1502" s="8">
        <f t="shared" si="407"/>
        <v>38.364196275544188</v>
      </c>
    </row>
    <row r="1503" spans="1:45">
      <c r="A1503" s="20">
        <v>49.082366669999999</v>
      </c>
      <c r="B1503" s="20">
        <v>428.06807850000001</v>
      </c>
      <c r="C1503" s="20">
        <v>-302.37754969999997</v>
      </c>
      <c r="E1503" s="9">
        <f t="shared" si="396"/>
        <v>-531.93192150000004</v>
      </c>
      <c r="F1503" s="9">
        <f t="shared" si="395"/>
        <v>237.62245030000003</v>
      </c>
      <c r="I1503">
        <v>1</v>
      </c>
      <c r="J1503">
        <f t="shared" si="397"/>
        <v>0.36932143043351046</v>
      </c>
      <c r="K1503">
        <f t="shared" si="398"/>
        <v>2.7214731363825901</v>
      </c>
      <c r="O1503">
        <f t="shared" si="399"/>
        <v>-0.32959171620244965</v>
      </c>
      <c r="P1503">
        <f t="shared" si="400"/>
        <v>0.14723386214867021</v>
      </c>
      <c r="Q1503">
        <f t="shared" si="401"/>
        <v>0.93257251216594961</v>
      </c>
      <c r="R1503">
        <f t="shared" si="402"/>
        <v>1</v>
      </c>
      <c r="AG1503" s="8">
        <f t="shared" si="392"/>
        <v>-0.35225271979214562</v>
      </c>
      <c r="AH1503" s="8">
        <f t="shared" si="393"/>
        <v>0.70105582502814057</v>
      </c>
      <c r="AI1503" s="8">
        <f t="shared" si="394"/>
        <v>0.6200312504972223</v>
      </c>
      <c r="AJ1503" s="8"/>
      <c r="AK1503" s="8"/>
      <c r="AL1503" s="8"/>
      <c r="AN1503" s="8">
        <f t="shared" si="403"/>
        <v>0.99999999999999989</v>
      </c>
      <c r="AO1503" s="8">
        <f t="shared" si="404"/>
        <v>2.0364102377621802</v>
      </c>
      <c r="AP1503" s="8">
        <f t="shared" si="405"/>
        <v>0.90201379321150699</v>
      </c>
      <c r="AQ1503" s="8"/>
      <c r="AR1503" s="8">
        <f t="shared" si="406"/>
        <v>116.67771198100543</v>
      </c>
      <c r="AS1503" s="8">
        <f t="shared" si="407"/>
        <v>38.318416586394463</v>
      </c>
    </row>
    <row r="1504" spans="1:45">
      <c r="A1504" s="20">
        <v>49.115733329999998</v>
      </c>
      <c r="B1504" s="20">
        <v>427.95579420000001</v>
      </c>
      <c r="C1504" s="20">
        <v>-302.38891610000002</v>
      </c>
      <c r="E1504" s="9">
        <f t="shared" si="396"/>
        <v>-532.04420579999999</v>
      </c>
      <c r="F1504" s="9">
        <f t="shared" si="395"/>
        <v>237.61108389999998</v>
      </c>
      <c r="I1504">
        <v>1</v>
      </c>
      <c r="J1504">
        <f t="shared" si="397"/>
        <v>0.36937855711760026</v>
      </c>
      <c r="K1504">
        <f t="shared" si="398"/>
        <v>2.7215695429274613</v>
      </c>
      <c r="O1504">
        <f t="shared" si="399"/>
        <v>-0.32965455254692627</v>
      </c>
      <c r="P1504">
        <f t="shared" si="400"/>
        <v>0.14722381089643796</v>
      </c>
      <c r="Q1504">
        <f t="shared" si="401"/>
        <v>0.93255188889960206</v>
      </c>
      <c r="R1504">
        <f t="shared" si="402"/>
        <v>1</v>
      </c>
      <c r="AG1504" s="8">
        <f t="shared" ref="AG1504:AG1540" si="408">$O1504*$Z$27+$P1504*$Z$31+$Q1504*$Z$35</f>
        <v>-0.35221592124239326</v>
      </c>
      <c r="AH1504" s="8">
        <f t="shared" ref="AH1504:AH1540" si="409">$O1504*$AA$27+$P1504*$AA$31+$Q1504*$AA$35</f>
        <v>0.70110205137367609</v>
      </c>
      <c r="AI1504" s="8">
        <f t="shared" ref="AI1504:AI1540" si="410">$AB$27*$O1504+$P1504*$AB$31+$AB$35*$Q1504</f>
        <v>0.61999988579272791</v>
      </c>
      <c r="AJ1504" s="8"/>
      <c r="AK1504" s="8"/>
      <c r="AL1504" s="8"/>
      <c r="AN1504" s="8">
        <f t="shared" si="403"/>
        <v>1.0000000000000002</v>
      </c>
      <c r="AO1504" s="8">
        <f t="shared" si="404"/>
        <v>2.0363418776040527</v>
      </c>
      <c r="AP1504" s="8">
        <f t="shared" si="405"/>
        <v>0.90205376915332292</v>
      </c>
      <c r="AQ1504" s="8"/>
      <c r="AR1504" s="8">
        <f t="shared" si="406"/>
        <v>116.67379523245788</v>
      </c>
      <c r="AS1504" s="8">
        <f t="shared" si="407"/>
        <v>38.31612613364635</v>
      </c>
    </row>
    <row r="1505" spans="1:45">
      <c r="A1505" s="20">
        <v>49.149099999999997</v>
      </c>
      <c r="B1505" s="20">
        <v>427.44496240000001</v>
      </c>
      <c r="C1505" s="20">
        <v>-302.19407619999998</v>
      </c>
      <c r="E1505" s="9">
        <f t="shared" si="396"/>
        <v>-532.55503759999999</v>
      </c>
      <c r="F1505" s="9">
        <f t="shared" ref="F1505:F1540" si="411">(($C$15/2)+C1505)</f>
        <v>237.80592380000002</v>
      </c>
      <c r="I1505">
        <v>1</v>
      </c>
      <c r="J1505">
        <f t="shared" si="397"/>
        <v>0.36969708960905406</v>
      </c>
      <c r="K1505">
        <f t="shared" si="398"/>
        <v>2.7216216716739678</v>
      </c>
      <c r="O1505">
        <f t="shared" si="399"/>
        <v>-0.32993344479105358</v>
      </c>
      <c r="P1505">
        <f t="shared" si="400"/>
        <v>0.14732773533537374</v>
      </c>
      <c r="Q1505">
        <f t="shared" si="401"/>
        <v>0.932436839903518</v>
      </c>
      <c r="R1505">
        <f t="shared" si="402"/>
        <v>1</v>
      </c>
      <c r="AG1505" s="8">
        <f t="shared" si="408"/>
        <v>-0.35194756795858823</v>
      </c>
      <c r="AH1505" s="8">
        <f t="shared" si="409"/>
        <v>0.70127044360072377</v>
      </c>
      <c r="AI1505" s="8">
        <f t="shared" si="410"/>
        <v>0.61996183297044916</v>
      </c>
      <c r="AJ1505" s="8"/>
      <c r="AK1505" s="8"/>
      <c r="AL1505" s="8"/>
      <c r="AN1505" s="8">
        <f t="shared" si="403"/>
        <v>1</v>
      </c>
      <c r="AO1505" s="8">
        <f t="shared" si="404"/>
        <v>2.0359399219053489</v>
      </c>
      <c r="AP1505" s="8">
        <f t="shared" si="405"/>
        <v>0.90210226775259239</v>
      </c>
      <c r="AQ1505" s="8"/>
      <c r="AR1505" s="8">
        <f t="shared" si="406"/>
        <v>116.65076486737091</v>
      </c>
      <c r="AS1505" s="8">
        <f t="shared" si="407"/>
        <v>38.313347368595913</v>
      </c>
    </row>
    <row r="1506" spans="1:45">
      <c r="A1506" s="20">
        <v>49.182466669999997</v>
      </c>
      <c r="B1506" s="20">
        <v>426.66493439999999</v>
      </c>
      <c r="C1506" s="20">
        <v>-301.67597769999998</v>
      </c>
      <c r="E1506" s="9">
        <f t="shared" si="396"/>
        <v>-533.33506560000001</v>
      </c>
      <c r="F1506" s="9">
        <f t="shared" si="411"/>
        <v>238.32402230000002</v>
      </c>
      <c r="I1506">
        <v>1</v>
      </c>
      <c r="J1506">
        <f t="shared" si="397"/>
        <v>0.37023580263947653</v>
      </c>
      <c r="K1506">
        <f t="shared" si="398"/>
        <v>2.7213562788922738</v>
      </c>
      <c r="O1506">
        <f t="shared" si="399"/>
        <v>-0.33035289620556535</v>
      </c>
      <c r="P1506">
        <f t="shared" si="400"/>
        <v>0.14762020365863754</v>
      </c>
      <c r="Q1506">
        <f t="shared" si="401"/>
        <v>0.93224204981344694</v>
      </c>
      <c r="R1506">
        <f t="shared" si="402"/>
        <v>1</v>
      </c>
      <c r="AG1506" s="8">
        <f t="shared" si="408"/>
        <v>-0.35144755742998901</v>
      </c>
      <c r="AH1506" s="8">
        <f t="shared" si="409"/>
        <v>0.70148989316476973</v>
      </c>
      <c r="AI1506" s="8">
        <f t="shared" si="410"/>
        <v>0.61999721302936084</v>
      </c>
      <c r="AJ1506" s="8"/>
      <c r="AK1506" s="8"/>
      <c r="AL1506" s="8"/>
      <c r="AN1506" s="8">
        <f t="shared" si="403"/>
        <v>1</v>
      </c>
      <c r="AO1506" s="8">
        <f t="shared" si="404"/>
        <v>2.0352448930993541</v>
      </c>
      <c r="AP1506" s="8">
        <f t="shared" si="405"/>
        <v>0.90205717567039778</v>
      </c>
      <c r="AQ1506" s="8"/>
      <c r="AR1506" s="8">
        <f t="shared" si="406"/>
        <v>116.61094265014739</v>
      </c>
      <c r="AS1506" s="8">
        <f t="shared" si="407"/>
        <v>38.315930954595117</v>
      </c>
    </row>
    <row r="1507" spans="1:45">
      <c r="A1507" s="20">
        <v>49.215833330000002</v>
      </c>
      <c r="B1507" s="20">
        <v>426.52462000000003</v>
      </c>
      <c r="C1507" s="20">
        <v>-301.53566319999999</v>
      </c>
      <c r="E1507" s="9">
        <f t="shared" si="396"/>
        <v>-533.47537999999997</v>
      </c>
      <c r="F1507" s="9">
        <f t="shared" si="411"/>
        <v>238.46433680000001</v>
      </c>
      <c r="I1507">
        <v>1</v>
      </c>
      <c r="J1507">
        <f t="shared" si="397"/>
        <v>0.37034390009592122</v>
      </c>
      <c r="K1507">
        <f t="shared" si="398"/>
        <v>2.7212350133343981</v>
      </c>
      <c r="O1507">
        <f t="shared" si="399"/>
        <v>-0.33042699060499242</v>
      </c>
      <c r="P1507">
        <f t="shared" si="400"/>
        <v>0.14770138628597898</v>
      </c>
      <c r="Q1507">
        <f t="shared" si="401"/>
        <v>0.93220293089483919</v>
      </c>
      <c r="R1507">
        <f t="shared" si="402"/>
        <v>1</v>
      </c>
      <c r="AG1507" s="8">
        <f t="shared" si="408"/>
        <v>-0.35133833648519575</v>
      </c>
      <c r="AH1507" s="8">
        <f t="shared" si="409"/>
        <v>0.70152133145853046</v>
      </c>
      <c r="AI1507" s="8">
        <f t="shared" si="410"/>
        <v>0.6200235437662559</v>
      </c>
      <c r="AJ1507" s="8"/>
      <c r="AK1507" s="8"/>
      <c r="AL1507" s="8"/>
      <c r="AN1507" s="8">
        <f t="shared" si="403"/>
        <v>1.0000000000000002</v>
      </c>
      <c r="AO1507" s="8">
        <f t="shared" si="404"/>
        <v>2.0351024822261743</v>
      </c>
      <c r="AP1507" s="8">
        <f t="shared" si="405"/>
        <v>0.90202361595666902</v>
      </c>
      <c r="AQ1507" s="8"/>
      <c r="AR1507" s="8">
        <f t="shared" si="406"/>
        <v>116.60278310815742</v>
      </c>
      <c r="AS1507" s="8">
        <f t="shared" si="407"/>
        <v>38.317853784553449</v>
      </c>
    </row>
    <row r="1508" spans="1:45">
      <c r="A1508" s="20">
        <v>49.249200000000002</v>
      </c>
      <c r="B1508" s="20">
        <v>426.24399119999998</v>
      </c>
      <c r="C1508" s="20">
        <v>-301.2550344</v>
      </c>
      <c r="E1508" s="9">
        <f t="shared" si="396"/>
        <v>-533.75600880000002</v>
      </c>
      <c r="F1508" s="9">
        <f t="shared" si="411"/>
        <v>238.7449656</v>
      </c>
      <c r="I1508">
        <v>1</v>
      </c>
      <c r="J1508">
        <f t="shared" si="397"/>
        <v>0.3705600837862334</v>
      </c>
      <c r="K1508">
        <f t="shared" si="398"/>
        <v>2.7209927131866452</v>
      </c>
      <c r="O1508">
        <f t="shared" si="399"/>
        <v>-0.33057514792158887</v>
      </c>
      <c r="P1508">
        <f t="shared" si="400"/>
        <v>0.1478637261549357</v>
      </c>
      <c r="Q1508">
        <f t="shared" si="401"/>
        <v>0.93212466444365571</v>
      </c>
      <c r="R1508">
        <f t="shared" si="402"/>
        <v>1</v>
      </c>
      <c r="AG1508" s="8">
        <f t="shared" si="408"/>
        <v>-0.35111990652187663</v>
      </c>
      <c r="AH1508" s="8">
        <f t="shared" si="409"/>
        <v>0.70158417168378584</v>
      </c>
      <c r="AI1508" s="8">
        <f t="shared" si="410"/>
        <v>0.62007617377774227</v>
      </c>
      <c r="AJ1508" s="8"/>
      <c r="AK1508" s="8"/>
      <c r="AL1508" s="8"/>
      <c r="AN1508" s="8">
        <f t="shared" si="403"/>
        <v>1</v>
      </c>
      <c r="AO1508" s="8">
        <f t="shared" si="404"/>
        <v>2.0348176721696891</v>
      </c>
      <c r="AP1508" s="8">
        <f t="shared" si="405"/>
        <v>0.90195653396172137</v>
      </c>
      <c r="AQ1508" s="8"/>
      <c r="AR1508" s="8">
        <f t="shared" si="406"/>
        <v>116.58646469395794</v>
      </c>
      <c r="AS1508" s="8">
        <f t="shared" si="407"/>
        <v>38.321697299745267</v>
      </c>
    </row>
    <row r="1509" spans="1:45">
      <c r="A1509" s="20">
        <v>49.282566670000001</v>
      </c>
      <c r="B1509" s="20">
        <v>425.4021047</v>
      </c>
      <c r="C1509" s="20">
        <v>-300.83409119999999</v>
      </c>
      <c r="E1509" s="9">
        <f t="shared" si="396"/>
        <v>-534.5978953</v>
      </c>
      <c r="F1509" s="9">
        <f t="shared" si="411"/>
        <v>239.16590880000001</v>
      </c>
      <c r="I1509">
        <v>1</v>
      </c>
      <c r="J1509">
        <f t="shared" si="397"/>
        <v>0.37110828552328462</v>
      </c>
      <c r="K1509">
        <f t="shared" si="398"/>
        <v>2.720923549280815</v>
      </c>
      <c r="O1509">
        <f t="shared" si="399"/>
        <v>-0.33103131255520607</v>
      </c>
      <c r="P1509">
        <f t="shared" si="400"/>
        <v>0.14809524205869565</v>
      </c>
      <c r="Q1509">
        <f t="shared" si="401"/>
        <v>0.93192599995254655</v>
      </c>
      <c r="R1509">
        <f t="shared" si="402"/>
        <v>1</v>
      </c>
      <c r="AG1509" s="8">
        <f t="shared" si="408"/>
        <v>-0.35063699298087919</v>
      </c>
      <c r="AH1509" s="8">
        <f t="shared" si="409"/>
        <v>0.70184400982238859</v>
      </c>
      <c r="AI1509" s="8">
        <f t="shared" si="410"/>
        <v>0.62005538867891308</v>
      </c>
      <c r="AJ1509" s="8"/>
      <c r="AK1509" s="8"/>
      <c r="AL1509" s="8"/>
      <c r="AN1509" s="8">
        <f t="shared" si="403"/>
        <v>1</v>
      </c>
      <c r="AO1509" s="8">
        <f t="shared" si="404"/>
        <v>2.0341190109177765</v>
      </c>
      <c r="AP1509" s="8">
        <f t="shared" si="405"/>
        <v>0.90198302698763866</v>
      </c>
      <c r="AQ1509" s="8"/>
      <c r="AR1509" s="8">
        <f t="shared" si="406"/>
        <v>116.54643435291402</v>
      </c>
      <c r="AS1509" s="8">
        <f t="shared" si="407"/>
        <v>38.320179361173672</v>
      </c>
    </row>
    <row r="1510" spans="1:45">
      <c r="A1510" s="20">
        <v>49.31593333</v>
      </c>
      <c r="B1510" s="20">
        <v>424.41990390000001</v>
      </c>
      <c r="C1510" s="20">
        <v>-300.83409119999999</v>
      </c>
      <c r="E1510" s="9">
        <f t="shared" si="396"/>
        <v>-535.58009609999999</v>
      </c>
      <c r="F1510" s="9">
        <f t="shared" si="411"/>
        <v>239.16590880000001</v>
      </c>
      <c r="I1510">
        <v>1</v>
      </c>
      <c r="J1510">
        <f t="shared" si="397"/>
        <v>0.37163081345114385</v>
      </c>
      <c r="K1510">
        <f t="shared" si="398"/>
        <v>2.7216073775549492</v>
      </c>
      <c r="O1510">
        <f t="shared" si="399"/>
        <v>-0.33157709994171802</v>
      </c>
      <c r="P1510">
        <f t="shared" si="400"/>
        <v>0.14806737409080767</v>
      </c>
      <c r="Q1510">
        <f t="shared" si="401"/>
        <v>0.93173637877035409</v>
      </c>
      <c r="R1510">
        <f t="shared" si="402"/>
        <v>1</v>
      </c>
      <c r="AG1510" s="8">
        <f t="shared" si="408"/>
        <v>-0.35027464793650442</v>
      </c>
      <c r="AH1510" s="8">
        <f t="shared" si="409"/>
        <v>0.70223029628367351</v>
      </c>
      <c r="AI1510" s="8">
        <f t="shared" si="410"/>
        <v>0.61982278273253399</v>
      </c>
      <c r="AJ1510" s="8"/>
      <c r="AK1510" s="8"/>
      <c r="AL1510" s="8"/>
      <c r="AN1510" s="8">
        <f t="shared" si="403"/>
        <v>1</v>
      </c>
      <c r="AO1510" s="8">
        <f t="shared" si="404"/>
        <v>2.0334859565760279</v>
      </c>
      <c r="AP1510" s="8">
        <f t="shared" si="405"/>
        <v>0.90227947249365614</v>
      </c>
      <c r="AQ1510" s="8"/>
      <c r="AR1510" s="8">
        <f t="shared" si="406"/>
        <v>116.51016301092939</v>
      </c>
      <c r="AS1510" s="8">
        <f t="shared" si="407"/>
        <v>38.303194284823249</v>
      </c>
    </row>
    <row r="1511" spans="1:45">
      <c r="A1511" s="20">
        <v>49.349299999999999</v>
      </c>
      <c r="B1511" s="20">
        <v>423.437703</v>
      </c>
      <c r="C1511" s="20">
        <v>-299.99220480000002</v>
      </c>
      <c r="E1511" s="9">
        <f t="shared" si="396"/>
        <v>-536.56229699999994</v>
      </c>
      <c r="F1511" s="9">
        <f t="shared" si="411"/>
        <v>240.00779519999998</v>
      </c>
      <c r="I1511">
        <v>1</v>
      </c>
      <c r="J1511">
        <f t="shared" si="397"/>
        <v>0.37235318498299047</v>
      </c>
      <c r="K1511">
        <f t="shared" si="398"/>
        <v>2.7209809128430749</v>
      </c>
      <c r="O1511">
        <f t="shared" si="399"/>
        <v>-0.33209858484298482</v>
      </c>
      <c r="P1511">
        <f t="shared" si="400"/>
        <v>0.14854985074958577</v>
      </c>
      <c r="Q1511">
        <f t="shared" si="401"/>
        <v>0.93147381701664733</v>
      </c>
      <c r="R1511">
        <f t="shared" si="402"/>
        <v>1</v>
      </c>
      <c r="AG1511" s="8">
        <f t="shared" si="408"/>
        <v>-0.34956795532483392</v>
      </c>
      <c r="AH1511" s="8">
        <f t="shared" si="409"/>
        <v>0.70247295238893948</v>
      </c>
      <c r="AI1511" s="8">
        <f t="shared" si="410"/>
        <v>0.6199467684987009</v>
      </c>
      <c r="AJ1511" s="8"/>
      <c r="AK1511" s="8"/>
      <c r="AL1511" s="8"/>
      <c r="AN1511" s="8">
        <f t="shared" si="403"/>
        <v>1.0000000000000002</v>
      </c>
      <c r="AO1511" s="8">
        <f t="shared" si="404"/>
        <v>2.032541962952263</v>
      </c>
      <c r="AP1511" s="8">
        <f t="shared" si="405"/>
        <v>0.90212146701810225</v>
      </c>
      <c r="AQ1511" s="8"/>
      <c r="AR1511" s="8">
        <f t="shared" si="406"/>
        <v>116.4560761604004</v>
      </c>
      <c r="AS1511" s="8">
        <f t="shared" si="407"/>
        <v>38.312247331712449</v>
      </c>
    </row>
    <row r="1512" spans="1:45">
      <c r="A1512" s="20">
        <v>49.382666669999999</v>
      </c>
      <c r="B1512" s="20">
        <v>423.15707420000001</v>
      </c>
      <c r="C1512" s="20">
        <v>-301.2550344</v>
      </c>
      <c r="E1512" s="9">
        <f t="shared" si="396"/>
        <v>-536.84292579999999</v>
      </c>
      <c r="F1512" s="9">
        <f t="shared" si="411"/>
        <v>238.7449656</v>
      </c>
      <c r="I1512">
        <v>1</v>
      </c>
      <c r="J1512">
        <f t="shared" si="397"/>
        <v>0.37220288678624464</v>
      </c>
      <c r="K1512">
        <f t="shared" si="398"/>
        <v>2.7231379650841139</v>
      </c>
      <c r="O1512">
        <f t="shared" si="399"/>
        <v>-0.33229031857178248</v>
      </c>
      <c r="P1512">
        <f t="shared" si="400"/>
        <v>0.14777626166613303</v>
      </c>
      <c r="Q1512">
        <f t="shared" si="401"/>
        <v>0.93152848623724116</v>
      </c>
      <c r="R1512">
        <f t="shared" si="402"/>
        <v>1</v>
      </c>
      <c r="AG1512" s="8">
        <f t="shared" si="408"/>
        <v>-0.3499809662498663</v>
      </c>
      <c r="AH1512" s="8">
        <f t="shared" si="409"/>
        <v>0.70279794785120098</v>
      </c>
      <c r="AI1512" s="8">
        <f t="shared" si="410"/>
        <v>0.61934511200053133</v>
      </c>
      <c r="AJ1512" s="8"/>
      <c r="AK1512" s="8"/>
      <c r="AL1512" s="8"/>
      <c r="AN1512" s="8">
        <f t="shared" si="403"/>
        <v>1.0000000000000002</v>
      </c>
      <c r="AO1512" s="8">
        <f t="shared" si="404"/>
        <v>2.0328285050242219</v>
      </c>
      <c r="AP1512" s="8">
        <f t="shared" si="405"/>
        <v>0.90288802422437531</v>
      </c>
      <c r="AQ1512" s="8"/>
      <c r="AR1512" s="8">
        <f t="shared" si="406"/>
        <v>116.47249381177657</v>
      </c>
      <c r="AS1512" s="8">
        <f t="shared" si="407"/>
        <v>38.268326839037663</v>
      </c>
    </row>
    <row r="1513" spans="1:45">
      <c r="A1513" s="20">
        <v>49.416033329999998</v>
      </c>
      <c r="B1513" s="20">
        <v>422.03455889999998</v>
      </c>
      <c r="C1513" s="20">
        <v>-301.2550344</v>
      </c>
      <c r="E1513" s="9">
        <f t="shared" si="396"/>
        <v>-537.96544110000002</v>
      </c>
      <c r="F1513" s="9">
        <f t="shared" si="411"/>
        <v>238.7449656</v>
      </c>
      <c r="I1513">
        <v>1</v>
      </c>
      <c r="J1513">
        <f t="shared" si="397"/>
        <v>0.37280015540337463</v>
      </c>
      <c r="K1513">
        <f t="shared" si="398"/>
        <v>2.7239129598659453</v>
      </c>
      <c r="O1513">
        <f t="shared" si="399"/>
        <v>-0.33291322810244744</v>
      </c>
      <c r="P1513">
        <f t="shared" si="400"/>
        <v>0.14774435515520287</v>
      </c>
      <c r="Q1513">
        <f t="shared" si="401"/>
        <v>0.93131111239702336</v>
      </c>
      <c r="R1513">
        <f t="shared" si="402"/>
        <v>1</v>
      </c>
      <c r="AG1513" s="8">
        <f t="shared" si="408"/>
        <v>-0.34956686761673461</v>
      </c>
      <c r="AH1513" s="8">
        <f t="shared" si="409"/>
        <v>0.70323838159190055</v>
      </c>
      <c r="AI1513" s="8">
        <f t="shared" si="410"/>
        <v>0.61907898019608854</v>
      </c>
      <c r="AJ1513" s="8"/>
      <c r="AK1513" s="8"/>
      <c r="AL1513" s="8"/>
      <c r="AN1513" s="8">
        <f t="shared" si="403"/>
        <v>1.0000000000000002</v>
      </c>
      <c r="AO1513" s="8">
        <f t="shared" si="404"/>
        <v>2.0321065002041001</v>
      </c>
      <c r="AP1513" s="8">
        <f t="shared" si="405"/>
        <v>0.90322694900290024</v>
      </c>
      <c r="AQ1513" s="8"/>
      <c r="AR1513" s="8">
        <f t="shared" si="406"/>
        <v>116.43112598279549</v>
      </c>
      <c r="AS1513" s="8">
        <f t="shared" si="407"/>
        <v>38.248907879655775</v>
      </c>
    </row>
    <row r="1514" spans="1:45">
      <c r="A1514" s="20">
        <v>49.449399999999997</v>
      </c>
      <c r="B1514" s="20">
        <v>423.15707420000001</v>
      </c>
      <c r="C1514" s="20">
        <v>-300.41314799999998</v>
      </c>
      <c r="E1514" s="9">
        <f t="shared" si="396"/>
        <v>-536.84292579999999</v>
      </c>
      <c r="F1514" s="9">
        <f t="shared" si="411"/>
        <v>239.58685200000002</v>
      </c>
      <c r="I1514">
        <v>1</v>
      </c>
      <c r="J1514">
        <f t="shared" si="397"/>
        <v>0.37240238843801715</v>
      </c>
      <c r="K1514">
        <f t="shared" si="398"/>
        <v>2.7218294535905381</v>
      </c>
      <c r="O1514">
        <f t="shared" si="399"/>
        <v>-0.33226636833810963</v>
      </c>
      <c r="P1514">
        <f t="shared" si="400"/>
        <v>0.1482866763997511</v>
      </c>
      <c r="Q1514">
        <f t="shared" si="401"/>
        <v>0.93145591526046967</v>
      </c>
      <c r="R1514">
        <f t="shared" si="402"/>
        <v>1</v>
      </c>
      <c r="AG1514" s="8">
        <f t="shared" si="408"/>
        <v>-0.34963664647607734</v>
      </c>
      <c r="AH1514" s="8">
        <f t="shared" si="409"/>
        <v>0.70265478469551679</v>
      </c>
      <c r="AI1514" s="8">
        <f t="shared" si="410"/>
        <v>0.619701919462462</v>
      </c>
      <c r="AJ1514" s="8"/>
      <c r="AK1514" s="8"/>
      <c r="AL1514" s="8"/>
      <c r="AN1514" s="8">
        <f t="shared" si="403"/>
        <v>1.0000000000000002</v>
      </c>
      <c r="AO1514" s="8">
        <f t="shared" si="404"/>
        <v>2.0325171032079092</v>
      </c>
      <c r="AP1514" s="8">
        <f t="shared" si="405"/>
        <v>0.90243347973210575</v>
      </c>
      <c r="AQ1514" s="8"/>
      <c r="AR1514" s="8">
        <f t="shared" si="406"/>
        <v>116.45465180196915</v>
      </c>
      <c r="AS1514" s="8">
        <f t="shared" si="407"/>
        <v>38.294370320045623</v>
      </c>
    </row>
    <row r="1515" spans="1:45">
      <c r="A1515" s="20">
        <v>49.482766669999997</v>
      </c>
      <c r="B1515" s="20">
        <v>419.78952839999999</v>
      </c>
      <c r="C1515" s="20">
        <v>-301.2550344</v>
      </c>
      <c r="E1515" s="9">
        <f t="shared" si="396"/>
        <v>-540.21047160000001</v>
      </c>
      <c r="F1515" s="9">
        <f t="shared" si="411"/>
        <v>238.7449656</v>
      </c>
      <c r="I1515">
        <v>1</v>
      </c>
      <c r="J1515">
        <f t="shared" si="397"/>
        <v>0.37399450038646798</v>
      </c>
      <c r="K1515">
        <f t="shared" si="398"/>
        <v>2.7254548705239223</v>
      </c>
      <c r="O1515">
        <f t="shared" si="399"/>
        <v>-0.33415778215509329</v>
      </c>
      <c r="P1515">
        <f t="shared" si="400"/>
        <v>0.14768038088802951</v>
      </c>
      <c r="Q1515">
        <f t="shared" si="401"/>
        <v>0.93087543835142394</v>
      </c>
      <c r="R1515">
        <f t="shared" si="402"/>
        <v>1</v>
      </c>
      <c r="AG1515" s="8">
        <f t="shared" si="408"/>
        <v>-0.34873877241843326</v>
      </c>
      <c r="AH1515" s="8">
        <f t="shared" si="409"/>
        <v>0.70411774559206042</v>
      </c>
      <c r="AI1515" s="8">
        <f t="shared" si="410"/>
        <v>0.618546254498755</v>
      </c>
      <c r="AJ1515" s="8"/>
      <c r="AK1515" s="8"/>
      <c r="AL1515" s="8"/>
      <c r="AN1515" s="8">
        <f t="shared" si="403"/>
        <v>0.99999999999999978</v>
      </c>
      <c r="AO1515" s="8">
        <f t="shared" si="404"/>
        <v>2.0306646151316841</v>
      </c>
      <c r="AP1515" s="8">
        <f t="shared" si="405"/>
        <v>0.90390511517306127</v>
      </c>
      <c r="AQ1515" s="8"/>
      <c r="AR1515" s="8">
        <f t="shared" si="406"/>
        <v>116.34851205360314</v>
      </c>
      <c r="AS1515" s="8">
        <f t="shared" si="407"/>
        <v>38.210051820296997</v>
      </c>
    </row>
    <row r="1516" spans="1:45">
      <c r="A1516" s="20">
        <v>49.516133330000002</v>
      </c>
      <c r="B1516" s="20">
        <v>420.07015719999998</v>
      </c>
      <c r="C1516" s="20">
        <v>-300.27283360000001</v>
      </c>
      <c r="E1516" s="9">
        <f t="shared" si="396"/>
        <v>-539.92984279999996</v>
      </c>
      <c r="F1516" s="9">
        <f t="shared" si="411"/>
        <v>239.72716639999999</v>
      </c>
      <c r="I1516">
        <v>1</v>
      </c>
      <c r="J1516">
        <f t="shared" si="397"/>
        <v>0.37407662897521843</v>
      </c>
      <c r="K1516">
        <f t="shared" si="398"/>
        <v>2.7237421242619022</v>
      </c>
      <c r="O1516">
        <f t="shared" si="399"/>
        <v>-0.33397422585890535</v>
      </c>
      <c r="P1516">
        <f t="shared" si="400"/>
        <v>0.14828351476294616</v>
      </c>
      <c r="Q1516">
        <f t="shared" si="401"/>
        <v>0.9308454306228785</v>
      </c>
      <c r="R1516">
        <f t="shared" si="402"/>
        <v>1</v>
      </c>
      <c r="AG1516" s="8">
        <f t="shared" si="408"/>
        <v>-0.34844093677825999</v>
      </c>
      <c r="AH1516" s="8">
        <f t="shared" si="409"/>
        <v>0.70384091667358106</v>
      </c>
      <c r="AI1516" s="8">
        <f t="shared" si="410"/>
        <v>0.61902897960691783</v>
      </c>
      <c r="AJ1516" s="8"/>
      <c r="AK1516" s="8"/>
      <c r="AL1516" s="8"/>
      <c r="AN1516" s="8">
        <f t="shared" si="403"/>
        <v>1</v>
      </c>
      <c r="AO1516" s="8">
        <f t="shared" si="404"/>
        <v>2.0304812249822692</v>
      </c>
      <c r="AP1516" s="8">
        <f t="shared" si="405"/>
        <v>0.90329061576116831</v>
      </c>
      <c r="AQ1516" s="8"/>
      <c r="AR1516" s="8">
        <f t="shared" si="406"/>
        <v>116.33800457203741</v>
      </c>
      <c r="AS1516" s="8">
        <f t="shared" si="407"/>
        <v>38.245260043111735</v>
      </c>
    </row>
    <row r="1517" spans="1:45">
      <c r="A1517" s="20">
        <v>49.549500000000002</v>
      </c>
      <c r="B1517" s="20">
        <v>419.08795629999997</v>
      </c>
      <c r="C1517" s="20">
        <v>-300.83409119999999</v>
      </c>
      <c r="E1517" s="9">
        <f t="shared" si="396"/>
        <v>-540.91204370000003</v>
      </c>
      <c r="F1517" s="9">
        <f t="shared" si="411"/>
        <v>239.16590880000001</v>
      </c>
      <c r="I1517">
        <v>1</v>
      </c>
      <c r="J1517">
        <f t="shared" si="397"/>
        <v>0.37446657179328213</v>
      </c>
      <c r="K1517">
        <f t="shared" si="398"/>
        <v>2.7252833844459858</v>
      </c>
      <c r="O1517">
        <f t="shared" si="399"/>
        <v>-0.33453432096981639</v>
      </c>
      <c r="P1517">
        <f t="shared" si="400"/>
        <v>0.14791536966389254</v>
      </c>
      <c r="Q1517">
        <f t="shared" si="401"/>
        <v>0.93070286961546322</v>
      </c>
      <c r="R1517">
        <f t="shared" si="402"/>
        <v>1</v>
      </c>
      <c r="AG1517" s="8">
        <f t="shared" si="408"/>
        <v>-0.34830807684439297</v>
      </c>
      <c r="AH1517" s="8">
        <f t="shared" si="409"/>
        <v>0.70432058699168576</v>
      </c>
      <c r="AI1517" s="8">
        <f t="shared" si="410"/>
        <v>0.61855799594269889</v>
      </c>
      <c r="AJ1517" s="8"/>
      <c r="AK1517" s="8"/>
      <c r="AL1517" s="8"/>
      <c r="AN1517" s="8">
        <f t="shared" si="403"/>
        <v>1.0000000000000002</v>
      </c>
      <c r="AO1517" s="8">
        <f t="shared" si="404"/>
        <v>2.0300588439006022</v>
      </c>
      <c r="AP1517" s="8">
        <f t="shared" si="405"/>
        <v>0.90389017207783406</v>
      </c>
      <c r="AQ1517" s="8"/>
      <c r="AR1517" s="8">
        <f t="shared" si="406"/>
        <v>116.31380391871171</v>
      </c>
      <c r="AS1517" s="8">
        <f t="shared" si="407"/>
        <v>38.210907996586378</v>
      </c>
    </row>
    <row r="1518" spans="1:45">
      <c r="A1518" s="20">
        <v>49.582866670000001</v>
      </c>
      <c r="B1518" s="20">
        <v>418.94764190000001</v>
      </c>
      <c r="C1518" s="20">
        <v>-299.99220480000002</v>
      </c>
      <c r="E1518" s="9">
        <f t="shared" si="396"/>
        <v>-541.05235809999999</v>
      </c>
      <c r="F1518" s="9">
        <f t="shared" si="411"/>
        <v>240.00779519999998</v>
      </c>
      <c r="I1518">
        <v>1</v>
      </c>
      <c r="J1518">
        <f t="shared" si="397"/>
        <v>0.37473932325011872</v>
      </c>
      <c r="K1518">
        <f t="shared" si="398"/>
        <v>2.7240783803100048</v>
      </c>
      <c r="O1518">
        <f t="shared" si="399"/>
        <v>-0.33458787178704463</v>
      </c>
      <c r="P1518">
        <f t="shared" si="400"/>
        <v>0.14842130563901321</v>
      </c>
      <c r="Q1518">
        <f t="shared" si="401"/>
        <v>0.93060306902858791</v>
      </c>
      <c r="R1518">
        <f t="shared" si="402"/>
        <v>1</v>
      </c>
      <c r="AG1518" s="8">
        <f t="shared" si="408"/>
        <v>-0.34791242605003486</v>
      </c>
      <c r="AH1518" s="8">
        <f t="shared" si="409"/>
        <v>0.70423222212035319</v>
      </c>
      <c r="AI1518" s="8">
        <f t="shared" si="410"/>
        <v>0.61888118498416844</v>
      </c>
      <c r="AJ1518" s="8"/>
      <c r="AK1518" s="8"/>
      <c r="AL1518" s="8"/>
      <c r="AN1518" s="8">
        <f t="shared" si="403"/>
        <v>0.99999999999999989</v>
      </c>
      <c r="AO1518" s="8">
        <f t="shared" si="404"/>
        <v>2.0296572035457792</v>
      </c>
      <c r="AP1518" s="8">
        <f t="shared" si="405"/>
        <v>0.90347878695864081</v>
      </c>
      <c r="AQ1518" s="8"/>
      <c r="AR1518" s="8">
        <f t="shared" si="406"/>
        <v>116.29079162149822</v>
      </c>
      <c r="AS1518" s="8">
        <f t="shared" si="407"/>
        <v>38.23447862767064</v>
      </c>
    </row>
    <row r="1519" spans="1:45">
      <c r="A1519" s="20">
        <v>49.61623333</v>
      </c>
      <c r="B1519" s="20">
        <v>418.80732749999999</v>
      </c>
      <c r="C1519" s="20">
        <v>-299.99220480000002</v>
      </c>
      <c r="E1519" s="9">
        <f t="shared" si="396"/>
        <v>-541.19267250000007</v>
      </c>
      <c r="F1519" s="9">
        <f t="shared" si="411"/>
        <v>240.00779519999998</v>
      </c>
      <c r="I1519">
        <v>1</v>
      </c>
      <c r="J1519">
        <f t="shared" si="397"/>
        <v>0.37481387357772616</v>
      </c>
      <c r="K1519">
        <f t="shared" si="398"/>
        <v>2.7241744844361069</v>
      </c>
      <c r="O1519">
        <f t="shared" si="399"/>
        <v>-0.33466555319397284</v>
      </c>
      <c r="P1519">
        <f t="shared" si="400"/>
        <v>0.14841727472109059</v>
      </c>
      <c r="Q1519">
        <f t="shared" si="401"/>
        <v>0.93057577878952791</v>
      </c>
      <c r="R1519">
        <f t="shared" si="402"/>
        <v>1</v>
      </c>
      <c r="AG1519" s="8">
        <f t="shared" si="408"/>
        <v>-0.34786069975092693</v>
      </c>
      <c r="AH1519" s="8">
        <f t="shared" si="409"/>
        <v>0.7042870701297117</v>
      </c>
      <c r="AI1519" s="8">
        <f t="shared" si="410"/>
        <v>0.61884784593379805</v>
      </c>
      <c r="AJ1519" s="8"/>
      <c r="AK1519" s="8"/>
      <c r="AL1519" s="8"/>
      <c r="AN1519" s="8">
        <f t="shared" si="403"/>
        <v>0.99999999999999978</v>
      </c>
      <c r="AO1519" s="8">
        <f t="shared" si="404"/>
        <v>2.0295672375378597</v>
      </c>
      <c r="AP1519" s="8">
        <f t="shared" si="405"/>
        <v>0.90352123017439656</v>
      </c>
      <c r="AQ1519" s="8"/>
      <c r="AR1519" s="8">
        <f t="shared" si="406"/>
        <v>116.28563694894478</v>
      </c>
      <c r="AS1519" s="8">
        <f t="shared" si="407"/>
        <v>38.232046810538868</v>
      </c>
    </row>
    <row r="1520" spans="1:45">
      <c r="A1520" s="20">
        <v>49.6496</v>
      </c>
      <c r="B1520" s="20">
        <v>418.24606990000001</v>
      </c>
      <c r="C1520" s="20">
        <v>-300.41314799999998</v>
      </c>
      <c r="E1520" s="9">
        <f t="shared" si="396"/>
        <v>-541.75393009999993</v>
      </c>
      <c r="F1520" s="9">
        <f t="shared" si="411"/>
        <v>239.58685200000002</v>
      </c>
      <c r="I1520">
        <v>1</v>
      </c>
      <c r="J1520">
        <f t="shared" si="397"/>
        <v>0.37501305781735933</v>
      </c>
      <c r="K1520">
        <f t="shared" si="398"/>
        <v>2.7252081930527643</v>
      </c>
      <c r="O1520">
        <f t="shared" si="399"/>
        <v>-0.33498830663420132</v>
      </c>
      <c r="P1520">
        <f t="shared" si="400"/>
        <v>0.14814621433107919</v>
      </c>
      <c r="Q1520">
        <f t="shared" si="401"/>
        <v>0.93050283911319709</v>
      </c>
      <c r="R1520">
        <f t="shared" si="402"/>
        <v>1</v>
      </c>
      <c r="AG1520" s="8">
        <f t="shared" si="408"/>
        <v>-0.34782572450131022</v>
      </c>
      <c r="AH1520" s="8">
        <f t="shared" si="409"/>
        <v>0.70457801211538273</v>
      </c>
      <c r="AI1520" s="8">
        <f t="shared" si="410"/>
        <v>0.61853624810408203</v>
      </c>
      <c r="AJ1520" s="8"/>
      <c r="AK1520" s="8"/>
      <c r="AL1520" s="8"/>
      <c r="AN1520" s="8">
        <f t="shared" si="403"/>
        <v>1.0000000000000004</v>
      </c>
      <c r="AO1520" s="8">
        <f t="shared" si="404"/>
        <v>2.0293633558101387</v>
      </c>
      <c r="AP1520" s="8">
        <f t="shared" si="405"/>
        <v>0.90391784996788282</v>
      </c>
      <c r="AQ1520" s="8"/>
      <c r="AR1520" s="8">
        <f t="shared" si="406"/>
        <v>116.27395538642654</v>
      </c>
      <c r="AS1520" s="8">
        <f t="shared" si="407"/>
        <v>38.209322170300759</v>
      </c>
    </row>
    <row r="1521" spans="1:45">
      <c r="A1521" s="20">
        <v>49.682966669999999</v>
      </c>
      <c r="B1521" s="20">
        <v>417.54449790000001</v>
      </c>
      <c r="C1521" s="20">
        <v>-299.85189029999998</v>
      </c>
      <c r="E1521" s="9">
        <f t="shared" si="396"/>
        <v>-542.45550209999999</v>
      </c>
      <c r="F1521" s="9">
        <f t="shared" si="411"/>
        <v>240.14810970000002</v>
      </c>
      <c r="I1521">
        <v>1</v>
      </c>
      <c r="J1521">
        <f t="shared" si="397"/>
        <v>0.3755177674238146</v>
      </c>
      <c r="K1521">
        <f t="shared" si="398"/>
        <v>2.7248212527612172</v>
      </c>
      <c r="O1521">
        <f t="shared" si="399"/>
        <v>-0.3353603485333157</v>
      </c>
      <c r="P1521">
        <f t="shared" si="400"/>
        <v>0.14846591740120715</v>
      </c>
      <c r="Q1521">
        <f t="shared" si="401"/>
        <v>0.93031785321030525</v>
      </c>
      <c r="R1521">
        <f t="shared" si="402"/>
        <v>1</v>
      </c>
      <c r="AG1521" s="8">
        <f t="shared" si="408"/>
        <v>-0.34733788968920615</v>
      </c>
      <c r="AH1521" s="8">
        <f t="shared" si="409"/>
        <v>0.70475646539131431</v>
      </c>
      <c r="AI1521" s="8">
        <f t="shared" si="410"/>
        <v>0.61860707632178791</v>
      </c>
      <c r="AJ1521" s="8"/>
      <c r="AK1521" s="8"/>
      <c r="AL1521" s="8"/>
      <c r="AN1521" s="8">
        <f t="shared" si="403"/>
        <v>1.0000000000000002</v>
      </c>
      <c r="AO1521" s="8">
        <f t="shared" si="404"/>
        <v>2.0287060693439747</v>
      </c>
      <c r="AP1521" s="8">
        <f t="shared" si="405"/>
        <v>0.90382770658129574</v>
      </c>
      <c r="AQ1521" s="8"/>
      <c r="AR1521" s="8">
        <f t="shared" si="406"/>
        <v>116.23629564598427</v>
      </c>
      <c r="AS1521" s="8">
        <f t="shared" si="407"/>
        <v>38.214487005903216</v>
      </c>
    </row>
    <row r="1522" spans="1:45">
      <c r="A1522" s="20">
        <v>49.716333329999998</v>
      </c>
      <c r="B1522" s="20">
        <v>417.263869</v>
      </c>
      <c r="C1522" s="20">
        <v>-299.01000390000002</v>
      </c>
      <c r="E1522" s="9">
        <f t="shared" si="396"/>
        <v>-542.736131</v>
      </c>
      <c r="F1522" s="9">
        <f t="shared" si="411"/>
        <v>240.98999609999998</v>
      </c>
      <c r="I1522">
        <v>1</v>
      </c>
      <c r="J1522">
        <f t="shared" si="397"/>
        <v>0.37586496779111722</v>
      </c>
      <c r="K1522">
        <f t="shared" si="398"/>
        <v>2.7237161960105585</v>
      </c>
      <c r="O1522">
        <f t="shared" si="399"/>
        <v>-0.33549127320112709</v>
      </c>
      <c r="P1522">
        <f t="shared" si="400"/>
        <v>0.14896749267706974</v>
      </c>
      <c r="Q1522">
        <f t="shared" si="401"/>
        <v>0.93019045992280203</v>
      </c>
      <c r="R1522">
        <f t="shared" si="402"/>
        <v>1</v>
      </c>
      <c r="AG1522" s="8">
        <f t="shared" si="408"/>
        <v>-0.34689066396364499</v>
      </c>
      <c r="AH1522" s="8">
        <f t="shared" si="409"/>
        <v>0.70472259655268177</v>
      </c>
      <c r="AI1522" s="8">
        <f t="shared" si="410"/>
        <v>0.61889654156644602</v>
      </c>
      <c r="AJ1522" s="8"/>
      <c r="AK1522" s="8"/>
      <c r="AL1522" s="8"/>
      <c r="AN1522" s="8">
        <f t="shared" si="403"/>
        <v>1</v>
      </c>
      <c r="AO1522" s="8">
        <f t="shared" si="404"/>
        <v>2.0282144170799414</v>
      </c>
      <c r="AP1522" s="8">
        <f t="shared" si="405"/>
        <v>0.90345923635219927</v>
      </c>
      <c r="AQ1522" s="8"/>
      <c r="AR1522" s="8">
        <f t="shared" si="406"/>
        <v>116.20812604626711</v>
      </c>
      <c r="AS1522" s="8">
        <f t="shared" si="407"/>
        <v>38.235598794906664</v>
      </c>
    </row>
    <row r="1523" spans="1:45">
      <c r="A1523" s="20">
        <v>49.749699999999997</v>
      </c>
      <c r="B1523" s="20">
        <v>416.70261140000002</v>
      </c>
      <c r="C1523" s="20">
        <v>-299.99220480000002</v>
      </c>
      <c r="E1523" s="9">
        <f t="shared" si="396"/>
        <v>-543.29738859999998</v>
      </c>
      <c r="F1523" s="9">
        <f t="shared" si="411"/>
        <v>240.00779519999998</v>
      </c>
      <c r="I1523">
        <v>1</v>
      </c>
      <c r="J1523">
        <f t="shared" si="397"/>
        <v>0.37593200263813886</v>
      </c>
      <c r="K1523">
        <f t="shared" si="398"/>
        <v>2.7256110643875804</v>
      </c>
      <c r="O1523">
        <f t="shared" si="399"/>
        <v>-0.33582998130677677</v>
      </c>
      <c r="P1523">
        <f t="shared" si="400"/>
        <v>0.14835671046237886</v>
      </c>
      <c r="Q1523">
        <f t="shared" si="401"/>
        <v>0.93016585086546355</v>
      </c>
      <c r="R1523">
        <f t="shared" si="402"/>
        <v>1</v>
      </c>
      <c r="AG1523" s="8">
        <f t="shared" si="408"/>
        <v>-0.34708487296819013</v>
      </c>
      <c r="AH1523" s="8">
        <f t="shared" si="409"/>
        <v>0.70510885070437523</v>
      </c>
      <c r="AI1523" s="8">
        <f t="shared" si="410"/>
        <v>0.618347474818981</v>
      </c>
      <c r="AJ1523" s="8"/>
      <c r="AK1523" s="8"/>
      <c r="AL1523" s="8"/>
      <c r="AN1523" s="8">
        <f t="shared" si="403"/>
        <v>1</v>
      </c>
      <c r="AO1523" s="8">
        <f t="shared" si="404"/>
        <v>2.0282190752427098</v>
      </c>
      <c r="AP1523" s="8">
        <f t="shared" si="405"/>
        <v>0.90415807132955672</v>
      </c>
      <c r="AQ1523" s="8"/>
      <c r="AR1523" s="8">
        <f t="shared" si="406"/>
        <v>116.20839293933403</v>
      </c>
      <c r="AS1523" s="8">
        <f t="shared" si="407"/>
        <v>38.195558500127959</v>
      </c>
    </row>
    <row r="1524" spans="1:45">
      <c r="A1524" s="20">
        <v>49.783066669999997</v>
      </c>
      <c r="B1524" s="20">
        <v>416.42198259999998</v>
      </c>
      <c r="C1524" s="20">
        <v>-299.85189029999998</v>
      </c>
      <c r="E1524" s="9">
        <f t="shared" si="396"/>
        <v>-543.57801740000002</v>
      </c>
      <c r="F1524" s="9">
        <f t="shared" si="411"/>
        <v>240.14810970000002</v>
      </c>
      <c r="I1524">
        <v>1</v>
      </c>
      <c r="J1524">
        <f t="shared" si="397"/>
        <v>0.37611398427356285</v>
      </c>
      <c r="K1524">
        <f t="shared" si="398"/>
        <v>2.7255859075619413</v>
      </c>
      <c r="O1524">
        <f t="shared" si="399"/>
        <v>-0.33598107924576748</v>
      </c>
      <c r="P1524">
        <f t="shared" si="400"/>
        <v>0.14843356150008466</v>
      </c>
      <c r="Q1524">
        <f t="shared" si="401"/>
        <v>0.93009902279770718</v>
      </c>
      <c r="R1524">
        <f t="shared" si="402"/>
        <v>1</v>
      </c>
      <c r="AG1524" s="8">
        <f t="shared" si="408"/>
        <v>-0.34692415982085761</v>
      </c>
      <c r="AH1524" s="8">
        <f t="shared" si="409"/>
        <v>0.7051944050496739</v>
      </c>
      <c r="AI1524" s="8">
        <f t="shared" si="410"/>
        <v>0.61834009931366118</v>
      </c>
      <c r="AJ1524" s="8"/>
      <c r="AK1524" s="8"/>
      <c r="AL1524" s="8"/>
      <c r="AN1524" s="8">
        <f t="shared" si="403"/>
        <v>0.99999999999999989</v>
      </c>
      <c r="AO1524" s="8">
        <f t="shared" si="404"/>
        <v>2.0279875287998244</v>
      </c>
      <c r="AP1524" s="8">
        <f t="shared" si="405"/>
        <v>0.90416745602579096</v>
      </c>
      <c r="AQ1524" s="8"/>
      <c r="AR1524" s="8">
        <f t="shared" si="406"/>
        <v>116.19512630539542</v>
      </c>
      <c r="AS1524" s="8">
        <f t="shared" si="407"/>
        <v>38.195020796641721</v>
      </c>
    </row>
    <row r="1525" spans="1:45">
      <c r="A1525" s="20">
        <v>49.816433330000002</v>
      </c>
      <c r="B1525" s="20">
        <v>417.12355459999998</v>
      </c>
      <c r="C1525" s="20">
        <v>-299.01000390000002</v>
      </c>
      <c r="E1525" s="9">
        <f t="shared" si="396"/>
        <v>-542.87644539999997</v>
      </c>
      <c r="F1525" s="9">
        <f t="shared" si="411"/>
        <v>240.98999609999998</v>
      </c>
      <c r="I1525">
        <v>1</v>
      </c>
      <c r="J1525">
        <f t="shared" si="397"/>
        <v>0.37593944247980005</v>
      </c>
      <c r="K1525">
        <f t="shared" si="398"/>
        <v>2.7238120648620749</v>
      </c>
      <c r="O1525">
        <f t="shared" si="399"/>
        <v>-0.33556886943432712</v>
      </c>
      <c r="P1525">
        <f t="shared" si="400"/>
        <v>0.1489634358268658</v>
      </c>
      <c r="Q1525">
        <f t="shared" si="401"/>
        <v>0.93016311937918861</v>
      </c>
      <c r="R1525">
        <f t="shared" si="402"/>
        <v>1</v>
      </c>
      <c r="AG1525" s="8">
        <f t="shared" si="408"/>
        <v>-0.34683896139549153</v>
      </c>
      <c r="AH1525" s="8">
        <f t="shared" si="409"/>
        <v>0.704777351651654</v>
      </c>
      <c r="AI1525" s="8">
        <f t="shared" si="410"/>
        <v>0.6188631669900686</v>
      </c>
      <c r="AJ1525" s="8"/>
      <c r="AK1525" s="8"/>
      <c r="AL1525" s="8"/>
      <c r="AN1525" s="8">
        <f t="shared" si="403"/>
        <v>1</v>
      </c>
      <c r="AO1525" s="8">
        <f t="shared" si="404"/>
        <v>2.0281245773659355</v>
      </c>
      <c r="AP1525" s="8">
        <f t="shared" si="405"/>
        <v>0.9035017254490455</v>
      </c>
      <c r="AQ1525" s="8"/>
      <c r="AR1525" s="8">
        <f t="shared" si="406"/>
        <v>116.20297860982191</v>
      </c>
      <c r="AS1525" s="8">
        <f t="shared" si="407"/>
        <v>38.233164348982051</v>
      </c>
    </row>
    <row r="1526" spans="1:45">
      <c r="A1526" s="20">
        <v>49.849800000000002</v>
      </c>
      <c r="B1526" s="20">
        <v>416.16666670000001</v>
      </c>
      <c r="C1526" s="20">
        <v>-299.08333329999999</v>
      </c>
      <c r="E1526" s="9">
        <f t="shared" si="396"/>
        <v>-543.83333330000005</v>
      </c>
      <c r="F1526" s="9">
        <f t="shared" si="411"/>
        <v>240.91666670000001</v>
      </c>
      <c r="I1526">
        <v>1</v>
      </c>
      <c r="J1526">
        <f t="shared" si="397"/>
        <v>0.37643005854995437</v>
      </c>
      <c r="K1526">
        <f t="shared" si="398"/>
        <v>2.7245774615874323</v>
      </c>
      <c r="O1526">
        <f t="shared" si="399"/>
        <v>-0.33609999125658829</v>
      </c>
      <c r="P1526">
        <f t="shared" si="400"/>
        <v>0.14889136912607936</v>
      </c>
      <c r="Q1526">
        <f t="shared" si="401"/>
        <v>0.92998287945374714</v>
      </c>
      <c r="R1526">
        <f t="shared" si="402"/>
        <v>1</v>
      </c>
      <c r="AG1526" s="8">
        <f t="shared" si="408"/>
        <v>-0.34651632250665454</v>
      </c>
      <c r="AH1526" s="8">
        <f t="shared" si="409"/>
        <v>0.70516304702226695</v>
      </c>
      <c r="AI1526" s="8">
        <f t="shared" si="410"/>
        <v>0.61860449024456354</v>
      </c>
      <c r="AJ1526" s="8"/>
      <c r="AK1526" s="8"/>
      <c r="AL1526" s="8"/>
      <c r="AN1526" s="8">
        <f t="shared" si="403"/>
        <v>1</v>
      </c>
      <c r="AO1526" s="8">
        <f t="shared" si="404"/>
        <v>2.0275393841236116</v>
      </c>
      <c r="AP1526" s="8">
        <f t="shared" si="405"/>
        <v>0.90383099800576805</v>
      </c>
      <c r="AQ1526" s="8"/>
      <c r="AR1526" s="8">
        <f t="shared" si="406"/>
        <v>116.16944950683717</v>
      </c>
      <c r="AS1526" s="8">
        <f t="shared" si="407"/>
        <v>38.214298421172366</v>
      </c>
    </row>
    <row r="1527" spans="1:45">
      <c r="A1527" s="20">
        <v>49.883166670000001</v>
      </c>
      <c r="B1527" s="20">
        <v>414.58333329999999</v>
      </c>
      <c r="C1527" s="20">
        <v>-299</v>
      </c>
      <c r="E1527" s="9">
        <f t="shared" si="396"/>
        <v>-545.41666669999995</v>
      </c>
      <c r="F1527" s="9">
        <f t="shared" si="411"/>
        <v>241</v>
      </c>
      <c r="I1527">
        <v>1</v>
      </c>
      <c r="J1527">
        <f t="shared" si="397"/>
        <v>0.3772898770870543</v>
      </c>
      <c r="K1527">
        <f t="shared" si="398"/>
        <v>2.725525175086728</v>
      </c>
      <c r="O1527">
        <f t="shared" si="399"/>
        <v>-0.33697221983800196</v>
      </c>
      <c r="P1527">
        <f t="shared" si="400"/>
        <v>0.14889589911565215</v>
      </c>
      <c r="Q1527">
        <f t="shared" si="401"/>
        <v>0.92966646399877784</v>
      </c>
      <c r="R1527">
        <f t="shared" si="402"/>
        <v>1</v>
      </c>
      <c r="AG1527" s="8">
        <f t="shared" si="408"/>
        <v>-0.3458989679179244</v>
      </c>
      <c r="AH1527" s="8">
        <f t="shared" si="409"/>
        <v>0.70576556744251007</v>
      </c>
      <c r="AI1527" s="8">
        <f t="shared" si="410"/>
        <v>0.61826278216132879</v>
      </c>
      <c r="AJ1527" s="8"/>
      <c r="AK1527" s="8"/>
      <c r="AL1527" s="8"/>
      <c r="AN1527" s="8">
        <f t="shared" si="403"/>
        <v>1.0000000000000002</v>
      </c>
      <c r="AO1527" s="8">
        <f t="shared" si="404"/>
        <v>2.026496343741659</v>
      </c>
      <c r="AP1527" s="8">
        <f t="shared" si="405"/>
        <v>0.90426583128278759</v>
      </c>
      <c r="AQ1527" s="8"/>
      <c r="AR1527" s="8">
        <f t="shared" si="406"/>
        <v>116.10968769508958</v>
      </c>
      <c r="AS1527" s="8">
        <f t="shared" si="407"/>
        <v>38.189384309607306</v>
      </c>
    </row>
    <row r="1528" spans="1:45">
      <c r="A1528" s="20">
        <v>49.91653333</v>
      </c>
      <c r="B1528" s="20">
        <v>413.33333329999999</v>
      </c>
      <c r="C1528" s="20">
        <v>-299</v>
      </c>
      <c r="E1528" s="9">
        <f t="shared" si="396"/>
        <v>-546.66666669999995</v>
      </c>
      <c r="F1528" s="9">
        <f t="shared" si="411"/>
        <v>241</v>
      </c>
      <c r="I1528">
        <v>1</v>
      </c>
      <c r="J1528">
        <f t="shared" si="397"/>
        <v>0.37795311152002559</v>
      </c>
      <c r="K1528">
        <f t="shared" si="398"/>
        <v>2.7263708076460631</v>
      </c>
      <c r="O1528">
        <f t="shared" si="399"/>
        <v>-0.33766212986487365</v>
      </c>
      <c r="P1528">
        <f t="shared" si="400"/>
        <v>0.14885958529110832</v>
      </c>
      <c r="Q1528">
        <f t="shared" si="401"/>
        <v>0.92942192244538568</v>
      </c>
      <c r="R1528">
        <f t="shared" si="402"/>
        <v>1</v>
      </c>
      <c r="AG1528" s="8">
        <f t="shared" si="408"/>
        <v>-0.3454384947265039</v>
      </c>
      <c r="AH1528" s="8">
        <f t="shared" si="409"/>
        <v>0.70625174864735429</v>
      </c>
      <c r="AI1528" s="8">
        <f t="shared" si="410"/>
        <v>0.61796497788599758</v>
      </c>
      <c r="AJ1528" s="8"/>
      <c r="AK1528" s="8"/>
      <c r="AL1528" s="8"/>
      <c r="AN1528" s="8">
        <f t="shared" si="403"/>
        <v>1</v>
      </c>
      <c r="AO1528" s="8">
        <f t="shared" si="404"/>
        <v>2.0256982733822753</v>
      </c>
      <c r="AP1528" s="8">
        <f t="shared" si="405"/>
        <v>0.90464467444861396</v>
      </c>
      <c r="AQ1528" s="8"/>
      <c r="AR1528" s="8">
        <f t="shared" si="406"/>
        <v>116.0639616317424</v>
      </c>
      <c r="AS1528" s="8">
        <f t="shared" si="407"/>
        <v>38.167678195108074</v>
      </c>
    </row>
    <row r="1529" spans="1:45">
      <c r="A1529" s="20">
        <v>49.9499</v>
      </c>
      <c r="B1529" s="20">
        <v>413</v>
      </c>
      <c r="C1529" s="20">
        <v>-299.41666670000001</v>
      </c>
      <c r="E1529" s="9">
        <f t="shared" ref="E1529:E1540" si="412">(B1529-($B$15/2))</f>
        <v>-547</v>
      </c>
      <c r="F1529" s="9">
        <f t="shared" si="411"/>
        <v>240.58333329999999</v>
      </c>
      <c r="I1529">
        <v>1</v>
      </c>
      <c r="J1529">
        <f t="shared" ref="J1529:J1540" si="413">ATAN((SQRT(E1529^2+F1529^2)^$B$16)/($F$24))</f>
        <v>0.37803263218623123</v>
      </c>
      <c r="K1529">
        <f t="shared" ref="K1529:K1540" si="414">ATAN2(E1529,F1529)</f>
        <v>2.7272338462672892</v>
      </c>
      <c r="O1529">
        <f t="shared" ref="O1529:O1540" si="415">COS(K1529)*SIN(J1529)</f>
        <v>-0.33785812833994483</v>
      </c>
      <c r="P1529">
        <f t="shared" ref="P1529:P1540" si="416">SIN(K1529)*SIN(J1529)</f>
        <v>0.14859786964995081</v>
      </c>
      <c r="Q1529">
        <f t="shared" ref="Q1529:Q1540" si="417">COS(J1529)</f>
        <v>0.92939257488433036</v>
      </c>
      <c r="R1529">
        <f t="shared" ref="R1529:R1540" si="418">SQRT(O1529^2+P1529^2+Q1529^2)</f>
        <v>1</v>
      </c>
      <c r="AG1529" s="8">
        <f t="shared" si="408"/>
        <v>-0.34548564581398822</v>
      </c>
      <c r="AH1529" s="8">
        <f t="shared" si="409"/>
        <v>0.70645227143749456</v>
      </c>
      <c r="AI1529" s="8">
        <f t="shared" si="410"/>
        <v>0.61770936265957299</v>
      </c>
      <c r="AJ1529" s="8"/>
      <c r="AK1529" s="8"/>
      <c r="AL1529" s="8"/>
      <c r="AN1529" s="8">
        <f t="shared" ref="AN1529:AN1540" si="419">AG1529^2+AH1529^2+AI1529^2</f>
        <v>0.99999999999999978</v>
      </c>
      <c r="AO1529" s="8">
        <f t="shared" ref="AO1529:AO1540" si="420">IF(ATAN2(AG1529,AH1529)&gt;=0,ATAN2(AG1529,AH1529),ATAN2(AG1529,AH1529)+2*PI())</f>
        <v>2.0256400992281307</v>
      </c>
      <c r="AP1529" s="8">
        <f t="shared" ref="AP1529:AP1540" si="421">ACOS(AI1529/AN1529)</f>
        <v>0.90496975807744073</v>
      </c>
      <c r="AQ1529" s="8"/>
      <c r="AR1529" s="8">
        <f t="shared" ref="AR1529:AR1540" si="422">DEGREES(AO1529)</f>
        <v>116.06062849823317</v>
      </c>
      <c r="AS1529" s="8">
        <f t="shared" ref="AS1529:AS1540" si="423">90-DEGREES(AP1529)</f>
        <v>38.149052275187508</v>
      </c>
    </row>
    <row r="1530" spans="1:45">
      <c r="A1530" s="20">
        <v>49.983266669999999</v>
      </c>
      <c r="B1530" s="20">
        <v>413.41666670000001</v>
      </c>
      <c r="C1530" s="20">
        <v>-298.83333329999999</v>
      </c>
      <c r="E1530" s="9">
        <f t="shared" si="412"/>
        <v>-546.58333330000005</v>
      </c>
      <c r="F1530" s="9">
        <f t="shared" si="411"/>
        <v>241.16666670000001</v>
      </c>
      <c r="I1530">
        <v>1</v>
      </c>
      <c r="J1530">
        <f t="shared" si="413"/>
        <v>0.3779478982580437</v>
      </c>
      <c r="K1530">
        <f t="shared" si="414"/>
        <v>2.7260592687638727</v>
      </c>
      <c r="O1530">
        <f t="shared" si="415"/>
        <v>-0.33761130493734026</v>
      </c>
      <c r="P1530">
        <f t="shared" si="416"/>
        <v>0.14896281699699543</v>
      </c>
      <c r="Q1530">
        <f t="shared" si="417"/>
        <v>0.92942384622454455</v>
      </c>
      <c r="R1530">
        <f t="shared" si="418"/>
        <v>1</v>
      </c>
      <c r="AG1530" s="8">
        <f t="shared" si="408"/>
        <v>-0.34540120543372321</v>
      </c>
      <c r="AH1530" s="8">
        <f t="shared" si="409"/>
        <v>0.70619095226759709</v>
      </c>
      <c r="AI1530" s="8">
        <f t="shared" si="410"/>
        <v>0.61805529382112367</v>
      </c>
      <c r="AJ1530" s="8"/>
      <c r="AK1530" s="8"/>
      <c r="AL1530" s="8"/>
      <c r="AN1530" s="8">
        <f t="shared" si="419"/>
        <v>1.0000000000000002</v>
      </c>
      <c r="AO1530" s="8">
        <f t="shared" si="420"/>
        <v>2.0256896428473783</v>
      </c>
      <c r="AP1530" s="8">
        <f t="shared" si="421"/>
        <v>0.90452979354444585</v>
      </c>
      <c r="AQ1530" s="8"/>
      <c r="AR1530" s="8">
        <f t="shared" si="422"/>
        <v>116.06346713851786</v>
      </c>
      <c r="AS1530" s="8">
        <f t="shared" si="423"/>
        <v>38.174260386063558</v>
      </c>
    </row>
    <row r="1531" spans="1:45">
      <c r="A1531" s="20">
        <v>50.016633329999998</v>
      </c>
      <c r="B1531" s="20">
        <v>410.58333329999999</v>
      </c>
      <c r="C1531" s="20">
        <v>-299</v>
      </c>
      <c r="E1531" s="9">
        <f t="shared" si="412"/>
        <v>-549.41666669999995</v>
      </c>
      <c r="F1531" s="9">
        <f t="shared" si="411"/>
        <v>241</v>
      </c>
      <c r="I1531">
        <v>1</v>
      </c>
      <c r="J1531">
        <f t="shared" si="413"/>
        <v>0.37941190819579873</v>
      </c>
      <c r="K1531">
        <f t="shared" si="414"/>
        <v>2.7282198479177122</v>
      </c>
      <c r="O1531">
        <f t="shared" si="415"/>
        <v>-0.33917807683616574</v>
      </c>
      <c r="P1531">
        <f t="shared" si="416"/>
        <v>0.14877946278639173</v>
      </c>
      <c r="Q1531">
        <f t="shared" si="417"/>
        <v>0.92888261026176644</v>
      </c>
      <c r="R1531">
        <f t="shared" si="418"/>
        <v>1</v>
      </c>
      <c r="AG1531" s="8">
        <f t="shared" si="408"/>
        <v>-0.34442562488544581</v>
      </c>
      <c r="AH1531" s="8">
        <f t="shared" si="409"/>
        <v>0.7073191596134536</v>
      </c>
      <c r="AI1531" s="8">
        <f t="shared" si="410"/>
        <v>0.61730915704044742</v>
      </c>
      <c r="AJ1531" s="8"/>
      <c r="AK1531" s="8"/>
      <c r="AL1531" s="8"/>
      <c r="AN1531" s="8">
        <f t="shared" si="419"/>
        <v>0.99999999999999978</v>
      </c>
      <c r="AO1531" s="8">
        <f t="shared" si="420"/>
        <v>2.0239456071705546</v>
      </c>
      <c r="AP1531" s="8">
        <f t="shared" si="421"/>
        <v>0.90547856070430532</v>
      </c>
      <c r="AQ1531" s="8"/>
      <c r="AR1531" s="8">
        <f t="shared" si="422"/>
        <v>115.96354125491563</v>
      </c>
      <c r="AS1531" s="8">
        <f t="shared" si="423"/>
        <v>38.119900032062993</v>
      </c>
    </row>
    <row r="1532" spans="1:45">
      <c r="A1532" s="20">
        <v>50.05</v>
      </c>
      <c r="B1532" s="20">
        <v>409.58333329999999</v>
      </c>
      <c r="C1532" s="20">
        <v>-299.25</v>
      </c>
      <c r="E1532" s="9">
        <f t="shared" si="412"/>
        <v>-550.41666669999995</v>
      </c>
      <c r="F1532" s="9">
        <f t="shared" si="411"/>
        <v>240.75</v>
      </c>
      <c r="I1532">
        <v>1</v>
      </c>
      <c r="J1532">
        <f t="shared" si="413"/>
        <v>0.37988424037895485</v>
      </c>
      <c r="K1532">
        <f t="shared" si="414"/>
        <v>2.7292695808618643</v>
      </c>
      <c r="O1532">
        <f t="shared" si="415"/>
        <v>-0.33973600205348886</v>
      </c>
      <c r="P1532">
        <f t="shared" si="416"/>
        <v>0.14859913851220141</v>
      </c>
      <c r="Q1532">
        <f t="shared" si="417"/>
        <v>0.9287075669672038</v>
      </c>
      <c r="R1532">
        <f t="shared" si="418"/>
        <v>1</v>
      </c>
      <c r="AG1532" s="8">
        <f t="shared" si="408"/>
        <v>-0.34415922566146229</v>
      </c>
      <c r="AH1532" s="8">
        <f t="shared" si="409"/>
        <v>0.70774914849770421</v>
      </c>
      <c r="AI1532" s="8">
        <f t="shared" si="410"/>
        <v>0.61696480466301917</v>
      </c>
      <c r="AJ1532" s="8"/>
      <c r="AK1532" s="8"/>
      <c r="AL1532" s="8"/>
      <c r="AN1532" s="8">
        <f t="shared" si="419"/>
        <v>1.0000000000000002</v>
      </c>
      <c r="AO1532" s="8">
        <f t="shared" si="420"/>
        <v>2.023402067002436</v>
      </c>
      <c r="AP1532" s="8">
        <f t="shared" si="421"/>
        <v>0.90591619160684977</v>
      </c>
      <c r="AQ1532" s="8"/>
      <c r="AR1532" s="8">
        <f t="shared" si="422"/>
        <v>115.9323986972866</v>
      </c>
      <c r="AS1532" s="8">
        <f t="shared" si="423"/>
        <v>38.094825628362699</v>
      </c>
    </row>
    <row r="1533" spans="1:45">
      <c r="A1533" s="20">
        <v>50.083366669999997</v>
      </c>
      <c r="B1533" s="20">
        <v>409.58333329999999</v>
      </c>
      <c r="C1533" s="20">
        <v>-299.25</v>
      </c>
      <c r="E1533" s="9">
        <f t="shared" si="412"/>
        <v>-550.41666669999995</v>
      </c>
      <c r="F1533" s="9">
        <f t="shared" si="411"/>
        <v>240.75</v>
      </c>
      <c r="I1533">
        <v>1</v>
      </c>
      <c r="J1533">
        <f t="shared" si="413"/>
        <v>0.37988424037895485</v>
      </c>
      <c r="K1533">
        <f t="shared" si="414"/>
        <v>2.7292695808618643</v>
      </c>
      <c r="O1533">
        <f t="shared" si="415"/>
        <v>-0.33973600205348886</v>
      </c>
      <c r="P1533">
        <f t="shared" si="416"/>
        <v>0.14859913851220141</v>
      </c>
      <c r="Q1533">
        <f t="shared" si="417"/>
        <v>0.9287075669672038</v>
      </c>
      <c r="R1533">
        <f t="shared" si="418"/>
        <v>1</v>
      </c>
      <c r="AG1533" s="8">
        <f t="shared" si="408"/>
        <v>-0.34415922566146229</v>
      </c>
      <c r="AH1533" s="8">
        <f t="shared" si="409"/>
        <v>0.70774914849770421</v>
      </c>
      <c r="AI1533" s="8">
        <f t="shared" si="410"/>
        <v>0.61696480466301917</v>
      </c>
      <c r="AJ1533" s="8"/>
      <c r="AK1533" s="8"/>
      <c r="AL1533" s="8"/>
      <c r="AN1533" s="8">
        <f t="shared" si="419"/>
        <v>1.0000000000000002</v>
      </c>
      <c r="AO1533" s="8">
        <f t="shared" si="420"/>
        <v>2.023402067002436</v>
      </c>
      <c r="AP1533" s="8">
        <f t="shared" si="421"/>
        <v>0.90591619160684977</v>
      </c>
      <c r="AQ1533" s="8"/>
      <c r="AR1533" s="8">
        <f t="shared" si="422"/>
        <v>115.9323986972866</v>
      </c>
      <c r="AS1533" s="8">
        <f t="shared" si="423"/>
        <v>38.094825628362699</v>
      </c>
    </row>
    <row r="1534" spans="1:45">
      <c r="A1534" s="20">
        <v>50.116733330000002</v>
      </c>
      <c r="B1534" s="20">
        <v>409.58333329999999</v>
      </c>
      <c r="C1534" s="20">
        <v>-299.25</v>
      </c>
      <c r="E1534" s="9">
        <f t="shared" si="412"/>
        <v>-550.41666669999995</v>
      </c>
      <c r="F1534" s="9">
        <f t="shared" si="411"/>
        <v>240.75</v>
      </c>
      <c r="I1534">
        <v>1</v>
      </c>
      <c r="J1534">
        <f t="shared" si="413"/>
        <v>0.37988424037895485</v>
      </c>
      <c r="K1534">
        <f t="shared" si="414"/>
        <v>2.7292695808618643</v>
      </c>
      <c r="O1534">
        <f t="shared" si="415"/>
        <v>-0.33973600205348886</v>
      </c>
      <c r="P1534">
        <f t="shared" si="416"/>
        <v>0.14859913851220141</v>
      </c>
      <c r="Q1534">
        <f t="shared" si="417"/>
        <v>0.9287075669672038</v>
      </c>
      <c r="R1534">
        <f t="shared" si="418"/>
        <v>1</v>
      </c>
      <c r="AG1534" s="8">
        <f t="shared" si="408"/>
        <v>-0.34415922566146229</v>
      </c>
      <c r="AH1534" s="8">
        <f t="shared" si="409"/>
        <v>0.70774914849770421</v>
      </c>
      <c r="AI1534" s="8">
        <f t="shared" si="410"/>
        <v>0.61696480466301917</v>
      </c>
      <c r="AJ1534" s="8"/>
      <c r="AK1534" s="8"/>
      <c r="AL1534" s="8"/>
      <c r="AN1534" s="8">
        <f t="shared" si="419"/>
        <v>1.0000000000000002</v>
      </c>
      <c r="AO1534" s="8">
        <f t="shared" si="420"/>
        <v>2.023402067002436</v>
      </c>
      <c r="AP1534" s="8">
        <f t="shared" si="421"/>
        <v>0.90591619160684977</v>
      </c>
      <c r="AQ1534" s="8"/>
      <c r="AR1534" s="8">
        <f t="shared" si="422"/>
        <v>115.9323986972866</v>
      </c>
      <c r="AS1534" s="8">
        <f t="shared" si="423"/>
        <v>38.094825628362699</v>
      </c>
    </row>
    <row r="1535" spans="1:45">
      <c r="A1535" s="20">
        <v>50.150100000000002</v>
      </c>
      <c r="B1535" s="20">
        <v>409.83333329999999</v>
      </c>
      <c r="C1535" s="20">
        <v>-299.25</v>
      </c>
      <c r="E1535" s="9">
        <f t="shared" si="412"/>
        <v>-550.16666669999995</v>
      </c>
      <c r="F1535" s="9">
        <f t="shared" si="411"/>
        <v>240.75</v>
      </c>
      <c r="I1535">
        <v>1</v>
      </c>
      <c r="J1535">
        <f t="shared" si="413"/>
        <v>0.3797516282207602</v>
      </c>
      <c r="K1535">
        <f t="shared" si="414"/>
        <v>2.7291027554974039</v>
      </c>
      <c r="O1535">
        <f t="shared" si="415"/>
        <v>-0.33959837612953392</v>
      </c>
      <c r="P1535">
        <f t="shared" si="416"/>
        <v>0.14860643874262069</v>
      </c>
      <c r="Q1535">
        <f t="shared" si="417"/>
        <v>0.92875673310852469</v>
      </c>
      <c r="R1535">
        <f t="shared" si="418"/>
        <v>1</v>
      </c>
      <c r="AG1535" s="8">
        <f t="shared" si="408"/>
        <v>-0.34425129449348135</v>
      </c>
      <c r="AH1535" s="8">
        <f t="shared" si="409"/>
        <v>0.70765233544506145</v>
      </c>
      <c r="AI1535" s="8">
        <f t="shared" si="410"/>
        <v>0.61702448766537021</v>
      </c>
      <c r="AJ1535" s="8"/>
      <c r="AK1535" s="8"/>
      <c r="AL1535" s="8"/>
      <c r="AN1535" s="8">
        <f t="shared" si="419"/>
        <v>0.99999999999999989</v>
      </c>
      <c r="AO1535" s="8">
        <f t="shared" si="420"/>
        <v>2.0235610819285039</v>
      </c>
      <c r="AP1535" s="8">
        <f t="shared" si="421"/>
        <v>0.90584035237088423</v>
      </c>
      <c r="AQ1535" s="8"/>
      <c r="AR1535" s="8">
        <f t="shared" si="422"/>
        <v>115.94150958142987</v>
      </c>
      <c r="AS1535" s="8">
        <f t="shared" si="423"/>
        <v>38.099170896505022</v>
      </c>
    </row>
    <row r="1536" spans="1:45">
      <c r="A1536" s="20">
        <v>50.183466670000001</v>
      </c>
      <c r="B1536" s="20">
        <v>407.75</v>
      </c>
      <c r="C1536" s="20">
        <v>-298.75</v>
      </c>
      <c r="E1536" s="9">
        <f t="shared" si="412"/>
        <v>-552.25</v>
      </c>
      <c r="F1536" s="9">
        <f t="shared" si="411"/>
        <v>241.25</v>
      </c>
      <c r="I1536">
        <v>1</v>
      </c>
      <c r="J1536">
        <f t="shared" si="413"/>
        <v>0.38097230214626004</v>
      </c>
      <c r="K1536">
        <f t="shared" si="414"/>
        <v>2.7297285432048257</v>
      </c>
      <c r="O1536">
        <f t="shared" si="415"/>
        <v>-0.34072995641235104</v>
      </c>
      <c r="P1536">
        <f t="shared" si="416"/>
        <v>0.14884762695243048</v>
      </c>
      <c r="Q1536">
        <f t="shared" si="417"/>
        <v>0.92830354989834407</v>
      </c>
      <c r="R1536">
        <f t="shared" si="418"/>
        <v>1</v>
      </c>
      <c r="AG1536" s="8">
        <f t="shared" si="408"/>
        <v>-0.34328051155844563</v>
      </c>
      <c r="AH1536" s="8">
        <f t="shared" si="409"/>
        <v>0.70837317379987419</v>
      </c>
      <c r="AI1536" s="8">
        <f t="shared" si="410"/>
        <v>0.61673814299495455</v>
      </c>
      <c r="AJ1536" s="8"/>
      <c r="AK1536" s="8"/>
      <c r="AL1536" s="8"/>
      <c r="AN1536" s="8">
        <f t="shared" si="419"/>
        <v>0.99999999999999989</v>
      </c>
      <c r="AO1536" s="8">
        <f t="shared" si="420"/>
        <v>2.0220514919107213</v>
      </c>
      <c r="AP1536" s="8">
        <f t="shared" si="421"/>
        <v>0.90620416969337547</v>
      </c>
      <c r="AQ1536" s="8"/>
      <c r="AR1536" s="8">
        <f t="shared" si="422"/>
        <v>115.85501644461586</v>
      </c>
      <c r="AS1536" s="8">
        <f t="shared" si="423"/>
        <v>38.078325699412524</v>
      </c>
    </row>
    <row r="1537" spans="1:45">
      <c r="A1537" s="20">
        <v>50.21683333</v>
      </c>
      <c r="B1537" s="20">
        <v>408.83333329999999</v>
      </c>
      <c r="C1537" s="20">
        <v>-298.25</v>
      </c>
      <c r="E1537" s="9">
        <f t="shared" si="412"/>
        <v>-551.16666669999995</v>
      </c>
      <c r="F1537" s="9">
        <f t="shared" si="411"/>
        <v>241.75</v>
      </c>
      <c r="I1537">
        <v>1</v>
      </c>
      <c r="J1537">
        <f t="shared" si="413"/>
        <v>0.38051411321984446</v>
      </c>
      <c r="K1537">
        <f t="shared" si="414"/>
        <v>2.7282466770107718</v>
      </c>
      <c r="O1537">
        <f t="shared" si="415"/>
        <v>-0.34011945715107361</v>
      </c>
      <c r="P1537">
        <f t="shared" si="416"/>
        <v>0.14918151574472216</v>
      </c>
      <c r="Q1537">
        <f t="shared" si="417"/>
        <v>0.92847381773928672</v>
      </c>
      <c r="R1537">
        <f t="shared" si="418"/>
        <v>1</v>
      </c>
      <c r="AG1537" s="8">
        <f t="shared" si="408"/>
        <v>-0.34347567085353969</v>
      </c>
      <c r="AH1537" s="8">
        <f t="shared" si="409"/>
        <v>0.70786901662436041</v>
      </c>
      <c r="AI1537" s="8">
        <f t="shared" si="410"/>
        <v>0.6172081649127561</v>
      </c>
      <c r="AJ1537" s="8"/>
      <c r="AK1537" s="8"/>
      <c r="AL1537" s="8"/>
      <c r="AN1537" s="8">
        <f t="shared" si="419"/>
        <v>1.0000000000000002</v>
      </c>
      <c r="AO1537" s="8">
        <f t="shared" si="420"/>
        <v>2.0225541414130763</v>
      </c>
      <c r="AP1537" s="8">
        <f t="shared" si="421"/>
        <v>0.90560692525175857</v>
      </c>
      <c r="AQ1537" s="8"/>
      <c r="AR1537" s="8">
        <f t="shared" si="422"/>
        <v>115.88381613967515</v>
      </c>
      <c r="AS1537" s="8">
        <f t="shared" si="423"/>
        <v>38.112545285254818</v>
      </c>
    </row>
    <row r="1538" spans="1:45">
      <c r="A1538" s="20">
        <v>50.2502</v>
      </c>
      <c r="B1538" s="20">
        <v>407.58333329999999</v>
      </c>
      <c r="C1538" s="20">
        <v>-298.91666670000001</v>
      </c>
      <c r="E1538" s="9">
        <f t="shared" si="412"/>
        <v>-552.41666669999995</v>
      </c>
      <c r="F1538" s="9">
        <f t="shared" si="411"/>
        <v>241.08333329999999</v>
      </c>
      <c r="I1538">
        <v>1</v>
      </c>
      <c r="J1538">
        <f t="shared" si="413"/>
        <v>0.38102207890282563</v>
      </c>
      <c r="K1538">
        <f t="shared" si="414"/>
        <v>2.7300926341704796</v>
      </c>
      <c r="O1538">
        <f t="shared" si="415"/>
        <v>-0.34082647806861499</v>
      </c>
      <c r="P1538">
        <f t="shared" si="416"/>
        <v>0.14874204266958466</v>
      </c>
      <c r="Q1538">
        <f t="shared" si="417"/>
        <v>0.92828504059357941</v>
      </c>
      <c r="R1538">
        <f t="shared" si="418"/>
        <v>1</v>
      </c>
      <c r="AG1538" s="8">
        <f t="shared" si="408"/>
        <v>-0.34328702061557315</v>
      </c>
      <c r="AH1538" s="8">
        <f t="shared" si="409"/>
        <v>0.70846597978399939</v>
      </c>
      <c r="AI1538" s="8">
        <f t="shared" si="410"/>
        <v>0.61662790803334633</v>
      </c>
      <c r="AJ1538" s="8"/>
      <c r="AK1538" s="8"/>
      <c r="AL1538" s="8"/>
      <c r="AN1538" s="8">
        <f t="shared" si="419"/>
        <v>1.0000000000000002</v>
      </c>
      <c r="AO1538" s="8">
        <f t="shared" si="420"/>
        <v>2.0220075229667254</v>
      </c>
      <c r="AP1538" s="8">
        <f t="shared" si="421"/>
        <v>0.90634420188668374</v>
      </c>
      <c r="AQ1538" s="8"/>
      <c r="AR1538" s="8">
        <f t="shared" si="422"/>
        <v>115.85249720969524</v>
      </c>
      <c r="AS1538" s="8">
        <f t="shared" si="423"/>
        <v>38.070302445739998</v>
      </c>
    </row>
    <row r="1539" spans="1:45">
      <c r="A1539" s="20">
        <v>50.283566669999999</v>
      </c>
      <c r="B1539" s="20">
        <v>407.08333329999999</v>
      </c>
      <c r="C1539" s="20">
        <v>-298.41666670000001</v>
      </c>
      <c r="E1539" s="9">
        <f t="shared" si="412"/>
        <v>-552.91666669999995</v>
      </c>
      <c r="F1539" s="9">
        <f t="shared" si="411"/>
        <v>241.58333329999999</v>
      </c>
      <c r="I1539">
        <v>1</v>
      </c>
      <c r="J1539">
        <f t="shared" si="413"/>
        <v>0.38140282445945878</v>
      </c>
      <c r="K1539">
        <f t="shared" si="414"/>
        <v>2.7296646046953597</v>
      </c>
      <c r="O1539">
        <f t="shared" si="415"/>
        <v>-0.34108663148308288</v>
      </c>
      <c r="P1539">
        <f t="shared" si="416"/>
        <v>0.14902941137504319</v>
      </c>
      <c r="Q1539">
        <f t="shared" si="417"/>
        <v>0.92814338567310373</v>
      </c>
      <c r="R1539">
        <f t="shared" si="418"/>
        <v>1</v>
      </c>
      <c r="AG1539" s="8">
        <f t="shared" si="408"/>
        <v>-0.34289936820523337</v>
      </c>
      <c r="AH1539" s="8">
        <f t="shared" si="409"/>
        <v>0.70857392195173818</v>
      </c>
      <c r="AI1539" s="8">
        <f t="shared" si="410"/>
        <v>0.61671956383301463</v>
      </c>
      <c r="AJ1539" s="8"/>
      <c r="AK1539" s="8"/>
      <c r="AL1539" s="8"/>
      <c r="AN1539" s="8">
        <f t="shared" si="419"/>
        <v>1</v>
      </c>
      <c r="AO1539" s="8">
        <f t="shared" si="420"/>
        <v>2.0215045587685143</v>
      </c>
      <c r="AP1539" s="8">
        <f t="shared" si="421"/>
        <v>0.90622777200078963</v>
      </c>
      <c r="AQ1539" s="8"/>
      <c r="AR1539" s="8">
        <f t="shared" si="422"/>
        <v>115.82367948389157</v>
      </c>
      <c r="AS1539" s="8">
        <f t="shared" si="423"/>
        <v>38.07697338681092</v>
      </c>
    </row>
    <row r="1540" spans="1:45">
      <c r="A1540" s="20">
        <v>50.316933329999998</v>
      </c>
      <c r="B1540" s="20">
        <v>406.91666670000001</v>
      </c>
      <c r="C1540" s="20">
        <v>-298.33333329999999</v>
      </c>
      <c r="E1540" s="9">
        <f t="shared" si="412"/>
        <v>-553.08333330000005</v>
      </c>
      <c r="F1540" s="9">
        <f t="shared" si="411"/>
        <v>241.66666670000001</v>
      </c>
      <c r="I1540">
        <v>1</v>
      </c>
      <c r="J1540">
        <f t="shared" si="413"/>
        <v>0.38151043285010927</v>
      </c>
      <c r="K1540">
        <f t="shared" si="414"/>
        <v>2.7296486445456347</v>
      </c>
      <c r="O1540">
        <f t="shared" si="415"/>
        <v>-0.34117577173996561</v>
      </c>
      <c r="P1540">
        <f t="shared" si="416"/>
        <v>0.14907484379117075</v>
      </c>
      <c r="Q1540">
        <f t="shared" si="417"/>
        <v>0.92810332599677547</v>
      </c>
      <c r="R1540">
        <f t="shared" si="418"/>
        <v>1</v>
      </c>
      <c r="AG1540" s="8">
        <f t="shared" si="408"/>
        <v>-0.34280409220409813</v>
      </c>
      <c r="AH1540" s="8">
        <f t="shared" si="409"/>
        <v>0.70862407790977955</v>
      </c>
      <c r="AI1540" s="8">
        <f t="shared" si="410"/>
        <v>0.61671490218304192</v>
      </c>
      <c r="AJ1540" s="8"/>
      <c r="AK1540" s="8"/>
      <c r="AL1540" s="8"/>
      <c r="AN1540" s="8">
        <f t="shared" si="419"/>
        <v>1</v>
      </c>
      <c r="AO1540" s="8">
        <f t="shared" si="420"/>
        <v>2.0213678570994209</v>
      </c>
      <c r="AP1540" s="8">
        <f t="shared" si="421"/>
        <v>0.90623369392684683</v>
      </c>
      <c r="AQ1540" s="8"/>
      <c r="AR1540" s="8">
        <f t="shared" si="422"/>
        <v>115.81584705520012</v>
      </c>
      <c r="AS1540" s="8">
        <f t="shared" si="423"/>
        <v>38.076634085441256</v>
      </c>
    </row>
  </sheetData>
  <conditionalFormatting sqref="AX32:AY38 N32 AQ11:AR11 AT3:AU8 BI11:BI13 AH9:AI18 T9:T18 W11 W3:W8 BJ7:BJ13 AQ3:AR8">
    <cfRule type="colorScale" priority="8">
      <colorScale>
        <cfvo type="num" val="-0.5"/>
        <cfvo type="num" val="0"/>
        <cfvo type="num" val="0.5"/>
        <color rgb="FFFF0000"/>
        <color rgb="FFFFFFFF"/>
        <color rgb="FF00FFFF"/>
      </colorScale>
    </cfRule>
  </conditionalFormatting>
  <pageMargins left="0.7" right="0.7" top="0.75" bottom="0.75" header="0.3" footer="0.3"/>
  <pageSetup paperSize="9" orientation="portrait" horizontalDpi="0" verticalDpi="0" r:id="rId1"/>
  <legacyDrawing r:id="rId2"/>
  <controls>
    <control shapeId="1029" r:id="rId3" name="SpinButton1"/>
    <control shapeId="1030" r:id="rId4" name="SpinButton2"/>
    <control shapeId="1031" r:id="rId5" name="SpinButton3"/>
    <control shapeId="1033" r:id="rId6" name="SpinButton5"/>
    <control shapeId="1034" r:id="rId7" name="SpinButton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2019-12-29T23:03:44Z</dcterms:modified>
</cp:coreProperties>
</file>